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Activos" sheetId="3" state="visible" r:id="rId3"/>
    <sheet xmlns:r="http://schemas.openxmlformats.org/officeDocument/2006/relationships" name="Pasivos" sheetId="4" state="visible" r:id="rId4"/>
    <sheet xmlns:r="http://schemas.openxmlformats.org/officeDocument/2006/relationships" name="Patrimonio" sheetId="5" state="visible" r:id="rId5"/>
    <sheet xmlns:r="http://schemas.openxmlformats.org/officeDocument/2006/relationships" name="Resultado Ejercicio" sheetId="6" state="visible" r:id="rId6"/>
    <sheet xmlns:r="http://schemas.openxmlformats.org/officeDocument/2006/relationships" name="Balance General" sheetId="7" state="visible" r:id="rId7"/>
    <sheet xmlns:r="http://schemas.openxmlformats.org/officeDocument/2006/relationships" name="Dashboard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;[Red]\(\$#,##0\);\-"/>
    <numFmt numFmtId="165" formatCode="dd\-mm\-yyyy"/>
    <numFmt numFmtId="166" formatCode="#,##0;[Red]\(#,##0\);\-"/>
  </numFmts>
  <fonts count="19">
    <font>
      <name val="Calibri"/>
      <color theme="1"/>
      <sz val="11"/>
    </font>
    <font>
      <name val="Segoe UI"/>
      <b val="1"/>
      <color rgb="FFFFFFFF"/>
      <sz val="16"/>
    </font>
    <font>
      <name val="Segoe UI"/>
      <color rgb="FFFFFFFF"/>
      <sz val="10"/>
    </font>
    <font>
      <name val="Segoe UI"/>
      <b val="1"/>
      <color rgb="FF161524"/>
      <sz val="10"/>
    </font>
    <font>
      <name val="Segoe UI"/>
      <b val="1"/>
      <color rgb="FF161524"/>
      <sz val="15"/>
    </font>
    <font>
      <name val="Segoe UI"/>
      <color rgb="FF161524"/>
      <sz val="10"/>
    </font>
    <font>
      <name val="Segoe UI"/>
      <b val="1"/>
      <color rgb="FF161524"/>
      <sz val="12"/>
    </font>
    <font>
      <name val="Segoe UI"/>
      <b val="1"/>
      <color rgb="FFFFFFFF"/>
      <sz val="10"/>
    </font>
    <font>
      <name val="Calibri"/>
      <i val="1"/>
      <color rgb="FF92400E"/>
      <sz val="11"/>
    </font>
    <font>
      <name val="Calibri"/>
      <color theme="1"/>
      <sz val="11"/>
    </font>
    <font>
      <name val="Segoe UI"/>
      <color theme="1"/>
      <sz val="10"/>
    </font>
    <font>
      <name val="Calibri"/>
      <b val="1"/>
      <color theme="0"/>
      <sz val="11"/>
    </font>
    <font>
      <name val="Segoe UI"/>
      <sz val="10"/>
    </font>
    <font>
      <name val="Segoe UI"/>
      <color rgb="FF161524"/>
      <sz val="10"/>
    </font>
    <font>
      <name val="Segoe UI"/>
      <b val="1"/>
      <color theme="0"/>
      <sz val="14"/>
    </font>
    <font>
      <name val="Calibri"/>
      <color theme="0"/>
      <sz val="11"/>
    </font>
    <font>
      <name val="Segoe UI"/>
      <b val="1"/>
      <color theme="0"/>
      <sz val="10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15">
    <fill>
      <patternFill/>
    </fill>
    <fill>
      <patternFill patternType="gray125"/>
    </fill>
    <fill>
      <patternFill patternType="solid"/>
    </fill>
    <fill>
      <patternFill patternType="solid">
        <fgColor rgb="FF8B3333"/>
      </patternFill>
    </fill>
    <fill>
      <patternFill patternType="solid">
        <fgColor rgb="FFD4AF37"/>
      </patternFill>
    </fill>
    <fill>
      <patternFill patternType="solid">
        <fgColor rgb="FFDCEAED"/>
      </patternFill>
    </fill>
    <fill>
      <patternFill patternType="solid">
        <fgColor rgb="FF5287A5"/>
      </patternFill>
    </fill>
    <fill>
      <patternFill patternType="solid">
        <fgColor rgb="FFFEF3C7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1"/>
      </patternFill>
    </fill>
    <fill>
      <patternFill patternType="solid">
        <fgColor theme="6" tint="0.5999633777886288"/>
        <bgColor indexed="65"/>
      </patternFill>
    </fill>
    <fill>
      <patternFill patternType="solid">
        <fgColor rgb="FFFFF6D8"/>
      </patternFill>
    </fill>
    <fill>
      <patternFill patternType="solid">
        <fgColor rgb="FFE7E6E6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8B3333"/>
      </left>
      <right style="thin">
        <color rgb="FF8B3333"/>
      </right>
      <top style="thin">
        <color rgb="FF8B3333"/>
      </top>
      <bottom style="thin">
        <color rgb="FF8B3333"/>
      </bottom>
      <diagonal/>
    </border>
    <border>
      <left style="medium">
        <color rgb="FF161524"/>
      </left>
      <right style="medium">
        <color rgb="FF161524"/>
      </right>
      <top style="medium">
        <color rgb="FF161524"/>
      </top>
      <bottom style="medium">
        <color rgb="FF16152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rgb="FF161524"/>
      </left>
      <right style="medium">
        <color rgb="FF161524"/>
      </right>
      <top/>
      <bottom style="medium">
        <color rgb="FF16152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8B3333"/>
      </top>
      <bottom/>
      <diagonal/>
    </border>
    <border>
      <left/>
      <right style="thin">
        <color rgb="FF8B3333"/>
      </right>
      <top style="thin">
        <color rgb="FF8B3333"/>
      </top>
      <bottom/>
      <diagonal/>
    </border>
    <border>
      <left/>
      <right/>
      <top style="thin">
        <color rgb="FF8B3333"/>
      </top>
      <bottom style="thin">
        <color rgb="FF8B3333"/>
      </bottom>
      <diagonal/>
    </border>
    <border>
      <left/>
      <right style="thin">
        <color rgb="FF8B3333"/>
      </right>
      <top style="thin">
        <color rgb="FF8B3333"/>
      </top>
      <bottom style="thin">
        <color rgb="FF8B3333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9" fillId="0" borderId="5"/>
  </cellStyleXfs>
  <cellXfs count="115">
    <xf numFmtId="0" fontId="0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164" fontId="3" fillId="4" borderId="3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6" applyAlignment="1" pivotButton="0" quotePrefix="0" xfId="0">
      <alignment horizontal="center" vertical="center" wrapText="1"/>
    </xf>
    <xf numFmtId="164" fontId="7" fillId="2" borderId="6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2" borderId="17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164" fontId="3" fillId="4" borderId="6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3" fillId="4" borderId="6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10" fillId="11" borderId="6" applyAlignment="1" pivotButton="0" quotePrefix="0" xfId="0">
      <alignment horizontal="center" vertical="center" wrapText="1"/>
    </xf>
    <xf numFmtId="165" fontId="10" fillId="11" borderId="6" applyAlignment="1" pivotButton="0" quotePrefix="0" xfId="0">
      <alignment horizontal="center" vertical="center" wrapText="1"/>
    </xf>
    <xf numFmtId="0" fontId="5" fillId="12" borderId="6" applyAlignment="1" pivotButton="0" quotePrefix="0" xfId="0">
      <alignment horizontal="center" vertical="center" wrapText="1"/>
    </xf>
    <xf numFmtId="0" fontId="13" fillId="12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5" fillId="11" borderId="6" applyAlignment="1" pivotButton="0" quotePrefix="0" xfId="0">
      <alignment horizontal="left" vertical="center" wrapText="1"/>
    </xf>
    <xf numFmtId="0" fontId="3" fillId="12" borderId="6" applyAlignment="1" pivotButton="0" quotePrefix="0" xfId="0">
      <alignment horizontal="center" vertical="center" wrapText="1"/>
    </xf>
    <xf numFmtId="0" fontId="5" fillId="12" borderId="6" applyAlignment="1" pivotButton="0" quotePrefix="0" xfId="0">
      <alignment horizontal="left" vertical="center" wrapText="1"/>
    </xf>
    <xf numFmtId="164" fontId="10" fillId="11" borderId="6" applyAlignment="1" pivotButton="0" quotePrefix="0" xfId="0">
      <alignment horizontal="center" vertical="center" wrapText="1"/>
    </xf>
    <xf numFmtId="166" fontId="10" fillId="11" borderId="6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 wrapText="1"/>
    </xf>
    <xf numFmtId="164" fontId="12" fillId="11" borderId="6" applyAlignment="1" pivotButton="0" quotePrefix="0" xfId="0">
      <alignment horizontal="center" vertical="center" wrapText="1"/>
    </xf>
    <xf numFmtId="166" fontId="12" fillId="11" borderId="6" applyAlignment="1" pivotButton="0" quotePrefix="0" xfId="0">
      <alignment horizontal="center" vertical="center" wrapText="1"/>
    </xf>
    <xf numFmtId="0" fontId="5" fillId="12" borderId="6" applyAlignment="1" pivotButton="0" quotePrefix="0" xfId="0">
      <alignment horizontal="center" vertical="center" wrapText="1"/>
    </xf>
    <xf numFmtId="0" fontId="5" fillId="11" borderId="6" applyAlignment="1" pivotButton="0" quotePrefix="0" xfId="0">
      <alignment horizontal="center" vertical="center" wrapText="1"/>
    </xf>
    <xf numFmtId="164" fontId="5" fillId="11" borderId="6" applyAlignment="1" pivotButton="0" quotePrefix="0" xfId="0">
      <alignment horizontal="center" vertical="center" wrapText="1"/>
    </xf>
    <xf numFmtId="0" fontId="7" fillId="6" borderId="21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164" fontId="3" fillId="4" borderId="22" applyAlignment="1" pivotButton="0" quotePrefix="0" xfId="0">
      <alignment horizontal="center" vertical="center" wrapText="1"/>
    </xf>
    <xf numFmtId="164" fontId="5" fillId="12" borderId="6" applyAlignment="1" pivotButton="0" quotePrefix="0" xfId="0">
      <alignment horizontal="center" vertical="center" wrapText="1"/>
    </xf>
    <xf numFmtId="0" fontId="0" fillId="13" borderId="0" pivotButton="0" quotePrefix="0" xfId="0"/>
    <xf numFmtId="164" fontId="0" fillId="13" borderId="0" pivotButton="0" quotePrefix="0" xfId="0"/>
    <xf numFmtId="0" fontId="0" fillId="13" borderId="0" pivotButton="0" quotePrefix="0" xfId="0"/>
    <xf numFmtId="0" fontId="8" fillId="13" borderId="5" applyAlignment="1" pivotButton="0" quotePrefix="0" xfId="0">
      <alignment horizontal="left" vertical="center" wrapText="1"/>
    </xf>
    <xf numFmtId="0" fontId="9" fillId="13" borderId="0" applyAlignment="1" pivotButton="0" quotePrefix="0" xfId="0">
      <alignment vertical="center" wrapText="1"/>
    </xf>
    <xf numFmtId="0" fontId="7" fillId="2" borderId="23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16" fillId="9" borderId="6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11" fillId="9" borderId="18" applyAlignment="1" pivotButton="0" quotePrefix="0" xfId="0">
      <alignment horizontal="center" vertical="center"/>
    </xf>
    <xf numFmtId="0" fontId="11" fillId="9" borderId="19" applyAlignment="1" pivotButton="0" quotePrefix="0" xfId="0">
      <alignment horizontal="center" vertical="center"/>
    </xf>
    <xf numFmtId="0" fontId="11" fillId="9" borderId="20" applyAlignment="1" pivotButton="0" quotePrefix="0" xfId="0">
      <alignment horizontal="center" vertical="center"/>
    </xf>
    <xf numFmtId="0" fontId="9" fillId="10" borderId="9" applyAlignment="1" pivotButton="0" quotePrefix="0" xfId="0">
      <alignment horizontal="center" vertical="center" wrapText="1"/>
    </xf>
    <xf numFmtId="0" fontId="9" fillId="10" borderId="10" applyAlignment="1" pivotButton="0" quotePrefix="0" xfId="0">
      <alignment horizontal="center" vertical="center" wrapText="1"/>
    </xf>
    <xf numFmtId="0" fontId="9" fillId="10" borderId="11" applyAlignment="1" pivotButton="0" quotePrefix="0" xfId="0">
      <alignment horizontal="center" vertical="center" wrapText="1"/>
    </xf>
    <xf numFmtId="0" fontId="9" fillId="10" borderId="12" applyAlignment="1" pivotButton="0" quotePrefix="0" xfId="0">
      <alignment horizontal="center" vertical="center" wrapText="1"/>
    </xf>
    <xf numFmtId="0" fontId="9" fillId="10" borderId="5" applyAlignment="1" pivotButton="0" quotePrefix="0" xfId="0">
      <alignment horizontal="center" vertical="center" wrapText="1"/>
    </xf>
    <xf numFmtId="0" fontId="9" fillId="10" borderId="13" applyAlignment="1" pivotButton="0" quotePrefix="0" xfId="0">
      <alignment horizontal="center" vertical="center" wrapText="1"/>
    </xf>
    <xf numFmtId="0" fontId="9" fillId="10" borderId="14" applyAlignment="1" pivotButton="0" quotePrefix="0" xfId="0">
      <alignment horizontal="center" vertical="center" wrapText="1"/>
    </xf>
    <xf numFmtId="0" fontId="9" fillId="10" borderId="15" applyAlignment="1" pivotButton="0" quotePrefix="0" xfId="0">
      <alignment horizontal="center" vertical="center" wrapText="1"/>
    </xf>
    <xf numFmtId="0" fontId="9" fillId="10" borderId="16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11" borderId="6" applyAlignment="1" pivotButton="0" quotePrefix="0" xfId="0">
      <alignment horizontal="center" vertical="center" wrapText="1"/>
    </xf>
    <xf numFmtId="0" fontId="0" fillId="11" borderId="6" pivotButton="0" quotePrefix="0" xfId="0"/>
    <xf numFmtId="0" fontId="4" fillId="4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8" borderId="6" applyAlignment="1" pivotButton="0" quotePrefix="0" xfId="0">
      <alignment horizontal="center" vertical="center" wrapText="1"/>
    </xf>
    <xf numFmtId="0" fontId="0" fillId="10" borderId="6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 wrapText="1"/>
    </xf>
    <xf numFmtId="0" fontId="9" fillId="10" borderId="6" applyAlignment="1" pivotButton="0" quotePrefix="0" xfId="0">
      <alignment horizontal="center" vertical="center"/>
    </xf>
    <xf numFmtId="0" fontId="7" fillId="9" borderId="6" applyAlignment="1" pivotButton="0" quotePrefix="0" xfId="0">
      <alignment horizontal="center" vertical="center" wrapText="1"/>
    </xf>
    <xf numFmtId="0" fontId="0" fillId="9" borderId="6" applyAlignment="1" pivotButton="0" quotePrefix="0" xfId="0">
      <alignment horizontal="center"/>
    </xf>
    <xf numFmtId="0" fontId="5" fillId="12" borderId="6" applyAlignment="1" pivotButton="0" quotePrefix="0" xfId="0">
      <alignment horizontal="center" vertical="center" wrapText="1"/>
    </xf>
    <xf numFmtId="0" fontId="0" fillId="12" borderId="6" pivotButton="0" quotePrefix="0" xfId="0"/>
    <xf numFmtId="0" fontId="14" fillId="9" borderId="6" applyAlignment="1" pivotButton="0" quotePrefix="0" xfId="0">
      <alignment horizontal="center" vertical="center" wrapText="1"/>
    </xf>
    <xf numFmtId="0" fontId="15" fillId="9" borderId="6" pivotButton="0" quotePrefix="0" xfId="0"/>
    <xf numFmtId="164" fontId="3" fillId="4" borderId="6" applyAlignment="1" pivotButton="0" quotePrefix="0" xfId="0">
      <alignment horizontal="center" vertical="center" wrapText="1"/>
    </xf>
    <xf numFmtId="164" fontId="0" fillId="0" borderId="6" pivotButton="0" quotePrefix="0" xfId="0"/>
    <xf numFmtId="0" fontId="7" fillId="2" borderId="6" applyAlignment="1" pivotButton="0" quotePrefix="0" xfId="0">
      <alignment horizontal="center" vertical="center" wrapText="1"/>
    </xf>
    <xf numFmtId="164" fontId="7" fillId="2" borderId="6" applyAlignment="1" pivotButton="0" quotePrefix="0" xfId="0">
      <alignment horizontal="center" vertical="center" wrapText="1"/>
    </xf>
    <xf numFmtId="2" fontId="3" fillId="4" borderId="6" applyAlignment="1" pivotButton="0" quotePrefix="0" xfId="0">
      <alignment horizontal="center" vertical="center" wrapText="1"/>
    </xf>
    <xf numFmtId="164" fontId="5" fillId="11" borderId="6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  <xf numFmtId="10" fontId="3" fillId="4" borderId="6" applyAlignment="1" pivotButton="0" quotePrefix="0" xfId="0">
      <alignment horizontal="center" vertical="center" wrapText="1"/>
    </xf>
    <xf numFmtId="0" fontId="0" fillId="14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6" pivotButton="0" quotePrefix="0" xfId="0"/>
    <xf numFmtId="0" fontId="0" fillId="0" borderId="27" pivotButton="0" quotePrefix="0" xfId="0"/>
    <xf numFmtId="165" fontId="10" fillId="11" borderId="6" applyAlignment="1" pivotButton="0" quotePrefix="0" xfId="0">
      <alignment horizontal="center" vertical="center" wrapText="1"/>
    </xf>
    <xf numFmtId="164" fontId="10" fillId="11" borderId="6" applyAlignment="1" pivotButton="0" quotePrefix="0" xfId="0">
      <alignment horizontal="center" vertical="center" wrapText="1"/>
    </xf>
    <xf numFmtId="164" fontId="12" fillId="11" borderId="6" applyAlignment="1" pivotButton="0" quotePrefix="0" xfId="0">
      <alignment horizontal="center" vertical="center" wrapText="1"/>
    </xf>
    <xf numFmtId="164" fontId="5" fillId="12" borderId="6" applyAlignment="1" pivotButton="0" quotePrefix="0" xfId="0">
      <alignment horizontal="center" vertical="center" wrapText="1"/>
    </xf>
    <xf numFmtId="164" fontId="3" fillId="4" borderId="6" applyAlignment="1" pivotButton="0" quotePrefix="0" xfId="0">
      <alignment horizontal="center" vertical="center" wrapText="1"/>
    </xf>
    <xf numFmtId="164" fontId="5" fillId="11" borderId="6" applyAlignment="1" pivotButton="0" quotePrefix="0" xfId="0">
      <alignment horizontal="center" vertical="center" wrapText="1"/>
    </xf>
    <xf numFmtId="164" fontId="0" fillId="13" borderId="0" pivotButton="0" quotePrefix="0" xfId="0"/>
    <xf numFmtId="164" fontId="3" fillId="4" borderId="3" applyAlignment="1" pivotButton="0" quotePrefix="0" xfId="0">
      <alignment horizontal="center" vertical="center" wrapText="1"/>
    </xf>
    <xf numFmtId="164" fontId="0" fillId="0" borderId="0" pivotButton="0" quotePrefix="0" xfId="0"/>
    <xf numFmtId="164" fontId="7" fillId="6" borderId="21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3" fillId="4" borderId="22" applyAlignment="1" pivotButton="0" quotePrefix="0" xfId="0">
      <alignment horizontal="center" vertical="center" wrapText="1"/>
    </xf>
    <xf numFmtId="164" fontId="7" fillId="2" borderId="6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CL"/>
              <a:t>Composición de activos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v>Monto</v>
          </tx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Dashboard!$B$13:$B$15</f>
              <strCache>
                <ptCount val="3"/>
                <pt idx="0">
                  <v>Activo corriente</v>
                </pt>
                <pt idx="1">
                  <v>Activo no corriente</v>
                </pt>
                <pt idx="2">
                  <v>Otros activos</v>
                </pt>
              </strCache>
            </strRef>
          </cat>
          <val>
            <numRef>
              <f>Dashboard!$C$13:$C$15</f>
              <numCache>
                <formatCode>\$#,##0;[Red]\(\$#,##0\);\-</formatCode>
                <ptCount val="3"/>
                <pt idx="0">
                  <v>21500000</v>
                </pt>
                <pt idx="1">
                  <v>20500000</v>
                </pt>
                <pt idx="2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90"/>
        <axId val="48650112"/>
        <axId val="48672768"/>
      </barChart>
      <catAx>
        <axId val="48650112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1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\$#,##0;[Red]\(\$#,##0\);\-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noFill xmlns:a="http://schemas.openxmlformats.org/drawingml/2006/main"/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CL"/>
              <a:t>Estructura de financiamiento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v>Monto</v>
          </tx>
          <spPr>
            <a:ln xmlns:a="http://schemas.openxmlformats.org/drawingml/2006/main">
              <a:prstDash val="solid"/>
            </a:ln>
          </spP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Dashboard!$E$13:$E$14</f>
              <strCache>
                <ptCount val="2"/>
                <pt idx="0">
                  <v>Pasivos</v>
                </pt>
                <pt idx="1">
                  <v>Patrimonio</v>
                </pt>
              </strCache>
            </strRef>
          </cat>
          <val>
            <numRef>
              <f>Dashboard!$F$13:$F$14</f>
              <numCache>
                <formatCode>\$#,##0;[Red]\(\$#,##0\);\-</formatCode>
                <ptCount val="2"/>
                <pt idx="0">
                  <v>8250000</v>
                </pt>
                <pt idx="1">
                  <v>17100000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0"/>
        </dLbls>
        <firstSliceAng val="0"/>
        <holeSize val="1"/>
      </doughnutChart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133350</colOff>
      <row>10</row>
      <rowOff>47625</rowOff>
    </from>
    <ext cx="4953000" cy="29527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276225</colOff>
      <row>10</row>
      <rowOff>38100</rowOff>
    </from>
    <ext cx="4381500" cy="29527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Activos" displayName="TablaActivos" ref="C4:I504" headerRowCount="1">
  <autoFilter ref="C4:I504"/>
  <tableColumns count="7">
    <tableColumn id="1" name="Categoría"/>
    <tableColumn id="2" name="Cuenta / Ítem"/>
    <tableColumn id="3" name="Descripción"/>
    <tableColumn id="4" name="Monto"/>
    <tableColumn id="5" name="Orden"/>
    <tableColumn id="6" name="Nota"/>
    <tableColumn id="7" name="Clave automátic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Pasivos" displayName="TablaPasivos" ref="C4:I504" headerRowCount="1">
  <autoFilter ref="C4:I504"/>
  <tableColumns count="7">
    <tableColumn id="1" name="Categoría"/>
    <tableColumn id="2" name="Cuenta / Ítem"/>
    <tableColumn id="3" name="Descripción"/>
    <tableColumn id="4" name="Monto"/>
    <tableColumn id="5" name="Orden"/>
    <tableColumn id="6" name="Nota"/>
    <tableColumn id="7" name="Clave automática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aPatrimonio" displayName="TablaPatrimonio" ref="C5:H505" headerRowCount="1">
  <autoFilter ref="C5:H505"/>
  <tableColumns count="6">
    <tableColumn id="1" name="Cuenta / Ítem"/>
    <tableColumn id="2" name="Descripción"/>
    <tableColumn id="3" name="Monto"/>
    <tableColumn id="4" name="Orden"/>
    <tableColumn id="5" name="Nota"/>
    <tableColumn id="6" name="Clave automátic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aResultadoEjercicio" displayName="TablaResultadoEjercicio" ref="C10:G510" headerRowCount="1">
  <autoFilter ref="C10:G510"/>
  <tableColumns count="5">
    <tableColumn id="1" name="Tipo"/>
    <tableColumn id="2" name="Cuenta / Concepto"/>
    <tableColumn id="3" name="Descripción"/>
    <tableColumn id="4" name="Monto"/>
    <tableColumn id="5" name="Not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D4AF37"/>
    <outlinePr summaryBelow="1" summaryRight="1"/>
    <pageSetUpPr/>
  </sheetPr>
  <dimension ref="C1:K16"/>
  <sheetViews>
    <sheetView tabSelected="1" workbookViewId="0">
      <selection activeCell="A1" sqref="A1"/>
    </sheetView>
  </sheetViews>
  <sheetFormatPr baseColWidth="10" defaultColWidth="9.140625" defaultRowHeight="15"/>
  <cols>
    <col width="9.140625" customWidth="1" style="39" min="1" max="2"/>
    <col width="10.5703125" customWidth="1" style="65" min="3" max="3"/>
    <col width="24" customWidth="1" style="65" min="4" max="4"/>
    <col width="36" customWidth="1" style="65" min="5" max="5"/>
    <col width="46" customWidth="1" style="65" min="6" max="6"/>
    <col width="18" customWidth="1" style="65" min="7" max="7"/>
    <col width="22" customWidth="1" style="65" min="8" max="10"/>
    <col width="14.42578125" customWidth="1" style="65" min="11" max="11"/>
    <col width="9.140625" customWidth="1" style="39" min="12" max="22"/>
  </cols>
  <sheetData>
    <row r="1" ht="21" customHeight="1" s="65">
      <c r="C1" s="58" t="inlineStr">
        <is>
          <t>BALANCE GENERAL PARA PYMES</t>
        </is>
      </c>
      <c r="D1" s="89" t="n"/>
      <c r="E1" s="89" t="n"/>
      <c r="F1" s="89" t="n"/>
      <c r="G1" s="89" t="n"/>
      <c r="H1" s="89" t="n"/>
      <c r="I1" s="89" t="n"/>
      <c r="J1" s="89" t="n"/>
      <c r="K1" s="90" t="n"/>
    </row>
    <row r="2" ht="21" customHeight="1" s="65">
      <c r="C2" s="59" t="inlineStr">
        <is>
          <t>Completa activos, pasivos, patrimonio y resultado. El balance horizontal se arma automáticamente.</t>
        </is>
      </c>
      <c r="D2" s="89" t="n"/>
      <c r="E2" s="89" t="n"/>
      <c r="F2" s="89" t="n"/>
      <c r="G2" s="89" t="n"/>
      <c r="H2" s="89" t="n"/>
      <c r="I2" s="89" t="n"/>
      <c r="J2" s="89" t="n"/>
      <c r="K2" s="90" t="n"/>
    </row>
    <row r="3" ht="21" customFormat="1" customHeight="1" s="39"/>
    <row r="4" ht="21" customHeight="1" s="65">
      <c r="C4" s="39" t="n"/>
      <c r="D4" s="63" t="inlineStr">
        <is>
          <t>Promesa de la plantilla</t>
        </is>
      </c>
      <c r="E4" s="89" t="n"/>
      <c r="F4" s="89" t="n"/>
      <c r="G4" s="89" t="n"/>
      <c r="H4" s="89" t="n"/>
      <c r="I4" s="89" t="n"/>
      <c r="J4" s="90" t="n"/>
      <c r="K4" s="39" t="n"/>
    </row>
    <row r="5" ht="21" customHeight="1" s="65">
      <c r="C5" s="39" t="n"/>
      <c r="D5" s="61" t="inlineStr">
        <is>
          <t>Organiza las cuentas de tu PYME y genera automáticamente un Balance General horizontal, simple, visual y adaptable.</t>
        </is>
      </c>
      <c r="E5" s="91" t="n"/>
      <c r="F5" s="91" t="n"/>
      <c r="G5" s="91" t="n"/>
      <c r="H5" s="91" t="n"/>
      <c r="I5" s="91" t="n"/>
      <c r="J5" s="92" t="n"/>
      <c r="K5" s="39" t="n"/>
    </row>
    <row r="6" ht="21" customHeight="1" s="65">
      <c r="C6" s="39" t="n"/>
      <c r="D6" s="93" t="n"/>
      <c r="E6" s="94" t="n"/>
      <c r="F6" s="94" t="n"/>
      <c r="G6" s="94" t="n"/>
      <c r="H6" s="94" t="n"/>
      <c r="I6" s="94" t="n"/>
      <c r="J6" s="95" t="n"/>
      <c r="K6" s="39" t="n"/>
    </row>
    <row r="7" ht="21" customHeight="1" s="65"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</row>
    <row r="8" ht="21" customHeight="1" s="65"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</row>
    <row r="9" ht="21" customHeight="1" s="65">
      <c r="C9" s="39" t="n"/>
      <c r="D9" s="44" t="inlineStr">
        <is>
          <t>Paso</t>
        </is>
      </c>
      <c r="E9" s="44" t="inlineStr">
        <is>
          <t>Hoja</t>
        </is>
      </c>
      <c r="F9" s="44" t="inlineStr">
        <is>
          <t>Qué hace</t>
        </is>
      </c>
      <c r="G9" s="39" t="n"/>
      <c r="H9" s="39" t="n"/>
      <c r="I9" s="39" t="n"/>
      <c r="J9" s="39" t="n"/>
      <c r="K9" s="39" t="n"/>
    </row>
    <row r="10" ht="36.75" customHeight="1" s="65">
      <c r="C10" s="39" t="n"/>
      <c r="D10" s="20" t="inlineStr">
        <is>
          <t>1</t>
        </is>
      </c>
      <c r="E10" s="21" t="inlineStr">
        <is>
          <t>Configuración</t>
        </is>
      </c>
      <c r="F10" s="21" t="inlineStr">
        <is>
          <t>Completa nombre de empresa, fecha de corte y moneda.</t>
        </is>
      </c>
      <c r="G10" s="39" t="n"/>
      <c r="H10" s="69" t="inlineStr">
        <is>
          <t>¿Cómo usar esta plantilla?</t>
        </is>
      </c>
      <c r="I10" s="89" t="n"/>
      <c r="J10" s="90" t="n"/>
      <c r="K10" s="39" t="n"/>
    </row>
    <row r="11" ht="36" customHeight="1" s="65">
      <c r="C11" s="39" t="n"/>
      <c r="D11" s="22" t="inlineStr">
        <is>
          <t>2</t>
        </is>
      </c>
      <c r="E11" s="23" t="inlineStr">
        <is>
          <t>Activos</t>
        </is>
      </c>
      <c r="F11" s="23" t="inlineStr">
        <is>
          <t>Registra todos los activos. El balance los agrupa automáticamente.</t>
        </is>
      </c>
      <c r="G11" s="39" t="n"/>
      <c r="H11" s="70" t="inlineStr">
        <is>
          <t>Complete primero la hoja Configuración con los datos generales de la empresa. Luego registre la información en las hojas Activos, Pasivos, Patrimonio y Resultado Ejercicio. El Balance General y el Dashboard se completan automáticamente con la información ingresada, por lo que no es necesario escribir datos manualmente en esas hojas.</t>
        </is>
      </c>
      <c r="I11" s="91" t="n"/>
      <c r="J11" s="92" t="n"/>
      <c r="K11" s="39" t="n"/>
    </row>
    <row r="12" ht="33" customHeight="1" s="65">
      <c r="C12" s="39" t="n"/>
      <c r="D12" s="20" t="inlineStr">
        <is>
          <t>3</t>
        </is>
      </c>
      <c r="E12" s="21" t="inlineStr">
        <is>
          <t>Pasivos</t>
        </is>
      </c>
      <c r="F12" s="21" t="inlineStr">
        <is>
          <t>Registra las deudas. El balance las separa entre corto y largo plazo.</t>
        </is>
      </c>
      <c r="G12" s="39" t="n"/>
      <c r="H12" s="96" t="n"/>
      <c r="J12" s="97" t="n"/>
      <c r="K12" s="39" t="n"/>
    </row>
    <row r="13" ht="21" customHeight="1" s="65">
      <c r="C13" s="39" t="n"/>
      <c r="D13" s="22" t="inlineStr">
        <is>
          <t>4</t>
        </is>
      </c>
      <c r="E13" s="23" t="inlineStr">
        <is>
          <t>Patrimonio</t>
        </is>
      </c>
      <c r="F13" s="23" t="inlineStr">
        <is>
          <t>Registra aportes, capital o reservas.</t>
        </is>
      </c>
      <c r="G13" s="39" t="n"/>
      <c r="H13" s="96" t="n"/>
      <c r="J13" s="97" t="n"/>
      <c r="K13" s="39" t="n"/>
    </row>
    <row r="14" ht="31.5" customHeight="1" s="65">
      <c r="C14" s="39" t="n"/>
      <c r="D14" s="20" t="inlineStr">
        <is>
          <t>5</t>
        </is>
      </c>
      <c r="E14" s="21" t="inlineStr">
        <is>
          <t>Resultado Ejercicio</t>
        </is>
      </c>
      <c r="F14" s="21" t="inlineStr">
        <is>
          <t>Opcional: registra ingresos, costos y gastos para calcular utilidad o pérdida.</t>
        </is>
      </c>
      <c r="G14" s="39" t="n"/>
      <c r="H14" s="93" t="n"/>
      <c r="I14" s="94" t="n"/>
      <c r="J14" s="95" t="n"/>
      <c r="K14" s="39" t="n"/>
    </row>
    <row r="15" ht="21" customHeight="1" s="65">
      <c r="C15" s="39" t="n"/>
      <c r="D15" s="22" t="inlineStr">
        <is>
          <t>6</t>
        </is>
      </c>
      <c r="E15" s="23" t="inlineStr">
        <is>
          <t>Balance General</t>
        </is>
      </c>
      <c r="F15" s="23" t="inlineStr">
        <is>
          <t>Se autocompleta en formato horizontal.</t>
        </is>
      </c>
      <c r="G15" s="39" t="n"/>
      <c r="H15" s="39" t="n"/>
      <c r="I15" s="39" t="n"/>
      <c r="J15" s="39" t="n"/>
      <c r="K15" s="39" t="n"/>
    </row>
    <row r="16" ht="21" customHeight="1" s="65">
      <c r="C16" s="39" t="n"/>
      <c r="D16" s="20" t="inlineStr">
        <is>
          <t>7</t>
        </is>
      </c>
      <c r="E16" s="21" t="inlineStr">
        <is>
          <t>Dashboard</t>
        </is>
      </c>
      <c r="F16" s="21" t="inlineStr">
        <is>
          <t>Muestra indicadores simples.</t>
        </is>
      </c>
      <c r="G16" s="39" t="n"/>
      <c r="H16" s="39" t="n"/>
      <c r="I16" s="39" t="n"/>
      <c r="J16" s="39" t="n"/>
      <c r="K16" s="39" t="n"/>
    </row>
    <row r="17" ht="21" customFormat="1" customHeight="1" s="39"/>
    <row r="18" ht="21" customFormat="1" customHeight="1" s="39"/>
    <row r="19" ht="21" customFormat="1" customHeight="1" s="39"/>
    <row r="20" ht="21" customFormat="1" customHeight="1" s="39"/>
    <row r="21" ht="21" customFormat="1" customHeight="1" s="39"/>
    <row r="22" ht="21" customFormat="1" customHeight="1" s="39"/>
    <row r="23" ht="21" customFormat="1" customHeight="1" s="39"/>
    <row r="24" ht="21" customFormat="1" customHeight="1" s="39"/>
    <row r="25" ht="21" customFormat="1" customHeight="1" s="39"/>
    <row r="26" ht="21" customFormat="1" customHeight="1" s="39"/>
    <row r="27" ht="21" customFormat="1" customHeight="1" s="39"/>
    <row r="28" ht="21" customFormat="1" customHeight="1" s="39"/>
    <row r="29" ht="21" customFormat="1" customHeight="1" s="39"/>
    <row r="30" ht="21" customFormat="1" customHeight="1" s="39"/>
    <row r="31" ht="21" customFormat="1" customHeight="1" s="39"/>
    <row r="32" ht="21" customFormat="1" customHeight="1" s="39"/>
    <row r="33" ht="21" customFormat="1" customHeight="1" s="39"/>
    <row r="34" ht="21" customFormat="1" customHeight="1" s="39"/>
    <row r="35" ht="21" customFormat="1" customHeight="1" s="39"/>
    <row r="36" ht="21" customFormat="1" customHeight="1" s="39"/>
    <row r="37" ht="21" customFormat="1" customHeight="1" s="39"/>
    <row r="38" ht="21" customFormat="1" customHeight="1" s="39"/>
    <row r="39" ht="21" customFormat="1" customHeight="1" s="39"/>
    <row r="40" ht="21" customFormat="1" customHeight="1" s="39"/>
    <row r="41" ht="21" customFormat="1" customHeight="1" s="39"/>
    <row r="42" ht="21" customFormat="1" customHeight="1" s="39"/>
    <row r="43" ht="21" customFormat="1" customHeight="1" s="39"/>
    <row r="44" ht="21" customFormat="1" customHeight="1" s="39"/>
    <row r="45" ht="21" customFormat="1" customHeight="1" s="39"/>
    <row r="46" ht="21" customFormat="1" customHeight="1" s="39"/>
    <row r="47" ht="21" customFormat="1" customHeight="1" s="39"/>
    <row r="48" ht="21" customFormat="1" customHeight="1" s="39"/>
    <row r="49" ht="21" customFormat="1" customHeight="1" s="39"/>
    <row r="50" ht="21" customFormat="1" customHeight="1" s="39"/>
    <row r="51" ht="21" customFormat="1" customHeight="1" s="39"/>
    <row r="52" ht="21" customFormat="1" customHeight="1" s="39"/>
    <row r="53" ht="21" customHeight="1" s="65"/>
    <row r="54" ht="21" customHeight="1" s="65"/>
    <row r="55" ht="21" customHeight="1" s="65"/>
    <row r="56" ht="21" customHeight="1" s="65"/>
    <row r="57" ht="21" customHeight="1" s="65"/>
    <row r="58" ht="21" customHeight="1" s="65"/>
    <row r="59" ht="21" customHeight="1" s="65"/>
    <row r="60" ht="21" customHeight="1" s="65"/>
    <row r="61" ht="21" customHeight="1" s="65"/>
    <row r="62" ht="21" customHeight="1" s="65"/>
    <row r="63" ht="21" customHeight="1" s="65"/>
    <row r="64" ht="21" customHeight="1" s="65"/>
    <row r="65" ht="21" customHeight="1" s="65"/>
    <row r="66" ht="21" customHeight="1" s="65"/>
    <row r="67" ht="21" customHeight="1" s="65"/>
    <row r="68" ht="21" customHeight="1" s="65"/>
    <row r="69" ht="21" customHeight="1" s="65"/>
    <row r="70" ht="21" customHeight="1" s="65"/>
    <row r="71" ht="21" customHeight="1" s="65"/>
    <row r="72" ht="21" customHeight="1" s="65"/>
    <row r="73" ht="21" customHeight="1" s="65"/>
    <row r="74" ht="21" customHeight="1" s="65"/>
    <row r="75" ht="21" customHeight="1" s="65"/>
    <row r="76" ht="21" customHeight="1" s="65"/>
    <row r="77" ht="21" customHeight="1" s="65"/>
    <row r="78" ht="21" customHeight="1" s="65"/>
    <row r="79" ht="21" customHeight="1" s="65"/>
    <row r="80" ht="21" customHeight="1" s="65"/>
    <row r="81" ht="21" customHeight="1" s="65"/>
    <row r="82" ht="21" customHeight="1" s="65"/>
    <row r="83" ht="21" customHeight="1" s="65"/>
    <row r="84" ht="21" customHeight="1" s="65"/>
    <row r="85" ht="21" customHeight="1" s="65"/>
    <row r="86" ht="21" customHeight="1" s="65"/>
    <row r="87" ht="21" customHeight="1" s="65"/>
    <row r="88" ht="21" customHeight="1" s="65"/>
    <row r="89" ht="21" customHeight="1" s="65"/>
    <row r="90" ht="21" customHeight="1" s="65"/>
    <row r="91" ht="21" customHeight="1" s="65"/>
    <row r="92" ht="21" customHeight="1" s="65"/>
    <row r="93" ht="21" customHeight="1" s="65"/>
    <row r="94" ht="21" customHeight="1" s="65"/>
    <row r="95" ht="21" customHeight="1" s="65"/>
    <row r="96" ht="21" customHeight="1" s="65"/>
    <row r="97" ht="21" customHeight="1" s="65"/>
    <row r="98" ht="21" customHeight="1" s="65"/>
    <row r="99" ht="21" customHeight="1" s="65"/>
    <row r="100" ht="21" customHeight="1" s="65"/>
    <row r="101" ht="21" customHeight="1" s="65"/>
    <row r="102" ht="21" customHeight="1" s="65"/>
    <row r="103" ht="21" customHeight="1" s="65"/>
    <row r="104" ht="21" customHeight="1" s="65"/>
    <row r="105" ht="21" customHeight="1" s="65"/>
    <row r="106" ht="21" customHeight="1" s="65"/>
    <row r="107" ht="21" customHeight="1" s="65"/>
    <row r="108" ht="21" customHeight="1" s="65"/>
    <row r="109" ht="21" customHeight="1" s="65"/>
    <row r="110" ht="21" customHeight="1" s="65"/>
    <row r="111" ht="21" customHeight="1" s="65"/>
    <row r="112" ht="21" customHeight="1" s="65"/>
    <row r="113" ht="21" customHeight="1" s="65"/>
    <row r="114" ht="21" customHeight="1" s="65"/>
    <row r="115" ht="21" customHeight="1" s="65"/>
    <row r="116" ht="21" customHeight="1" s="65"/>
    <row r="117" ht="21" customHeight="1" s="65"/>
    <row r="118" ht="21" customHeight="1" s="65"/>
    <row r="119" ht="21" customHeight="1" s="65"/>
    <row r="120" ht="21" customHeight="1" s="65"/>
    <row r="121" ht="21" customHeight="1" s="65"/>
    <row r="122" ht="21" customHeight="1" s="65"/>
    <row r="123" ht="21" customHeight="1" s="65"/>
    <row r="124" ht="21" customHeight="1" s="65"/>
    <row r="125" ht="21" customHeight="1" s="65"/>
    <row r="126" ht="21" customHeight="1" s="65"/>
    <row r="127" ht="21" customHeight="1" s="65"/>
    <row r="128" ht="21" customHeight="1" s="65"/>
    <row r="129" ht="21" customHeight="1" s="65"/>
    <row r="130" ht="21" customHeight="1" s="65"/>
    <row r="131" ht="21" customHeight="1" s="65"/>
    <row r="132" ht="21" customHeight="1" s="65"/>
    <row r="133" ht="21" customHeight="1" s="65"/>
    <row r="134" ht="21" customHeight="1" s="65"/>
    <row r="135" ht="21" customHeight="1" s="65"/>
    <row r="136" ht="21" customHeight="1" s="65"/>
    <row r="137" ht="21" customHeight="1" s="65"/>
    <row r="138" ht="21" customHeight="1" s="65"/>
    <row r="139" ht="21" customHeight="1" s="65"/>
    <row r="140" ht="21" customHeight="1" s="65"/>
    <row r="141" ht="21" customHeight="1" s="65"/>
    <row r="142" ht="21" customHeight="1" s="65"/>
    <row r="143" ht="21" customHeight="1" s="65"/>
    <row r="144" ht="21" customHeight="1" s="65"/>
    <row r="145" ht="21" customHeight="1" s="65"/>
    <row r="146" ht="21" customHeight="1" s="65"/>
    <row r="147" ht="21" customHeight="1" s="65"/>
    <row r="148" ht="21" customHeight="1" s="65"/>
    <row r="149" ht="21" customHeight="1" s="65"/>
    <row r="150" ht="21" customHeight="1" s="65"/>
    <row r="151" ht="21" customHeight="1" s="65"/>
    <row r="152" ht="21" customHeight="1" s="65"/>
    <row r="153" ht="21" customHeight="1" s="65"/>
    <row r="154" ht="21" customHeight="1" s="65"/>
    <row r="155" ht="21" customHeight="1" s="65"/>
    <row r="156" ht="21" customHeight="1" s="65"/>
    <row r="157" ht="21" customHeight="1" s="65"/>
    <row r="158" ht="21" customHeight="1" s="65"/>
    <row r="159" ht="21" customHeight="1" s="65"/>
    <row r="160" ht="21" customHeight="1" s="65"/>
    <row r="161" ht="21" customHeight="1" s="65"/>
    <row r="162" ht="21" customHeight="1" s="65"/>
    <row r="163" ht="21" customHeight="1" s="65"/>
    <row r="164" ht="21" customHeight="1" s="65"/>
    <row r="165" ht="21" customHeight="1" s="65"/>
    <row r="166" ht="21" customHeight="1" s="65"/>
    <row r="167" ht="21" customHeight="1" s="65"/>
    <row r="168" ht="21" customHeight="1" s="65"/>
    <row r="169" ht="21" customHeight="1" s="65"/>
    <row r="170" ht="21" customHeight="1" s="65"/>
    <row r="171" ht="21" customHeight="1" s="65"/>
    <row r="172" ht="21" customHeight="1" s="65"/>
    <row r="173" ht="21" customHeight="1" s="65"/>
    <row r="174" ht="21" customHeight="1" s="65"/>
    <row r="175" ht="21" customHeight="1" s="65"/>
    <row r="176" ht="21" customHeight="1" s="65"/>
    <row r="177" ht="21" customHeight="1" s="65"/>
    <row r="178" ht="21" customHeight="1" s="65"/>
    <row r="179" ht="21" customHeight="1" s="65"/>
    <row r="180" ht="21" customHeight="1" s="65"/>
    <row r="181" ht="21" customHeight="1" s="65"/>
    <row r="182" ht="21" customHeight="1" s="65"/>
    <row r="183" ht="21" customHeight="1" s="65"/>
    <row r="184" ht="21" customHeight="1" s="65"/>
    <row r="185" ht="21" customHeight="1" s="65"/>
    <row r="186" ht="21" customHeight="1" s="65"/>
    <row r="187" ht="21" customHeight="1" s="65"/>
    <row r="188" ht="21" customHeight="1" s="65"/>
    <row r="189" ht="21" customHeight="1" s="65"/>
    <row r="190" ht="21" customHeight="1" s="65"/>
    <row r="191" ht="21" customHeight="1" s="65"/>
    <row r="192" ht="21" customHeight="1" s="65"/>
    <row r="193" ht="21" customHeight="1" s="65"/>
    <row r="194" ht="21" customHeight="1" s="65"/>
    <row r="195" ht="21" customHeight="1" s="65"/>
    <row r="196" ht="21" customHeight="1" s="65"/>
    <row r="197" ht="21" customHeight="1" s="65"/>
    <row r="198" ht="21" customHeight="1" s="65"/>
    <row r="199" ht="21" customHeight="1" s="65"/>
    <row r="200" ht="21" customHeight="1" s="65"/>
    <row r="201" ht="21" customHeight="1" s="65"/>
    <row r="202" ht="21" customHeight="1" s="65"/>
    <row r="203" ht="21" customHeight="1" s="65"/>
    <row r="204" ht="21" customHeight="1" s="65"/>
    <row r="205" ht="21" customHeight="1" s="65"/>
    <row r="206" ht="21" customHeight="1" s="65"/>
    <row r="207" ht="21" customHeight="1" s="65"/>
    <row r="208" ht="21" customHeight="1" s="65"/>
    <row r="209" ht="21" customHeight="1" s="65"/>
    <row r="210" ht="21" customHeight="1" s="65"/>
    <row r="211" ht="21" customHeight="1" s="65"/>
    <row r="212" ht="21" customHeight="1" s="65"/>
    <row r="213" ht="21" customHeight="1" s="65"/>
    <row r="214" ht="21" customHeight="1" s="65"/>
    <row r="215" ht="21" customHeight="1" s="65"/>
    <row r="216" ht="21" customHeight="1" s="65"/>
    <row r="217" ht="21" customHeight="1" s="65"/>
    <row r="218" ht="21" customHeight="1" s="65"/>
    <row r="219" ht="21" customHeight="1" s="65"/>
    <row r="220" ht="21" customHeight="1" s="65"/>
    <row r="221" ht="21" customHeight="1" s="65"/>
    <row r="222" ht="21" customHeight="1" s="65"/>
    <row r="223" ht="21" customHeight="1" s="65"/>
    <row r="224" ht="21" customHeight="1" s="65"/>
    <row r="225" ht="21" customHeight="1" s="65"/>
    <row r="226" ht="21" customHeight="1" s="65"/>
    <row r="227" ht="21" customHeight="1" s="65"/>
    <row r="228" ht="21" customHeight="1" s="65"/>
    <row r="229" ht="21" customHeight="1" s="65"/>
    <row r="230" ht="21" customHeight="1" s="65"/>
    <row r="231" ht="21" customHeight="1" s="65"/>
    <row r="232" ht="21" customHeight="1" s="65"/>
    <row r="233" ht="21" customHeight="1" s="65"/>
    <row r="234" ht="21" customHeight="1" s="65"/>
    <row r="235" ht="21" customHeight="1" s="65"/>
    <row r="236" ht="21" customHeight="1" s="65"/>
    <row r="237" ht="21" customHeight="1" s="65"/>
    <row r="238" ht="21" customHeight="1" s="65"/>
    <row r="239" ht="21" customHeight="1" s="65"/>
    <row r="240" ht="21" customHeight="1" s="65"/>
    <row r="241" ht="21" customHeight="1" s="65"/>
    <row r="242" ht="21" customHeight="1" s="65"/>
    <row r="243" ht="21" customHeight="1" s="65"/>
    <row r="244" ht="21" customHeight="1" s="65"/>
    <row r="245" ht="21" customHeight="1" s="65"/>
    <row r="246" ht="21" customHeight="1" s="65"/>
    <row r="247" ht="21" customHeight="1" s="65"/>
    <row r="248" ht="21" customHeight="1" s="65"/>
    <row r="249" ht="21" customHeight="1" s="65"/>
    <row r="250" ht="21" customHeight="1" s="65"/>
    <row r="251" ht="21" customHeight="1" s="65"/>
    <row r="252" ht="21" customHeight="1" s="65"/>
    <row r="253" ht="21" customHeight="1" s="65"/>
    <row r="254" ht="21" customHeight="1" s="65"/>
    <row r="255" ht="21" customHeight="1" s="65"/>
    <row r="256" ht="21" customHeight="1" s="65"/>
    <row r="257" ht="21" customHeight="1" s="65"/>
    <row r="258" ht="21" customHeight="1" s="65"/>
    <row r="259" ht="21" customHeight="1" s="65"/>
    <row r="260" ht="21" customHeight="1" s="65"/>
    <row r="261" ht="21" customHeight="1" s="65"/>
    <row r="262" ht="21" customHeight="1" s="65"/>
    <row r="263" ht="21" customHeight="1" s="65"/>
    <row r="264" ht="21" customHeight="1" s="65"/>
    <row r="265" ht="21" customHeight="1" s="65"/>
    <row r="266" ht="21" customHeight="1" s="65"/>
    <row r="267" ht="21" customHeight="1" s="65"/>
    <row r="268" ht="21" customHeight="1" s="65"/>
    <row r="269" ht="21" customHeight="1" s="65"/>
    <row r="270" ht="21" customHeight="1" s="65"/>
    <row r="271" ht="21" customHeight="1" s="65"/>
    <row r="272" ht="21" customHeight="1" s="65"/>
    <row r="273" ht="21" customHeight="1" s="65"/>
    <row r="274" ht="21" customHeight="1" s="65"/>
    <row r="275" ht="21" customHeight="1" s="65"/>
    <row r="276" ht="21" customHeight="1" s="65"/>
    <row r="277" ht="21" customHeight="1" s="65"/>
    <row r="278" ht="21" customHeight="1" s="65"/>
    <row r="279" ht="21" customHeight="1" s="65"/>
    <row r="280" ht="21" customHeight="1" s="65"/>
    <row r="281" ht="21" customHeight="1" s="65"/>
    <row r="282" ht="21" customHeight="1" s="65"/>
    <row r="283" ht="21" customHeight="1" s="65"/>
    <row r="284" ht="21" customHeight="1" s="65"/>
    <row r="285" ht="21" customHeight="1" s="65"/>
    <row r="286" ht="21" customHeight="1" s="65"/>
    <row r="287" ht="21" customHeight="1" s="65"/>
    <row r="288" ht="21" customHeight="1" s="65"/>
    <row r="289" ht="21" customHeight="1" s="65"/>
    <row r="290" ht="21" customHeight="1" s="65"/>
    <row r="291" ht="21" customHeight="1" s="65"/>
    <row r="292" ht="21" customHeight="1" s="65"/>
    <row r="293" ht="21" customHeight="1" s="65"/>
    <row r="294" ht="21" customHeight="1" s="65"/>
    <row r="295" ht="21" customHeight="1" s="65"/>
    <row r="296" ht="21" customHeight="1" s="65"/>
    <row r="297" ht="21" customHeight="1" s="65"/>
    <row r="298" ht="21" customHeight="1" s="65"/>
    <row r="299" ht="21" customHeight="1" s="65"/>
    <row r="300" ht="21" customHeight="1" s="65"/>
    <row r="301" ht="21" customHeight="1" s="65"/>
    <row r="302" ht="21" customHeight="1" s="65"/>
    <row r="303" ht="21" customHeight="1" s="65"/>
    <row r="304" ht="21" customHeight="1" s="65"/>
    <row r="305" ht="21" customHeight="1" s="65"/>
    <row r="306" ht="21" customHeight="1" s="65"/>
    <row r="307" ht="21" customHeight="1" s="65"/>
    <row r="308" ht="21" customHeight="1" s="65"/>
    <row r="309" ht="21" customHeight="1" s="65"/>
    <row r="310" ht="21" customHeight="1" s="65"/>
    <row r="311" ht="21" customHeight="1" s="65"/>
    <row r="312" ht="21" customHeight="1" s="65"/>
    <row r="313" ht="21" customHeight="1" s="65"/>
    <row r="314" ht="21" customHeight="1" s="65"/>
    <row r="315" ht="21" customHeight="1" s="65"/>
    <row r="316" ht="21" customHeight="1" s="65"/>
    <row r="317" ht="21" customHeight="1" s="65"/>
    <row r="318" ht="21" customHeight="1" s="65"/>
    <row r="319" ht="21" customHeight="1" s="65"/>
    <row r="320" ht="21" customHeight="1" s="65"/>
    <row r="321" ht="21" customHeight="1" s="65"/>
    <row r="322" ht="21" customHeight="1" s="65"/>
    <row r="323" ht="21" customHeight="1" s="65"/>
    <row r="324" ht="21" customHeight="1" s="65"/>
    <row r="325" ht="21" customHeight="1" s="65"/>
    <row r="326" ht="21" customHeight="1" s="65"/>
    <row r="327" ht="21" customHeight="1" s="65"/>
    <row r="328" ht="21" customHeight="1" s="65"/>
    <row r="329" ht="21" customHeight="1" s="65"/>
    <row r="330" ht="21" customHeight="1" s="65"/>
    <row r="331" ht="21" customHeight="1" s="65"/>
    <row r="332" ht="21" customHeight="1" s="65"/>
    <row r="333" ht="21" customHeight="1" s="65"/>
    <row r="334" ht="21" customHeight="1" s="65"/>
    <row r="335" ht="21" customHeight="1" s="65"/>
    <row r="336" ht="21" customHeight="1" s="65"/>
    <row r="337" ht="21" customHeight="1" s="65"/>
    <row r="338" ht="21" customHeight="1" s="65"/>
    <row r="339" ht="21" customHeight="1" s="65"/>
    <row r="340" ht="21" customHeight="1" s="65"/>
    <row r="341" ht="21" customHeight="1" s="65"/>
    <row r="342" ht="21" customHeight="1" s="65"/>
    <row r="343" ht="21" customHeight="1" s="65"/>
    <row r="344" ht="21" customHeight="1" s="65"/>
    <row r="345" ht="21" customHeight="1" s="65"/>
    <row r="346" ht="21" customHeight="1" s="65"/>
    <row r="347" ht="21" customHeight="1" s="65"/>
    <row r="348" ht="21" customHeight="1" s="65"/>
    <row r="349" ht="21" customHeight="1" s="65"/>
    <row r="350" ht="21" customHeight="1" s="65"/>
    <row r="351" ht="21" customHeight="1" s="65"/>
    <row r="352" ht="21" customHeight="1" s="65"/>
    <row r="353" ht="21" customHeight="1" s="65"/>
    <row r="354" ht="21" customHeight="1" s="65"/>
    <row r="355" ht="21" customHeight="1" s="65"/>
    <row r="356" ht="21" customHeight="1" s="65"/>
    <row r="357" ht="21" customHeight="1" s="65"/>
    <row r="358" ht="21" customHeight="1" s="65"/>
    <row r="359" ht="21" customHeight="1" s="65"/>
    <row r="360" ht="21" customHeight="1" s="65"/>
    <row r="361" ht="21" customHeight="1" s="65"/>
    <row r="362" ht="21" customHeight="1" s="65"/>
    <row r="363" ht="21" customHeight="1" s="65"/>
    <row r="364" ht="21" customHeight="1" s="65"/>
    <row r="365" ht="21" customHeight="1" s="65"/>
    <row r="366" ht="21" customHeight="1" s="65"/>
    <row r="367" ht="21" customHeight="1" s="65"/>
    <row r="368" ht="21" customHeight="1" s="65"/>
    <row r="369" ht="21" customHeight="1" s="65"/>
    <row r="370" ht="21" customHeight="1" s="65"/>
    <row r="371" ht="21" customHeight="1" s="65"/>
    <row r="372" ht="21" customHeight="1" s="65"/>
    <row r="373" ht="21" customHeight="1" s="65"/>
    <row r="374" ht="21" customHeight="1" s="65"/>
    <row r="375" ht="21" customHeight="1" s="65"/>
    <row r="376" ht="21" customHeight="1" s="65"/>
    <row r="377" ht="21" customHeight="1" s="65"/>
    <row r="378" ht="21" customHeight="1" s="65"/>
    <row r="379" ht="21" customHeight="1" s="65"/>
    <row r="380" ht="21" customHeight="1" s="65"/>
    <row r="381" ht="21" customHeight="1" s="65"/>
    <row r="382" ht="21" customHeight="1" s="65"/>
    <row r="383" ht="21" customHeight="1" s="65"/>
    <row r="384" ht="21" customHeight="1" s="65"/>
    <row r="385" ht="21" customHeight="1" s="65"/>
    <row r="386" ht="21" customHeight="1" s="65"/>
    <row r="387" ht="21" customHeight="1" s="65"/>
    <row r="388" ht="21" customHeight="1" s="65"/>
    <row r="389" ht="21" customHeight="1" s="65"/>
    <row r="390" ht="21" customHeight="1" s="65"/>
    <row r="391" ht="21" customHeight="1" s="65"/>
    <row r="392" ht="21" customHeight="1" s="65"/>
    <row r="393" ht="21" customHeight="1" s="65"/>
    <row r="394" ht="21" customHeight="1" s="65"/>
    <row r="395" ht="21" customHeight="1" s="65"/>
    <row r="396" ht="21" customHeight="1" s="65"/>
    <row r="397" ht="21" customHeight="1" s="65"/>
    <row r="398" ht="21" customHeight="1" s="65"/>
    <row r="399" ht="21" customHeight="1" s="65"/>
    <row r="400" ht="21" customHeight="1" s="65"/>
    <row r="401" ht="21" customHeight="1" s="65"/>
    <row r="402" ht="21" customHeight="1" s="65"/>
    <row r="403" ht="21" customHeight="1" s="65"/>
    <row r="404" ht="21" customHeight="1" s="65"/>
    <row r="405" ht="21" customHeight="1" s="65"/>
    <row r="406" ht="21" customHeight="1" s="65"/>
    <row r="407" ht="21" customHeight="1" s="65"/>
    <row r="408" ht="21" customHeight="1" s="65"/>
    <row r="409" ht="21" customHeight="1" s="65"/>
    <row r="410" ht="21" customHeight="1" s="65"/>
    <row r="411" ht="21" customHeight="1" s="65"/>
    <row r="412" ht="21" customHeight="1" s="65"/>
    <row r="413" ht="21" customHeight="1" s="65"/>
    <row r="414" ht="21" customHeight="1" s="65"/>
    <row r="415" ht="21" customHeight="1" s="65"/>
    <row r="416" ht="21" customHeight="1" s="65"/>
    <row r="417" ht="21" customHeight="1" s="65"/>
    <row r="418" ht="21" customHeight="1" s="65"/>
    <row r="419" ht="21" customHeight="1" s="65"/>
    <row r="420" ht="21" customHeight="1" s="65"/>
    <row r="421" ht="21" customHeight="1" s="65"/>
    <row r="422" ht="21" customHeight="1" s="65"/>
    <row r="423" ht="21" customHeight="1" s="65"/>
    <row r="424" ht="21" customHeight="1" s="65"/>
    <row r="425" ht="21" customHeight="1" s="65"/>
    <row r="426" ht="21" customHeight="1" s="65"/>
    <row r="427" ht="21" customHeight="1" s="65"/>
    <row r="428" ht="21" customHeight="1" s="65"/>
    <row r="429" ht="21" customHeight="1" s="65"/>
    <row r="430" ht="21" customHeight="1" s="65"/>
    <row r="431" ht="21" customHeight="1" s="65"/>
    <row r="432" ht="21" customHeight="1" s="65"/>
    <row r="433" ht="21" customHeight="1" s="65"/>
    <row r="434" ht="21" customHeight="1" s="65"/>
    <row r="435" ht="21" customHeight="1" s="65"/>
    <row r="436" ht="21" customHeight="1" s="65"/>
    <row r="437" ht="21" customHeight="1" s="65"/>
    <row r="438" ht="21" customHeight="1" s="65"/>
    <row r="439" ht="21" customHeight="1" s="65"/>
    <row r="440" ht="21" customHeight="1" s="65"/>
    <row r="441" ht="21" customHeight="1" s="65"/>
    <row r="442" ht="21" customHeight="1" s="65"/>
    <row r="443" ht="21" customHeight="1" s="65"/>
    <row r="444" ht="21" customHeight="1" s="65"/>
    <row r="445" ht="21" customHeight="1" s="65"/>
    <row r="446" ht="21" customHeight="1" s="65"/>
    <row r="447" ht="21" customHeight="1" s="65"/>
    <row r="448" ht="21" customHeight="1" s="65"/>
    <row r="449" ht="21" customHeight="1" s="65"/>
    <row r="450" ht="21" customHeight="1" s="65"/>
    <row r="451" ht="21" customHeight="1" s="65"/>
    <row r="452" ht="21" customHeight="1" s="65"/>
    <row r="453" ht="21" customHeight="1" s="65"/>
    <row r="454" ht="21" customHeight="1" s="65"/>
    <row r="455" ht="21" customHeight="1" s="65"/>
    <row r="456" ht="21" customHeight="1" s="65"/>
    <row r="457" ht="21" customHeight="1" s="65"/>
    <row r="458" ht="21" customHeight="1" s="65"/>
    <row r="459" ht="21" customHeight="1" s="65"/>
    <row r="460" ht="21" customHeight="1" s="65"/>
    <row r="461" ht="21" customHeight="1" s="65"/>
    <row r="462" ht="21" customHeight="1" s="65"/>
    <row r="463" ht="21" customHeight="1" s="65"/>
    <row r="464" ht="21" customHeight="1" s="65"/>
    <row r="465" ht="21" customHeight="1" s="65"/>
    <row r="466" ht="21" customHeight="1" s="65"/>
    <row r="467" ht="21" customHeight="1" s="65"/>
    <row r="468" ht="21" customHeight="1" s="65"/>
    <row r="469" ht="21" customHeight="1" s="65"/>
    <row r="470" ht="21" customHeight="1" s="65"/>
    <row r="471" ht="21" customHeight="1" s="65"/>
    <row r="472" ht="21" customHeight="1" s="65"/>
    <row r="473" ht="21" customHeight="1" s="65"/>
    <row r="474" ht="21" customHeight="1" s="65"/>
    <row r="475" ht="21" customHeight="1" s="65"/>
    <row r="476" ht="21" customHeight="1" s="65"/>
    <row r="477" ht="21" customHeight="1" s="65"/>
    <row r="478" ht="21" customHeight="1" s="65"/>
    <row r="479" ht="21" customHeight="1" s="65"/>
    <row r="480" ht="21" customHeight="1" s="65"/>
    <row r="481" ht="21" customHeight="1" s="65"/>
    <row r="482" ht="21" customHeight="1" s="65"/>
    <row r="483" ht="21" customHeight="1" s="65"/>
    <row r="484" ht="21" customHeight="1" s="65"/>
    <row r="485" ht="21" customHeight="1" s="65"/>
    <row r="486" ht="21" customHeight="1" s="65"/>
    <row r="487" ht="21" customHeight="1" s="65"/>
    <row r="488" ht="21" customHeight="1" s="65"/>
    <row r="489" ht="21" customHeight="1" s="65"/>
    <row r="490" ht="21" customHeight="1" s="65"/>
    <row r="491" ht="21" customHeight="1" s="65"/>
    <row r="492" ht="21" customHeight="1" s="65"/>
    <row r="493" ht="21" customHeight="1" s="65"/>
    <row r="494" ht="21" customHeight="1" s="65"/>
    <row r="495" ht="21" customHeight="1" s="65"/>
    <row r="496" ht="21" customHeight="1" s="65"/>
    <row r="497" ht="21" customHeight="1" s="65"/>
    <row r="498" ht="21" customHeight="1" s="65"/>
    <row r="499" ht="21" customHeight="1" s="65"/>
    <row r="500" ht="21" customHeight="1" s="65"/>
    <row r="501" ht="21" customHeight="1" s="65"/>
    <row r="502" ht="21" customHeight="1" s="65"/>
    <row r="503" ht="21" customHeight="1" s="65"/>
    <row r="504" ht="21" customHeight="1" s="65"/>
    <row r="505" ht="21" customHeight="1" s="65"/>
    <row r="506" ht="21" customHeight="1" s="65"/>
    <row r="507" ht="21" customHeight="1" s="65"/>
    <row r="508" ht="21" customHeight="1" s="65"/>
    <row r="509" ht="21" customHeight="1" s="65"/>
    <row r="510" ht="21" customHeight="1" s="65"/>
    <row r="511" ht="21" customHeight="1" s="65"/>
    <row r="512" ht="21" customHeight="1" s="65"/>
    <row r="513" ht="21" customHeight="1" s="65"/>
    <row r="514" ht="21" customHeight="1" s="65"/>
    <row r="515" ht="21" customHeight="1" s="65"/>
    <row r="516" ht="21" customHeight="1" s="65"/>
    <row r="517" ht="21" customHeight="1" s="65"/>
    <row r="518" ht="21" customHeight="1" s="65"/>
    <row r="519" ht="21" customHeight="1" s="65"/>
    <row r="520" ht="21" customHeight="1" s="65"/>
    <row r="521" ht="21" customHeight="1" s="65"/>
    <row r="522" ht="21" customHeight="1" s="65"/>
    <row r="523" ht="21" customHeight="1" s="65"/>
    <row r="524" ht="21" customHeight="1" s="65"/>
    <row r="525" ht="21" customHeight="1" s="65"/>
    <row r="526" ht="21" customHeight="1" s="65"/>
    <row r="527" ht="21" customHeight="1" s="65"/>
    <row r="528" ht="21" customHeight="1" s="65"/>
    <row r="529" ht="21" customHeight="1" s="65"/>
    <row r="530" ht="21" customHeight="1" s="65"/>
    <row r="531" ht="21" customHeight="1" s="65"/>
    <row r="532" ht="21" customHeight="1" s="65"/>
    <row r="533" ht="21" customHeight="1" s="65"/>
    <row r="534" ht="21" customHeight="1" s="65"/>
    <row r="535" ht="21" customHeight="1" s="65"/>
    <row r="536" ht="21" customHeight="1" s="65"/>
    <row r="537" ht="21" customHeight="1" s="65"/>
    <row r="538" ht="21" customHeight="1" s="65"/>
    <row r="539" ht="21" customHeight="1" s="65"/>
    <row r="540" ht="21" customHeight="1" s="65"/>
    <row r="541" ht="21" customHeight="1" s="65"/>
    <row r="542" ht="21" customHeight="1" s="65"/>
    <row r="543" ht="21" customHeight="1" s="65"/>
    <row r="544" ht="21" customHeight="1" s="65"/>
    <row r="545" ht="21" customHeight="1" s="65"/>
    <row r="546" ht="21" customHeight="1" s="65"/>
    <row r="547" ht="21" customHeight="1" s="65"/>
    <row r="548" ht="21" customHeight="1" s="65"/>
    <row r="549" ht="21" customHeight="1" s="65"/>
    <row r="550" ht="21" customHeight="1" s="65"/>
    <row r="551" ht="21" customHeight="1" s="65"/>
    <row r="552" ht="21" customHeight="1" s="65"/>
    <row r="553" ht="21" customHeight="1" s="65"/>
    <row r="554" ht="21" customHeight="1" s="65"/>
    <row r="555" ht="21" customHeight="1" s="65"/>
    <row r="556" ht="21" customHeight="1" s="65"/>
    <row r="557" ht="21" customHeight="1" s="65"/>
    <row r="558" ht="21" customHeight="1" s="65"/>
    <row r="559" ht="21" customHeight="1" s="65"/>
    <row r="560" ht="21" customHeight="1" s="65"/>
    <row r="561" ht="21" customHeight="1" s="65"/>
    <row r="562" ht="21" customHeight="1" s="65"/>
    <row r="563" ht="21" customHeight="1" s="65"/>
    <row r="564" ht="21" customHeight="1" s="65"/>
    <row r="565" ht="21" customHeight="1" s="65"/>
    <row r="566" ht="21" customHeight="1" s="65"/>
    <row r="567" ht="21" customHeight="1" s="65"/>
    <row r="568" ht="21" customHeight="1" s="65"/>
    <row r="569" ht="21" customHeight="1" s="65"/>
    <row r="570" ht="21" customHeight="1" s="65"/>
    <row r="571" ht="21" customHeight="1" s="65"/>
    <row r="572" ht="21" customHeight="1" s="65"/>
    <row r="573" ht="21" customHeight="1" s="65"/>
    <row r="574" ht="21" customHeight="1" s="65"/>
    <row r="575" ht="21" customHeight="1" s="65"/>
    <row r="576" ht="21" customHeight="1" s="65"/>
    <row r="577" ht="21" customHeight="1" s="65"/>
    <row r="578" ht="21" customHeight="1" s="65"/>
    <row r="579" ht="21" customHeight="1" s="65"/>
    <row r="580" ht="21" customHeight="1" s="65"/>
    <row r="581" ht="21" customHeight="1" s="65"/>
    <row r="582" ht="21" customHeight="1" s="65"/>
    <row r="583" ht="21" customHeight="1" s="65"/>
    <row r="584" ht="21" customHeight="1" s="65"/>
    <row r="585" ht="21" customHeight="1" s="65"/>
    <row r="586" ht="21" customHeight="1" s="65"/>
    <row r="587" ht="21" customHeight="1" s="65"/>
    <row r="588" ht="21" customHeight="1" s="65"/>
    <row r="589" ht="21" customHeight="1" s="65"/>
    <row r="590" ht="21" customHeight="1" s="65"/>
    <row r="591" ht="21" customHeight="1" s="65"/>
    <row r="592" ht="21" customHeight="1" s="65"/>
    <row r="593" ht="21" customHeight="1" s="65"/>
    <row r="594" ht="21" customHeight="1" s="65"/>
    <row r="595" ht="21" customHeight="1" s="65"/>
    <row r="596" ht="21" customHeight="1" s="65"/>
    <row r="597" ht="21" customHeight="1" s="65"/>
    <row r="598" ht="21" customHeight="1" s="65"/>
    <row r="599" ht="21" customHeight="1" s="65"/>
    <row r="600" ht="21" customHeight="1" s="65"/>
    <row r="601" ht="21" customHeight="1" s="65"/>
    <row r="602" ht="21" customHeight="1" s="65"/>
    <row r="603" ht="21" customHeight="1" s="65"/>
    <row r="604" ht="21" customHeight="1" s="65"/>
    <row r="605" ht="21" customHeight="1" s="65"/>
    <row r="606" ht="21" customHeight="1" s="65"/>
    <row r="607" ht="21" customHeight="1" s="65"/>
    <row r="608" ht="21" customHeight="1" s="65"/>
    <row r="609" ht="21" customHeight="1" s="65"/>
    <row r="610" ht="21" customHeight="1" s="65"/>
    <row r="611" ht="21" customHeight="1" s="65"/>
    <row r="612" ht="21" customHeight="1" s="65"/>
    <row r="613" ht="21" customHeight="1" s="65"/>
    <row r="614" ht="21" customHeight="1" s="65"/>
    <row r="615" ht="21" customHeight="1" s="65"/>
    <row r="616" ht="21" customHeight="1" s="65"/>
    <row r="617" ht="21" customHeight="1" s="65"/>
    <row r="618" ht="21" customHeight="1" s="65"/>
    <row r="619" ht="21" customHeight="1" s="65"/>
    <row r="620" ht="21" customHeight="1" s="65"/>
    <row r="621" ht="21" customHeight="1" s="65"/>
    <row r="622" ht="21" customHeight="1" s="65"/>
    <row r="623" ht="21" customHeight="1" s="65"/>
    <row r="624" ht="21" customHeight="1" s="65"/>
    <row r="625" ht="21" customHeight="1" s="65"/>
    <row r="626" ht="21" customHeight="1" s="65"/>
    <row r="627" ht="21" customHeight="1" s="65"/>
    <row r="628" ht="21" customHeight="1" s="65"/>
    <row r="629" ht="21" customHeight="1" s="65"/>
    <row r="630" ht="21" customHeight="1" s="65"/>
    <row r="631" ht="21" customHeight="1" s="65"/>
    <row r="632" ht="21" customHeight="1" s="65"/>
    <row r="633" ht="21" customHeight="1" s="65"/>
    <row r="634" ht="21" customHeight="1" s="65"/>
    <row r="635" ht="21" customHeight="1" s="65"/>
    <row r="636" ht="21" customHeight="1" s="65"/>
    <row r="637" ht="21" customHeight="1" s="65"/>
    <row r="638" ht="21" customHeight="1" s="65"/>
    <row r="639" ht="21" customHeight="1" s="65"/>
    <row r="640" ht="21" customHeight="1" s="65"/>
    <row r="641" ht="21" customHeight="1" s="65"/>
    <row r="642" ht="21" customHeight="1" s="65"/>
    <row r="643" ht="21" customHeight="1" s="65"/>
    <row r="644" ht="21" customHeight="1" s="65"/>
    <row r="645" ht="21" customHeight="1" s="65"/>
    <row r="646" ht="21" customHeight="1" s="65"/>
    <row r="647" ht="21" customHeight="1" s="65"/>
    <row r="648" ht="21" customHeight="1" s="65"/>
    <row r="649" ht="21" customHeight="1" s="65"/>
    <row r="650" ht="21" customHeight="1" s="65"/>
    <row r="651" ht="21" customHeight="1" s="65"/>
    <row r="652" ht="21" customHeight="1" s="65"/>
    <row r="653" ht="21" customHeight="1" s="65"/>
    <row r="654" ht="21" customHeight="1" s="65"/>
    <row r="655" ht="21" customHeight="1" s="65"/>
    <row r="656" ht="21" customHeight="1" s="65"/>
    <row r="657" ht="21" customHeight="1" s="65"/>
    <row r="658" ht="21" customHeight="1" s="65"/>
    <row r="659" ht="21" customHeight="1" s="65"/>
    <row r="660" ht="21" customHeight="1" s="65"/>
    <row r="661" ht="21" customHeight="1" s="65"/>
    <row r="662" ht="21" customHeight="1" s="65"/>
    <row r="663" ht="21" customHeight="1" s="65"/>
    <row r="664" ht="21" customHeight="1" s="65"/>
    <row r="665" ht="21" customHeight="1" s="65"/>
    <row r="666" ht="21" customHeight="1" s="65"/>
    <row r="667" ht="21" customHeight="1" s="65"/>
    <row r="668" ht="21" customHeight="1" s="65"/>
    <row r="669" ht="21" customHeight="1" s="65"/>
    <row r="670" ht="21" customHeight="1" s="65"/>
    <row r="671" ht="21" customHeight="1" s="65"/>
    <row r="672" ht="21" customHeight="1" s="65"/>
    <row r="673" ht="21" customHeight="1" s="65"/>
    <row r="674" ht="21" customHeight="1" s="65"/>
    <row r="675" ht="21" customHeight="1" s="65"/>
    <row r="676" ht="21" customHeight="1" s="65"/>
    <row r="677" ht="21" customHeight="1" s="65"/>
    <row r="678" ht="21" customHeight="1" s="65"/>
    <row r="679" ht="21" customHeight="1" s="65"/>
    <row r="680" ht="21" customHeight="1" s="65"/>
    <row r="681" ht="21" customHeight="1" s="65"/>
    <row r="682" ht="21" customHeight="1" s="65"/>
    <row r="683" ht="21" customHeight="1" s="65"/>
    <row r="684" ht="21" customHeight="1" s="65"/>
    <row r="685" ht="21" customHeight="1" s="65"/>
    <row r="686" ht="21" customHeight="1" s="65"/>
    <row r="687" ht="21" customHeight="1" s="65"/>
    <row r="688" ht="21" customHeight="1" s="65"/>
    <row r="689" ht="21" customHeight="1" s="65"/>
    <row r="690" ht="21" customHeight="1" s="65"/>
    <row r="691" ht="21" customHeight="1" s="65"/>
    <row r="692" ht="21" customHeight="1" s="65"/>
    <row r="693" ht="21" customHeight="1" s="65"/>
    <row r="694" ht="21" customHeight="1" s="65"/>
    <row r="695" ht="21" customHeight="1" s="65"/>
    <row r="696" ht="21" customHeight="1" s="65"/>
    <row r="697" ht="21" customHeight="1" s="65"/>
    <row r="698" ht="21" customHeight="1" s="65"/>
    <row r="699" ht="21" customHeight="1" s="65"/>
    <row r="700" ht="21" customHeight="1" s="65"/>
    <row r="701" ht="21" customHeight="1" s="65"/>
    <row r="702" ht="21" customHeight="1" s="65"/>
    <row r="703" ht="21" customHeight="1" s="65"/>
    <row r="704" ht="21" customHeight="1" s="65"/>
    <row r="705" ht="21" customHeight="1" s="65"/>
    <row r="706" ht="21" customHeight="1" s="65"/>
    <row r="707" ht="21" customHeight="1" s="65"/>
    <row r="708" ht="21" customHeight="1" s="65"/>
    <row r="709" ht="21" customHeight="1" s="65"/>
    <row r="710" ht="21" customHeight="1" s="65"/>
    <row r="711" ht="21" customHeight="1" s="65"/>
    <row r="712" ht="21" customHeight="1" s="65"/>
    <row r="713" ht="21" customHeight="1" s="65"/>
    <row r="714" ht="21" customHeight="1" s="65"/>
    <row r="715" ht="21" customHeight="1" s="65"/>
    <row r="716" ht="21" customHeight="1" s="65"/>
    <row r="717" ht="21" customHeight="1" s="65"/>
    <row r="718" ht="21" customHeight="1" s="65"/>
    <row r="719" ht="21" customHeight="1" s="65"/>
    <row r="720" ht="21" customHeight="1" s="65"/>
    <row r="721" ht="21" customHeight="1" s="65"/>
    <row r="722" ht="21" customHeight="1" s="65"/>
    <row r="723" ht="21" customHeight="1" s="65"/>
    <row r="724" ht="21" customHeight="1" s="65"/>
    <row r="725" ht="21" customHeight="1" s="65"/>
    <row r="726" ht="21" customHeight="1" s="65"/>
    <row r="727" ht="21" customHeight="1" s="65"/>
    <row r="728" ht="21" customHeight="1" s="65"/>
    <row r="729" ht="21" customHeight="1" s="65"/>
    <row r="730" ht="21" customHeight="1" s="65"/>
    <row r="731" ht="21" customHeight="1" s="65"/>
    <row r="732" ht="21" customHeight="1" s="65"/>
    <row r="733" ht="21" customHeight="1" s="65"/>
    <row r="734" ht="21" customHeight="1" s="65"/>
    <row r="735" ht="21" customHeight="1" s="65"/>
    <row r="736" ht="21" customHeight="1" s="65"/>
    <row r="737" ht="21" customHeight="1" s="65"/>
    <row r="738" ht="21" customHeight="1" s="65"/>
    <row r="739" ht="21" customHeight="1" s="65"/>
    <row r="740" ht="21" customHeight="1" s="65"/>
    <row r="741" ht="21" customHeight="1" s="65"/>
    <row r="742" ht="21" customHeight="1" s="65"/>
    <row r="743" ht="21" customHeight="1" s="65"/>
    <row r="744" ht="21" customHeight="1" s="65"/>
    <row r="745" ht="21" customHeight="1" s="65"/>
    <row r="746" ht="21" customHeight="1" s="65"/>
    <row r="747" ht="21" customHeight="1" s="65"/>
    <row r="748" ht="21" customHeight="1" s="65"/>
  </sheetData>
  <mergeCells count="6">
    <mergeCell ref="D5:J6"/>
    <mergeCell ref="C2:K2"/>
    <mergeCell ref="C1:K1"/>
    <mergeCell ref="H10:J10"/>
    <mergeCell ref="H11:J14"/>
    <mergeCell ref="D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A0ADAE"/>
    <outlinePr summaryBelow="1" summaryRight="1"/>
    <pageSetUpPr/>
  </sheetPr>
  <dimension ref="B1:H63"/>
  <sheetViews>
    <sheetView workbookViewId="0">
      <selection activeCell="A1" sqref="A1"/>
    </sheetView>
  </sheetViews>
  <sheetFormatPr baseColWidth="10" defaultColWidth="9.140625" defaultRowHeight="15"/>
  <cols>
    <col width="9.140625" customWidth="1" style="39" min="1" max="1"/>
    <col width="5" customWidth="1" style="65" min="2" max="2"/>
    <col width="30" customWidth="1" style="65" min="3" max="3"/>
    <col width="31.85546875" customWidth="1" style="65" min="4" max="4"/>
    <col width="18" customWidth="1" style="65" min="5" max="5"/>
    <col width="20" customWidth="1" style="65" min="6" max="8"/>
    <col width="9.140625" customWidth="1" style="39" min="9" max="20"/>
  </cols>
  <sheetData>
    <row r="1" ht="21" customHeight="1" s="65">
      <c r="B1" s="66" t="inlineStr">
        <is>
          <t>CONFIGURACIÓN</t>
        </is>
      </c>
      <c r="C1" s="98" t="n"/>
      <c r="D1" s="98" t="n"/>
      <c r="E1" s="98" t="n"/>
      <c r="F1" s="98" t="n"/>
      <c r="G1" s="98" t="n"/>
      <c r="H1" s="99" t="n"/>
    </row>
    <row r="2" ht="21" customHeight="1" s="65">
      <c r="B2" s="64" t="inlineStr">
        <is>
          <t>Datos generales que se mostrarán en el Balance General.</t>
        </is>
      </c>
      <c r="C2" s="100" t="n"/>
      <c r="D2" s="100" t="n"/>
      <c r="E2" s="100" t="n"/>
      <c r="F2" s="100" t="n"/>
      <c r="G2" s="100" t="n"/>
      <c r="H2" s="101" t="n"/>
    </row>
    <row r="3" ht="21" customFormat="1" customHeight="1" s="39"/>
    <row r="4" ht="21" customHeight="1" s="65">
      <c r="B4" s="39" t="n"/>
      <c r="C4" s="82" t="inlineStr">
        <is>
          <t>Dato</t>
        </is>
      </c>
      <c r="D4" s="82" t="inlineStr">
        <is>
          <t>Valor</t>
        </is>
      </c>
      <c r="E4" s="39" t="n"/>
      <c r="F4" s="39" t="n"/>
      <c r="G4" s="39" t="n"/>
      <c r="H4" s="39" t="n"/>
    </row>
    <row r="5" ht="21" customHeight="1" s="65">
      <c r="B5" s="39" t="n"/>
      <c r="C5" s="76" t="inlineStr">
        <is>
          <t>Nombre de la empresa</t>
        </is>
      </c>
      <c r="D5" s="16" t="inlineStr">
        <is>
          <t>Pon el nombre de tu Pyme aquí</t>
        </is>
      </c>
      <c r="E5" s="39" t="n"/>
      <c r="F5" s="67" t="inlineStr">
        <is>
          <t>Consejo: esta plantilla sirve para ordenar y visualizar la situación financiera de una PYME. Para cierre contable formal, conviene validar los saldos con un contador.</t>
        </is>
      </c>
      <c r="G5" s="91" t="n"/>
      <c r="H5" s="92" t="n"/>
    </row>
    <row r="6" ht="21" customHeight="1" s="65">
      <c r="B6" s="39" t="n"/>
      <c r="C6" s="19" t="inlineStr">
        <is>
          <t>Nombre del estado financiero</t>
        </is>
      </c>
      <c r="D6" s="16" t="inlineStr">
        <is>
          <t>Balance General</t>
        </is>
      </c>
      <c r="E6" s="39" t="n"/>
      <c r="F6" s="93" t="n"/>
      <c r="G6" s="94" t="n"/>
      <c r="H6" s="95" t="n"/>
    </row>
    <row r="7" ht="21" customHeight="1" s="65">
      <c r="B7" s="39" t="n"/>
      <c r="C7" s="76" t="inlineStr">
        <is>
          <t>Fecha de corte</t>
        </is>
      </c>
      <c r="D7" s="102" t="inlineStr">
        <is>
          <t>xx-xx-20xx</t>
        </is>
      </c>
      <c r="E7" s="39" t="n"/>
      <c r="F7" s="39" t="n"/>
      <c r="G7" s="39" t="n"/>
      <c r="H7" s="39" t="n"/>
    </row>
    <row r="8" ht="21" customHeight="1" s="65">
      <c r="B8" s="39" t="n"/>
      <c r="C8" s="76" t="inlineStr">
        <is>
          <t>Moneda</t>
        </is>
      </c>
      <c r="D8" s="16" t="inlineStr">
        <is>
          <t>CLP</t>
        </is>
      </c>
      <c r="E8" s="39" t="n"/>
      <c r="F8" s="39" t="n"/>
      <c r="G8" s="39" t="n"/>
      <c r="H8" s="39" t="n"/>
    </row>
    <row r="9" ht="21" customHeight="1" s="65">
      <c r="B9" s="39" t="n"/>
      <c r="C9" s="76" t="inlineStr">
        <is>
          <t>Preparado por</t>
        </is>
      </c>
      <c r="D9" s="16" t="inlineStr">
        <is>
          <t>xxx</t>
        </is>
      </c>
      <c r="E9" s="39" t="n"/>
      <c r="F9" s="39" t="n"/>
      <c r="G9" s="39" t="n"/>
      <c r="H9" s="39" t="n"/>
    </row>
    <row r="10" ht="21" customHeight="1" s="65">
      <c r="B10" s="39" t="n"/>
      <c r="C10" s="39" t="n"/>
      <c r="D10" s="39" t="n"/>
      <c r="E10" s="39" t="n"/>
      <c r="F10" s="39" t="n"/>
      <c r="G10" s="39" t="n"/>
      <c r="H10" s="39" t="n"/>
    </row>
    <row r="11" ht="21" customHeight="1" s="65">
      <c r="B11" s="39" t="n"/>
      <c r="C11" s="39" t="n"/>
      <c r="D11" s="39" t="n"/>
      <c r="E11" s="39" t="n"/>
      <c r="F11" s="39" t="n"/>
      <c r="G11" s="39" t="n"/>
      <c r="H11" s="39" t="n"/>
    </row>
    <row r="12" ht="21" customHeight="1" s="65">
      <c r="B12" s="39" t="n"/>
      <c r="C12" s="39" t="n"/>
      <c r="D12" s="39" t="n"/>
      <c r="E12" s="39" t="n"/>
      <c r="F12" s="39" t="n"/>
      <c r="G12" s="39" t="n"/>
      <c r="H12" s="39" t="n"/>
    </row>
    <row r="13" ht="21" customHeight="1" s="65">
      <c r="B13" s="39" t="n"/>
      <c r="C13" s="39" t="n"/>
      <c r="D13" s="39" t="n"/>
      <c r="E13" s="39" t="n"/>
      <c r="F13" s="39" t="n"/>
      <c r="G13" s="39" t="n"/>
      <c r="H13" s="39" t="n"/>
    </row>
    <row r="14" ht="21" customHeight="1" s="65">
      <c r="B14" s="39" t="n"/>
      <c r="C14" s="39" t="n"/>
      <c r="D14" s="39" t="n"/>
      <c r="E14" s="39" t="n"/>
      <c r="F14" s="39" t="n"/>
      <c r="G14" s="39" t="n"/>
      <c r="H14" s="39" t="n"/>
    </row>
    <row r="15" ht="21" customHeight="1" s="65">
      <c r="B15" s="39" t="n"/>
      <c r="C15" s="39" t="n"/>
      <c r="D15" s="39" t="n"/>
      <c r="E15" s="39" t="n"/>
      <c r="F15" s="39" t="n"/>
      <c r="G15" s="39" t="n"/>
      <c r="H15" s="39" t="n"/>
    </row>
    <row r="16" ht="21" customHeight="1" s="65">
      <c r="B16" s="39" t="n"/>
      <c r="C16" s="39" t="n"/>
      <c r="D16" s="39" t="n"/>
      <c r="E16" s="39" t="n"/>
      <c r="F16" s="39" t="n"/>
      <c r="G16" s="39" t="n"/>
      <c r="H16" s="39" t="n"/>
    </row>
    <row r="17" ht="21" customHeight="1" s="65">
      <c r="B17" s="39" t="n"/>
      <c r="C17" s="39" t="n"/>
      <c r="D17" s="39" t="n"/>
      <c r="E17" s="39" t="n"/>
      <c r="F17" s="39" t="n"/>
      <c r="G17" s="39" t="n"/>
      <c r="H17" s="39" t="n"/>
    </row>
    <row r="18" ht="21" customHeight="1" s="65">
      <c r="B18" s="39" t="n"/>
      <c r="C18" s="39" t="n"/>
      <c r="D18" s="39" t="n"/>
      <c r="E18" s="39" t="n"/>
      <c r="F18" s="39" t="n"/>
      <c r="G18" s="39" t="n"/>
      <c r="H18" s="39" t="n"/>
    </row>
    <row r="19" ht="21" customHeight="1" s="65">
      <c r="B19" s="39" t="n"/>
      <c r="C19" s="39" t="n"/>
      <c r="D19" s="39" t="n"/>
      <c r="E19" s="39" t="n"/>
      <c r="F19" s="39" t="n"/>
      <c r="G19" s="39" t="n"/>
      <c r="H19" s="39" t="n"/>
    </row>
    <row r="20" ht="21" customHeight="1" s="65">
      <c r="B20" s="39" t="n"/>
      <c r="C20" s="39" t="n"/>
      <c r="D20" s="39" t="n"/>
      <c r="E20" s="39" t="n"/>
      <c r="F20" s="39" t="n"/>
      <c r="G20" s="39" t="n"/>
      <c r="H20" s="39" t="n"/>
    </row>
    <row r="21" ht="21" customHeight="1" s="65">
      <c r="B21" s="39" t="n"/>
      <c r="C21" s="39" t="n"/>
      <c r="D21" s="39" t="n"/>
      <c r="E21" s="39" t="n"/>
      <c r="F21" s="39" t="n"/>
      <c r="G21" s="39" t="n"/>
      <c r="H21" s="39" t="n"/>
    </row>
    <row r="22" ht="21" customHeight="1" s="65">
      <c r="B22" s="39" t="n"/>
      <c r="C22" s="39" t="n"/>
      <c r="D22" s="39" t="n"/>
      <c r="E22" s="39" t="n"/>
      <c r="F22" s="39" t="n"/>
      <c r="G22" s="39" t="n"/>
      <c r="H22" s="39" t="n"/>
    </row>
    <row r="23" ht="21" customHeight="1" s="65">
      <c r="B23" s="39" t="n"/>
      <c r="C23" s="39" t="n"/>
      <c r="D23" s="39" t="n"/>
      <c r="E23" s="39" t="n"/>
      <c r="F23" s="39" t="n"/>
      <c r="G23" s="39" t="n"/>
      <c r="H23" s="39" t="n"/>
    </row>
    <row r="24" ht="21" customHeight="1" s="65">
      <c r="B24" s="39" t="n"/>
      <c r="C24" s="39" t="n"/>
      <c r="D24" s="39" t="n"/>
      <c r="E24" s="39" t="n"/>
      <c r="F24" s="39" t="n"/>
      <c r="G24" s="39" t="n"/>
      <c r="H24" s="39" t="n"/>
    </row>
    <row r="25" ht="21" customHeight="1" s="65">
      <c r="B25" s="39" t="n"/>
      <c r="C25" s="39" t="n"/>
      <c r="D25" s="39" t="n"/>
      <c r="E25" s="39" t="n"/>
      <c r="F25" s="39" t="n"/>
      <c r="G25" s="39" t="n"/>
      <c r="H25" s="39" t="n"/>
    </row>
    <row r="26" ht="21" customHeight="1" s="65">
      <c r="B26" s="39" t="n"/>
      <c r="C26" s="39" t="n"/>
      <c r="D26" s="39" t="n"/>
      <c r="E26" s="39" t="n"/>
      <c r="F26" s="39" t="n"/>
      <c r="G26" s="39" t="n"/>
      <c r="H26" s="39" t="n"/>
    </row>
    <row r="27" ht="21" customHeight="1" s="65">
      <c r="B27" s="39" t="n"/>
      <c r="C27" s="39" t="n"/>
      <c r="D27" s="39" t="n"/>
      <c r="E27" s="39" t="n"/>
      <c r="F27" s="39" t="n"/>
      <c r="G27" s="39" t="n"/>
      <c r="H27" s="39" t="n"/>
    </row>
    <row r="28" ht="21" customHeight="1" s="65">
      <c r="B28" s="39" t="n"/>
      <c r="C28" s="39" t="n"/>
      <c r="D28" s="39" t="n"/>
      <c r="E28" s="39" t="n"/>
      <c r="F28" s="39" t="n"/>
      <c r="G28" s="39" t="n"/>
      <c r="H28" s="39" t="n"/>
    </row>
    <row r="29" ht="21" customHeight="1" s="65">
      <c r="B29" s="39" t="n"/>
      <c r="C29" s="39" t="n"/>
      <c r="D29" s="39" t="n"/>
      <c r="E29" s="39" t="n"/>
      <c r="F29" s="39" t="n"/>
      <c r="G29" s="39" t="n"/>
      <c r="H29" s="39" t="n"/>
    </row>
    <row r="30" ht="21" customHeight="1" s="65">
      <c r="B30" s="39" t="n"/>
      <c r="C30" s="39" t="n"/>
      <c r="D30" s="39" t="n"/>
      <c r="E30" s="39" t="n"/>
      <c r="F30" s="39" t="n"/>
      <c r="G30" s="39" t="n"/>
      <c r="H30" s="39" t="n"/>
    </row>
    <row r="31" ht="21" customHeight="1" s="65">
      <c r="B31" s="39" t="n"/>
      <c r="C31" s="39" t="n"/>
      <c r="D31" s="39" t="n"/>
      <c r="E31" s="39" t="n"/>
      <c r="F31" s="39" t="n"/>
      <c r="G31" s="39" t="n"/>
      <c r="H31" s="39" t="n"/>
    </row>
    <row r="32" ht="21" customHeight="1" s="65">
      <c r="B32" s="39" t="n"/>
      <c r="C32" s="39" t="n"/>
      <c r="D32" s="39" t="n"/>
      <c r="E32" s="39" t="n"/>
      <c r="F32" s="39" t="n"/>
      <c r="G32" s="39" t="n"/>
      <c r="H32" s="39" t="n"/>
    </row>
    <row r="33" ht="21" customHeight="1" s="65">
      <c r="B33" s="39" t="n"/>
      <c r="C33" s="39" t="n"/>
      <c r="D33" s="39" t="n"/>
      <c r="E33" s="39" t="n"/>
      <c r="F33" s="39" t="n"/>
      <c r="G33" s="39" t="n"/>
      <c r="H33" s="39" t="n"/>
    </row>
    <row r="34" ht="21" customHeight="1" s="65">
      <c r="B34" s="39" t="n"/>
      <c r="C34" s="39" t="n"/>
      <c r="D34" s="39" t="n"/>
      <c r="E34" s="39" t="n"/>
      <c r="F34" s="39" t="n"/>
      <c r="G34" s="39" t="n"/>
      <c r="H34" s="39" t="n"/>
    </row>
    <row r="35" ht="21" customHeight="1" s="65">
      <c r="B35" s="39" t="n"/>
      <c r="C35" s="39" t="n"/>
      <c r="D35" s="39" t="n"/>
      <c r="E35" s="39" t="n"/>
      <c r="F35" s="39" t="n"/>
      <c r="G35" s="39" t="n"/>
      <c r="H35" s="39" t="n"/>
    </row>
    <row r="36" ht="21" customHeight="1" s="65">
      <c r="B36" s="39" t="n"/>
      <c r="C36" s="39" t="n"/>
      <c r="D36" s="39" t="n"/>
      <c r="E36" s="39" t="n"/>
      <c r="F36" s="39" t="n"/>
      <c r="G36" s="39" t="n"/>
      <c r="H36" s="39" t="n"/>
    </row>
    <row r="37" ht="21" customHeight="1" s="65">
      <c r="B37" s="39" t="n"/>
      <c r="C37" s="39" t="n"/>
      <c r="D37" s="39" t="n"/>
      <c r="E37" s="39" t="n"/>
      <c r="F37" s="39" t="n"/>
      <c r="G37" s="39" t="n"/>
      <c r="H37" s="39" t="n"/>
    </row>
    <row r="38" ht="21" customHeight="1" s="65">
      <c r="B38" s="39" t="n"/>
      <c r="C38" s="39" t="n"/>
      <c r="D38" s="39" t="n"/>
      <c r="E38" s="39" t="n"/>
      <c r="F38" s="39" t="n"/>
      <c r="G38" s="39" t="n"/>
      <c r="H38" s="39" t="n"/>
    </row>
    <row r="39" ht="21" customHeight="1" s="65">
      <c r="B39" s="39" t="n"/>
      <c r="C39" s="39" t="n"/>
      <c r="D39" s="39" t="n"/>
      <c r="E39" s="39" t="n"/>
      <c r="F39" s="39" t="n"/>
      <c r="G39" s="39" t="n"/>
      <c r="H39" s="39" t="n"/>
    </row>
    <row r="40" ht="21" customHeight="1" s="65">
      <c r="B40" s="39" t="n"/>
      <c r="C40" s="39" t="n"/>
      <c r="D40" s="39" t="n"/>
      <c r="E40" s="39" t="n"/>
      <c r="F40" s="39" t="n"/>
      <c r="G40" s="39" t="n"/>
      <c r="H40" s="39" t="n"/>
    </row>
    <row r="41" ht="21" customHeight="1" s="65">
      <c r="B41" s="39" t="n"/>
      <c r="C41" s="39" t="n"/>
      <c r="D41" s="39" t="n"/>
      <c r="E41" s="39" t="n"/>
      <c r="F41" s="39" t="n"/>
      <c r="G41" s="39" t="n"/>
      <c r="H41" s="39" t="n"/>
    </row>
    <row r="42" ht="21" customHeight="1" s="65">
      <c r="B42" s="39" t="n"/>
      <c r="C42" s="39" t="n"/>
      <c r="D42" s="39" t="n"/>
      <c r="E42" s="39" t="n"/>
      <c r="F42" s="39" t="n"/>
      <c r="G42" s="39" t="n"/>
      <c r="H42" s="39" t="n"/>
    </row>
    <row r="43" ht="21" customHeight="1" s="65">
      <c r="B43" s="39" t="n"/>
      <c r="C43" s="39" t="n"/>
      <c r="D43" s="39" t="n"/>
      <c r="E43" s="39" t="n"/>
      <c r="F43" s="39" t="n"/>
      <c r="G43" s="39" t="n"/>
      <c r="H43" s="39" t="n"/>
    </row>
    <row r="44" ht="21" customHeight="1" s="65">
      <c r="B44" s="39" t="n"/>
      <c r="C44" s="39" t="n"/>
      <c r="D44" s="39" t="n"/>
      <c r="E44" s="39" t="n"/>
      <c r="F44" s="39" t="n"/>
      <c r="G44" s="39" t="n"/>
      <c r="H44" s="39" t="n"/>
    </row>
    <row r="45" ht="21" customHeight="1" s="65">
      <c r="B45" s="39" t="n"/>
      <c r="C45" s="39" t="n"/>
      <c r="D45" s="39" t="n"/>
      <c r="E45" s="39" t="n"/>
      <c r="F45" s="39" t="n"/>
      <c r="G45" s="39" t="n"/>
      <c r="H45" s="39" t="n"/>
    </row>
    <row r="46" ht="21" customHeight="1" s="65">
      <c r="B46" s="39" t="n"/>
      <c r="C46" s="39" t="n"/>
      <c r="D46" s="39" t="n"/>
      <c r="E46" s="39" t="n"/>
      <c r="F46" s="39" t="n"/>
      <c r="G46" s="39" t="n"/>
      <c r="H46" s="39" t="n"/>
    </row>
    <row r="47" ht="21" customHeight="1" s="65">
      <c r="B47" s="39" t="n"/>
      <c r="C47" s="39" t="n"/>
      <c r="D47" s="39" t="n"/>
      <c r="E47" s="39" t="n"/>
      <c r="F47" s="39" t="n"/>
      <c r="G47" s="39" t="n"/>
      <c r="H47" s="39" t="n"/>
    </row>
    <row r="48" ht="21" customHeight="1" s="65">
      <c r="B48" s="39" t="n"/>
      <c r="C48" s="39" t="n"/>
      <c r="D48" s="39" t="n"/>
      <c r="E48" s="39" t="n"/>
      <c r="F48" s="39" t="n"/>
      <c r="G48" s="39" t="n"/>
      <c r="H48" s="39" t="n"/>
    </row>
    <row r="49" ht="21" customHeight="1" s="65">
      <c r="B49" s="39" t="n"/>
      <c r="C49" s="39" t="n"/>
      <c r="D49" s="39" t="n"/>
      <c r="E49" s="39" t="n"/>
      <c r="F49" s="39" t="n"/>
      <c r="G49" s="39" t="n"/>
      <c r="H49" s="39" t="n"/>
    </row>
    <row r="50" ht="21" customHeight="1" s="65">
      <c r="B50" s="39" t="n"/>
      <c r="C50" s="39" t="n"/>
      <c r="D50" s="39" t="n"/>
      <c r="E50" s="39" t="n"/>
      <c r="F50" s="39" t="n"/>
      <c r="G50" s="39" t="n"/>
      <c r="H50" s="39" t="n"/>
    </row>
    <row r="51" ht="21" customHeight="1" s="65">
      <c r="B51" s="39" t="n"/>
      <c r="C51" s="39" t="n"/>
      <c r="D51" s="39" t="n"/>
      <c r="E51" s="39" t="n"/>
      <c r="F51" s="39" t="n"/>
      <c r="G51" s="39" t="n"/>
      <c r="H51" s="39" t="n"/>
    </row>
    <row r="52" ht="21" customHeight="1" s="65">
      <c r="B52" s="39" t="n"/>
      <c r="C52" s="39" t="n"/>
      <c r="D52" s="39" t="n"/>
      <c r="E52" s="39" t="n"/>
      <c r="F52" s="39" t="n"/>
      <c r="G52" s="39" t="n"/>
      <c r="H52" s="39" t="n"/>
    </row>
    <row r="53" ht="21" customHeight="1" s="65">
      <c r="B53" s="39" t="n"/>
      <c r="C53" s="39" t="n"/>
      <c r="D53" s="39" t="n"/>
      <c r="E53" s="39" t="n"/>
      <c r="F53" s="39" t="n"/>
      <c r="G53" s="39" t="n"/>
      <c r="H53" s="39" t="n"/>
    </row>
    <row r="54" ht="21" customHeight="1" s="65">
      <c r="B54" s="39" t="n"/>
      <c r="C54" s="39" t="n"/>
      <c r="D54" s="39" t="n"/>
      <c r="E54" s="39" t="n"/>
      <c r="F54" s="39" t="n"/>
      <c r="G54" s="39" t="n"/>
      <c r="H54" s="39" t="n"/>
    </row>
    <row r="55" ht="21" customHeight="1" s="65">
      <c r="B55" s="39" t="n"/>
      <c r="C55" s="39" t="n"/>
      <c r="D55" s="39" t="n"/>
      <c r="E55" s="39" t="n"/>
      <c r="F55" s="39" t="n"/>
      <c r="G55" s="39" t="n"/>
      <c r="H55" s="39" t="n"/>
    </row>
    <row r="56" ht="21" customHeight="1" s="65">
      <c r="B56" s="39" t="n"/>
      <c r="C56" s="39" t="n"/>
      <c r="D56" s="39" t="n"/>
      <c r="E56" s="39" t="n"/>
      <c r="F56" s="39" t="n"/>
      <c r="G56" s="39" t="n"/>
      <c r="H56" s="39" t="n"/>
    </row>
    <row r="57" ht="21" customHeight="1" s="65">
      <c r="B57" s="39" t="n"/>
      <c r="C57" s="39" t="n"/>
      <c r="D57" s="39" t="n"/>
      <c r="E57" s="39" t="n"/>
      <c r="F57" s="39" t="n"/>
      <c r="G57" s="39" t="n"/>
      <c r="H57" s="39" t="n"/>
    </row>
    <row r="58" ht="21" customHeight="1" s="65">
      <c r="B58" s="39" t="n"/>
      <c r="C58" s="39" t="n"/>
      <c r="D58" s="39" t="n"/>
      <c r="E58" s="39" t="n"/>
      <c r="F58" s="39" t="n"/>
      <c r="G58" s="39" t="n"/>
      <c r="H58" s="39" t="n"/>
    </row>
    <row r="59" ht="21" customHeight="1" s="65">
      <c r="B59" s="39" t="n"/>
      <c r="C59" s="39" t="n"/>
      <c r="D59" s="39" t="n"/>
      <c r="E59" s="39" t="n"/>
      <c r="F59" s="39" t="n"/>
      <c r="G59" s="39" t="n"/>
      <c r="H59" s="39" t="n"/>
    </row>
    <row r="60" ht="21" customHeight="1" s="65">
      <c r="B60" s="39" t="n"/>
      <c r="C60" s="39" t="n"/>
      <c r="D60" s="39" t="n"/>
      <c r="E60" s="39" t="n"/>
      <c r="F60" s="39" t="n"/>
      <c r="G60" s="39" t="n"/>
      <c r="H60" s="39" t="n"/>
    </row>
    <row r="61" ht="21" customHeight="1" s="65">
      <c r="B61" s="39" t="n"/>
      <c r="C61" s="39" t="n"/>
      <c r="D61" s="39" t="n"/>
      <c r="E61" s="39" t="n"/>
      <c r="F61" s="39" t="n"/>
      <c r="G61" s="39" t="n"/>
      <c r="H61" s="39" t="n"/>
    </row>
    <row r="62" ht="21" customHeight="1" s="65">
      <c r="B62" s="39" t="n"/>
      <c r="C62" s="39" t="n"/>
      <c r="D62" s="39" t="n"/>
      <c r="E62" s="39" t="n"/>
      <c r="F62" s="39" t="n"/>
      <c r="G62" s="39" t="n"/>
      <c r="H62" s="39" t="n"/>
    </row>
    <row r="63" ht="21" customHeight="1" s="65">
      <c r="B63" s="39" t="n"/>
      <c r="C63" s="39" t="n"/>
      <c r="D63" s="39" t="n"/>
      <c r="E63" s="39" t="n"/>
      <c r="F63" s="39" t="n"/>
      <c r="G63" s="39" t="n"/>
      <c r="H63" s="39" t="n"/>
    </row>
    <row r="64" ht="21" customHeight="1" s="65"/>
    <row r="65" ht="21" customHeight="1" s="65"/>
    <row r="66" ht="21" customHeight="1" s="65"/>
    <row r="67" ht="21" customHeight="1" s="65"/>
    <row r="68" ht="21" customHeight="1" s="65"/>
    <row r="69" ht="21" customHeight="1" s="65"/>
    <row r="70" ht="21" customHeight="1" s="65"/>
    <row r="71" ht="21" customHeight="1" s="65"/>
    <row r="72" ht="21" customHeight="1" s="65"/>
    <row r="73" ht="21" customHeight="1" s="65"/>
    <row r="74" ht="21" customHeight="1" s="65"/>
    <row r="75" ht="21" customHeight="1" s="65"/>
    <row r="76" ht="21" customHeight="1" s="65"/>
    <row r="77" ht="21" customHeight="1" s="65"/>
    <row r="78" ht="21" customHeight="1" s="65"/>
    <row r="79" ht="21" customHeight="1" s="65"/>
    <row r="80" ht="21" customHeight="1" s="65"/>
    <row r="81" ht="21" customHeight="1" s="65"/>
    <row r="82" ht="21" customHeight="1" s="65"/>
    <row r="83" ht="21" customHeight="1" s="65"/>
    <row r="84" ht="21" customHeight="1" s="65"/>
    <row r="85" ht="21" customHeight="1" s="65"/>
    <row r="86" ht="21" customHeight="1" s="65"/>
    <row r="87" ht="21" customHeight="1" s="65"/>
    <row r="88" ht="21" customHeight="1" s="65"/>
    <row r="89" ht="21" customHeight="1" s="65"/>
    <row r="90" ht="21" customHeight="1" s="65"/>
    <row r="91" ht="21" customHeight="1" s="65"/>
    <row r="92" ht="21" customHeight="1" s="65"/>
    <row r="93" ht="21" customHeight="1" s="65"/>
    <row r="94" ht="21" customHeight="1" s="65"/>
    <row r="95" ht="21" customHeight="1" s="65"/>
    <row r="96" ht="21" customHeight="1" s="65"/>
    <row r="97" ht="21" customHeight="1" s="65"/>
    <row r="98" ht="21" customHeight="1" s="65"/>
    <row r="99" ht="21" customHeight="1" s="65"/>
    <row r="100" ht="21" customHeight="1" s="65"/>
    <row r="101" ht="21" customHeight="1" s="65"/>
    <row r="102" ht="21" customHeight="1" s="65"/>
    <row r="103" ht="21" customHeight="1" s="65"/>
    <row r="104" ht="21" customHeight="1" s="65"/>
    <row r="105" ht="21" customHeight="1" s="65"/>
    <row r="106" ht="21" customHeight="1" s="65"/>
    <row r="107" ht="21" customHeight="1" s="65"/>
    <row r="108" ht="21" customHeight="1" s="65"/>
    <row r="109" ht="21" customHeight="1" s="65"/>
    <row r="110" ht="21" customHeight="1" s="65"/>
    <row r="111" ht="21" customHeight="1" s="65"/>
    <row r="112" ht="21" customHeight="1" s="65"/>
    <row r="113" ht="21" customHeight="1" s="65"/>
    <row r="114" ht="21" customHeight="1" s="65"/>
    <row r="115" ht="21" customHeight="1" s="65"/>
    <row r="116" ht="21" customHeight="1" s="65"/>
    <row r="117" ht="21" customHeight="1" s="65"/>
    <row r="118" ht="21" customHeight="1" s="65"/>
    <row r="119" ht="21" customHeight="1" s="65"/>
    <row r="120" ht="21" customHeight="1" s="65"/>
    <row r="121" ht="21" customHeight="1" s="65"/>
    <row r="122" ht="21" customHeight="1" s="65"/>
    <row r="123" ht="21" customHeight="1" s="65"/>
    <row r="124" ht="21" customHeight="1" s="65"/>
    <row r="125" ht="21" customHeight="1" s="65"/>
    <row r="126" ht="21" customHeight="1" s="65"/>
    <row r="127" ht="21" customHeight="1" s="65"/>
    <row r="128" ht="21" customHeight="1" s="65"/>
    <row r="129" ht="21" customHeight="1" s="65"/>
    <row r="130" ht="21" customHeight="1" s="65"/>
    <row r="131" ht="21" customHeight="1" s="65"/>
    <row r="132" ht="21" customHeight="1" s="65"/>
    <row r="133" ht="21" customHeight="1" s="65"/>
    <row r="134" ht="21" customHeight="1" s="65"/>
    <row r="135" ht="21" customHeight="1" s="65"/>
    <row r="136" ht="21" customHeight="1" s="65"/>
    <row r="137" ht="21" customHeight="1" s="65"/>
    <row r="138" ht="21" customHeight="1" s="65"/>
    <row r="139" ht="21" customHeight="1" s="65"/>
    <row r="140" ht="21" customHeight="1" s="65"/>
    <row r="141" ht="21" customHeight="1" s="65"/>
    <row r="142" ht="21" customHeight="1" s="65"/>
    <row r="143" ht="21" customHeight="1" s="65"/>
    <row r="144" ht="21" customHeight="1" s="65"/>
    <row r="145" ht="21" customHeight="1" s="65"/>
    <row r="146" ht="21" customHeight="1" s="65"/>
    <row r="147" ht="21" customHeight="1" s="65"/>
    <row r="148" ht="21" customHeight="1" s="65"/>
    <row r="149" ht="21" customHeight="1" s="65"/>
    <row r="150" ht="21" customHeight="1" s="65"/>
    <row r="151" ht="21" customHeight="1" s="65"/>
    <row r="152" ht="21" customHeight="1" s="65"/>
    <row r="153" ht="21" customHeight="1" s="65"/>
    <row r="154" ht="21" customHeight="1" s="65"/>
    <row r="155" ht="21" customHeight="1" s="65"/>
    <row r="156" ht="21" customHeight="1" s="65"/>
    <row r="157" ht="21" customHeight="1" s="65"/>
    <row r="158" ht="21" customHeight="1" s="65"/>
    <row r="159" ht="21" customHeight="1" s="65"/>
    <row r="160" ht="21" customHeight="1" s="65"/>
    <row r="161" ht="21" customHeight="1" s="65"/>
    <row r="162" ht="21" customHeight="1" s="65"/>
    <row r="163" ht="21" customHeight="1" s="65"/>
    <row r="164" ht="21" customHeight="1" s="65"/>
    <row r="165" ht="21" customHeight="1" s="65"/>
    <row r="166" ht="21" customHeight="1" s="65"/>
    <row r="167" ht="21" customHeight="1" s="65"/>
    <row r="168" ht="21" customHeight="1" s="65"/>
    <row r="169" ht="21" customHeight="1" s="65"/>
    <row r="170" ht="21" customHeight="1" s="65"/>
    <row r="171" ht="21" customHeight="1" s="65"/>
    <row r="172" ht="21" customHeight="1" s="65"/>
    <row r="173" ht="21" customHeight="1" s="65"/>
    <row r="174" ht="21" customHeight="1" s="65"/>
    <row r="175" ht="21" customHeight="1" s="65"/>
    <row r="176" ht="21" customHeight="1" s="65"/>
    <row r="177" ht="21" customHeight="1" s="65"/>
    <row r="178" ht="21" customHeight="1" s="65"/>
    <row r="179" ht="21" customHeight="1" s="65"/>
    <row r="180" ht="21" customHeight="1" s="65"/>
    <row r="181" ht="21" customHeight="1" s="65"/>
    <row r="182" ht="21" customHeight="1" s="65"/>
    <row r="183" ht="21" customHeight="1" s="65"/>
    <row r="184" ht="21" customHeight="1" s="65"/>
    <row r="185" ht="21" customHeight="1" s="65"/>
    <row r="186" ht="21" customHeight="1" s="65"/>
    <row r="187" ht="21" customHeight="1" s="65"/>
    <row r="188" ht="21" customHeight="1" s="65"/>
    <row r="189" ht="21" customHeight="1" s="65"/>
    <row r="190" ht="21" customHeight="1" s="65"/>
    <row r="191" ht="21" customHeight="1" s="65"/>
    <row r="192" ht="21" customHeight="1" s="65"/>
    <row r="193" ht="21" customHeight="1" s="65"/>
    <row r="194" ht="21" customHeight="1" s="65"/>
    <row r="195" ht="21" customHeight="1" s="65"/>
    <row r="196" ht="21" customHeight="1" s="65"/>
    <row r="197" ht="21" customHeight="1" s="65"/>
    <row r="198" ht="21" customHeight="1" s="65"/>
    <row r="199" ht="21" customHeight="1" s="65"/>
    <row r="200" ht="21" customHeight="1" s="65"/>
    <row r="201" ht="21" customHeight="1" s="65"/>
    <row r="202" ht="21" customHeight="1" s="65"/>
    <row r="203" ht="21" customHeight="1" s="65"/>
    <row r="204" ht="21" customHeight="1" s="65"/>
    <row r="205" ht="21" customHeight="1" s="65"/>
    <row r="206" ht="21" customHeight="1" s="65"/>
    <row r="207" ht="21" customHeight="1" s="65"/>
    <row r="208" ht="21" customHeight="1" s="65"/>
    <row r="209" ht="21" customHeight="1" s="65"/>
    <row r="210" ht="21" customHeight="1" s="65"/>
    <row r="211" ht="21" customHeight="1" s="65"/>
    <row r="212" ht="21" customHeight="1" s="65"/>
    <row r="213" ht="21" customHeight="1" s="65"/>
    <row r="214" ht="21" customHeight="1" s="65"/>
    <row r="215" ht="21" customHeight="1" s="65"/>
    <row r="216" ht="21" customHeight="1" s="65"/>
    <row r="217" ht="21" customHeight="1" s="65"/>
    <row r="218" ht="21" customHeight="1" s="65"/>
    <row r="219" ht="21" customHeight="1" s="65"/>
    <row r="220" ht="21" customHeight="1" s="65"/>
    <row r="221" ht="21" customHeight="1" s="65"/>
    <row r="222" ht="21" customHeight="1" s="65"/>
    <row r="223" ht="21" customHeight="1" s="65"/>
    <row r="224" ht="21" customHeight="1" s="65"/>
    <row r="225" ht="21" customHeight="1" s="65"/>
    <row r="226" ht="21" customHeight="1" s="65"/>
    <row r="227" ht="21" customHeight="1" s="65"/>
    <row r="228" ht="21" customHeight="1" s="65"/>
    <row r="229" ht="21" customHeight="1" s="65"/>
    <row r="230" ht="21" customHeight="1" s="65"/>
    <row r="231" ht="21" customHeight="1" s="65"/>
    <row r="232" ht="21" customHeight="1" s="65"/>
    <row r="233" ht="21" customHeight="1" s="65"/>
    <row r="234" ht="21" customHeight="1" s="65"/>
    <row r="235" ht="21" customHeight="1" s="65"/>
    <row r="236" ht="21" customHeight="1" s="65"/>
    <row r="237" ht="21" customHeight="1" s="65"/>
    <row r="238" ht="21" customHeight="1" s="65"/>
    <row r="239" ht="21" customHeight="1" s="65"/>
    <row r="240" ht="21" customHeight="1" s="65"/>
    <row r="241" ht="21" customHeight="1" s="65"/>
    <row r="242" ht="21" customHeight="1" s="65"/>
    <row r="243" ht="21" customHeight="1" s="65"/>
    <row r="244" ht="21" customHeight="1" s="65"/>
    <row r="245" ht="21" customHeight="1" s="65"/>
    <row r="246" ht="21" customHeight="1" s="65"/>
    <row r="247" ht="21" customHeight="1" s="65"/>
    <row r="248" ht="21" customHeight="1" s="65"/>
    <row r="249" ht="21" customHeight="1" s="65"/>
    <row r="250" ht="21" customHeight="1" s="65"/>
    <row r="251" ht="21" customHeight="1" s="65"/>
    <row r="252" ht="21" customHeight="1" s="65"/>
    <row r="253" ht="21" customHeight="1" s="65"/>
    <row r="254" ht="21" customHeight="1" s="65"/>
    <row r="255" ht="21" customHeight="1" s="65"/>
    <row r="256" ht="21" customHeight="1" s="65"/>
    <row r="257" ht="21" customHeight="1" s="65"/>
    <row r="258" ht="21" customHeight="1" s="65"/>
    <row r="259" ht="21" customHeight="1" s="65"/>
    <row r="260" ht="21" customHeight="1" s="65"/>
    <row r="261" ht="21" customHeight="1" s="65"/>
    <row r="262" ht="21" customHeight="1" s="65"/>
    <row r="263" ht="21" customHeight="1" s="65"/>
    <row r="264" ht="21" customHeight="1" s="65"/>
    <row r="265" ht="21" customHeight="1" s="65"/>
    <row r="266" ht="21" customHeight="1" s="65"/>
    <row r="267" ht="21" customHeight="1" s="65"/>
    <row r="268" ht="21" customHeight="1" s="65"/>
    <row r="269" ht="21" customHeight="1" s="65"/>
    <row r="270" ht="21" customHeight="1" s="65"/>
    <row r="271" ht="21" customHeight="1" s="65"/>
    <row r="272" ht="21" customHeight="1" s="65"/>
    <row r="273" ht="21" customHeight="1" s="65"/>
    <row r="274" ht="21" customHeight="1" s="65"/>
    <row r="275" ht="21" customHeight="1" s="65"/>
    <row r="276" ht="21" customHeight="1" s="65"/>
    <row r="277" ht="21" customHeight="1" s="65"/>
    <row r="278" ht="21" customHeight="1" s="65"/>
    <row r="279" ht="21" customHeight="1" s="65"/>
    <row r="280" ht="21" customHeight="1" s="65"/>
    <row r="281" ht="21" customHeight="1" s="65"/>
    <row r="282" ht="21" customHeight="1" s="65"/>
    <row r="283" ht="21" customHeight="1" s="65"/>
    <row r="284" ht="21" customHeight="1" s="65"/>
    <row r="285" ht="21" customHeight="1" s="65"/>
    <row r="286" ht="21" customHeight="1" s="65"/>
    <row r="287" ht="21" customHeight="1" s="65"/>
    <row r="288" ht="21" customHeight="1" s="65"/>
    <row r="289" ht="21" customHeight="1" s="65"/>
    <row r="290" ht="21" customHeight="1" s="65"/>
    <row r="291" ht="21" customHeight="1" s="65"/>
    <row r="292" ht="21" customHeight="1" s="65"/>
    <row r="293" ht="21" customHeight="1" s="65"/>
    <row r="294" ht="21" customHeight="1" s="65"/>
    <row r="295" ht="21" customHeight="1" s="65"/>
    <row r="296" ht="21" customHeight="1" s="65"/>
    <row r="297" ht="21" customHeight="1" s="65"/>
    <row r="298" ht="21" customHeight="1" s="65"/>
    <row r="299" ht="21" customHeight="1" s="65"/>
    <row r="300" ht="21" customHeight="1" s="65"/>
    <row r="301" ht="21" customHeight="1" s="65"/>
    <row r="302" ht="21" customHeight="1" s="65"/>
    <row r="303" ht="21" customHeight="1" s="65"/>
    <row r="304" ht="21" customHeight="1" s="65"/>
    <row r="305" ht="21" customHeight="1" s="65"/>
    <row r="306" ht="21" customHeight="1" s="65"/>
    <row r="307" ht="21" customHeight="1" s="65"/>
    <row r="308" ht="21" customHeight="1" s="65"/>
    <row r="309" ht="21" customHeight="1" s="65"/>
    <row r="310" ht="21" customHeight="1" s="65"/>
    <row r="311" ht="21" customHeight="1" s="65"/>
    <row r="312" ht="21" customHeight="1" s="65"/>
    <row r="313" ht="21" customHeight="1" s="65"/>
    <row r="314" ht="21" customHeight="1" s="65"/>
    <row r="315" ht="21" customHeight="1" s="65"/>
    <row r="316" ht="21" customHeight="1" s="65"/>
    <row r="317" ht="21" customHeight="1" s="65"/>
    <row r="318" ht="21" customHeight="1" s="65"/>
    <row r="319" ht="21" customHeight="1" s="65"/>
    <row r="320" ht="21" customHeight="1" s="65"/>
    <row r="321" ht="21" customHeight="1" s="65"/>
    <row r="322" ht="21" customHeight="1" s="65"/>
    <row r="323" ht="21" customHeight="1" s="65"/>
    <row r="324" ht="21" customHeight="1" s="65"/>
    <row r="325" ht="21" customHeight="1" s="65"/>
    <row r="326" ht="21" customHeight="1" s="65"/>
    <row r="327" ht="21" customHeight="1" s="65"/>
    <row r="328" ht="21" customHeight="1" s="65"/>
    <row r="329" ht="21" customHeight="1" s="65"/>
    <row r="330" ht="21" customHeight="1" s="65"/>
    <row r="331" ht="21" customHeight="1" s="65"/>
    <row r="332" ht="21" customHeight="1" s="65"/>
    <row r="333" ht="21" customHeight="1" s="65"/>
    <row r="334" ht="21" customHeight="1" s="65"/>
    <row r="335" ht="21" customHeight="1" s="65"/>
    <row r="336" ht="21" customHeight="1" s="65"/>
    <row r="337" ht="21" customHeight="1" s="65"/>
    <row r="338" ht="21" customHeight="1" s="65"/>
    <row r="339" ht="21" customHeight="1" s="65"/>
    <row r="340" ht="21" customHeight="1" s="65"/>
    <row r="341" ht="21" customHeight="1" s="65"/>
    <row r="342" ht="21" customHeight="1" s="65"/>
    <row r="343" ht="21" customHeight="1" s="65"/>
    <row r="344" ht="21" customHeight="1" s="65"/>
    <row r="345" ht="21" customHeight="1" s="65"/>
    <row r="346" ht="21" customHeight="1" s="65"/>
    <row r="347" ht="21" customHeight="1" s="65"/>
    <row r="348" ht="21" customHeight="1" s="65"/>
    <row r="349" ht="21" customHeight="1" s="65"/>
    <row r="350" ht="21" customHeight="1" s="65"/>
    <row r="351" ht="21" customHeight="1" s="65"/>
    <row r="352" ht="21" customHeight="1" s="65"/>
    <row r="353" ht="21" customHeight="1" s="65"/>
    <row r="354" ht="21" customHeight="1" s="65"/>
    <row r="355" ht="21" customHeight="1" s="65"/>
    <row r="356" ht="21" customHeight="1" s="65"/>
    <row r="357" ht="21" customHeight="1" s="65"/>
    <row r="358" ht="21" customHeight="1" s="65"/>
    <row r="359" ht="21" customHeight="1" s="65"/>
    <row r="360" ht="21" customHeight="1" s="65"/>
    <row r="361" ht="21" customHeight="1" s="65"/>
    <row r="362" ht="21" customHeight="1" s="65"/>
    <row r="363" ht="21" customHeight="1" s="65"/>
    <row r="364" ht="21" customHeight="1" s="65"/>
    <row r="365" ht="21" customHeight="1" s="65"/>
    <row r="366" ht="21" customHeight="1" s="65"/>
    <row r="367" ht="21" customHeight="1" s="65"/>
    <row r="368" ht="21" customHeight="1" s="65"/>
    <row r="369" ht="21" customHeight="1" s="65"/>
    <row r="370" ht="21" customHeight="1" s="65"/>
    <row r="371" ht="21" customHeight="1" s="65"/>
    <row r="372" ht="21" customHeight="1" s="65"/>
    <row r="373" ht="21" customHeight="1" s="65"/>
    <row r="374" ht="21" customHeight="1" s="65"/>
    <row r="375" ht="21" customHeight="1" s="65"/>
    <row r="376" ht="21" customHeight="1" s="65"/>
    <row r="377" ht="21" customHeight="1" s="65"/>
    <row r="378" ht="21" customHeight="1" s="65"/>
    <row r="379" ht="21" customHeight="1" s="65"/>
    <row r="380" ht="21" customHeight="1" s="65"/>
    <row r="381" ht="21" customHeight="1" s="65"/>
    <row r="382" ht="21" customHeight="1" s="65"/>
    <row r="383" ht="21" customHeight="1" s="65"/>
    <row r="384" ht="21" customHeight="1" s="65"/>
    <row r="385" ht="21" customHeight="1" s="65"/>
    <row r="386" ht="21" customHeight="1" s="65"/>
    <row r="387" ht="21" customHeight="1" s="65"/>
    <row r="388" ht="21" customHeight="1" s="65"/>
    <row r="389" ht="21" customHeight="1" s="65"/>
    <row r="390" ht="21" customHeight="1" s="65"/>
    <row r="391" ht="21" customHeight="1" s="65"/>
    <row r="392" ht="21" customHeight="1" s="65"/>
    <row r="393" ht="21" customHeight="1" s="65"/>
    <row r="394" ht="21" customHeight="1" s="65"/>
    <row r="395" ht="21" customHeight="1" s="65"/>
    <row r="396" ht="21" customHeight="1" s="65"/>
    <row r="397" ht="21" customHeight="1" s="65"/>
    <row r="398" ht="21" customHeight="1" s="65"/>
    <row r="399" ht="21" customHeight="1" s="65"/>
    <row r="400" ht="21" customHeight="1" s="65"/>
    <row r="401" ht="21" customHeight="1" s="65"/>
    <row r="402" ht="21" customHeight="1" s="65"/>
    <row r="403" ht="21" customHeight="1" s="65"/>
    <row r="404" ht="21" customHeight="1" s="65"/>
    <row r="405" ht="21" customHeight="1" s="65"/>
    <row r="406" ht="21" customHeight="1" s="65"/>
    <row r="407" ht="21" customHeight="1" s="65"/>
    <row r="408" ht="21" customHeight="1" s="65"/>
    <row r="409" ht="21" customHeight="1" s="65"/>
    <row r="410" ht="21" customHeight="1" s="65"/>
    <row r="411" ht="21" customHeight="1" s="65"/>
    <row r="412" ht="21" customHeight="1" s="65"/>
    <row r="413" ht="21" customHeight="1" s="65"/>
    <row r="414" ht="21" customHeight="1" s="65"/>
    <row r="415" ht="21" customHeight="1" s="65"/>
    <row r="416" ht="21" customHeight="1" s="65"/>
    <row r="417" ht="21" customHeight="1" s="65"/>
    <row r="418" ht="21" customHeight="1" s="65"/>
    <row r="419" ht="21" customHeight="1" s="65"/>
    <row r="420" ht="21" customHeight="1" s="65"/>
    <row r="421" ht="21" customHeight="1" s="65"/>
    <row r="422" ht="21" customHeight="1" s="65"/>
    <row r="423" ht="21" customHeight="1" s="65"/>
    <row r="424" ht="21" customHeight="1" s="65"/>
    <row r="425" ht="21" customHeight="1" s="65"/>
    <row r="426" ht="21" customHeight="1" s="65"/>
    <row r="427" ht="21" customHeight="1" s="65"/>
    <row r="428" ht="21" customHeight="1" s="65"/>
    <row r="429" ht="21" customHeight="1" s="65"/>
    <row r="430" ht="21" customHeight="1" s="65"/>
    <row r="431" ht="21" customHeight="1" s="65"/>
    <row r="432" ht="21" customHeight="1" s="65"/>
    <row r="433" ht="21" customHeight="1" s="65"/>
    <row r="434" ht="21" customHeight="1" s="65"/>
    <row r="435" ht="21" customHeight="1" s="65"/>
    <row r="436" ht="21" customHeight="1" s="65"/>
    <row r="437" ht="21" customHeight="1" s="65"/>
    <row r="438" ht="21" customHeight="1" s="65"/>
    <row r="439" ht="21" customHeight="1" s="65"/>
    <row r="440" ht="21" customHeight="1" s="65"/>
    <row r="441" ht="21" customHeight="1" s="65"/>
    <row r="442" ht="21" customHeight="1" s="65"/>
    <row r="443" ht="21" customHeight="1" s="65"/>
    <row r="444" ht="21" customHeight="1" s="65"/>
    <row r="445" ht="21" customHeight="1" s="65"/>
    <row r="446" ht="21" customHeight="1" s="65"/>
    <row r="447" ht="21" customHeight="1" s="65"/>
    <row r="448" ht="21" customHeight="1" s="65"/>
    <row r="449" ht="21" customHeight="1" s="65"/>
    <row r="450" ht="21" customHeight="1" s="65"/>
    <row r="451" ht="21" customHeight="1" s="65"/>
    <row r="452" ht="21" customHeight="1" s="65"/>
    <row r="453" ht="21" customHeight="1" s="65"/>
    <row r="454" ht="21" customHeight="1" s="65"/>
    <row r="455" ht="21" customHeight="1" s="65"/>
    <row r="456" ht="21" customHeight="1" s="65"/>
    <row r="457" ht="21" customHeight="1" s="65"/>
    <row r="458" ht="21" customHeight="1" s="65"/>
    <row r="459" ht="21" customHeight="1" s="65"/>
    <row r="460" ht="21" customHeight="1" s="65"/>
    <row r="461" ht="21" customHeight="1" s="65"/>
    <row r="462" ht="21" customHeight="1" s="65"/>
    <row r="463" ht="21" customHeight="1" s="65"/>
    <row r="464" ht="21" customHeight="1" s="65"/>
    <row r="465" ht="21" customHeight="1" s="65"/>
    <row r="466" ht="21" customHeight="1" s="65"/>
    <row r="467" ht="21" customHeight="1" s="65"/>
    <row r="468" ht="21" customHeight="1" s="65"/>
    <row r="469" ht="21" customHeight="1" s="65"/>
    <row r="470" ht="21" customHeight="1" s="65"/>
    <row r="471" ht="21" customHeight="1" s="65"/>
    <row r="472" ht="21" customHeight="1" s="65"/>
    <row r="473" ht="21" customHeight="1" s="65"/>
    <row r="474" ht="21" customHeight="1" s="65"/>
    <row r="475" ht="21" customHeight="1" s="65"/>
    <row r="476" ht="21" customHeight="1" s="65"/>
    <row r="477" ht="21" customHeight="1" s="65"/>
    <row r="478" ht="21" customHeight="1" s="65"/>
    <row r="479" ht="21" customHeight="1" s="65"/>
    <row r="480" ht="21" customHeight="1" s="65"/>
    <row r="481" ht="21" customHeight="1" s="65"/>
    <row r="482" ht="21" customHeight="1" s="65"/>
    <row r="483" ht="21" customHeight="1" s="65"/>
    <row r="484" ht="21" customHeight="1" s="65"/>
    <row r="485" ht="21" customHeight="1" s="65"/>
    <row r="486" ht="21" customHeight="1" s="65"/>
    <row r="487" ht="21" customHeight="1" s="65"/>
    <row r="488" ht="21" customHeight="1" s="65"/>
    <row r="489" ht="21" customHeight="1" s="65"/>
    <row r="490" ht="21" customHeight="1" s="65"/>
    <row r="491" ht="21" customHeight="1" s="65"/>
    <row r="492" ht="21" customHeight="1" s="65"/>
    <row r="493" ht="21" customHeight="1" s="65"/>
    <row r="494" ht="21" customHeight="1" s="65"/>
    <row r="495" ht="21" customHeight="1" s="65"/>
    <row r="496" ht="21" customHeight="1" s="65"/>
    <row r="497" ht="21" customHeight="1" s="65"/>
    <row r="498" ht="21" customHeight="1" s="65"/>
    <row r="499" ht="21" customHeight="1" s="65"/>
    <row r="500" ht="21" customHeight="1" s="65"/>
    <row r="501" ht="21" customHeight="1" s="65"/>
    <row r="502" ht="21" customHeight="1" s="65"/>
    <row r="503" ht="21" customHeight="1" s="65"/>
    <row r="504" ht="21" customHeight="1" s="65"/>
    <row r="505" ht="21" customHeight="1" s="65"/>
    <row r="506" ht="21" customHeight="1" s="65"/>
    <row r="507" ht="21" customHeight="1" s="65"/>
    <row r="508" ht="21" customHeight="1" s="65"/>
    <row r="509" ht="21" customHeight="1" s="65"/>
    <row r="510" ht="21" customHeight="1" s="65"/>
    <row r="511" ht="21" customHeight="1" s="65"/>
    <row r="512" ht="21" customHeight="1" s="65"/>
    <row r="513" ht="21" customHeight="1" s="65"/>
    <row r="514" ht="21" customHeight="1" s="65"/>
    <row r="515" ht="21" customHeight="1" s="65"/>
    <row r="516" ht="21" customHeight="1" s="65"/>
    <row r="517" ht="21" customHeight="1" s="65"/>
    <row r="518" ht="21" customHeight="1" s="65"/>
    <row r="519" ht="21" customHeight="1" s="65"/>
    <row r="520" ht="21" customHeight="1" s="65"/>
    <row r="521" ht="21" customHeight="1" s="65"/>
    <row r="522" ht="21" customHeight="1" s="65"/>
    <row r="523" ht="21" customHeight="1" s="65"/>
    <row r="524" ht="21" customHeight="1" s="65"/>
    <row r="525" ht="21" customHeight="1" s="65"/>
    <row r="526" ht="21" customHeight="1" s="65"/>
    <row r="527" ht="21" customHeight="1" s="65"/>
    <row r="528" ht="21" customHeight="1" s="65"/>
    <row r="529" ht="21" customHeight="1" s="65"/>
    <row r="530" ht="21" customHeight="1" s="65"/>
    <row r="531" ht="21" customHeight="1" s="65"/>
    <row r="532" ht="21" customHeight="1" s="65"/>
    <row r="533" ht="21" customHeight="1" s="65"/>
    <row r="534" ht="21" customHeight="1" s="65"/>
    <row r="535" ht="21" customHeight="1" s="65"/>
    <row r="536" ht="21" customHeight="1" s="65"/>
    <row r="537" ht="21" customHeight="1" s="65"/>
    <row r="538" ht="21" customHeight="1" s="65"/>
    <row r="539" ht="21" customHeight="1" s="65"/>
    <row r="540" ht="21" customHeight="1" s="65"/>
    <row r="541" ht="21" customHeight="1" s="65"/>
    <row r="542" ht="21" customHeight="1" s="65"/>
    <row r="543" ht="21" customHeight="1" s="65"/>
    <row r="544" ht="21" customHeight="1" s="65"/>
    <row r="545" ht="21" customHeight="1" s="65"/>
    <row r="546" ht="21" customHeight="1" s="65"/>
    <row r="547" ht="21" customHeight="1" s="65"/>
    <row r="548" ht="21" customHeight="1" s="65"/>
    <row r="549" ht="21" customHeight="1" s="65"/>
    <row r="550" ht="21" customHeight="1" s="65"/>
    <row r="551" ht="21" customHeight="1" s="65"/>
    <row r="552" ht="21" customHeight="1" s="65"/>
    <row r="553" ht="21" customHeight="1" s="65"/>
    <row r="554" ht="21" customHeight="1" s="65"/>
    <row r="555" ht="21" customHeight="1" s="65"/>
    <row r="556" ht="21" customHeight="1" s="65"/>
    <row r="557" ht="21" customHeight="1" s="65"/>
    <row r="558" ht="21" customHeight="1" s="65"/>
    <row r="559" ht="21" customHeight="1" s="65"/>
    <row r="560" ht="21" customHeight="1" s="65"/>
    <row r="561" ht="21" customHeight="1" s="65"/>
    <row r="562" ht="21" customHeight="1" s="65"/>
    <row r="563" ht="21" customHeight="1" s="65"/>
    <row r="564" ht="21" customHeight="1" s="65"/>
    <row r="565" ht="21" customHeight="1" s="65"/>
    <row r="566" ht="21" customHeight="1" s="65"/>
    <row r="567" ht="21" customHeight="1" s="65"/>
    <row r="568" ht="21" customHeight="1" s="65"/>
    <row r="569" ht="21" customHeight="1" s="65"/>
    <row r="570" ht="21" customHeight="1" s="65"/>
    <row r="571" ht="21" customHeight="1" s="65"/>
    <row r="572" ht="21" customHeight="1" s="65"/>
    <row r="573" ht="21" customHeight="1" s="65"/>
    <row r="574" ht="21" customHeight="1" s="65"/>
    <row r="575" ht="21" customHeight="1" s="65"/>
    <row r="576" ht="21" customHeight="1" s="65"/>
    <row r="577" ht="21" customHeight="1" s="65"/>
    <row r="578" ht="21" customHeight="1" s="65"/>
    <row r="579" ht="21" customHeight="1" s="65"/>
    <row r="580" ht="21" customHeight="1" s="65"/>
    <row r="581" ht="21" customHeight="1" s="65"/>
    <row r="582" ht="21" customHeight="1" s="65"/>
    <row r="583" ht="21" customHeight="1" s="65"/>
    <row r="584" ht="21" customHeight="1" s="65"/>
    <row r="585" ht="21" customHeight="1" s="65"/>
    <row r="586" ht="21" customHeight="1" s="65"/>
    <row r="587" ht="21" customHeight="1" s="65"/>
    <row r="588" ht="21" customHeight="1" s="65"/>
    <row r="589" ht="21" customHeight="1" s="65"/>
    <row r="590" ht="21" customHeight="1" s="65"/>
    <row r="591" ht="21" customHeight="1" s="65"/>
    <row r="592" ht="21" customHeight="1" s="65"/>
    <row r="593" ht="21" customHeight="1" s="65"/>
    <row r="594" ht="21" customHeight="1" s="65"/>
    <row r="595" ht="21" customHeight="1" s="65"/>
    <row r="596" ht="21" customHeight="1" s="65"/>
    <row r="597" ht="21" customHeight="1" s="65"/>
    <row r="598" ht="21" customHeight="1" s="65"/>
    <row r="599" ht="21" customHeight="1" s="65"/>
    <row r="600" ht="21" customHeight="1" s="65"/>
    <row r="601" ht="21" customHeight="1" s="65"/>
    <row r="602" ht="21" customHeight="1" s="65"/>
    <row r="603" ht="21" customHeight="1" s="65"/>
    <row r="604" ht="21" customHeight="1" s="65"/>
    <row r="605" ht="21" customHeight="1" s="65"/>
    <row r="606" ht="21" customHeight="1" s="65"/>
    <row r="607" ht="21" customHeight="1" s="65"/>
    <row r="608" ht="21" customHeight="1" s="65"/>
    <row r="609" ht="21" customHeight="1" s="65"/>
    <row r="610" ht="21" customHeight="1" s="65"/>
    <row r="611" ht="21" customHeight="1" s="65"/>
    <row r="612" ht="21" customHeight="1" s="65"/>
    <row r="613" ht="21" customHeight="1" s="65"/>
    <row r="614" ht="21" customHeight="1" s="65"/>
    <row r="615" ht="21" customHeight="1" s="65"/>
    <row r="616" ht="21" customHeight="1" s="65"/>
    <row r="617" ht="21" customHeight="1" s="65"/>
    <row r="618" ht="21" customHeight="1" s="65"/>
    <row r="619" ht="21" customHeight="1" s="65"/>
    <row r="620" ht="21" customHeight="1" s="65"/>
    <row r="621" ht="21" customHeight="1" s="65"/>
    <row r="622" ht="21" customHeight="1" s="65"/>
    <row r="623" ht="21" customHeight="1" s="65"/>
    <row r="624" ht="21" customHeight="1" s="65"/>
    <row r="625" ht="21" customHeight="1" s="65"/>
    <row r="626" ht="21" customHeight="1" s="65"/>
    <row r="627" ht="21" customHeight="1" s="65"/>
    <row r="628" ht="21" customHeight="1" s="65"/>
    <row r="629" ht="21" customHeight="1" s="65"/>
    <row r="630" ht="21" customHeight="1" s="65"/>
    <row r="631" ht="21" customHeight="1" s="65"/>
    <row r="632" ht="21" customHeight="1" s="65"/>
    <row r="633" ht="21" customHeight="1" s="65"/>
    <row r="634" ht="21" customHeight="1" s="65"/>
    <row r="635" ht="21" customHeight="1" s="65"/>
    <row r="636" ht="21" customHeight="1" s="65"/>
    <row r="637" ht="21" customHeight="1" s="65"/>
    <row r="638" ht="21" customHeight="1" s="65"/>
    <row r="639" ht="21" customHeight="1" s="65"/>
    <row r="640" ht="21" customHeight="1" s="65"/>
    <row r="641" ht="21" customHeight="1" s="65"/>
    <row r="642" ht="21" customHeight="1" s="65"/>
    <row r="643" ht="21" customHeight="1" s="65"/>
    <row r="644" ht="21" customHeight="1" s="65"/>
    <row r="645" ht="21" customHeight="1" s="65"/>
    <row r="646" ht="21" customHeight="1" s="65"/>
    <row r="647" ht="21" customHeight="1" s="65"/>
    <row r="648" ht="21" customHeight="1" s="65"/>
    <row r="649" ht="21" customHeight="1" s="65"/>
    <row r="650" ht="21" customHeight="1" s="65"/>
    <row r="651" ht="21" customHeight="1" s="65"/>
    <row r="652" ht="21" customHeight="1" s="65"/>
    <row r="653" ht="21" customHeight="1" s="65"/>
    <row r="654" ht="21" customHeight="1" s="65"/>
    <row r="655" ht="21" customHeight="1" s="65"/>
    <row r="656" ht="21" customHeight="1" s="65"/>
    <row r="657" ht="21" customHeight="1" s="65"/>
    <row r="658" ht="21" customHeight="1" s="65"/>
    <row r="659" ht="21" customHeight="1" s="65"/>
    <row r="660" ht="21" customHeight="1" s="65"/>
    <row r="661" ht="21" customHeight="1" s="65"/>
    <row r="662" ht="21" customHeight="1" s="65"/>
    <row r="663" ht="21" customHeight="1" s="65"/>
    <row r="664" ht="21" customHeight="1" s="65"/>
    <row r="665" ht="21" customHeight="1" s="65"/>
    <row r="666" ht="21" customHeight="1" s="65"/>
    <row r="667" ht="21" customHeight="1" s="65"/>
    <row r="668" ht="21" customHeight="1" s="65"/>
    <row r="669" ht="21" customHeight="1" s="65"/>
    <row r="670" ht="21" customHeight="1" s="65"/>
    <row r="671" ht="21" customHeight="1" s="65"/>
    <row r="672" ht="21" customHeight="1" s="65"/>
    <row r="673" ht="21" customHeight="1" s="65"/>
    <row r="674" ht="21" customHeight="1" s="65"/>
    <row r="675" ht="21" customHeight="1" s="65"/>
    <row r="676" ht="21" customHeight="1" s="65"/>
    <row r="677" ht="21" customHeight="1" s="65"/>
    <row r="678" ht="21" customHeight="1" s="65"/>
    <row r="679" ht="21" customHeight="1" s="65"/>
    <row r="680" ht="21" customHeight="1" s="65"/>
    <row r="681" ht="21" customHeight="1" s="65"/>
    <row r="682" ht="21" customHeight="1" s="65"/>
    <row r="683" ht="21" customHeight="1" s="65"/>
    <row r="684" ht="21" customHeight="1" s="65"/>
    <row r="685" ht="21" customHeight="1" s="65"/>
    <row r="686" ht="21" customHeight="1" s="65"/>
    <row r="687" ht="21" customHeight="1" s="65"/>
    <row r="688" ht="21" customHeight="1" s="65"/>
    <row r="689" ht="21" customHeight="1" s="65"/>
    <row r="690" ht="21" customHeight="1" s="65"/>
    <row r="691" ht="21" customHeight="1" s="65"/>
    <row r="692" ht="21" customHeight="1" s="65"/>
    <row r="693" ht="21" customHeight="1" s="65"/>
    <row r="694" ht="21" customHeight="1" s="65"/>
    <row r="695" ht="21" customHeight="1" s="65"/>
    <row r="696" ht="21" customHeight="1" s="65"/>
    <row r="697" ht="21" customHeight="1" s="65"/>
    <row r="698" ht="21" customHeight="1" s="65"/>
    <row r="699" ht="21" customHeight="1" s="65"/>
    <row r="700" ht="21" customHeight="1" s="65"/>
    <row r="701" ht="21" customHeight="1" s="65"/>
    <row r="702" ht="21" customHeight="1" s="65"/>
    <row r="703" ht="21" customHeight="1" s="65"/>
    <row r="704" ht="21" customHeight="1" s="65"/>
    <row r="705" ht="21" customHeight="1" s="65"/>
    <row r="706" ht="21" customHeight="1" s="65"/>
    <row r="707" ht="21" customHeight="1" s="65"/>
    <row r="708" ht="21" customHeight="1" s="65"/>
    <row r="709" ht="21" customHeight="1" s="65"/>
    <row r="710" ht="21" customHeight="1" s="65"/>
    <row r="711" ht="21" customHeight="1" s="65"/>
    <row r="712" ht="21" customHeight="1" s="65"/>
    <row r="713" ht="21" customHeight="1" s="65"/>
    <row r="714" ht="21" customHeight="1" s="65"/>
    <row r="715" ht="21" customHeight="1" s="65"/>
    <row r="716" ht="21" customHeight="1" s="65"/>
    <row r="717" ht="21" customHeight="1" s="65"/>
    <row r="718" ht="21" customHeight="1" s="65"/>
    <row r="719" ht="21" customHeight="1" s="65"/>
    <row r="720" ht="21" customHeight="1" s="65"/>
    <row r="721" ht="21" customHeight="1" s="65"/>
    <row r="722" ht="21" customHeight="1" s="65"/>
    <row r="723" ht="21" customHeight="1" s="65"/>
    <row r="724" ht="21" customHeight="1" s="65"/>
    <row r="725" ht="21" customHeight="1" s="65"/>
    <row r="726" ht="21" customHeight="1" s="65"/>
    <row r="727" ht="21" customHeight="1" s="65"/>
    <row r="728" ht="21" customHeight="1" s="65"/>
    <row r="729" ht="21" customHeight="1" s="65"/>
    <row r="730" ht="21" customHeight="1" s="65"/>
    <row r="731" ht="21" customHeight="1" s="65"/>
    <row r="732" ht="21" customHeight="1" s="65"/>
    <row r="733" ht="21" customHeight="1" s="65"/>
    <row r="734" ht="21" customHeight="1" s="65"/>
    <row r="735" ht="21" customHeight="1" s="65"/>
    <row r="736" ht="21" customHeight="1" s="65"/>
    <row r="737" ht="21" customHeight="1" s="65"/>
    <row r="738" ht="21" customHeight="1" s="65"/>
    <row r="739" ht="21" customHeight="1" s="65"/>
    <row r="740" ht="21" customHeight="1" s="65"/>
    <row r="741" ht="21" customHeight="1" s="65"/>
    <row r="742" ht="21" customHeight="1" s="65"/>
    <row r="743" ht="21" customHeight="1" s="65"/>
    <row r="744" ht="21" customHeight="1" s="65"/>
    <row r="745" ht="21" customHeight="1" s="65"/>
    <row r="746" ht="21" customHeight="1" s="65"/>
    <row r="747" ht="21" customHeight="1" s="65"/>
    <row r="748" ht="21" customHeight="1" s="65"/>
    <row r="749" ht="21" customHeight="1" s="65"/>
  </sheetData>
  <mergeCells count="3">
    <mergeCell ref="B1:H1"/>
    <mergeCell ref="F5:H6"/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5287A5"/>
    <outlinePr summaryBelow="1" summaryRight="1"/>
    <pageSetUpPr/>
  </sheetPr>
  <dimension ref="C1:N527"/>
  <sheetViews>
    <sheetView workbookViewId="0">
      <selection activeCell="A1" sqref="A1"/>
    </sheetView>
  </sheetViews>
  <sheetFormatPr baseColWidth="10" defaultColWidth="9.140625" defaultRowHeight="15"/>
  <cols>
    <col width="9.140625" customWidth="1" style="39" min="1" max="2"/>
    <col width="24" customWidth="1" style="65" min="3" max="3"/>
    <col width="32" customWidth="1" style="65" min="4" max="4"/>
    <col width="40" customWidth="1" style="65" min="5" max="5"/>
    <col width="18" customWidth="1" style="65" min="6" max="6"/>
    <col width="14" customWidth="1" style="65" min="7" max="7"/>
    <col width="30" customWidth="1" style="65" min="8" max="8"/>
    <col hidden="1" width="28" customWidth="1" style="65" min="9" max="9"/>
    <col width="9.140625" customWidth="1" style="39" min="10" max="10"/>
    <col width="9.140625" customWidth="1" style="39" min="15" max="19"/>
  </cols>
  <sheetData>
    <row r="1" ht="21" customHeight="1" s="65">
      <c r="C1" s="58" t="inlineStr">
        <is>
          <t>ACTIVOS</t>
        </is>
      </c>
      <c r="D1" s="89" t="n"/>
      <c r="E1" s="89" t="n"/>
      <c r="F1" s="89" t="n"/>
      <c r="G1" s="89" t="n"/>
      <c r="H1" s="89" t="n"/>
      <c r="I1" s="90" t="n"/>
      <c r="K1" s="39" t="n"/>
      <c r="L1" s="39" t="n"/>
      <c r="M1" s="39" t="n"/>
      <c r="N1" s="39" t="n"/>
    </row>
    <row r="2" ht="21" customHeight="1" s="65">
      <c r="C2" s="59" t="inlineStr">
        <is>
          <t>Registra todos los recursos de la empresa. El Balance General se autocompleta con esta información.</t>
        </is>
      </c>
      <c r="D2" s="89" t="n"/>
      <c r="E2" s="89" t="n"/>
      <c r="F2" s="89" t="n"/>
      <c r="G2" s="89" t="n"/>
      <c r="H2" s="89" t="n"/>
      <c r="I2" s="90" t="n"/>
      <c r="K2" s="39" t="n"/>
      <c r="L2" s="39" t="n"/>
      <c r="M2" s="39" t="n"/>
      <c r="N2" s="39" t="n"/>
    </row>
    <row r="3" ht="21" customFormat="1" customHeight="1" s="39"/>
    <row r="4" ht="21" customHeight="1" s="65">
      <c r="C4" s="8" t="inlineStr">
        <is>
          <t>Categoría</t>
        </is>
      </c>
      <c r="D4" s="8" t="inlineStr">
        <is>
          <t>Cuenta / Ítem</t>
        </is>
      </c>
      <c r="E4" s="8" t="inlineStr">
        <is>
          <t>Descripción</t>
        </is>
      </c>
      <c r="F4" s="8" t="inlineStr">
        <is>
          <t>Monto</t>
        </is>
      </c>
      <c r="G4" s="8" t="inlineStr">
        <is>
          <t>Orden</t>
        </is>
      </c>
      <c r="H4" s="8" t="inlineStr">
        <is>
          <t>Nota</t>
        </is>
      </c>
      <c r="I4" s="1" t="inlineStr">
        <is>
          <t>Clave automática</t>
        </is>
      </c>
      <c r="K4" s="69" t="inlineStr">
        <is>
          <t>Registro de activos</t>
        </is>
      </c>
      <c r="L4" s="89" t="n"/>
      <c r="M4" s="89" t="n"/>
      <c r="N4" s="90" t="n"/>
    </row>
    <row r="5" ht="21" customHeight="1" s="65">
      <c r="C5" s="16" t="inlineStr">
        <is>
          <t>Activo corriente</t>
        </is>
      </c>
      <c r="D5" s="16" t="inlineStr">
        <is>
          <t>Caja</t>
        </is>
      </c>
      <c r="E5" s="16" t="inlineStr">
        <is>
          <t>Dinero en efectivo disponible</t>
        </is>
      </c>
      <c r="F5" s="103" t="n">
        <v>1200000</v>
      </c>
      <c r="G5" s="25" t="n">
        <v>1</v>
      </c>
      <c r="H5" s="16" t="n"/>
      <c r="I5" s="7">
        <f>IF(C5="","",C5&amp;"|"&amp;COUNTIF($C$5:C5,C5))</f>
        <v/>
      </c>
      <c r="K5" s="70" t="inlineStr">
        <is>
          <t>Ingrese aquí todos los bienes y derechos que posee la empresa. Seleccione si corresponde a Activo corriente o Activo no corriente, escriba el nombre de la cuenta y luego ingrese el monto correspondiente. No escriba totales manuales, ya que el archivo los calcula automáticamente y los lleva al Balance General.</t>
        </is>
      </c>
      <c r="L5" s="91" t="n"/>
      <c r="M5" s="91" t="n"/>
      <c r="N5" s="92" t="n"/>
    </row>
    <row r="6" ht="21" customHeight="1" s="65">
      <c r="C6" s="16" t="inlineStr">
        <is>
          <t>Activo corriente</t>
        </is>
      </c>
      <c r="D6" s="16" t="inlineStr">
        <is>
          <t>Banco</t>
        </is>
      </c>
      <c r="E6" s="16" t="inlineStr">
        <is>
          <t>Saldo en cuenta bancaria</t>
        </is>
      </c>
      <c r="F6" s="103" t="n">
        <v>8500000</v>
      </c>
      <c r="G6" s="25" t="n">
        <v>2</v>
      </c>
      <c r="H6" s="16" t="n"/>
      <c r="I6" s="7">
        <f>IF(C6="","",C6&amp;"|"&amp;COUNTIF($C$5:C6,C6))</f>
        <v/>
      </c>
      <c r="K6" s="96" t="n"/>
      <c r="N6" s="97" t="n"/>
    </row>
    <row r="7" ht="21" customHeight="1" s="65">
      <c r="C7" s="16" t="inlineStr">
        <is>
          <t>Activo corriente</t>
        </is>
      </c>
      <c r="D7" s="16" t="inlineStr">
        <is>
          <t>Clientes por cobrar</t>
        </is>
      </c>
      <c r="E7" s="16" t="inlineStr">
        <is>
          <t>Ventas pendientes de cobro</t>
        </is>
      </c>
      <c r="F7" s="103" t="n">
        <v>3200000</v>
      </c>
      <c r="G7" s="25" t="n">
        <v>3</v>
      </c>
      <c r="H7" s="16" t="n"/>
      <c r="I7" s="7">
        <f>IF(C7="","",C7&amp;"|"&amp;COUNTIF($C$5:C7,C7))</f>
        <v/>
      </c>
      <c r="K7" s="96" t="n"/>
      <c r="N7" s="97" t="n"/>
    </row>
    <row r="8" ht="21" customHeight="1" s="65">
      <c r="C8" s="16" t="inlineStr">
        <is>
          <t>Activo corriente</t>
        </is>
      </c>
      <c r="D8" s="16" t="inlineStr">
        <is>
          <t>Inventario</t>
        </is>
      </c>
      <c r="E8" s="16" t="inlineStr">
        <is>
          <t>Mercadería o productos disponibles</t>
        </is>
      </c>
      <c r="F8" s="103" t="n">
        <v>4600000</v>
      </c>
      <c r="G8" s="25" t="n">
        <v>4</v>
      </c>
      <c r="H8" s="16" t="n"/>
      <c r="I8" s="7">
        <f>IF(C8="","",C8&amp;"|"&amp;COUNTIF($C$5:C8,C8))</f>
        <v/>
      </c>
      <c r="K8" s="96" t="n"/>
      <c r="N8" s="97" t="n"/>
    </row>
    <row r="9" ht="21" customHeight="1" s="65">
      <c r="C9" s="16" t="inlineStr">
        <is>
          <t>Activo no corriente</t>
        </is>
      </c>
      <c r="D9" s="16" t="inlineStr">
        <is>
          <t>Equipos</t>
        </is>
      </c>
      <c r="E9" s="16" t="inlineStr">
        <is>
          <t>Equipos usados en el negocio</t>
        </is>
      </c>
      <c r="F9" s="103" t="n">
        <v>3500000</v>
      </c>
      <c r="G9" s="25" t="n">
        <v>1</v>
      </c>
      <c r="H9" s="16" t="n"/>
      <c r="I9" s="7">
        <f>IF(C9="","",C9&amp;"|"&amp;COUNTIF($C$5:C9,C9))</f>
        <v/>
      </c>
      <c r="K9" s="96" t="n"/>
      <c r="N9" s="97" t="n"/>
    </row>
    <row r="10" ht="21" customHeight="1" s="65">
      <c r="C10" s="16" t="inlineStr">
        <is>
          <t>Activo no corriente</t>
        </is>
      </c>
      <c r="D10" s="16" t="inlineStr">
        <is>
          <t>Muebles</t>
        </is>
      </c>
      <c r="E10" s="16" t="inlineStr">
        <is>
          <t>Mobiliario de oficina o local</t>
        </is>
      </c>
      <c r="F10" s="103" t="n">
        <v>1800000</v>
      </c>
      <c r="G10" s="25" t="n">
        <v>2</v>
      </c>
      <c r="H10" s="16" t="n"/>
      <c r="I10" s="7">
        <f>IF(C10="","",C10&amp;"|"&amp;COUNTIF($C$5:C10,C10))</f>
        <v/>
      </c>
      <c r="K10" s="96" t="n"/>
      <c r="N10" s="97" t="n"/>
    </row>
    <row r="11" ht="21" customHeight="1" s="65">
      <c r="C11" s="16" t="inlineStr">
        <is>
          <t>Activo no corriente</t>
        </is>
      </c>
      <c r="D11" s="16" t="inlineStr">
        <is>
          <t>Maquinaria</t>
        </is>
      </c>
      <c r="E11" s="16" t="inlineStr">
        <is>
          <t>Herramientas o maquinaria productiva</t>
        </is>
      </c>
      <c r="F11" s="103" t="n">
        <v>5200000</v>
      </c>
      <c r="G11" s="25" t="n">
        <v>3</v>
      </c>
      <c r="H11" s="16" t="n"/>
      <c r="I11" s="7">
        <f>IF(C11="","",C11&amp;"|"&amp;COUNTIF($C$5:C11,C11))</f>
        <v/>
      </c>
      <c r="K11" s="96" t="n"/>
      <c r="N11" s="97" t="n"/>
    </row>
    <row r="12" ht="21" customHeight="1" s="65">
      <c r="C12" s="16" t="n"/>
      <c r="D12" s="16" t="n"/>
      <c r="E12" s="16" t="n"/>
      <c r="F12" s="103" t="n"/>
      <c r="G12" s="25" t="n"/>
      <c r="H12" s="16" t="n"/>
      <c r="I12" s="7">
        <f>IF(C12="","",C12&amp;"|"&amp;COUNTIF($C$5:C12,C12))</f>
        <v/>
      </c>
      <c r="K12" s="93" t="n"/>
      <c r="L12" s="94" t="n"/>
      <c r="M12" s="94" t="n"/>
      <c r="N12" s="95" t="n"/>
    </row>
    <row r="13" ht="21" customHeight="1" s="65">
      <c r="C13" s="16" t="n"/>
      <c r="D13" s="16" t="n"/>
      <c r="E13" s="16" t="n"/>
      <c r="F13" s="103" t="n"/>
      <c r="G13" s="25" t="n"/>
      <c r="H13" s="16" t="n"/>
      <c r="I13" s="7">
        <f>IF(C13="","",C13&amp;"|"&amp;COUNTIF($C$5:C13,C13))</f>
        <v/>
      </c>
      <c r="K13" s="39" t="n"/>
      <c r="L13" s="39" t="n"/>
      <c r="M13" s="39" t="n"/>
      <c r="N13" s="39" t="n"/>
    </row>
    <row r="14" ht="21" customHeight="1" s="65">
      <c r="C14" s="16" t="n"/>
      <c r="D14" s="16" t="n"/>
      <c r="E14" s="16" t="n"/>
      <c r="F14" s="103" t="n"/>
      <c r="G14" s="25" t="n"/>
      <c r="H14" s="16" t="n"/>
      <c r="I14" s="7">
        <f>IF(C14="","",C14&amp;"|"&amp;COUNTIF($C$5:C14,C14))</f>
        <v/>
      </c>
      <c r="K14" s="68" t="inlineStr">
        <is>
          <t>Ejemplos: caja, banco, cuentas por cobrar, mercaderías, maquinaria, vehículos, muebles, equipos.</t>
        </is>
      </c>
      <c r="L14" s="91" t="n"/>
      <c r="M14" s="91" t="n"/>
      <c r="N14" s="92" t="n"/>
    </row>
    <row r="15" ht="21" customHeight="1" s="65">
      <c r="C15" s="16" t="n"/>
      <c r="D15" s="16" t="n"/>
      <c r="E15" s="16" t="n"/>
      <c r="F15" s="103" t="n"/>
      <c r="G15" s="25" t="n"/>
      <c r="H15" s="16" t="n"/>
      <c r="I15" s="7">
        <f>IF(C15="","",C15&amp;"|"&amp;COUNTIF($C$5:C15,C15))</f>
        <v/>
      </c>
      <c r="K15" s="96" t="n"/>
      <c r="N15" s="97" t="n"/>
    </row>
    <row r="16" ht="21" customHeight="1" s="65">
      <c r="C16" s="16" t="n"/>
      <c r="D16" s="16" t="n"/>
      <c r="E16" s="16" t="n"/>
      <c r="F16" s="103" t="n"/>
      <c r="G16" s="25" t="n"/>
      <c r="H16" s="16" t="n"/>
      <c r="I16" s="7">
        <f>IF(C16="","",C16&amp;"|"&amp;COUNTIF($C$5:C16,C16))</f>
        <v/>
      </c>
      <c r="K16" s="93" t="n"/>
      <c r="L16" s="94" t="n"/>
      <c r="M16" s="94" t="n"/>
      <c r="N16" s="95" t="n"/>
    </row>
    <row r="17" ht="21" customHeight="1" s="65">
      <c r="C17" s="16" t="n"/>
      <c r="D17" s="16" t="n"/>
      <c r="E17" s="16" t="n"/>
      <c r="F17" s="103" t="n"/>
      <c r="G17" s="25" t="n"/>
      <c r="H17" s="16" t="n"/>
      <c r="I17" s="7">
        <f>IF(C17="","",C17&amp;"|"&amp;COUNTIF($C$5:C17,C17))</f>
        <v/>
      </c>
      <c r="K17" s="39" t="n"/>
      <c r="L17" s="39" t="n"/>
      <c r="M17" s="39" t="n"/>
      <c r="N17" s="39" t="n"/>
    </row>
    <row r="18" ht="21" customHeight="1" s="65">
      <c r="C18" s="16" t="n"/>
      <c r="D18" s="16" t="n"/>
      <c r="E18" s="16" t="n"/>
      <c r="F18" s="103" t="n"/>
      <c r="G18" s="25" t="n"/>
      <c r="H18" s="16" t="n"/>
      <c r="I18" s="7">
        <f>IF(C18="","",C18&amp;"|"&amp;COUNTIF($C$5:C18,C18))</f>
        <v/>
      </c>
      <c r="K18" s="39" t="n"/>
      <c r="L18" s="39" t="n"/>
      <c r="M18" s="39" t="n"/>
      <c r="N18" s="39" t="n"/>
    </row>
    <row r="19" ht="21" customHeight="1" s="65">
      <c r="C19" s="16" t="n"/>
      <c r="D19" s="16" t="n"/>
      <c r="E19" s="16" t="n"/>
      <c r="F19" s="103" t="n"/>
      <c r="G19" s="25" t="n"/>
      <c r="H19" s="16" t="n"/>
      <c r="I19" s="7">
        <f>IF(C19="","",C19&amp;"|"&amp;COUNTIF($C$5:C19,C19))</f>
        <v/>
      </c>
      <c r="K19" s="39" t="n"/>
      <c r="L19" s="39" t="n"/>
      <c r="M19" s="39" t="n"/>
      <c r="N19" s="39" t="n"/>
    </row>
    <row r="20" ht="21" customHeight="1" s="65">
      <c r="C20" s="16" t="n"/>
      <c r="D20" s="16" t="n"/>
      <c r="E20" s="16" t="n"/>
      <c r="F20" s="103" t="n"/>
      <c r="G20" s="25" t="n"/>
      <c r="H20" s="16" t="n"/>
      <c r="I20" s="7">
        <f>IF(C20="","",C20&amp;"|"&amp;COUNTIF($C$5:C20,C20))</f>
        <v/>
      </c>
      <c r="K20" s="39" t="n"/>
      <c r="L20" s="39" t="n"/>
      <c r="M20" s="39" t="n"/>
      <c r="N20" s="39" t="n"/>
    </row>
    <row r="21" ht="21" customHeight="1" s="65">
      <c r="C21" s="16" t="n"/>
      <c r="D21" s="16" t="n"/>
      <c r="E21" s="16" t="n"/>
      <c r="F21" s="103" t="n"/>
      <c r="G21" s="25" t="n"/>
      <c r="H21" s="16" t="n"/>
      <c r="I21" s="7">
        <f>IF(C21="","",C21&amp;"|"&amp;COUNTIF($C$5:C21,C21))</f>
        <v/>
      </c>
      <c r="K21" s="39" t="n"/>
      <c r="L21" s="39" t="n"/>
      <c r="M21" s="39" t="n"/>
      <c r="N21" s="39" t="n"/>
    </row>
    <row r="22" ht="21" customHeight="1" s="65">
      <c r="C22" s="16" t="n"/>
      <c r="D22" s="16" t="n"/>
      <c r="E22" s="16" t="n"/>
      <c r="F22" s="103" t="n"/>
      <c r="G22" s="25" t="n"/>
      <c r="H22" s="16" t="n"/>
      <c r="I22" s="7">
        <f>IF(C22="","",C22&amp;"|"&amp;COUNTIF($C$5:C22,C22))</f>
        <v/>
      </c>
      <c r="K22" s="39" t="n"/>
      <c r="L22" s="39" t="n"/>
      <c r="M22" s="39" t="n"/>
      <c r="N22" s="39" t="n"/>
    </row>
    <row r="23" ht="21" customHeight="1" s="65">
      <c r="C23" s="16" t="n"/>
      <c r="D23" s="16" t="n"/>
      <c r="E23" s="16" t="n"/>
      <c r="F23" s="103" t="n"/>
      <c r="G23" s="25" t="n"/>
      <c r="H23" s="16" t="n"/>
      <c r="I23" s="7">
        <f>IF(C23="","",C23&amp;"|"&amp;COUNTIF($C$5:C23,C23))</f>
        <v/>
      </c>
      <c r="K23" s="39" t="n"/>
      <c r="L23" s="39" t="n"/>
      <c r="M23" s="39" t="n"/>
      <c r="N23" s="39" t="n"/>
    </row>
    <row r="24" ht="21" customHeight="1" s="65">
      <c r="C24" s="16" t="n"/>
      <c r="D24" s="16" t="n"/>
      <c r="E24" s="16" t="n"/>
      <c r="F24" s="103" t="n"/>
      <c r="G24" s="25" t="n"/>
      <c r="H24" s="16" t="n"/>
      <c r="I24" s="7">
        <f>IF(C24="","",C24&amp;"|"&amp;COUNTIF($C$5:C24,C24))</f>
        <v/>
      </c>
      <c r="K24" s="39" t="n"/>
      <c r="L24" s="39" t="n"/>
      <c r="M24" s="39" t="n"/>
      <c r="N24" s="39" t="n"/>
    </row>
    <row r="25" ht="21" customHeight="1" s="65">
      <c r="C25" s="16" t="n"/>
      <c r="D25" s="16" t="n"/>
      <c r="E25" s="16" t="n"/>
      <c r="F25" s="103" t="n"/>
      <c r="G25" s="25" t="n"/>
      <c r="H25" s="16" t="n"/>
      <c r="I25" s="7">
        <f>IF(C25="","",C25&amp;"|"&amp;COUNTIF($C$5:C25,C25))</f>
        <v/>
      </c>
      <c r="K25" s="39" t="n"/>
      <c r="L25" s="39" t="n"/>
      <c r="M25" s="39" t="n"/>
      <c r="N25" s="39" t="n"/>
    </row>
    <row r="26" ht="21" customHeight="1" s="65">
      <c r="C26" s="16" t="n"/>
      <c r="D26" s="16" t="n"/>
      <c r="E26" s="16" t="n"/>
      <c r="F26" s="103" t="n"/>
      <c r="G26" s="25" t="n"/>
      <c r="H26" s="16" t="n"/>
      <c r="I26" s="7">
        <f>IF(C26="","",C26&amp;"|"&amp;COUNTIF($C$5:C26,C26))</f>
        <v/>
      </c>
      <c r="K26" s="39" t="n"/>
      <c r="L26" s="39" t="n"/>
      <c r="M26" s="39" t="n"/>
      <c r="N26" s="39" t="n"/>
    </row>
    <row r="27" ht="21" customHeight="1" s="65">
      <c r="C27" s="16" t="n"/>
      <c r="D27" s="16" t="n"/>
      <c r="E27" s="16" t="n"/>
      <c r="F27" s="103" t="n"/>
      <c r="G27" s="25" t="n"/>
      <c r="H27" s="16" t="n"/>
      <c r="I27" s="7">
        <f>IF(C27="","",C27&amp;"|"&amp;COUNTIF($C$5:C27,C27))</f>
        <v/>
      </c>
      <c r="K27" s="39" t="n"/>
      <c r="L27" s="39" t="n"/>
      <c r="M27" s="39" t="n"/>
      <c r="N27" s="39" t="n"/>
    </row>
    <row r="28" ht="21" customHeight="1" s="65">
      <c r="C28" s="16" t="n"/>
      <c r="D28" s="16" t="n"/>
      <c r="E28" s="16" t="n"/>
      <c r="F28" s="103" t="n"/>
      <c r="G28" s="25" t="n"/>
      <c r="H28" s="16" t="n"/>
      <c r="I28" s="7">
        <f>IF(C28="","",C28&amp;"|"&amp;COUNTIF($C$5:C28,C28))</f>
        <v/>
      </c>
      <c r="K28" s="39" t="n"/>
      <c r="L28" s="39" t="n"/>
      <c r="M28" s="39" t="n"/>
      <c r="N28" s="39" t="n"/>
    </row>
    <row r="29" ht="21" customHeight="1" s="65">
      <c r="C29" s="16" t="n"/>
      <c r="D29" s="16" t="n"/>
      <c r="E29" s="16" t="n"/>
      <c r="F29" s="103" t="n"/>
      <c r="G29" s="25" t="n"/>
      <c r="H29" s="16" t="n"/>
      <c r="I29" s="7">
        <f>IF(C29="","",C29&amp;"|"&amp;COUNTIF($C$5:C29,C29))</f>
        <v/>
      </c>
      <c r="K29" s="39" t="n"/>
      <c r="L29" s="39" t="n"/>
      <c r="M29" s="39" t="n"/>
      <c r="N29" s="39" t="n"/>
    </row>
    <row r="30" ht="21" customHeight="1" s="65">
      <c r="C30" s="16" t="n"/>
      <c r="D30" s="16" t="n"/>
      <c r="E30" s="16" t="n"/>
      <c r="F30" s="103" t="n"/>
      <c r="G30" s="25" t="n"/>
      <c r="H30" s="16" t="n"/>
      <c r="I30" s="7">
        <f>IF(C30="","",C30&amp;"|"&amp;COUNTIF($C$5:C30,C30))</f>
        <v/>
      </c>
      <c r="K30" s="39" t="n"/>
      <c r="L30" s="39" t="n"/>
      <c r="M30" s="39" t="n"/>
      <c r="N30" s="39" t="n"/>
    </row>
    <row r="31" ht="21" customHeight="1" s="65">
      <c r="C31" s="16" t="n"/>
      <c r="D31" s="16" t="n"/>
      <c r="E31" s="16" t="n"/>
      <c r="F31" s="103" t="n"/>
      <c r="G31" s="25" t="n"/>
      <c r="H31" s="16" t="n"/>
      <c r="I31" s="7">
        <f>IF(C31="","",C31&amp;"|"&amp;COUNTIF($C$5:C31,C31))</f>
        <v/>
      </c>
      <c r="K31" s="39" t="n"/>
      <c r="L31" s="39" t="n"/>
      <c r="M31" s="39" t="n"/>
      <c r="N31" s="39" t="n"/>
    </row>
    <row r="32" ht="21" customHeight="1" s="65">
      <c r="C32" s="16" t="n"/>
      <c r="D32" s="16" t="n"/>
      <c r="E32" s="16" t="n"/>
      <c r="F32" s="103" t="n"/>
      <c r="G32" s="25" t="n"/>
      <c r="H32" s="16" t="n"/>
      <c r="I32" s="7">
        <f>IF(C32="","",C32&amp;"|"&amp;COUNTIF($C$5:C32,C32))</f>
        <v/>
      </c>
      <c r="K32" s="39" t="n"/>
      <c r="L32" s="39" t="n"/>
      <c r="M32" s="39" t="n"/>
      <c r="N32" s="39" t="n"/>
    </row>
    <row r="33" ht="21" customHeight="1" s="65">
      <c r="C33" s="16" t="n"/>
      <c r="D33" s="16" t="n"/>
      <c r="E33" s="16" t="n"/>
      <c r="F33" s="103" t="n"/>
      <c r="G33" s="25" t="n"/>
      <c r="H33" s="16" t="n"/>
      <c r="I33" s="7">
        <f>IF(C33="","",C33&amp;"|"&amp;COUNTIF($C$5:C33,C33))</f>
        <v/>
      </c>
      <c r="K33" s="39" t="n"/>
      <c r="L33" s="39" t="n"/>
      <c r="M33" s="39" t="n"/>
      <c r="N33" s="39" t="n"/>
    </row>
    <row r="34" ht="21" customHeight="1" s="65">
      <c r="C34" s="16" t="n"/>
      <c r="D34" s="16" t="n"/>
      <c r="E34" s="16" t="n"/>
      <c r="F34" s="103" t="n"/>
      <c r="G34" s="25" t="n"/>
      <c r="H34" s="16" t="n"/>
      <c r="I34" s="7">
        <f>IF(C34="","",C34&amp;"|"&amp;COUNTIF($C$5:C34,C34))</f>
        <v/>
      </c>
      <c r="K34" s="39" t="n"/>
      <c r="L34" s="39" t="n"/>
      <c r="M34" s="39" t="n"/>
      <c r="N34" s="39" t="n"/>
    </row>
    <row r="35" ht="21" customHeight="1" s="65">
      <c r="C35" s="16" t="n"/>
      <c r="D35" s="16" t="n"/>
      <c r="E35" s="16" t="n"/>
      <c r="F35" s="103" t="n"/>
      <c r="G35" s="25" t="n"/>
      <c r="H35" s="16" t="n"/>
      <c r="I35" s="7">
        <f>IF(C35="","",C35&amp;"|"&amp;COUNTIF($C$5:C35,C35))</f>
        <v/>
      </c>
      <c r="K35" s="39" t="n"/>
      <c r="L35" s="39" t="n"/>
      <c r="M35" s="39" t="n"/>
      <c r="N35" s="39" t="n"/>
    </row>
    <row r="36" ht="21" customHeight="1" s="65">
      <c r="C36" s="16" t="n"/>
      <c r="D36" s="16" t="n"/>
      <c r="E36" s="16" t="n"/>
      <c r="F36" s="103" t="n"/>
      <c r="G36" s="25" t="n"/>
      <c r="H36" s="16" t="n"/>
      <c r="I36" s="7">
        <f>IF(C36="","",C36&amp;"|"&amp;COUNTIF($C$5:C36,C36))</f>
        <v/>
      </c>
      <c r="K36" s="39" t="n"/>
      <c r="L36" s="39" t="n"/>
      <c r="M36" s="39" t="n"/>
      <c r="N36" s="39" t="n"/>
    </row>
    <row r="37" ht="21" customHeight="1" s="65">
      <c r="C37" s="16" t="n"/>
      <c r="D37" s="16" t="n"/>
      <c r="E37" s="16" t="n"/>
      <c r="F37" s="103" t="n"/>
      <c r="G37" s="25" t="n"/>
      <c r="H37" s="16" t="n"/>
      <c r="I37" s="7">
        <f>IF(C37="","",C37&amp;"|"&amp;COUNTIF($C$5:C37,C37))</f>
        <v/>
      </c>
      <c r="K37" s="39" t="n"/>
      <c r="L37" s="39" t="n"/>
      <c r="M37" s="39" t="n"/>
      <c r="N37" s="39" t="n"/>
    </row>
    <row r="38" ht="21" customHeight="1" s="65">
      <c r="C38" s="16" t="n"/>
      <c r="D38" s="16" t="n"/>
      <c r="E38" s="16" t="n"/>
      <c r="F38" s="103" t="n"/>
      <c r="G38" s="25" t="n"/>
      <c r="H38" s="16" t="n"/>
      <c r="I38" s="7">
        <f>IF(C38="","",C38&amp;"|"&amp;COUNTIF($C$5:C38,C38))</f>
        <v/>
      </c>
      <c r="K38" s="39" t="n"/>
      <c r="L38" s="39" t="n"/>
      <c r="M38" s="39" t="n"/>
      <c r="N38" s="39" t="n"/>
    </row>
    <row r="39" ht="21" customHeight="1" s="65">
      <c r="C39" s="16" t="n"/>
      <c r="D39" s="16" t="n"/>
      <c r="E39" s="16" t="n"/>
      <c r="F39" s="103" t="n"/>
      <c r="G39" s="25" t="n"/>
      <c r="H39" s="16" t="n"/>
      <c r="I39" s="7">
        <f>IF(C39="","",C39&amp;"|"&amp;COUNTIF($C$5:C39,C39))</f>
        <v/>
      </c>
      <c r="K39" s="39" t="n"/>
      <c r="L39" s="39" t="n"/>
      <c r="M39" s="39" t="n"/>
      <c r="N39" s="39" t="n"/>
    </row>
    <row r="40" ht="21" customHeight="1" s="65">
      <c r="C40" s="16" t="n"/>
      <c r="D40" s="16" t="n"/>
      <c r="E40" s="16" t="n"/>
      <c r="F40" s="103" t="n"/>
      <c r="G40" s="25" t="n"/>
      <c r="H40" s="16" t="n"/>
      <c r="I40" s="7">
        <f>IF(C40="","",C40&amp;"|"&amp;COUNTIF($C$5:C40,C40))</f>
        <v/>
      </c>
      <c r="K40" s="39" t="n"/>
      <c r="L40" s="39" t="n"/>
      <c r="M40" s="39" t="n"/>
      <c r="N40" s="39" t="n"/>
    </row>
    <row r="41" ht="21" customHeight="1" s="65">
      <c r="C41" s="16" t="n"/>
      <c r="D41" s="16" t="n"/>
      <c r="E41" s="16" t="n"/>
      <c r="F41" s="103" t="n"/>
      <c r="G41" s="25" t="n"/>
      <c r="H41" s="16" t="n"/>
      <c r="I41" s="7">
        <f>IF(C41="","",C41&amp;"|"&amp;COUNTIF($C$5:C41,C41))</f>
        <v/>
      </c>
      <c r="K41" s="39" t="n"/>
      <c r="L41" s="39" t="n"/>
      <c r="M41" s="39" t="n"/>
      <c r="N41" s="39" t="n"/>
    </row>
    <row r="42" ht="21" customHeight="1" s="65">
      <c r="C42" s="16" t="n"/>
      <c r="D42" s="16" t="n"/>
      <c r="E42" s="16" t="n"/>
      <c r="F42" s="103" t="n"/>
      <c r="G42" s="25" t="n"/>
      <c r="H42" s="16" t="n"/>
      <c r="I42" s="7">
        <f>IF(C42="","",C42&amp;"|"&amp;COUNTIF($C$5:C42,C42))</f>
        <v/>
      </c>
      <c r="K42" s="39" t="n"/>
      <c r="L42" s="39" t="n"/>
      <c r="M42" s="39" t="n"/>
      <c r="N42" s="39" t="n"/>
    </row>
    <row r="43" ht="21" customHeight="1" s="65">
      <c r="C43" s="16" t="n"/>
      <c r="D43" s="16" t="n"/>
      <c r="E43" s="16" t="n"/>
      <c r="F43" s="103" t="n"/>
      <c r="G43" s="25" t="n"/>
      <c r="H43" s="16" t="n"/>
      <c r="I43" s="7">
        <f>IF(C43="","",C43&amp;"|"&amp;COUNTIF($C$5:C43,C43))</f>
        <v/>
      </c>
      <c r="K43" s="39" t="n"/>
      <c r="L43" s="39" t="n"/>
      <c r="M43" s="39" t="n"/>
      <c r="N43" s="39" t="n"/>
    </row>
    <row r="44" ht="21" customHeight="1" s="65">
      <c r="C44" s="16" t="n"/>
      <c r="D44" s="16" t="n"/>
      <c r="E44" s="16" t="n"/>
      <c r="F44" s="103" t="n"/>
      <c r="G44" s="25" t="n"/>
      <c r="H44" s="16" t="n"/>
      <c r="I44" s="7">
        <f>IF(C44="","",C44&amp;"|"&amp;COUNTIF($C$5:C44,C44))</f>
        <v/>
      </c>
      <c r="K44" s="39" t="n"/>
      <c r="L44" s="39" t="n"/>
      <c r="M44" s="39" t="n"/>
      <c r="N44" s="39" t="n"/>
    </row>
    <row r="45" ht="21" customHeight="1" s="65">
      <c r="C45" s="16" t="n"/>
      <c r="D45" s="16" t="n"/>
      <c r="E45" s="16" t="n"/>
      <c r="F45" s="103" t="n"/>
      <c r="G45" s="25" t="n"/>
      <c r="H45" s="16" t="n"/>
      <c r="I45" s="7">
        <f>IF(C45="","",C45&amp;"|"&amp;COUNTIF($C$5:C45,C45))</f>
        <v/>
      </c>
      <c r="K45" s="39" t="n"/>
      <c r="L45" s="39" t="n"/>
      <c r="M45" s="39" t="n"/>
      <c r="N45" s="39" t="n"/>
    </row>
    <row r="46" ht="21" customHeight="1" s="65">
      <c r="C46" s="16" t="n"/>
      <c r="D46" s="16" t="n"/>
      <c r="E46" s="16" t="n"/>
      <c r="F46" s="103" t="n"/>
      <c r="G46" s="25" t="n"/>
      <c r="H46" s="16" t="n"/>
      <c r="I46" s="7">
        <f>IF(C46="","",C46&amp;"|"&amp;COUNTIF($C$5:C46,C46))</f>
        <v/>
      </c>
      <c r="K46" s="39" t="n"/>
      <c r="L46" s="39" t="n"/>
      <c r="M46" s="39" t="n"/>
      <c r="N46" s="39" t="n"/>
    </row>
    <row r="47" ht="21" customHeight="1" s="65">
      <c r="C47" s="16" t="n"/>
      <c r="D47" s="16" t="n"/>
      <c r="E47" s="16" t="n"/>
      <c r="F47" s="103" t="n"/>
      <c r="G47" s="25" t="n"/>
      <c r="H47" s="16" t="n"/>
      <c r="I47" s="7">
        <f>IF(C47="","",C47&amp;"|"&amp;COUNTIF($C$5:C47,C47))</f>
        <v/>
      </c>
      <c r="K47" s="39" t="n"/>
      <c r="L47" s="39" t="n"/>
      <c r="M47" s="39" t="n"/>
      <c r="N47" s="39" t="n"/>
    </row>
    <row r="48" ht="21" customHeight="1" s="65">
      <c r="C48" s="16" t="n"/>
      <c r="D48" s="16" t="n"/>
      <c r="E48" s="16" t="n"/>
      <c r="F48" s="103" t="n"/>
      <c r="G48" s="25" t="n"/>
      <c r="H48" s="16" t="n"/>
      <c r="I48" s="7">
        <f>IF(C48="","",C48&amp;"|"&amp;COUNTIF($C$5:C48,C48))</f>
        <v/>
      </c>
      <c r="K48" s="39" t="n"/>
      <c r="L48" s="39" t="n"/>
      <c r="M48" s="39" t="n"/>
      <c r="N48" s="39" t="n"/>
    </row>
    <row r="49" ht="21" customHeight="1" s="65">
      <c r="C49" s="16" t="n"/>
      <c r="D49" s="16" t="n"/>
      <c r="E49" s="16" t="n"/>
      <c r="F49" s="103" t="n"/>
      <c r="G49" s="25" t="n"/>
      <c r="H49" s="16" t="n"/>
      <c r="I49" s="7">
        <f>IF(C49="","",C49&amp;"|"&amp;COUNTIF($C$5:C49,C49))</f>
        <v/>
      </c>
      <c r="K49" s="39" t="n"/>
      <c r="L49" s="39" t="n"/>
      <c r="M49" s="39" t="n"/>
      <c r="N49" s="39" t="n"/>
    </row>
    <row r="50" ht="21" customHeight="1" s="65">
      <c r="C50" s="16" t="n"/>
      <c r="D50" s="16" t="n"/>
      <c r="E50" s="16" t="n"/>
      <c r="F50" s="103" t="n"/>
      <c r="G50" s="25" t="n"/>
      <c r="H50" s="16" t="n"/>
      <c r="I50" s="7">
        <f>IF(C50="","",C50&amp;"|"&amp;COUNTIF($C$5:C50,C50))</f>
        <v/>
      </c>
      <c r="K50" s="39" t="n"/>
      <c r="L50" s="39" t="n"/>
      <c r="M50" s="39" t="n"/>
      <c r="N50" s="39" t="n"/>
    </row>
    <row r="51" ht="21" customHeight="1" s="65">
      <c r="C51" s="16" t="n"/>
      <c r="D51" s="16" t="n"/>
      <c r="E51" s="16" t="n"/>
      <c r="F51" s="103" t="n"/>
      <c r="G51" s="25" t="n"/>
      <c r="H51" s="16" t="n"/>
      <c r="I51" s="7">
        <f>IF(C51="","",C51&amp;"|"&amp;COUNTIF($C$5:C51,C51))</f>
        <v/>
      </c>
      <c r="K51" s="39" t="n"/>
      <c r="L51" s="39" t="n"/>
      <c r="M51" s="39" t="n"/>
      <c r="N51" s="39" t="n"/>
    </row>
    <row r="52" ht="21" customHeight="1" s="65">
      <c r="C52" s="16" t="n"/>
      <c r="D52" s="16" t="n"/>
      <c r="E52" s="16" t="n"/>
      <c r="F52" s="103" t="n"/>
      <c r="G52" s="25" t="n"/>
      <c r="H52" s="16" t="n"/>
      <c r="I52" s="7">
        <f>IF(C52="","",C52&amp;"|"&amp;COUNTIF($C$5:C52,C52))</f>
        <v/>
      </c>
      <c r="K52" s="39" t="n"/>
      <c r="L52" s="39" t="n"/>
      <c r="M52" s="39" t="n"/>
      <c r="N52" s="39" t="n"/>
    </row>
    <row r="53" ht="21" customHeight="1" s="65">
      <c r="C53" s="16" t="n"/>
      <c r="D53" s="16" t="n"/>
      <c r="E53" s="16" t="n"/>
      <c r="F53" s="103" t="n"/>
      <c r="G53" s="25" t="n"/>
      <c r="H53" s="16" t="n"/>
      <c r="I53" s="7">
        <f>IF(C53="","",C53&amp;"|"&amp;COUNTIF($C$5:C53,C53))</f>
        <v/>
      </c>
      <c r="K53" s="39" t="n"/>
      <c r="L53" s="39" t="n"/>
      <c r="M53" s="39" t="n"/>
      <c r="N53" s="39" t="n"/>
    </row>
    <row r="54" ht="21" customHeight="1" s="65">
      <c r="C54" s="16" t="n"/>
      <c r="D54" s="16" t="n"/>
      <c r="E54" s="16" t="n"/>
      <c r="F54" s="103" t="n"/>
      <c r="G54" s="25" t="n"/>
      <c r="H54" s="16" t="n"/>
      <c r="I54" s="7">
        <f>IF(C54="","",C54&amp;"|"&amp;COUNTIF($C$5:C54,C54))</f>
        <v/>
      </c>
      <c r="K54" s="39" t="n"/>
      <c r="L54" s="39" t="n"/>
      <c r="M54" s="39" t="n"/>
      <c r="N54" s="39" t="n"/>
    </row>
    <row r="55" ht="21" customHeight="1" s="65">
      <c r="C55" s="16" t="n"/>
      <c r="D55" s="16" t="n"/>
      <c r="E55" s="16" t="n"/>
      <c r="F55" s="103" t="n"/>
      <c r="G55" s="25" t="n"/>
      <c r="H55" s="16" t="n"/>
      <c r="I55" s="7">
        <f>IF(C55="","",C55&amp;"|"&amp;COUNTIF($C$5:C55,C55))</f>
        <v/>
      </c>
      <c r="K55" s="39" t="n"/>
      <c r="L55" s="39" t="n"/>
      <c r="M55" s="39" t="n"/>
      <c r="N55" s="39" t="n"/>
    </row>
    <row r="56" ht="21" customHeight="1" s="65">
      <c r="C56" s="16" t="n"/>
      <c r="D56" s="16" t="n"/>
      <c r="E56" s="16" t="n"/>
      <c r="F56" s="103" t="n"/>
      <c r="G56" s="25" t="n"/>
      <c r="H56" s="16" t="n"/>
      <c r="I56" s="7">
        <f>IF(C56="","",C56&amp;"|"&amp;COUNTIF($C$5:C56,C56))</f>
        <v/>
      </c>
      <c r="K56" s="39" t="n"/>
      <c r="L56" s="39" t="n"/>
      <c r="M56" s="39" t="n"/>
      <c r="N56" s="39" t="n"/>
    </row>
    <row r="57" ht="21" customHeight="1" s="65">
      <c r="C57" s="16" t="n"/>
      <c r="D57" s="16" t="n"/>
      <c r="E57" s="16" t="n"/>
      <c r="F57" s="103" t="n"/>
      <c r="G57" s="25" t="n"/>
      <c r="H57" s="16" t="n"/>
      <c r="I57" s="7">
        <f>IF(C57="","",C57&amp;"|"&amp;COUNTIF($C$5:C57,C57))</f>
        <v/>
      </c>
      <c r="K57" s="39" t="n"/>
      <c r="L57" s="39" t="n"/>
      <c r="M57" s="39" t="n"/>
      <c r="N57" s="39" t="n"/>
    </row>
    <row r="58" ht="21" customHeight="1" s="65">
      <c r="C58" s="16" t="n"/>
      <c r="D58" s="16" t="n"/>
      <c r="E58" s="16" t="n"/>
      <c r="F58" s="103" t="n"/>
      <c r="G58" s="25" t="n"/>
      <c r="H58" s="16" t="n"/>
      <c r="I58" s="7">
        <f>IF(C58="","",C58&amp;"|"&amp;COUNTIF($C$5:C58,C58))</f>
        <v/>
      </c>
      <c r="K58" s="39" t="n"/>
      <c r="L58" s="39" t="n"/>
      <c r="M58" s="39" t="n"/>
      <c r="N58" s="39" t="n"/>
    </row>
    <row r="59" ht="21" customHeight="1" s="65">
      <c r="C59" s="16" t="n"/>
      <c r="D59" s="16" t="n"/>
      <c r="E59" s="16" t="n"/>
      <c r="F59" s="103" t="n"/>
      <c r="G59" s="25" t="n"/>
      <c r="H59" s="16" t="n"/>
      <c r="I59" s="7">
        <f>IF(C59="","",C59&amp;"|"&amp;COUNTIF($C$5:C59,C59))</f>
        <v/>
      </c>
      <c r="K59" s="39" t="n"/>
      <c r="L59" s="39" t="n"/>
      <c r="M59" s="39" t="n"/>
      <c r="N59" s="39" t="n"/>
    </row>
    <row r="60" ht="21" customHeight="1" s="65">
      <c r="C60" s="16" t="n"/>
      <c r="D60" s="16" t="n"/>
      <c r="E60" s="16" t="n"/>
      <c r="F60" s="103" t="n"/>
      <c r="G60" s="25" t="n"/>
      <c r="H60" s="16" t="n"/>
      <c r="I60" s="7">
        <f>IF(C60="","",C60&amp;"|"&amp;COUNTIF($C$5:C60,C60))</f>
        <v/>
      </c>
      <c r="K60" s="39" t="n"/>
      <c r="L60" s="39" t="n"/>
      <c r="M60" s="39" t="n"/>
      <c r="N60" s="39" t="n"/>
    </row>
    <row r="61" ht="21" customHeight="1" s="65">
      <c r="C61" s="16" t="n"/>
      <c r="D61" s="16" t="n"/>
      <c r="E61" s="16" t="n"/>
      <c r="F61" s="103" t="n"/>
      <c r="G61" s="25" t="n"/>
      <c r="H61" s="16" t="n"/>
      <c r="I61" s="7">
        <f>IF(C61="","",C61&amp;"|"&amp;COUNTIF($C$5:C61,C61))</f>
        <v/>
      </c>
      <c r="K61" s="39" t="n"/>
      <c r="L61" s="39" t="n"/>
      <c r="M61" s="39" t="n"/>
      <c r="N61" s="39" t="n"/>
    </row>
    <row r="62" ht="21" customHeight="1" s="65">
      <c r="C62" s="16" t="n"/>
      <c r="D62" s="16" t="n"/>
      <c r="E62" s="16" t="n"/>
      <c r="F62" s="103" t="n"/>
      <c r="G62" s="25" t="n"/>
      <c r="H62" s="16" t="n"/>
      <c r="I62" s="7">
        <f>IF(C62="","",C62&amp;"|"&amp;COUNTIF($C$5:C62,C62))</f>
        <v/>
      </c>
      <c r="K62" s="39" t="n"/>
      <c r="L62" s="39" t="n"/>
      <c r="M62" s="39" t="n"/>
      <c r="N62" s="39" t="n"/>
    </row>
    <row r="63" ht="21" customHeight="1" s="65">
      <c r="C63" s="16" t="n"/>
      <c r="D63" s="16" t="n"/>
      <c r="E63" s="16" t="n"/>
      <c r="F63" s="103" t="n"/>
      <c r="G63" s="25" t="n"/>
      <c r="H63" s="16" t="n"/>
      <c r="I63" s="7">
        <f>IF(C63="","",C63&amp;"|"&amp;COUNTIF($C$5:C63,C63))</f>
        <v/>
      </c>
      <c r="K63" s="39" t="n"/>
      <c r="L63" s="39" t="n"/>
      <c r="M63" s="39" t="n"/>
      <c r="N63" s="39" t="n"/>
    </row>
    <row r="64" ht="21" customHeight="1" s="65">
      <c r="C64" s="16" t="n"/>
      <c r="D64" s="16" t="n"/>
      <c r="E64" s="16" t="n"/>
      <c r="F64" s="103" t="n"/>
      <c r="G64" s="25" t="n"/>
      <c r="H64" s="16" t="n"/>
      <c r="I64" s="7">
        <f>IF(C64="","",C64&amp;"|"&amp;COUNTIF($C$5:C64,C64))</f>
        <v/>
      </c>
      <c r="K64" s="39" t="n"/>
      <c r="L64" s="39" t="n"/>
      <c r="M64" s="39" t="n"/>
      <c r="N64" s="39" t="n"/>
    </row>
    <row r="65" ht="21" customHeight="1" s="65">
      <c r="C65" s="16" t="n"/>
      <c r="D65" s="16" t="n"/>
      <c r="E65" s="16" t="n"/>
      <c r="F65" s="103" t="n"/>
      <c r="G65" s="25" t="n"/>
      <c r="H65" s="16" t="n"/>
      <c r="I65" s="7">
        <f>IF(C65="","",C65&amp;"|"&amp;COUNTIF($C$5:C65,C65))</f>
        <v/>
      </c>
      <c r="K65" s="39" t="n"/>
      <c r="L65" s="39" t="n"/>
      <c r="M65" s="39" t="n"/>
      <c r="N65" s="39" t="n"/>
    </row>
    <row r="66" ht="21" customHeight="1" s="65">
      <c r="C66" s="16" t="n"/>
      <c r="D66" s="16" t="n"/>
      <c r="E66" s="16" t="n"/>
      <c r="F66" s="103" t="n"/>
      <c r="G66" s="25" t="n"/>
      <c r="H66" s="16" t="n"/>
      <c r="I66" s="7">
        <f>IF(C66="","",C66&amp;"|"&amp;COUNTIF($C$5:C66,C66))</f>
        <v/>
      </c>
      <c r="K66" s="39" t="n"/>
      <c r="L66" s="39" t="n"/>
      <c r="M66" s="39" t="n"/>
      <c r="N66" s="39" t="n"/>
    </row>
    <row r="67" ht="21" customHeight="1" s="65">
      <c r="C67" s="16" t="n"/>
      <c r="D67" s="16" t="n"/>
      <c r="E67" s="16" t="n"/>
      <c r="F67" s="103" t="n"/>
      <c r="G67" s="25" t="n"/>
      <c r="H67" s="16" t="n"/>
      <c r="I67" s="7">
        <f>IF(C67="","",C67&amp;"|"&amp;COUNTIF($C$5:C67,C67))</f>
        <v/>
      </c>
      <c r="K67" s="39" t="n"/>
      <c r="L67" s="39" t="n"/>
      <c r="M67" s="39" t="n"/>
      <c r="N67" s="39" t="n"/>
    </row>
    <row r="68" ht="21" customHeight="1" s="65">
      <c r="C68" s="16" t="n"/>
      <c r="D68" s="16" t="n"/>
      <c r="E68" s="16" t="n"/>
      <c r="F68" s="103" t="n"/>
      <c r="G68" s="25" t="n"/>
      <c r="H68" s="16" t="n"/>
      <c r="I68" s="7">
        <f>IF(C68="","",C68&amp;"|"&amp;COUNTIF($C$5:C68,C68))</f>
        <v/>
      </c>
      <c r="K68" s="39" t="n"/>
      <c r="L68" s="39" t="n"/>
      <c r="M68" s="39" t="n"/>
      <c r="N68" s="39" t="n"/>
    </row>
    <row r="69" ht="21" customHeight="1" s="65">
      <c r="C69" s="16" t="n"/>
      <c r="D69" s="16" t="n"/>
      <c r="E69" s="16" t="n"/>
      <c r="F69" s="103" t="n"/>
      <c r="G69" s="25" t="n"/>
      <c r="H69" s="16" t="n"/>
      <c r="I69" s="7">
        <f>IF(C69="","",C69&amp;"|"&amp;COUNTIF($C$5:C69,C69))</f>
        <v/>
      </c>
      <c r="K69" s="39" t="n"/>
      <c r="L69" s="39" t="n"/>
      <c r="M69" s="39" t="n"/>
      <c r="N69" s="39" t="n"/>
    </row>
    <row r="70" ht="21" customHeight="1" s="65">
      <c r="C70" s="16" t="n"/>
      <c r="D70" s="16" t="n"/>
      <c r="E70" s="16" t="n"/>
      <c r="F70" s="103" t="n"/>
      <c r="G70" s="25" t="n"/>
      <c r="H70" s="16" t="n"/>
      <c r="I70" s="7">
        <f>IF(C70="","",C70&amp;"|"&amp;COUNTIF($C$5:C70,C70))</f>
        <v/>
      </c>
      <c r="K70" s="39" t="n"/>
      <c r="L70" s="39" t="n"/>
      <c r="M70" s="39" t="n"/>
      <c r="N70" s="39" t="n"/>
    </row>
    <row r="71" ht="21" customHeight="1" s="65">
      <c r="C71" s="16" t="n"/>
      <c r="D71" s="16" t="n"/>
      <c r="E71" s="16" t="n"/>
      <c r="F71" s="103" t="n"/>
      <c r="G71" s="25" t="n"/>
      <c r="H71" s="16" t="n"/>
      <c r="I71" s="7">
        <f>IF(C71="","",C71&amp;"|"&amp;COUNTIF($C$5:C71,C71))</f>
        <v/>
      </c>
      <c r="K71" s="39" t="n"/>
      <c r="L71" s="39" t="n"/>
      <c r="M71" s="39" t="n"/>
      <c r="N71" s="39" t="n"/>
    </row>
    <row r="72" ht="21" customHeight="1" s="65">
      <c r="C72" s="16" t="n"/>
      <c r="D72" s="16" t="n"/>
      <c r="E72" s="16" t="n"/>
      <c r="F72" s="103" t="n"/>
      <c r="G72" s="25" t="n"/>
      <c r="H72" s="16" t="n"/>
      <c r="I72" s="7">
        <f>IF(C72="","",C72&amp;"|"&amp;COUNTIF($C$5:C72,C72))</f>
        <v/>
      </c>
      <c r="K72" s="39" t="n"/>
      <c r="L72" s="39" t="n"/>
      <c r="M72" s="39" t="n"/>
      <c r="N72" s="39" t="n"/>
    </row>
    <row r="73" ht="21" customHeight="1" s="65">
      <c r="C73" s="16" t="n"/>
      <c r="D73" s="16" t="n"/>
      <c r="E73" s="16" t="n"/>
      <c r="F73" s="103" t="n"/>
      <c r="G73" s="25" t="n"/>
      <c r="H73" s="16" t="n"/>
      <c r="I73" s="7">
        <f>IF(C73="","",C73&amp;"|"&amp;COUNTIF($C$5:C73,C73))</f>
        <v/>
      </c>
      <c r="K73" s="39" t="n"/>
      <c r="L73" s="39" t="n"/>
      <c r="M73" s="39" t="n"/>
      <c r="N73" s="39" t="n"/>
    </row>
    <row r="74" ht="21" customHeight="1" s="65">
      <c r="C74" s="16" t="n"/>
      <c r="D74" s="16" t="n"/>
      <c r="E74" s="16" t="n"/>
      <c r="F74" s="103" t="n"/>
      <c r="G74" s="25" t="n"/>
      <c r="H74" s="16" t="n"/>
      <c r="I74" s="7">
        <f>IF(C74="","",C74&amp;"|"&amp;COUNTIF($C$5:C74,C74))</f>
        <v/>
      </c>
      <c r="K74" s="39" t="n"/>
      <c r="L74" s="39" t="n"/>
      <c r="M74" s="39" t="n"/>
      <c r="N74" s="39" t="n"/>
    </row>
    <row r="75" ht="21" customHeight="1" s="65">
      <c r="C75" s="16" t="n"/>
      <c r="D75" s="16" t="n"/>
      <c r="E75" s="16" t="n"/>
      <c r="F75" s="103" t="n"/>
      <c r="G75" s="25" t="n"/>
      <c r="H75" s="16" t="n"/>
      <c r="I75" s="7">
        <f>IF(C75="","",C75&amp;"|"&amp;COUNTIF($C$5:C75,C75))</f>
        <v/>
      </c>
      <c r="K75" s="39" t="n"/>
      <c r="L75" s="39" t="n"/>
      <c r="M75" s="39" t="n"/>
      <c r="N75" s="39" t="n"/>
    </row>
    <row r="76" ht="21" customHeight="1" s="65">
      <c r="C76" s="16" t="n"/>
      <c r="D76" s="16" t="n"/>
      <c r="E76" s="16" t="n"/>
      <c r="F76" s="103" t="n"/>
      <c r="G76" s="25" t="n"/>
      <c r="H76" s="16" t="n"/>
      <c r="I76" s="7">
        <f>IF(C76="","",C76&amp;"|"&amp;COUNTIF($C$5:C76,C76))</f>
        <v/>
      </c>
      <c r="K76" s="39" t="n"/>
      <c r="L76" s="39" t="n"/>
      <c r="M76" s="39" t="n"/>
      <c r="N76" s="39" t="n"/>
    </row>
    <row r="77" ht="21" customHeight="1" s="65">
      <c r="C77" s="16" t="n"/>
      <c r="D77" s="16" t="n"/>
      <c r="E77" s="16" t="n"/>
      <c r="F77" s="103" t="n"/>
      <c r="G77" s="25" t="n"/>
      <c r="H77" s="16" t="n"/>
      <c r="I77" s="7">
        <f>IF(C77="","",C77&amp;"|"&amp;COUNTIF($C$5:C77,C77))</f>
        <v/>
      </c>
      <c r="K77" s="39" t="n"/>
      <c r="L77" s="39" t="n"/>
      <c r="M77" s="39" t="n"/>
      <c r="N77" s="39" t="n"/>
    </row>
    <row r="78" ht="21" customHeight="1" s="65">
      <c r="C78" s="16" t="n"/>
      <c r="D78" s="16" t="n"/>
      <c r="E78" s="16" t="n"/>
      <c r="F78" s="103" t="n"/>
      <c r="G78" s="25" t="n"/>
      <c r="H78" s="16" t="n"/>
      <c r="I78" s="7">
        <f>IF(C78="","",C78&amp;"|"&amp;COUNTIF($C$5:C78,C78))</f>
        <v/>
      </c>
      <c r="K78" s="39" t="n"/>
      <c r="L78" s="39" t="n"/>
      <c r="M78" s="39" t="n"/>
      <c r="N78" s="39" t="n"/>
    </row>
    <row r="79" ht="21" customHeight="1" s="65">
      <c r="C79" s="16" t="n"/>
      <c r="D79" s="16" t="n"/>
      <c r="E79" s="16" t="n"/>
      <c r="F79" s="103" t="n"/>
      <c r="G79" s="25" t="n"/>
      <c r="H79" s="16" t="n"/>
      <c r="I79" s="7">
        <f>IF(C79="","",C79&amp;"|"&amp;COUNTIF($C$5:C79,C79))</f>
        <v/>
      </c>
      <c r="K79" s="39" t="n"/>
      <c r="L79" s="39" t="n"/>
      <c r="M79" s="39" t="n"/>
      <c r="N79" s="39" t="n"/>
    </row>
    <row r="80" ht="21" customHeight="1" s="65">
      <c r="C80" s="16" t="n"/>
      <c r="D80" s="16" t="n"/>
      <c r="E80" s="16" t="n"/>
      <c r="F80" s="103" t="n"/>
      <c r="G80" s="25" t="n"/>
      <c r="H80" s="16" t="n"/>
      <c r="I80" s="7">
        <f>IF(C80="","",C80&amp;"|"&amp;COUNTIF($C$5:C80,C80))</f>
        <v/>
      </c>
      <c r="K80" s="39" t="n"/>
      <c r="L80" s="39" t="n"/>
      <c r="M80" s="39" t="n"/>
      <c r="N80" s="39" t="n"/>
    </row>
    <row r="81" ht="21" customHeight="1" s="65">
      <c r="C81" s="16" t="n"/>
      <c r="D81" s="16" t="n"/>
      <c r="E81" s="16" t="n"/>
      <c r="F81" s="103" t="n"/>
      <c r="G81" s="25" t="n"/>
      <c r="H81" s="16" t="n"/>
      <c r="I81" s="7">
        <f>IF(C81="","",C81&amp;"|"&amp;COUNTIF($C$5:C81,C81))</f>
        <v/>
      </c>
      <c r="K81" s="39" t="n"/>
      <c r="L81" s="39" t="n"/>
      <c r="M81" s="39" t="n"/>
      <c r="N81" s="39" t="n"/>
    </row>
    <row r="82" ht="21" customHeight="1" s="65">
      <c r="C82" s="16" t="n"/>
      <c r="D82" s="16" t="n"/>
      <c r="E82" s="16" t="n"/>
      <c r="F82" s="103" t="n"/>
      <c r="G82" s="25" t="n"/>
      <c r="H82" s="16" t="n"/>
      <c r="I82" s="7">
        <f>IF(C82="","",C82&amp;"|"&amp;COUNTIF($C$5:C82,C82))</f>
        <v/>
      </c>
      <c r="K82" s="39" t="n"/>
      <c r="L82" s="39" t="n"/>
      <c r="M82" s="39" t="n"/>
      <c r="N82" s="39" t="n"/>
    </row>
    <row r="83" ht="21" customHeight="1" s="65">
      <c r="C83" s="16" t="n"/>
      <c r="D83" s="16" t="n"/>
      <c r="E83" s="16" t="n"/>
      <c r="F83" s="103" t="n"/>
      <c r="G83" s="25" t="n"/>
      <c r="H83" s="16" t="n"/>
      <c r="I83" s="7">
        <f>IF(C83="","",C83&amp;"|"&amp;COUNTIF($C$5:C83,C83))</f>
        <v/>
      </c>
      <c r="K83" s="39" t="n"/>
      <c r="L83" s="39" t="n"/>
      <c r="M83" s="39" t="n"/>
      <c r="N83" s="39" t="n"/>
    </row>
    <row r="84" ht="21" customHeight="1" s="65">
      <c r="C84" s="16" t="n"/>
      <c r="D84" s="16" t="n"/>
      <c r="E84" s="16" t="n"/>
      <c r="F84" s="103" t="n"/>
      <c r="G84" s="25" t="n"/>
      <c r="H84" s="16" t="n"/>
      <c r="I84" s="7">
        <f>IF(C84="","",C84&amp;"|"&amp;COUNTIF($C$5:C84,C84))</f>
        <v/>
      </c>
      <c r="K84" s="39" t="n"/>
      <c r="L84" s="39" t="n"/>
      <c r="M84" s="39" t="n"/>
      <c r="N84" s="39" t="n"/>
    </row>
    <row r="85" ht="21" customHeight="1" s="65">
      <c r="C85" s="16" t="n"/>
      <c r="D85" s="16" t="n"/>
      <c r="E85" s="16" t="n"/>
      <c r="F85" s="103" t="n"/>
      <c r="G85" s="25" t="n"/>
      <c r="H85" s="16" t="n"/>
      <c r="I85" s="7">
        <f>IF(C85="","",C85&amp;"|"&amp;COUNTIF($C$5:C85,C85))</f>
        <v/>
      </c>
      <c r="K85" s="39" t="n"/>
      <c r="L85" s="39" t="n"/>
      <c r="M85" s="39" t="n"/>
      <c r="N85" s="39" t="n"/>
    </row>
    <row r="86" ht="21" customHeight="1" s="65">
      <c r="C86" s="16" t="n"/>
      <c r="D86" s="16" t="n"/>
      <c r="E86" s="16" t="n"/>
      <c r="F86" s="103" t="n"/>
      <c r="G86" s="25" t="n"/>
      <c r="H86" s="16" t="n"/>
      <c r="I86" s="7">
        <f>IF(C86="","",C86&amp;"|"&amp;COUNTIF($C$5:C86,C86))</f>
        <v/>
      </c>
      <c r="K86" s="39" t="n"/>
      <c r="L86" s="39" t="n"/>
      <c r="M86" s="39" t="n"/>
      <c r="N86" s="39" t="n"/>
    </row>
    <row r="87" ht="21" customHeight="1" s="65">
      <c r="C87" s="16" t="n"/>
      <c r="D87" s="16" t="n"/>
      <c r="E87" s="16" t="n"/>
      <c r="F87" s="103" t="n"/>
      <c r="G87" s="25" t="n"/>
      <c r="H87" s="16" t="n"/>
      <c r="I87" s="7">
        <f>IF(C87="","",C87&amp;"|"&amp;COUNTIF($C$5:C87,C87))</f>
        <v/>
      </c>
      <c r="K87" s="39" t="n"/>
      <c r="L87" s="39" t="n"/>
      <c r="M87" s="39" t="n"/>
      <c r="N87" s="39" t="n"/>
    </row>
    <row r="88" ht="21" customHeight="1" s="65">
      <c r="C88" s="16" t="n"/>
      <c r="D88" s="16" t="n"/>
      <c r="E88" s="16" t="n"/>
      <c r="F88" s="103" t="n"/>
      <c r="G88" s="25" t="n"/>
      <c r="H88" s="16" t="n"/>
      <c r="I88" s="7">
        <f>IF(C88="","",C88&amp;"|"&amp;COUNTIF($C$5:C88,C88))</f>
        <v/>
      </c>
      <c r="K88" s="39" t="n"/>
      <c r="L88" s="39" t="n"/>
      <c r="M88" s="39" t="n"/>
      <c r="N88" s="39" t="n"/>
    </row>
    <row r="89" ht="21" customHeight="1" s="65">
      <c r="C89" s="16" t="n"/>
      <c r="D89" s="16" t="n"/>
      <c r="E89" s="16" t="n"/>
      <c r="F89" s="103" t="n"/>
      <c r="G89" s="25" t="n"/>
      <c r="H89" s="16" t="n"/>
      <c r="I89" s="7">
        <f>IF(C89="","",C89&amp;"|"&amp;COUNTIF($C$5:C89,C89))</f>
        <v/>
      </c>
      <c r="K89" s="39" t="n"/>
      <c r="L89" s="39" t="n"/>
      <c r="M89" s="39" t="n"/>
      <c r="N89" s="39" t="n"/>
    </row>
    <row r="90" ht="21" customHeight="1" s="65">
      <c r="C90" s="16" t="n"/>
      <c r="D90" s="16" t="n"/>
      <c r="E90" s="16" t="n"/>
      <c r="F90" s="103" t="n"/>
      <c r="G90" s="25" t="n"/>
      <c r="H90" s="16" t="n"/>
      <c r="I90" s="7">
        <f>IF(C90="","",C90&amp;"|"&amp;COUNTIF($C$5:C90,C90))</f>
        <v/>
      </c>
      <c r="K90" s="39" t="n"/>
      <c r="L90" s="39" t="n"/>
      <c r="M90" s="39" t="n"/>
      <c r="N90" s="39" t="n"/>
    </row>
    <row r="91" ht="21" customHeight="1" s="65">
      <c r="C91" s="16" t="n"/>
      <c r="D91" s="16" t="n"/>
      <c r="E91" s="16" t="n"/>
      <c r="F91" s="103" t="n"/>
      <c r="G91" s="25" t="n"/>
      <c r="H91" s="16" t="n"/>
      <c r="I91" s="7">
        <f>IF(C91="","",C91&amp;"|"&amp;COUNTIF($C$5:C91,C91))</f>
        <v/>
      </c>
      <c r="K91" s="39" t="n"/>
      <c r="L91" s="39" t="n"/>
      <c r="M91" s="39" t="n"/>
      <c r="N91" s="39" t="n"/>
    </row>
    <row r="92" ht="21" customHeight="1" s="65">
      <c r="C92" s="16" t="n"/>
      <c r="D92" s="16" t="n"/>
      <c r="E92" s="16" t="n"/>
      <c r="F92" s="103" t="n"/>
      <c r="G92" s="25" t="n"/>
      <c r="H92" s="16" t="n"/>
      <c r="I92" s="7">
        <f>IF(C92="","",C92&amp;"|"&amp;COUNTIF($C$5:C92,C92))</f>
        <v/>
      </c>
      <c r="K92" s="39" t="n"/>
      <c r="L92" s="39" t="n"/>
      <c r="M92" s="39" t="n"/>
      <c r="N92" s="39" t="n"/>
    </row>
    <row r="93" ht="21" customHeight="1" s="65">
      <c r="C93" s="16" t="n"/>
      <c r="D93" s="16" t="n"/>
      <c r="E93" s="16" t="n"/>
      <c r="F93" s="103" t="n"/>
      <c r="G93" s="25" t="n"/>
      <c r="H93" s="16" t="n"/>
      <c r="I93" s="7">
        <f>IF(C93="","",C93&amp;"|"&amp;COUNTIF($C$5:C93,C93))</f>
        <v/>
      </c>
      <c r="K93" s="39" t="n"/>
      <c r="L93" s="39" t="n"/>
      <c r="M93" s="39" t="n"/>
      <c r="N93" s="39" t="n"/>
    </row>
    <row r="94" ht="21" customHeight="1" s="65">
      <c r="C94" s="16" t="n"/>
      <c r="D94" s="16" t="n"/>
      <c r="E94" s="16" t="n"/>
      <c r="F94" s="103" t="n"/>
      <c r="G94" s="25" t="n"/>
      <c r="H94" s="16" t="n"/>
      <c r="I94" s="7">
        <f>IF(C94="","",C94&amp;"|"&amp;COUNTIF($C$5:C94,C94))</f>
        <v/>
      </c>
      <c r="K94" s="39" t="n"/>
      <c r="L94" s="39" t="n"/>
      <c r="M94" s="39" t="n"/>
      <c r="N94" s="39" t="n"/>
    </row>
    <row r="95" ht="21" customHeight="1" s="65">
      <c r="C95" s="16" t="n"/>
      <c r="D95" s="16" t="n"/>
      <c r="E95" s="16" t="n"/>
      <c r="F95" s="103" t="n"/>
      <c r="G95" s="25" t="n"/>
      <c r="H95" s="16" t="n"/>
      <c r="I95" s="7">
        <f>IF(C95="","",C95&amp;"|"&amp;COUNTIF($C$5:C95,C95))</f>
        <v/>
      </c>
      <c r="K95" s="39" t="n"/>
      <c r="L95" s="39" t="n"/>
      <c r="M95" s="39" t="n"/>
      <c r="N95" s="39" t="n"/>
    </row>
    <row r="96" ht="21" customHeight="1" s="65">
      <c r="C96" s="16" t="n"/>
      <c r="D96" s="16" t="n"/>
      <c r="E96" s="16" t="n"/>
      <c r="F96" s="103" t="n"/>
      <c r="G96" s="25" t="n"/>
      <c r="H96" s="16" t="n"/>
      <c r="I96" s="7">
        <f>IF(C96="","",C96&amp;"|"&amp;COUNTIF($C$5:C96,C96))</f>
        <v/>
      </c>
      <c r="K96" s="39" t="n"/>
      <c r="L96" s="39" t="n"/>
      <c r="M96" s="39" t="n"/>
      <c r="N96" s="39" t="n"/>
    </row>
    <row r="97" ht="21" customHeight="1" s="65">
      <c r="C97" s="16" t="n"/>
      <c r="D97" s="16" t="n"/>
      <c r="E97" s="16" t="n"/>
      <c r="F97" s="103" t="n"/>
      <c r="G97" s="25" t="n"/>
      <c r="H97" s="16" t="n"/>
      <c r="I97" s="7">
        <f>IF(C97="","",C97&amp;"|"&amp;COUNTIF($C$5:C97,C97))</f>
        <v/>
      </c>
      <c r="K97" s="39" t="n"/>
      <c r="L97" s="39" t="n"/>
      <c r="M97" s="39" t="n"/>
      <c r="N97" s="39" t="n"/>
    </row>
    <row r="98" ht="21" customHeight="1" s="65">
      <c r="C98" s="16" t="n"/>
      <c r="D98" s="16" t="n"/>
      <c r="E98" s="16" t="n"/>
      <c r="F98" s="103" t="n"/>
      <c r="G98" s="25" t="n"/>
      <c r="H98" s="16" t="n"/>
      <c r="I98" s="7">
        <f>IF(C98="","",C98&amp;"|"&amp;COUNTIF($C$5:C98,C98))</f>
        <v/>
      </c>
      <c r="K98" s="39" t="n"/>
      <c r="L98" s="39" t="n"/>
      <c r="M98" s="39" t="n"/>
      <c r="N98" s="39" t="n"/>
    </row>
    <row r="99" ht="21" customHeight="1" s="65">
      <c r="C99" s="16" t="n"/>
      <c r="D99" s="16" t="n"/>
      <c r="E99" s="16" t="n"/>
      <c r="F99" s="103" t="n"/>
      <c r="G99" s="25" t="n"/>
      <c r="H99" s="16" t="n"/>
      <c r="I99" s="7">
        <f>IF(C99="","",C99&amp;"|"&amp;COUNTIF($C$5:C99,C99))</f>
        <v/>
      </c>
      <c r="K99" s="39" t="n"/>
      <c r="L99" s="39" t="n"/>
      <c r="M99" s="39" t="n"/>
      <c r="N99" s="39" t="n"/>
    </row>
    <row r="100" ht="21" customHeight="1" s="65">
      <c r="C100" s="16" t="n"/>
      <c r="D100" s="16" t="n"/>
      <c r="E100" s="16" t="n"/>
      <c r="F100" s="103" t="n"/>
      <c r="G100" s="25" t="n"/>
      <c r="H100" s="16" t="n"/>
      <c r="I100" s="7">
        <f>IF(C100="","",C100&amp;"|"&amp;COUNTIF($C$5:C100,C100))</f>
        <v/>
      </c>
      <c r="K100" s="39" t="n"/>
      <c r="L100" s="39" t="n"/>
      <c r="M100" s="39" t="n"/>
      <c r="N100" s="39" t="n"/>
    </row>
    <row r="101" ht="21" customHeight="1" s="65">
      <c r="C101" s="16" t="n"/>
      <c r="D101" s="16" t="n"/>
      <c r="E101" s="16" t="n"/>
      <c r="F101" s="103" t="n"/>
      <c r="G101" s="25" t="n"/>
      <c r="H101" s="16" t="n"/>
      <c r="I101" s="7">
        <f>IF(C101="","",C101&amp;"|"&amp;COUNTIF($C$5:C101,C101))</f>
        <v/>
      </c>
      <c r="K101" s="39" t="n"/>
      <c r="L101" s="39" t="n"/>
      <c r="M101" s="39" t="n"/>
      <c r="N101" s="39" t="n"/>
    </row>
    <row r="102" ht="21" customHeight="1" s="65">
      <c r="C102" s="16" t="n"/>
      <c r="D102" s="16" t="n"/>
      <c r="E102" s="16" t="n"/>
      <c r="F102" s="103" t="n"/>
      <c r="G102" s="25" t="n"/>
      <c r="H102" s="16" t="n"/>
      <c r="I102" s="7">
        <f>IF(C102="","",C102&amp;"|"&amp;COUNTIF($C$5:C102,C102))</f>
        <v/>
      </c>
      <c r="K102" s="39" t="n"/>
      <c r="L102" s="39" t="n"/>
      <c r="M102" s="39" t="n"/>
      <c r="N102" s="39" t="n"/>
    </row>
    <row r="103" ht="21" customHeight="1" s="65">
      <c r="C103" s="16" t="n"/>
      <c r="D103" s="16" t="n"/>
      <c r="E103" s="16" t="n"/>
      <c r="F103" s="103" t="n"/>
      <c r="G103" s="25" t="n"/>
      <c r="H103" s="16" t="n"/>
      <c r="I103" s="7">
        <f>IF(C103="","",C103&amp;"|"&amp;COUNTIF($C$5:C103,C103))</f>
        <v/>
      </c>
      <c r="K103" s="39" t="n"/>
      <c r="L103" s="39" t="n"/>
      <c r="M103" s="39" t="n"/>
      <c r="N103" s="39" t="n"/>
    </row>
    <row r="104" ht="21" customHeight="1" s="65">
      <c r="C104" s="16" t="n"/>
      <c r="D104" s="16" t="n"/>
      <c r="E104" s="16" t="n"/>
      <c r="F104" s="103" t="n"/>
      <c r="G104" s="25" t="n"/>
      <c r="H104" s="16" t="n"/>
      <c r="I104" s="7">
        <f>IF(C104="","",C104&amp;"|"&amp;COUNTIF($C$5:C104,C104))</f>
        <v/>
      </c>
      <c r="K104" s="39" t="n"/>
      <c r="L104" s="39" t="n"/>
      <c r="M104" s="39" t="n"/>
      <c r="N104" s="39" t="n"/>
    </row>
    <row r="105" ht="21" customHeight="1" s="65">
      <c r="C105" s="16" t="n"/>
      <c r="D105" s="16" t="n"/>
      <c r="E105" s="16" t="n"/>
      <c r="F105" s="103" t="n"/>
      <c r="G105" s="25" t="n"/>
      <c r="H105" s="16" t="n"/>
      <c r="I105" s="7">
        <f>IF(C105="","",C105&amp;"|"&amp;COUNTIF($C$5:C105,C105))</f>
        <v/>
      </c>
      <c r="K105" s="39" t="n"/>
      <c r="L105" s="39" t="n"/>
      <c r="M105" s="39" t="n"/>
      <c r="N105" s="39" t="n"/>
    </row>
    <row r="106" ht="21" customHeight="1" s="65">
      <c r="C106" s="16" t="n"/>
      <c r="D106" s="16" t="n"/>
      <c r="E106" s="16" t="n"/>
      <c r="F106" s="103" t="n"/>
      <c r="G106" s="25" t="n"/>
      <c r="H106" s="16" t="n"/>
      <c r="I106" s="7">
        <f>IF(C106="","",C106&amp;"|"&amp;COUNTIF($C$5:C106,C106))</f>
        <v/>
      </c>
      <c r="K106" s="39" t="n"/>
      <c r="L106" s="39" t="n"/>
      <c r="M106" s="39" t="n"/>
      <c r="N106" s="39" t="n"/>
    </row>
    <row r="107" ht="21" customHeight="1" s="65">
      <c r="C107" s="16" t="n"/>
      <c r="D107" s="16" t="n"/>
      <c r="E107" s="16" t="n"/>
      <c r="F107" s="103" t="n"/>
      <c r="G107" s="25" t="n"/>
      <c r="H107" s="16" t="n"/>
      <c r="I107" s="7">
        <f>IF(C107="","",C107&amp;"|"&amp;COUNTIF($C$5:C107,C107))</f>
        <v/>
      </c>
      <c r="K107" s="39" t="n"/>
      <c r="L107" s="39" t="n"/>
      <c r="M107" s="39" t="n"/>
      <c r="N107" s="39" t="n"/>
    </row>
    <row r="108" ht="21" customHeight="1" s="65">
      <c r="C108" s="16" t="n"/>
      <c r="D108" s="16" t="n"/>
      <c r="E108" s="16" t="n"/>
      <c r="F108" s="103" t="n"/>
      <c r="G108" s="25" t="n"/>
      <c r="H108" s="16" t="n"/>
      <c r="I108" s="7">
        <f>IF(C108="","",C108&amp;"|"&amp;COUNTIF($C$5:C108,C108))</f>
        <v/>
      </c>
      <c r="K108" s="39" t="n"/>
      <c r="L108" s="39" t="n"/>
      <c r="M108" s="39" t="n"/>
      <c r="N108" s="39" t="n"/>
    </row>
    <row r="109" ht="21" customHeight="1" s="65">
      <c r="C109" s="16" t="n"/>
      <c r="D109" s="16" t="n"/>
      <c r="E109" s="16" t="n"/>
      <c r="F109" s="103" t="n"/>
      <c r="G109" s="25" t="n"/>
      <c r="H109" s="16" t="n"/>
      <c r="I109" s="7">
        <f>IF(C109="","",C109&amp;"|"&amp;COUNTIF($C$5:C109,C109))</f>
        <v/>
      </c>
      <c r="K109" s="39" t="n"/>
      <c r="L109" s="39" t="n"/>
      <c r="M109" s="39" t="n"/>
      <c r="N109" s="39" t="n"/>
    </row>
    <row r="110" ht="21" customHeight="1" s="65">
      <c r="C110" s="16" t="n"/>
      <c r="D110" s="16" t="n"/>
      <c r="E110" s="16" t="n"/>
      <c r="F110" s="103" t="n"/>
      <c r="G110" s="25" t="n"/>
      <c r="H110" s="16" t="n"/>
      <c r="I110" s="7">
        <f>IF(C110="","",C110&amp;"|"&amp;COUNTIF($C$5:C110,C110))</f>
        <v/>
      </c>
      <c r="K110" s="39" t="n"/>
      <c r="L110" s="39" t="n"/>
      <c r="M110" s="39" t="n"/>
      <c r="N110" s="39" t="n"/>
    </row>
    <row r="111" ht="21" customHeight="1" s="65">
      <c r="C111" s="16" t="n"/>
      <c r="D111" s="16" t="n"/>
      <c r="E111" s="16" t="n"/>
      <c r="F111" s="103" t="n"/>
      <c r="G111" s="25" t="n"/>
      <c r="H111" s="16" t="n"/>
      <c r="I111" s="7">
        <f>IF(C111="","",C111&amp;"|"&amp;COUNTIF($C$5:C111,C111))</f>
        <v/>
      </c>
      <c r="K111" s="39" t="n"/>
      <c r="L111" s="39" t="n"/>
      <c r="M111" s="39" t="n"/>
      <c r="N111" s="39" t="n"/>
    </row>
    <row r="112" ht="21" customHeight="1" s="65">
      <c r="C112" s="16" t="n"/>
      <c r="D112" s="16" t="n"/>
      <c r="E112" s="16" t="n"/>
      <c r="F112" s="103" t="n"/>
      <c r="G112" s="25" t="n"/>
      <c r="H112" s="16" t="n"/>
      <c r="I112" s="7">
        <f>IF(C112="","",C112&amp;"|"&amp;COUNTIF($C$5:C112,C112))</f>
        <v/>
      </c>
      <c r="K112" s="39" t="n"/>
      <c r="L112" s="39" t="n"/>
      <c r="M112" s="39" t="n"/>
      <c r="N112" s="39" t="n"/>
    </row>
    <row r="113" ht="21" customHeight="1" s="65">
      <c r="C113" s="16" t="n"/>
      <c r="D113" s="16" t="n"/>
      <c r="E113" s="16" t="n"/>
      <c r="F113" s="103" t="n"/>
      <c r="G113" s="25" t="n"/>
      <c r="H113" s="16" t="n"/>
      <c r="I113" s="7">
        <f>IF(C113="","",C113&amp;"|"&amp;COUNTIF($C$5:C113,C113))</f>
        <v/>
      </c>
      <c r="K113" s="39" t="n"/>
      <c r="L113" s="39" t="n"/>
      <c r="M113" s="39" t="n"/>
      <c r="N113" s="39" t="n"/>
    </row>
    <row r="114" ht="21" customHeight="1" s="65">
      <c r="C114" s="16" t="n"/>
      <c r="D114" s="16" t="n"/>
      <c r="E114" s="16" t="n"/>
      <c r="F114" s="103" t="n"/>
      <c r="G114" s="25" t="n"/>
      <c r="H114" s="16" t="n"/>
      <c r="I114" s="7">
        <f>IF(C114="","",C114&amp;"|"&amp;COUNTIF($C$5:C114,C114))</f>
        <v/>
      </c>
      <c r="K114" s="39" t="n"/>
      <c r="L114" s="39" t="n"/>
      <c r="M114" s="39" t="n"/>
      <c r="N114" s="39" t="n"/>
    </row>
    <row r="115" ht="21" customHeight="1" s="65">
      <c r="C115" s="16" t="n"/>
      <c r="D115" s="16" t="n"/>
      <c r="E115" s="16" t="n"/>
      <c r="F115" s="103" t="n"/>
      <c r="G115" s="25" t="n"/>
      <c r="H115" s="16" t="n"/>
      <c r="I115" s="7">
        <f>IF(C115="","",C115&amp;"|"&amp;COUNTIF($C$5:C115,C115))</f>
        <v/>
      </c>
      <c r="K115" s="39" t="n"/>
      <c r="L115" s="39" t="n"/>
      <c r="M115" s="39" t="n"/>
      <c r="N115" s="39" t="n"/>
    </row>
    <row r="116" ht="21" customHeight="1" s="65">
      <c r="C116" s="16" t="n"/>
      <c r="D116" s="16" t="n"/>
      <c r="E116" s="16" t="n"/>
      <c r="F116" s="103" t="n"/>
      <c r="G116" s="25" t="n"/>
      <c r="H116" s="16" t="n"/>
      <c r="I116" s="7">
        <f>IF(C116="","",C116&amp;"|"&amp;COUNTIF($C$5:C116,C116))</f>
        <v/>
      </c>
      <c r="K116" s="39" t="n"/>
      <c r="L116" s="39" t="n"/>
      <c r="M116" s="39" t="n"/>
      <c r="N116" s="39" t="n"/>
    </row>
    <row r="117" ht="21" customHeight="1" s="65">
      <c r="C117" s="16" t="n"/>
      <c r="D117" s="16" t="n"/>
      <c r="E117" s="16" t="n"/>
      <c r="F117" s="103" t="n"/>
      <c r="G117" s="25" t="n"/>
      <c r="H117" s="16" t="n"/>
      <c r="I117" s="7">
        <f>IF(C117="","",C117&amp;"|"&amp;COUNTIF($C$5:C117,C117))</f>
        <v/>
      </c>
      <c r="K117" s="39" t="n"/>
      <c r="L117" s="39" t="n"/>
      <c r="M117" s="39" t="n"/>
      <c r="N117" s="39" t="n"/>
    </row>
    <row r="118" ht="21" customHeight="1" s="65">
      <c r="C118" s="16" t="n"/>
      <c r="D118" s="16" t="n"/>
      <c r="E118" s="16" t="n"/>
      <c r="F118" s="103" t="n"/>
      <c r="G118" s="25" t="n"/>
      <c r="H118" s="16" t="n"/>
      <c r="I118" s="7">
        <f>IF(C118="","",C118&amp;"|"&amp;COUNTIF($C$5:C118,C118))</f>
        <v/>
      </c>
      <c r="K118" s="39" t="n"/>
      <c r="L118" s="39" t="n"/>
      <c r="M118" s="39" t="n"/>
      <c r="N118" s="39" t="n"/>
    </row>
    <row r="119" ht="21" customHeight="1" s="65">
      <c r="C119" s="16" t="n"/>
      <c r="D119" s="16" t="n"/>
      <c r="E119" s="16" t="n"/>
      <c r="F119" s="103" t="n"/>
      <c r="G119" s="25" t="n"/>
      <c r="H119" s="16" t="n"/>
      <c r="I119" s="7">
        <f>IF(C119="","",C119&amp;"|"&amp;COUNTIF($C$5:C119,C119))</f>
        <v/>
      </c>
      <c r="K119" s="39" t="n"/>
      <c r="L119" s="39" t="n"/>
      <c r="M119" s="39" t="n"/>
      <c r="N119" s="39" t="n"/>
    </row>
    <row r="120" ht="21" customHeight="1" s="65">
      <c r="C120" s="16" t="n"/>
      <c r="D120" s="16" t="n"/>
      <c r="E120" s="16" t="n"/>
      <c r="F120" s="103" t="n"/>
      <c r="G120" s="25" t="n"/>
      <c r="H120" s="16" t="n"/>
      <c r="I120" s="7">
        <f>IF(C120="","",C120&amp;"|"&amp;COUNTIF($C$5:C120,C120))</f>
        <v/>
      </c>
      <c r="K120" s="39" t="n"/>
      <c r="L120" s="39" t="n"/>
      <c r="M120" s="39" t="n"/>
      <c r="N120" s="39" t="n"/>
    </row>
    <row r="121" ht="21" customHeight="1" s="65">
      <c r="C121" s="16" t="n"/>
      <c r="D121" s="16" t="n"/>
      <c r="E121" s="16" t="n"/>
      <c r="F121" s="103" t="n"/>
      <c r="G121" s="25" t="n"/>
      <c r="H121" s="16" t="n"/>
      <c r="I121" s="7">
        <f>IF(C121="","",C121&amp;"|"&amp;COUNTIF($C$5:C121,C121))</f>
        <v/>
      </c>
      <c r="K121" s="39" t="n"/>
      <c r="L121" s="39" t="n"/>
      <c r="M121" s="39" t="n"/>
      <c r="N121" s="39" t="n"/>
    </row>
    <row r="122" ht="21" customHeight="1" s="65">
      <c r="C122" s="16" t="n"/>
      <c r="D122" s="16" t="n"/>
      <c r="E122" s="16" t="n"/>
      <c r="F122" s="103" t="n"/>
      <c r="G122" s="25" t="n"/>
      <c r="H122" s="16" t="n"/>
      <c r="I122" s="7">
        <f>IF(C122="","",C122&amp;"|"&amp;COUNTIF($C$5:C122,C122))</f>
        <v/>
      </c>
      <c r="K122" s="39" t="n"/>
      <c r="L122" s="39" t="n"/>
      <c r="M122" s="39" t="n"/>
      <c r="N122" s="39" t="n"/>
    </row>
    <row r="123" ht="21" customHeight="1" s="65">
      <c r="C123" s="16" t="n"/>
      <c r="D123" s="16" t="n"/>
      <c r="E123" s="16" t="n"/>
      <c r="F123" s="103" t="n"/>
      <c r="G123" s="25" t="n"/>
      <c r="H123" s="16" t="n"/>
      <c r="I123" s="7">
        <f>IF(C123="","",C123&amp;"|"&amp;COUNTIF($C$5:C123,C123))</f>
        <v/>
      </c>
      <c r="K123" s="39" t="n"/>
      <c r="L123" s="39" t="n"/>
      <c r="M123" s="39" t="n"/>
      <c r="N123" s="39" t="n"/>
    </row>
    <row r="124" ht="21" customHeight="1" s="65">
      <c r="C124" s="16" t="n"/>
      <c r="D124" s="16" t="n"/>
      <c r="E124" s="16" t="n"/>
      <c r="F124" s="103" t="n"/>
      <c r="G124" s="25" t="n"/>
      <c r="H124" s="16" t="n"/>
      <c r="I124" s="7">
        <f>IF(C124="","",C124&amp;"|"&amp;COUNTIF($C$5:C124,C124))</f>
        <v/>
      </c>
      <c r="K124" s="39" t="n"/>
      <c r="L124" s="39" t="n"/>
      <c r="M124" s="39" t="n"/>
      <c r="N124" s="39" t="n"/>
    </row>
    <row r="125" ht="21" customHeight="1" s="65">
      <c r="C125" s="16" t="n"/>
      <c r="D125" s="16" t="n"/>
      <c r="E125" s="16" t="n"/>
      <c r="F125" s="103" t="n"/>
      <c r="G125" s="25" t="n"/>
      <c r="H125" s="16" t="n"/>
      <c r="I125" s="7">
        <f>IF(C125="","",C125&amp;"|"&amp;COUNTIF($C$5:C125,C125))</f>
        <v/>
      </c>
      <c r="K125" s="39" t="n"/>
      <c r="L125" s="39" t="n"/>
      <c r="M125" s="39" t="n"/>
      <c r="N125" s="39" t="n"/>
    </row>
    <row r="126" ht="21" customHeight="1" s="65">
      <c r="C126" s="16" t="n"/>
      <c r="D126" s="16" t="n"/>
      <c r="E126" s="16" t="n"/>
      <c r="F126" s="103" t="n"/>
      <c r="G126" s="25" t="n"/>
      <c r="H126" s="16" t="n"/>
      <c r="I126" s="7">
        <f>IF(C126="","",C126&amp;"|"&amp;COUNTIF($C$5:C126,C126))</f>
        <v/>
      </c>
      <c r="K126" s="39" t="n"/>
      <c r="L126" s="39" t="n"/>
      <c r="M126" s="39" t="n"/>
      <c r="N126" s="39" t="n"/>
    </row>
    <row r="127" ht="21" customHeight="1" s="65">
      <c r="C127" s="16" t="n"/>
      <c r="D127" s="16" t="n"/>
      <c r="E127" s="16" t="n"/>
      <c r="F127" s="103" t="n"/>
      <c r="G127" s="25" t="n"/>
      <c r="H127" s="16" t="n"/>
      <c r="I127" s="7">
        <f>IF(C127="","",C127&amp;"|"&amp;COUNTIF($C$5:C127,C127))</f>
        <v/>
      </c>
      <c r="K127" s="39" t="n"/>
      <c r="L127" s="39" t="n"/>
      <c r="M127" s="39" t="n"/>
      <c r="N127" s="39" t="n"/>
    </row>
    <row r="128" ht="21" customHeight="1" s="65">
      <c r="C128" s="16" t="n"/>
      <c r="D128" s="16" t="n"/>
      <c r="E128" s="16" t="n"/>
      <c r="F128" s="103" t="n"/>
      <c r="G128" s="25" t="n"/>
      <c r="H128" s="16" t="n"/>
      <c r="I128" s="7">
        <f>IF(C128="","",C128&amp;"|"&amp;COUNTIF($C$5:C128,C128))</f>
        <v/>
      </c>
      <c r="K128" s="39" t="n"/>
      <c r="L128" s="39" t="n"/>
      <c r="M128" s="39" t="n"/>
      <c r="N128" s="39" t="n"/>
    </row>
    <row r="129" ht="21" customHeight="1" s="65">
      <c r="C129" s="16" t="n"/>
      <c r="D129" s="16" t="n"/>
      <c r="E129" s="16" t="n"/>
      <c r="F129" s="103" t="n"/>
      <c r="G129" s="25" t="n"/>
      <c r="H129" s="16" t="n"/>
      <c r="I129" s="7">
        <f>IF(C129="","",C129&amp;"|"&amp;COUNTIF($C$5:C129,C129))</f>
        <v/>
      </c>
      <c r="K129" s="39" t="n"/>
      <c r="L129" s="39" t="n"/>
      <c r="M129" s="39" t="n"/>
      <c r="N129" s="39" t="n"/>
    </row>
    <row r="130" ht="21" customHeight="1" s="65">
      <c r="C130" s="16" t="n"/>
      <c r="D130" s="16" t="n"/>
      <c r="E130" s="16" t="n"/>
      <c r="F130" s="103" t="n"/>
      <c r="G130" s="25" t="n"/>
      <c r="H130" s="16" t="n"/>
      <c r="I130" s="7">
        <f>IF(C130="","",C130&amp;"|"&amp;COUNTIF($C$5:C130,C130))</f>
        <v/>
      </c>
      <c r="K130" s="39" t="n"/>
      <c r="L130" s="39" t="n"/>
      <c r="M130" s="39" t="n"/>
      <c r="N130" s="39" t="n"/>
    </row>
    <row r="131" ht="21" customHeight="1" s="65">
      <c r="C131" s="16" t="n"/>
      <c r="D131" s="16" t="n"/>
      <c r="E131" s="16" t="n"/>
      <c r="F131" s="103" t="n"/>
      <c r="G131" s="25" t="n"/>
      <c r="H131" s="16" t="n"/>
      <c r="I131" s="7">
        <f>IF(C131="","",C131&amp;"|"&amp;COUNTIF($C$5:C131,C131))</f>
        <v/>
      </c>
      <c r="K131" s="39" t="n"/>
      <c r="L131" s="39" t="n"/>
      <c r="M131" s="39" t="n"/>
      <c r="N131" s="39" t="n"/>
    </row>
    <row r="132" ht="21" customHeight="1" s="65">
      <c r="C132" s="16" t="n"/>
      <c r="D132" s="16" t="n"/>
      <c r="E132" s="16" t="n"/>
      <c r="F132" s="103" t="n"/>
      <c r="G132" s="25" t="n"/>
      <c r="H132" s="16" t="n"/>
      <c r="I132" s="7">
        <f>IF(C132="","",C132&amp;"|"&amp;COUNTIF($C$5:C132,C132))</f>
        <v/>
      </c>
      <c r="K132" s="39" t="n"/>
      <c r="L132" s="39" t="n"/>
      <c r="M132" s="39" t="n"/>
      <c r="N132" s="39" t="n"/>
    </row>
    <row r="133" ht="21" customHeight="1" s="65">
      <c r="C133" s="16" t="n"/>
      <c r="D133" s="16" t="n"/>
      <c r="E133" s="16" t="n"/>
      <c r="F133" s="103" t="n"/>
      <c r="G133" s="25" t="n"/>
      <c r="H133" s="16" t="n"/>
      <c r="I133" s="7">
        <f>IF(C133="","",C133&amp;"|"&amp;COUNTIF($C$5:C133,C133))</f>
        <v/>
      </c>
      <c r="K133" s="39" t="n"/>
      <c r="L133" s="39" t="n"/>
      <c r="M133" s="39" t="n"/>
      <c r="N133" s="39" t="n"/>
    </row>
    <row r="134" ht="21" customHeight="1" s="65">
      <c r="C134" s="16" t="n"/>
      <c r="D134" s="16" t="n"/>
      <c r="E134" s="16" t="n"/>
      <c r="F134" s="103" t="n"/>
      <c r="G134" s="25" t="n"/>
      <c r="H134" s="16" t="n"/>
      <c r="I134" s="7">
        <f>IF(C134="","",C134&amp;"|"&amp;COUNTIF($C$5:C134,C134))</f>
        <v/>
      </c>
      <c r="K134" s="39" t="n"/>
      <c r="L134" s="39" t="n"/>
      <c r="M134" s="39" t="n"/>
      <c r="N134" s="39" t="n"/>
    </row>
    <row r="135" ht="21" customHeight="1" s="65">
      <c r="C135" s="16" t="n"/>
      <c r="D135" s="16" t="n"/>
      <c r="E135" s="16" t="n"/>
      <c r="F135" s="103" t="n"/>
      <c r="G135" s="25" t="n"/>
      <c r="H135" s="16" t="n"/>
      <c r="I135" s="7">
        <f>IF(C135="","",C135&amp;"|"&amp;COUNTIF($C$5:C135,C135))</f>
        <v/>
      </c>
      <c r="K135" s="39" t="n"/>
      <c r="L135" s="39" t="n"/>
      <c r="M135" s="39" t="n"/>
      <c r="N135" s="39" t="n"/>
    </row>
    <row r="136" ht="21" customHeight="1" s="65">
      <c r="C136" s="16" t="n"/>
      <c r="D136" s="16" t="n"/>
      <c r="E136" s="16" t="n"/>
      <c r="F136" s="103" t="n"/>
      <c r="G136" s="25" t="n"/>
      <c r="H136" s="16" t="n"/>
      <c r="I136" s="7">
        <f>IF(C136="","",C136&amp;"|"&amp;COUNTIF($C$5:C136,C136))</f>
        <v/>
      </c>
      <c r="K136" s="39" t="n"/>
      <c r="L136" s="39" t="n"/>
      <c r="M136" s="39" t="n"/>
      <c r="N136" s="39" t="n"/>
    </row>
    <row r="137" ht="21" customHeight="1" s="65">
      <c r="C137" s="16" t="n"/>
      <c r="D137" s="16" t="n"/>
      <c r="E137" s="16" t="n"/>
      <c r="F137" s="103" t="n"/>
      <c r="G137" s="25" t="n"/>
      <c r="H137" s="16" t="n"/>
      <c r="I137" s="7">
        <f>IF(C137="","",C137&amp;"|"&amp;COUNTIF($C$5:C137,C137))</f>
        <v/>
      </c>
      <c r="K137" s="39" t="n"/>
      <c r="L137" s="39" t="n"/>
      <c r="M137" s="39" t="n"/>
      <c r="N137" s="39" t="n"/>
    </row>
    <row r="138" ht="21" customHeight="1" s="65">
      <c r="C138" s="16" t="n"/>
      <c r="D138" s="16" t="n"/>
      <c r="E138" s="16" t="n"/>
      <c r="F138" s="103" t="n"/>
      <c r="G138" s="25" t="n"/>
      <c r="H138" s="16" t="n"/>
      <c r="I138" s="7">
        <f>IF(C138="","",C138&amp;"|"&amp;COUNTIF($C$5:C138,C138))</f>
        <v/>
      </c>
      <c r="K138" s="39" t="n"/>
      <c r="L138" s="39" t="n"/>
      <c r="M138" s="39" t="n"/>
      <c r="N138" s="39" t="n"/>
    </row>
    <row r="139" ht="21" customHeight="1" s="65">
      <c r="C139" s="16" t="n"/>
      <c r="D139" s="16" t="n"/>
      <c r="E139" s="16" t="n"/>
      <c r="F139" s="103" t="n"/>
      <c r="G139" s="25" t="n"/>
      <c r="H139" s="16" t="n"/>
      <c r="I139" s="7">
        <f>IF(C139="","",C139&amp;"|"&amp;COUNTIF($C$5:C139,C139))</f>
        <v/>
      </c>
      <c r="K139" s="39" t="n"/>
      <c r="L139" s="39" t="n"/>
      <c r="M139" s="39" t="n"/>
      <c r="N139" s="39" t="n"/>
    </row>
    <row r="140" ht="21" customHeight="1" s="65">
      <c r="C140" s="16" t="n"/>
      <c r="D140" s="16" t="n"/>
      <c r="E140" s="16" t="n"/>
      <c r="F140" s="103" t="n"/>
      <c r="G140" s="25" t="n"/>
      <c r="H140" s="16" t="n"/>
      <c r="I140" s="7">
        <f>IF(C140="","",C140&amp;"|"&amp;COUNTIF($C$5:C140,C140))</f>
        <v/>
      </c>
      <c r="K140" s="39" t="n"/>
      <c r="L140" s="39" t="n"/>
      <c r="M140" s="39" t="n"/>
      <c r="N140" s="39" t="n"/>
    </row>
    <row r="141" ht="21" customHeight="1" s="65">
      <c r="C141" s="16" t="n"/>
      <c r="D141" s="16" t="n"/>
      <c r="E141" s="16" t="n"/>
      <c r="F141" s="103" t="n"/>
      <c r="G141" s="25" t="n"/>
      <c r="H141" s="16" t="n"/>
      <c r="I141" s="7">
        <f>IF(C141="","",C141&amp;"|"&amp;COUNTIF($C$5:C141,C141))</f>
        <v/>
      </c>
      <c r="K141" s="39" t="n"/>
      <c r="L141" s="39" t="n"/>
      <c r="M141" s="39" t="n"/>
      <c r="N141" s="39" t="n"/>
    </row>
    <row r="142" ht="21" customHeight="1" s="65">
      <c r="C142" s="16" t="n"/>
      <c r="D142" s="16" t="n"/>
      <c r="E142" s="16" t="n"/>
      <c r="F142" s="103" t="n"/>
      <c r="G142" s="25" t="n"/>
      <c r="H142" s="16" t="n"/>
      <c r="I142" s="7">
        <f>IF(C142="","",C142&amp;"|"&amp;COUNTIF($C$5:C142,C142))</f>
        <v/>
      </c>
      <c r="K142" s="39" t="n"/>
      <c r="L142" s="39" t="n"/>
      <c r="M142" s="39" t="n"/>
      <c r="N142" s="39" t="n"/>
    </row>
    <row r="143" ht="21" customHeight="1" s="65">
      <c r="C143" s="16" t="n"/>
      <c r="D143" s="16" t="n"/>
      <c r="E143" s="16" t="n"/>
      <c r="F143" s="103" t="n"/>
      <c r="G143" s="25" t="n"/>
      <c r="H143" s="16" t="n"/>
      <c r="I143" s="7">
        <f>IF(C143="","",C143&amp;"|"&amp;COUNTIF($C$5:C143,C143))</f>
        <v/>
      </c>
      <c r="K143" s="39" t="n"/>
      <c r="L143" s="39" t="n"/>
      <c r="M143" s="39" t="n"/>
      <c r="N143" s="39" t="n"/>
    </row>
    <row r="144" ht="21" customHeight="1" s="65">
      <c r="C144" s="16" t="n"/>
      <c r="D144" s="16" t="n"/>
      <c r="E144" s="16" t="n"/>
      <c r="F144" s="103" t="n"/>
      <c r="G144" s="25" t="n"/>
      <c r="H144" s="16" t="n"/>
      <c r="I144" s="7">
        <f>IF(C144="","",C144&amp;"|"&amp;COUNTIF($C$5:C144,C144))</f>
        <v/>
      </c>
      <c r="K144" s="39" t="n"/>
      <c r="L144" s="39" t="n"/>
      <c r="M144" s="39" t="n"/>
      <c r="N144" s="39" t="n"/>
    </row>
    <row r="145" ht="21" customHeight="1" s="65">
      <c r="C145" s="16" t="n"/>
      <c r="D145" s="16" t="n"/>
      <c r="E145" s="16" t="n"/>
      <c r="F145" s="103" t="n"/>
      <c r="G145" s="25" t="n"/>
      <c r="H145" s="16" t="n"/>
      <c r="I145" s="7">
        <f>IF(C145="","",C145&amp;"|"&amp;COUNTIF($C$5:C145,C145))</f>
        <v/>
      </c>
      <c r="K145" s="39" t="n"/>
      <c r="L145" s="39" t="n"/>
      <c r="M145" s="39" t="n"/>
      <c r="N145" s="39" t="n"/>
    </row>
    <row r="146" ht="21" customHeight="1" s="65">
      <c r="C146" s="16" t="n"/>
      <c r="D146" s="16" t="n"/>
      <c r="E146" s="16" t="n"/>
      <c r="F146" s="103" t="n"/>
      <c r="G146" s="25" t="n"/>
      <c r="H146" s="16" t="n"/>
      <c r="I146" s="7">
        <f>IF(C146="","",C146&amp;"|"&amp;COUNTIF($C$5:C146,C146))</f>
        <v/>
      </c>
      <c r="K146" s="39" t="n"/>
      <c r="L146" s="39" t="n"/>
      <c r="M146" s="39" t="n"/>
      <c r="N146" s="39" t="n"/>
    </row>
    <row r="147" ht="21" customHeight="1" s="65">
      <c r="C147" s="16" t="n"/>
      <c r="D147" s="16" t="n"/>
      <c r="E147" s="16" t="n"/>
      <c r="F147" s="103" t="n"/>
      <c r="G147" s="25" t="n"/>
      <c r="H147" s="16" t="n"/>
      <c r="I147" s="7">
        <f>IF(C147="","",C147&amp;"|"&amp;COUNTIF($C$5:C147,C147))</f>
        <v/>
      </c>
      <c r="K147" s="39" t="n"/>
      <c r="L147" s="39" t="n"/>
      <c r="M147" s="39" t="n"/>
      <c r="N147" s="39" t="n"/>
    </row>
    <row r="148" ht="21" customHeight="1" s="65">
      <c r="C148" s="16" t="n"/>
      <c r="D148" s="16" t="n"/>
      <c r="E148" s="16" t="n"/>
      <c r="F148" s="103" t="n"/>
      <c r="G148" s="25" t="n"/>
      <c r="H148" s="16" t="n"/>
      <c r="I148" s="7">
        <f>IF(C148="","",C148&amp;"|"&amp;COUNTIF($C$5:C148,C148))</f>
        <v/>
      </c>
      <c r="K148" s="39" t="n"/>
      <c r="L148" s="39" t="n"/>
      <c r="M148" s="39" t="n"/>
      <c r="N148" s="39" t="n"/>
    </row>
    <row r="149" ht="21" customHeight="1" s="65">
      <c r="C149" s="16" t="n"/>
      <c r="D149" s="16" t="n"/>
      <c r="E149" s="16" t="n"/>
      <c r="F149" s="103" t="n"/>
      <c r="G149" s="25" t="n"/>
      <c r="H149" s="16" t="n"/>
      <c r="I149" s="7">
        <f>IF(C149="","",C149&amp;"|"&amp;COUNTIF($C$5:C149,C149))</f>
        <v/>
      </c>
      <c r="K149" s="39" t="n"/>
      <c r="L149" s="39" t="n"/>
      <c r="M149" s="39" t="n"/>
      <c r="N149" s="39" t="n"/>
    </row>
    <row r="150" ht="21" customHeight="1" s="65">
      <c r="C150" s="16" t="n"/>
      <c r="D150" s="16" t="n"/>
      <c r="E150" s="16" t="n"/>
      <c r="F150" s="103" t="n"/>
      <c r="G150" s="25" t="n"/>
      <c r="H150" s="16" t="n"/>
      <c r="I150" s="7">
        <f>IF(C150="","",C150&amp;"|"&amp;COUNTIF($C$5:C150,C150))</f>
        <v/>
      </c>
      <c r="K150" s="39" t="n"/>
      <c r="L150" s="39" t="n"/>
      <c r="M150" s="39" t="n"/>
      <c r="N150" s="39" t="n"/>
    </row>
    <row r="151" ht="21" customHeight="1" s="65">
      <c r="C151" s="16" t="n"/>
      <c r="D151" s="16" t="n"/>
      <c r="E151" s="16" t="n"/>
      <c r="F151" s="103" t="n"/>
      <c r="G151" s="25" t="n"/>
      <c r="H151" s="16" t="n"/>
      <c r="I151" s="7">
        <f>IF(C151="","",C151&amp;"|"&amp;COUNTIF($C$5:C151,C151))</f>
        <v/>
      </c>
      <c r="K151" s="39" t="n"/>
      <c r="L151" s="39" t="n"/>
      <c r="M151" s="39" t="n"/>
      <c r="N151" s="39" t="n"/>
    </row>
    <row r="152" ht="21" customHeight="1" s="65">
      <c r="C152" s="16" t="n"/>
      <c r="D152" s="16" t="n"/>
      <c r="E152" s="16" t="n"/>
      <c r="F152" s="103" t="n"/>
      <c r="G152" s="25" t="n"/>
      <c r="H152" s="16" t="n"/>
      <c r="I152" s="7">
        <f>IF(C152="","",C152&amp;"|"&amp;COUNTIF($C$5:C152,C152))</f>
        <v/>
      </c>
      <c r="K152" s="39" t="n"/>
      <c r="L152" s="39" t="n"/>
      <c r="M152" s="39" t="n"/>
      <c r="N152" s="39" t="n"/>
    </row>
    <row r="153" ht="21" customHeight="1" s="65">
      <c r="C153" s="16" t="n"/>
      <c r="D153" s="16" t="n"/>
      <c r="E153" s="16" t="n"/>
      <c r="F153" s="103" t="n"/>
      <c r="G153" s="25" t="n"/>
      <c r="H153" s="16" t="n"/>
      <c r="I153" s="7">
        <f>IF(C153="","",C153&amp;"|"&amp;COUNTIF($C$5:C153,C153))</f>
        <v/>
      </c>
      <c r="K153" s="39" t="n"/>
      <c r="L153" s="39" t="n"/>
      <c r="M153" s="39" t="n"/>
      <c r="N153" s="39" t="n"/>
    </row>
    <row r="154" ht="21" customHeight="1" s="65">
      <c r="C154" s="16" t="n"/>
      <c r="D154" s="16" t="n"/>
      <c r="E154" s="16" t="n"/>
      <c r="F154" s="103" t="n"/>
      <c r="G154" s="25" t="n"/>
      <c r="H154" s="16" t="n"/>
      <c r="I154" s="7">
        <f>IF(C154="","",C154&amp;"|"&amp;COUNTIF($C$5:C154,C154))</f>
        <v/>
      </c>
      <c r="K154" s="39" t="n"/>
      <c r="L154" s="39" t="n"/>
      <c r="M154" s="39" t="n"/>
      <c r="N154" s="39" t="n"/>
    </row>
    <row r="155" ht="21" customHeight="1" s="65">
      <c r="C155" s="16" t="n"/>
      <c r="D155" s="16" t="n"/>
      <c r="E155" s="16" t="n"/>
      <c r="F155" s="103" t="n"/>
      <c r="G155" s="25" t="n"/>
      <c r="H155" s="16" t="n"/>
      <c r="I155" s="7">
        <f>IF(C155="","",C155&amp;"|"&amp;COUNTIF($C$5:C155,C155))</f>
        <v/>
      </c>
      <c r="K155" s="39" t="n"/>
      <c r="L155" s="39" t="n"/>
      <c r="M155" s="39" t="n"/>
      <c r="N155" s="39" t="n"/>
    </row>
    <row r="156" ht="21" customHeight="1" s="65">
      <c r="C156" s="16" t="n"/>
      <c r="D156" s="16" t="n"/>
      <c r="E156" s="16" t="n"/>
      <c r="F156" s="103" t="n"/>
      <c r="G156" s="25" t="n"/>
      <c r="H156" s="16" t="n"/>
      <c r="I156" s="7">
        <f>IF(C156="","",C156&amp;"|"&amp;COUNTIF($C$5:C156,C156))</f>
        <v/>
      </c>
      <c r="K156" s="39" t="n"/>
      <c r="L156" s="39" t="n"/>
      <c r="M156" s="39" t="n"/>
      <c r="N156" s="39" t="n"/>
    </row>
    <row r="157" ht="21" customHeight="1" s="65">
      <c r="C157" s="16" t="n"/>
      <c r="D157" s="16" t="n"/>
      <c r="E157" s="16" t="n"/>
      <c r="F157" s="103" t="n"/>
      <c r="G157" s="25" t="n"/>
      <c r="H157" s="16" t="n"/>
      <c r="I157" s="7">
        <f>IF(C157="","",C157&amp;"|"&amp;COUNTIF($C$5:C157,C157))</f>
        <v/>
      </c>
      <c r="K157" s="39" t="n"/>
      <c r="L157" s="39" t="n"/>
      <c r="M157" s="39" t="n"/>
      <c r="N157" s="39" t="n"/>
    </row>
    <row r="158" ht="21" customHeight="1" s="65">
      <c r="C158" s="16" t="n"/>
      <c r="D158" s="16" t="n"/>
      <c r="E158" s="16" t="n"/>
      <c r="F158" s="103" t="n"/>
      <c r="G158" s="25" t="n"/>
      <c r="H158" s="16" t="n"/>
      <c r="I158" s="7">
        <f>IF(C158="","",C158&amp;"|"&amp;COUNTIF($C$5:C158,C158))</f>
        <v/>
      </c>
      <c r="K158" s="39" t="n"/>
      <c r="L158" s="39" t="n"/>
      <c r="M158" s="39" t="n"/>
      <c r="N158" s="39" t="n"/>
    </row>
    <row r="159" ht="21" customHeight="1" s="65">
      <c r="C159" s="16" t="n"/>
      <c r="D159" s="16" t="n"/>
      <c r="E159" s="16" t="n"/>
      <c r="F159" s="103" t="n"/>
      <c r="G159" s="25" t="n"/>
      <c r="H159" s="16" t="n"/>
      <c r="I159" s="7">
        <f>IF(C159="","",C159&amp;"|"&amp;COUNTIF($C$5:C159,C159))</f>
        <v/>
      </c>
      <c r="K159" s="39" t="n"/>
      <c r="L159" s="39" t="n"/>
      <c r="M159" s="39" t="n"/>
      <c r="N159" s="39" t="n"/>
    </row>
    <row r="160" ht="21" customHeight="1" s="65">
      <c r="C160" s="16" t="n"/>
      <c r="D160" s="16" t="n"/>
      <c r="E160" s="16" t="n"/>
      <c r="F160" s="103" t="n"/>
      <c r="G160" s="25" t="n"/>
      <c r="H160" s="16" t="n"/>
      <c r="I160" s="7">
        <f>IF(C160="","",C160&amp;"|"&amp;COUNTIF($C$5:C160,C160))</f>
        <v/>
      </c>
      <c r="K160" s="39" t="n"/>
      <c r="L160" s="39" t="n"/>
      <c r="M160" s="39" t="n"/>
      <c r="N160" s="39" t="n"/>
    </row>
    <row r="161" ht="21" customHeight="1" s="65">
      <c r="C161" s="16" t="n"/>
      <c r="D161" s="16" t="n"/>
      <c r="E161" s="16" t="n"/>
      <c r="F161" s="103" t="n"/>
      <c r="G161" s="25" t="n"/>
      <c r="H161" s="16" t="n"/>
      <c r="I161" s="7">
        <f>IF(C161="","",C161&amp;"|"&amp;COUNTIF($C$5:C161,C161))</f>
        <v/>
      </c>
      <c r="K161" s="39" t="n"/>
      <c r="L161" s="39" t="n"/>
      <c r="M161" s="39" t="n"/>
      <c r="N161" s="39" t="n"/>
    </row>
    <row r="162" ht="21" customHeight="1" s="65">
      <c r="C162" s="16" t="n"/>
      <c r="D162" s="16" t="n"/>
      <c r="E162" s="16" t="n"/>
      <c r="F162" s="103" t="n"/>
      <c r="G162" s="25" t="n"/>
      <c r="H162" s="16" t="n"/>
      <c r="I162" s="7">
        <f>IF(C162="","",C162&amp;"|"&amp;COUNTIF($C$5:C162,C162))</f>
        <v/>
      </c>
      <c r="K162" s="39" t="n"/>
      <c r="L162" s="39" t="n"/>
      <c r="M162" s="39" t="n"/>
      <c r="N162" s="39" t="n"/>
    </row>
    <row r="163" ht="21" customHeight="1" s="65">
      <c r="C163" s="16" t="n"/>
      <c r="D163" s="16" t="n"/>
      <c r="E163" s="16" t="n"/>
      <c r="F163" s="103" t="n"/>
      <c r="G163" s="25" t="n"/>
      <c r="H163" s="16" t="n"/>
      <c r="I163" s="7">
        <f>IF(C163="","",C163&amp;"|"&amp;COUNTIF($C$5:C163,C163))</f>
        <v/>
      </c>
      <c r="K163" s="39" t="n"/>
      <c r="L163" s="39" t="n"/>
      <c r="M163" s="39" t="n"/>
      <c r="N163" s="39" t="n"/>
    </row>
    <row r="164" ht="21" customHeight="1" s="65">
      <c r="C164" s="16" t="n"/>
      <c r="D164" s="16" t="n"/>
      <c r="E164" s="16" t="n"/>
      <c r="F164" s="103" t="n"/>
      <c r="G164" s="25" t="n"/>
      <c r="H164" s="16" t="n"/>
      <c r="I164" s="7">
        <f>IF(C164="","",C164&amp;"|"&amp;COUNTIF($C$5:C164,C164))</f>
        <v/>
      </c>
      <c r="K164" s="39" t="n"/>
      <c r="L164" s="39" t="n"/>
      <c r="M164" s="39" t="n"/>
      <c r="N164" s="39" t="n"/>
    </row>
    <row r="165" ht="21" customHeight="1" s="65">
      <c r="C165" s="16" t="n"/>
      <c r="D165" s="16" t="n"/>
      <c r="E165" s="16" t="n"/>
      <c r="F165" s="103" t="n"/>
      <c r="G165" s="25" t="n"/>
      <c r="H165" s="16" t="n"/>
      <c r="I165" s="7">
        <f>IF(C165="","",C165&amp;"|"&amp;COUNTIF($C$5:C165,C165))</f>
        <v/>
      </c>
      <c r="K165" s="39" t="n"/>
      <c r="L165" s="39" t="n"/>
      <c r="M165" s="39" t="n"/>
      <c r="N165" s="39" t="n"/>
    </row>
    <row r="166" ht="21" customHeight="1" s="65">
      <c r="C166" s="16" t="n"/>
      <c r="D166" s="16" t="n"/>
      <c r="E166" s="16" t="n"/>
      <c r="F166" s="103" t="n"/>
      <c r="G166" s="25" t="n"/>
      <c r="H166" s="16" t="n"/>
      <c r="I166" s="7">
        <f>IF(C166="","",C166&amp;"|"&amp;COUNTIF($C$5:C166,C166))</f>
        <v/>
      </c>
      <c r="K166" s="39" t="n"/>
      <c r="L166" s="39" t="n"/>
      <c r="M166" s="39" t="n"/>
      <c r="N166" s="39" t="n"/>
    </row>
    <row r="167" ht="21" customHeight="1" s="65">
      <c r="C167" s="16" t="n"/>
      <c r="D167" s="16" t="n"/>
      <c r="E167" s="16" t="n"/>
      <c r="F167" s="103" t="n"/>
      <c r="G167" s="25" t="n"/>
      <c r="H167" s="16" t="n"/>
      <c r="I167" s="7">
        <f>IF(C167="","",C167&amp;"|"&amp;COUNTIF($C$5:C167,C167))</f>
        <v/>
      </c>
      <c r="K167" s="39" t="n"/>
      <c r="L167" s="39" t="n"/>
      <c r="M167" s="39" t="n"/>
      <c r="N167" s="39" t="n"/>
    </row>
    <row r="168" ht="21" customHeight="1" s="65">
      <c r="C168" s="16" t="n"/>
      <c r="D168" s="16" t="n"/>
      <c r="E168" s="16" t="n"/>
      <c r="F168" s="103" t="n"/>
      <c r="G168" s="25" t="n"/>
      <c r="H168" s="16" t="n"/>
      <c r="I168" s="7">
        <f>IF(C168="","",C168&amp;"|"&amp;COUNTIF($C$5:C168,C168))</f>
        <v/>
      </c>
      <c r="K168" s="39" t="n"/>
      <c r="L168" s="39" t="n"/>
      <c r="M168" s="39" t="n"/>
      <c r="N168" s="39" t="n"/>
    </row>
    <row r="169" ht="21" customHeight="1" s="65">
      <c r="C169" s="16" t="n"/>
      <c r="D169" s="16" t="n"/>
      <c r="E169" s="16" t="n"/>
      <c r="F169" s="103" t="n"/>
      <c r="G169" s="25" t="n"/>
      <c r="H169" s="16" t="n"/>
      <c r="I169" s="7">
        <f>IF(C169="","",C169&amp;"|"&amp;COUNTIF($C$5:C169,C169))</f>
        <v/>
      </c>
      <c r="K169" s="39" t="n"/>
      <c r="L169" s="39" t="n"/>
      <c r="M169" s="39" t="n"/>
      <c r="N169" s="39" t="n"/>
    </row>
    <row r="170" ht="21" customHeight="1" s="65">
      <c r="C170" s="16" t="n"/>
      <c r="D170" s="16" t="n"/>
      <c r="E170" s="16" t="n"/>
      <c r="F170" s="103" t="n"/>
      <c r="G170" s="25" t="n"/>
      <c r="H170" s="16" t="n"/>
      <c r="I170" s="7">
        <f>IF(C170="","",C170&amp;"|"&amp;COUNTIF($C$5:C170,C170))</f>
        <v/>
      </c>
      <c r="K170" s="39" t="n"/>
      <c r="L170" s="39" t="n"/>
      <c r="M170" s="39" t="n"/>
      <c r="N170" s="39" t="n"/>
    </row>
    <row r="171" ht="21" customHeight="1" s="65">
      <c r="C171" s="16" t="n"/>
      <c r="D171" s="16" t="n"/>
      <c r="E171" s="16" t="n"/>
      <c r="F171" s="103" t="n"/>
      <c r="G171" s="25" t="n"/>
      <c r="H171" s="16" t="n"/>
      <c r="I171" s="7">
        <f>IF(C171="","",C171&amp;"|"&amp;COUNTIF($C$5:C171,C171))</f>
        <v/>
      </c>
      <c r="K171" s="39" t="n"/>
      <c r="L171" s="39" t="n"/>
      <c r="M171" s="39" t="n"/>
      <c r="N171" s="39" t="n"/>
    </row>
    <row r="172" ht="21" customHeight="1" s="65">
      <c r="C172" s="16" t="n"/>
      <c r="D172" s="16" t="n"/>
      <c r="E172" s="16" t="n"/>
      <c r="F172" s="103" t="n"/>
      <c r="G172" s="25" t="n"/>
      <c r="H172" s="16" t="n"/>
      <c r="I172" s="7">
        <f>IF(C172="","",C172&amp;"|"&amp;COUNTIF($C$5:C172,C172))</f>
        <v/>
      </c>
      <c r="K172" s="39" t="n"/>
      <c r="L172" s="39" t="n"/>
      <c r="M172" s="39" t="n"/>
      <c r="N172" s="39" t="n"/>
    </row>
    <row r="173" ht="21" customHeight="1" s="65">
      <c r="C173" s="16" t="n"/>
      <c r="D173" s="16" t="n"/>
      <c r="E173" s="16" t="n"/>
      <c r="F173" s="103" t="n"/>
      <c r="G173" s="25" t="n"/>
      <c r="H173" s="16" t="n"/>
      <c r="I173" s="7">
        <f>IF(C173="","",C173&amp;"|"&amp;COUNTIF($C$5:C173,C173))</f>
        <v/>
      </c>
      <c r="K173" s="39" t="n"/>
      <c r="L173" s="39" t="n"/>
      <c r="M173" s="39" t="n"/>
      <c r="N173" s="39" t="n"/>
    </row>
    <row r="174" ht="21" customHeight="1" s="65">
      <c r="C174" s="16" t="n"/>
      <c r="D174" s="16" t="n"/>
      <c r="E174" s="16" t="n"/>
      <c r="F174" s="103" t="n"/>
      <c r="G174" s="25" t="n"/>
      <c r="H174" s="16" t="n"/>
      <c r="I174" s="7">
        <f>IF(C174="","",C174&amp;"|"&amp;COUNTIF($C$5:C174,C174))</f>
        <v/>
      </c>
      <c r="K174" s="39" t="n"/>
      <c r="L174" s="39" t="n"/>
      <c r="M174" s="39" t="n"/>
      <c r="N174" s="39" t="n"/>
    </row>
    <row r="175" ht="21" customHeight="1" s="65">
      <c r="C175" s="16" t="n"/>
      <c r="D175" s="16" t="n"/>
      <c r="E175" s="16" t="n"/>
      <c r="F175" s="103" t="n"/>
      <c r="G175" s="25" t="n"/>
      <c r="H175" s="16" t="n"/>
      <c r="I175" s="7">
        <f>IF(C175="","",C175&amp;"|"&amp;COUNTIF($C$5:C175,C175))</f>
        <v/>
      </c>
      <c r="K175" s="39" t="n"/>
      <c r="L175" s="39" t="n"/>
      <c r="M175" s="39" t="n"/>
      <c r="N175" s="39" t="n"/>
    </row>
    <row r="176" ht="21" customHeight="1" s="65">
      <c r="C176" s="16" t="n"/>
      <c r="D176" s="16" t="n"/>
      <c r="E176" s="16" t="n"/>
      <c r="F176" s="103" t="n"/>
      <c r="G176" s="25" t="n"/>
      <c r="H176" s="16" t="n"/>
      <c r="I176" s="7">
        <f>IF(C176="","",C176&amp;"|"&amp;COUNTIF($C$5:C176,C176))</f>
        <v/>
      </c>
      <c r="K176" s="39" t="n"/>
      <c r="L176" s="39" t="n"/>
      <c r="M176" s="39" t="n"/>
      <c r="N176" s="39" t="n"/>
    </row>
    <row r="177" ht="21" customHeight="1" s="65">
      <c r="C177" s="16" t="n"/>
      <c r="D177" s="16" t="n"/>
      <c r="E177" s="16" t="n"/>
      <c r="F177" s="103" t="n"/>
      <c r="G177" s="25" t="n"/>
      <c r="H177" s="16" t="n"/>
      <c r="I177" s="7">
        <f>IF(C177="","",C177&amp;"|"&amp;COUNTIF($C$5:C177,C177))</f>
        <v/>
      </c>
      <c r="K177" s="39" t="n"/>
      <c r="L177" s="39" t="n"/>
      <c r="M177" s="39" t="n"/>
      <c r="N177" s="39" t="n"/>
    </row>
    <row r="178" ht="21" customHeight="1" s="65">
      <c r="C178" s="16" t="n"/>
      <c r="D178" s="16" t="n"/>
      <c r="E178" s="16" t="n"/>
      <c r="F178" s="103" t="n"/>
      <c r="G178" s="25" t="n"/>
      <c r="H178" s="16" t="n"/>
      <c r="I178" s="7">
        <f>IF(C178="","",C178&amp;"|"&amp;COUNTIF($C$5:C178,C178))</f>
        <v/>
      </c>
      <c r="K178" s="39" t="n"/>
      <c r="L178" s="39" t="n"/>
      <c r="M178" s="39" t="n"/>
      <c r="N178" s="39" t="n"/>
    </row>
    <row r="179" ht="21" customHeight="1" s="65">
      <c r="C179" s="16" t="n"/>
      <c r="D179" s="16" t="n"/>
      <c r="E179" s="16" t="n"/>
      <c r="F179" s="103" t="n"/>
      <c r="G179" s="25" t="n"/>
      <c r="H179" s="16" t="n"/>
      <c r="I179" s="7">
        <f>IF(C179="","",C179&amp;"|"&amp;COUNTIF($C$5:C179,C179))</f>
        <v/>
      </c>
      <c r="K179" s="39" t="n"/>
      <c r="L179" s="39" t="n"/>
      <c r="M179" s="39" t="n"/>
      <c r="N179" s="39" t="n"/>
    </row>
    <row r="180" ht="21" customHeight="1" s="65">
      <c r="C180" s="16" t="n"/>
      <c r="D180" s="16" t="n"/>
      <c r="E180" s="16" t="n"/>
      <c r="F180" s="103" t="n"/>
      <c r="G180" s="25" t="n"/>
      <c r="H180" s="16" t="n"/>
      <c r="I180" s="7">
        <f>IF(C180="","",C180&amp;"|"&amp;COUNTIF($C$5:C180,C180))</f>
        <v/>
      </c>
      <c r="K180" s="39" t="n"/>
      <c r="L180" s="39" t="n"/>
      <c r="M180" s="39" t="n"/>
      <c r="N180" s="39" t="n"/>
    </row>
    <row r="181" ht="21" customHeight="1" s="65">
      <c r="C181" s="16" t="n"/>
      <c r="D181" s="16" t="n"/>
      <c r="E181" s="16" t="n"/>
      <c r="F181" s="103" t="n"/>
      <c r="G181" s="25" t="n"/>
      <c r="H181" s="16" t="n"/>
      <c r="I181" s="7">
        <f>IF(C181="","",C181&amp;"|"&amp;COUNTIF($C$5:C181,C181))</f>
        <v/>
      </c>
      <c r="K181" s="39" t="n"/>
      <c r="L181" s="39" t="n"/>
      <c r="M181" s="39" t="n"/>
      <c r="N181" s="39" t="n"/>
    </row>
    <row r="182" ht="21" customHeight="1" s="65">
      <c r="C182" s="16" t="n"/>
      <c r="D182" s="16" t="n"/>
      <c r="E182" s="16" t="n"/>
      <c r="F182" s="103" t="n"/>
      <c r="G182" s="25" t="n"/>
      <c r="H182" s="16" t="n"/>
      <c r="I182" s="7">
        <f>IF(C182="","",C182&amp;"|"&amp;COUNTIF($C$5:C182,C182))</f>
        <v/>
      </c>
      <c r="K182" s="39" t="n"/>
      <c r="L182" s="39" t="n"/>
      <c r="M182" s="39" t="n"/>
      <c r="N182" s="39" t="n"/>
    </row>
    <row r="183" ht="21" customHeight="1" s="65">
      <c r="C183" s="16" t="n"/>
      <c r="D183" s="16" t="n"/>
      <c r="E183" s="16" t="n"/>
      <c r="F183" s="103" t="n"/>
      <c r="G183" s="25" t="n"/>
      <c r="H183" s="16" t="n"/>
      <c r="I183" s="7">
        <f>IF(C183="","",C183&amp;"|"&amp;COUNTIF($C$5:C183,C183))</f>
        <v/>
      </c>
      <c r="K183" s="39" t="n"/>
      <c r="L183" s="39" t="n"/>
      <c r="M183" s="39" t="n"/>
      <c r="N183" s="39" t="n"/>
    </row>
    <row r="184" ht="21" customHeight="1" s="65">
      <c r="C184" s="16" t="n"/>
      <c r="D184" s="16" t="n"/>
      <c r="E184" s="16" t="n"/>
      <c r="F184" s="103" t="n"/>
      <c r="G184" s="25" t="n"/>
      <c r="H184" s="16" t="n"/>
      <c r="I184" s="7">
        <f>IF(C184="","",C184&amp;"|"&amp;COUNTIF($C$5:C184,C184))</f>
        <v/>
      </c>
      <c r="K184" s="39" t="n"/>
      <c r="L184" s="39" t="n"/>
      <c r="M184" s="39" t="n"/>
      <c r="N184" s="39" t="n"/>
    </row>
    <row r="185" ht="21" customHeight="1" s="65">
      <c r="C185" s="16" t="n"/>
      <c r="D185" s="16" t="n"/>
      <c r="E185" s="16" t="n"/>
      <c r="F185" s="103" t="n"/>
      <c r="G185" s="25" t="n"/>
      <c r="H185" s="16" t="n"/>
      <c r="I185" s="7">
        <f>IF(C185="","",C185&amp;"|"&amp;COUNTIF($C$5:C185,C185))</f>
        <v/>
      </c>
      <c r="K185" s="39" t="n"/>
      <c r="L185" s="39" t="n"/>
      <c r="M185" s="39" t="n"/>
      <c r="N185" s="39" t="n"/>
    </row>
    <row r="186" ht="21" customHeight="1" s="65">
      <c r="C186" s="16" t="n"/>
      <c r="D186" s="16" t="n"/>
      <c r="E186" s="16" t="n"/>
      <c r="F186" s="103" t="n"/>
      <c r="G186" s="25" t="n"/>
      <c r="H186" s="16" t="n"/>
      <c r="I186" s="7">
        <f>IF(C186="","",C186&amp;"|"&amp;COUNTIF($C$5:C186,C186))</f>
        <v/>
      </c>
      <c r="K186" s="39" t="n"/>
      <c r="L186" s="39" t="n"/>
      <c r="M186" s="39" t="n"/>
      <c r="N186" s="39" t="n"/>
    </row>
    <row r="187" ht="21" customHeight="1" s="65">
      <c r="C187" s="16" t="n"/>
      <c r="D187" s="16" t="n"/>
      <c r="E187" s="16" t="n"/>
      <c r="F187" s="103" t="n"/>
      <c r="G187" s="25" t="n"/>
      <c r="H187" s="16" t="n"/>
      <c r="I187" s="7">
        <f>IF(C187="","",C187&amp;"|"&amp;COUNTIF($C$5:C187,C187))</f>
        <v/>
      </c>
      <c r="K187" s="39" t="n"/>
      <c r="L187" s="39" t="n"/>
      <c r="M187" s="39" t="n"/>
      <c r="N187" s="39" t="n"/>
    </row>
    <row r="188" ht="21" customHeight="1" s="65">
      <c r="C188" s="16" t="n"/>
      <c r="D188" s="16" t="n"/>
      <c r="E188" s="16" t="n"/>
      <c r="F188" s="103" t="n"/>
      <c r="G188" s="25" t="n"/>
      <c r="H188" s="16" t="n"/>
      <c r="I188" s="7">
        <f>IF(C188="","",C188&amp;"|"&amp;COUNTIF($C$5:C188,C188))</f>
        <v/>
      </c>
      <c r="K188" s="39" t="n"/>
      <c r="L188" s="39" t="n"/>
      <c r="M188" s="39" t="n"/>
      <c r="N188" s="39" t="n"/>
    </row>
    <row r="189" ht="21" customHeight="1" s="65">
      <c r="C189" s="16" t="n"/>
      <c r="D189" s="16" t="n"/>
      <c r="E189" s="16" t="n"/>
      <c r="F189" s="103" t="n"/>
      <c r="G189" s="25" t="n"/>
      <c r="H189" s="16" t="n"/>
      <c r="I189" s="7">
        <f>IF(C189="","",C189&amp;"|"&amp;COUNTIF($C$5:C189,C189))</f>
        <v/>
      </c>
      <c r="K189" s="39" t="n"/>
      <c r="L189" s="39" t="n"/>
      <c r="M189" s="39" t="n"/>
      <c r="N189" s="39" t="n"/>
    </row>
    <row r="190" ht="21" customHeight="1" s="65">
      <c r="C190" s="16" t="n"/>
      <c r="D190" s="16" t="n"/>
      <c r="E190" s="16" t="n"/>
      <c r="F190" s="103" t="n"/>
      <c r="G190" s="25" t="n"/>
      <c r="H190" s="16" t="n"/>
      <c r="I190" s="7">
        <f>IF(C190="","",C190&amp;"|"&amp;COUNTIF($C$5:C190,C190))</f>
        <v/>
      </c>
      <c r="K190" s="39" t="n"/>
      <c r="L190" s="39" t="n"/>
      <c r="M190" s="39" t="n"/>
      <c r="N190" s="39" t="n"/>
    </row>
    <row r="191" ht="21" customHeight="1" s="65">
      <c r="C191" s="16" t="n"/>
      <c r="D191" s="16" t="n"/>
      <c r="E191" s="16" t="n"/>
      <c r="F191" s="103" t="n"/>
      <c r="G191" s="25" t="n"/>
      <c r="H191" s="16" t="n"/>
      <c r="I191" s="7">
        <f>IF(C191="","",C191&amp;"|"&amp;COUNTIF($C$5:C191,C191))</f>
        <v/>
      </c>
      <c r="K191" s="39" t="n"/>
      <c r="L191" s="39" t="n"/>
      <c r="M191" s="39" t="n"/>
      <c r="N191" s="39" t="n"/>
    </row>
    <row r="192" ht="21" customHeight="1" s="65">
      <c r="C192" s="16" t="n"/>
      <c r="D192" s="16" t="n"/>
      <c r="E192" s="16" t="n"/>
      <c r="F192" s="103" t="n"/>
      <c r="G192" s="25" t="n"/>
      <c r="H192" s="16" t="n"/>
      <c r="I192" s="7">
        <f>IF(C192="","",C192&amp;"|"&amp;COUNTIF($C$5:C192,C192))</f>
        <v/>
      </c>
      <c r="K192" s="39" t="n"/>
      <c r="L192" s="39" t="n"/>
      <c r="M192" s="39" t="n"/>
      <c r="N192" s="39" t="n"/>
    </row>
    <row r="193" ht="21" customHeight="1" s="65">
      <c r="C193" s="16" t="n"/>
      <c r="D193" s="16" t="n"/>
      <c r="E193" s="16" t="n"/>
      <c r="F193" s="103" t="n"/>
      <c r="G193" s="25" t="n"/>
      <c r="H193" s="16" t="n"/>
      <c r="I193" s="7">
        <f>IF(C193="","",C193&amp;"|"&amp;COUNTIF($C$5:C193,C193))</f>
        <v/>
      </c>
      <c r="K193" s="39" t="n"/>
      <c r="L193" s="39" t="n"/>
      <c r="M193" s="39" t="n"/>
      <c r="N193" s="39" t="n"/>
    </row>
    <row r="194" ht="21" customHeight="1" s="65">
      <c r="C194" s="16" t="n"/>
      <c r="D194" s="16" t="n"/>
      <c r="E194" s="16" t="n"/>
      <c r="F194" s="103" t="n"/>
      <c r="G194" s="25" t="n"/>
      <c r="H194" s="16" t="n"/>
      <c r="I194" s="7">
        <f>IF(C194="","",C194&amp;"|"&amp;COUNTIF($C$5:C194,C194))</f>
        <v/>
      </c>
      <c r="K194" s="39" t="n"/>
      <c r="L194" s="39" t="n"/>
      <c r="M194" s="39" t="n"/>
      <c r="N194" s="39" t="n"/>
    </row>
    <row r="195" ht="21" customHeight="1" s="65">
      <c r="C195" s="16" t="n"/>
      <c r="D195" s="16" t="n"/>
      <c r="E195" s="16" t="n"/>
      <c r="F195" s="103" t="n"/>
      <c r="G195" s="25" t="n"/>
      <c r="H195" s="16" t="n"/>
      <c r="I195" s="7">
        <f>IF(C195="","",C195&amp;"|"&amp;COUNTIF($C$5:C195,C195))</f>
        <v/>
      </c>
      <c r="K195" s="39" t="n"/>
      <c r="L195" s="39" t="n"/>
      <c r="M195" s="39" t="n"/>
      <c r="N195" s="39" t="n"/>
    </row>
    <row r="196" ht="21" customHeight="1" s="65">
      <c r="C196" s="16" t="n"/>
      <c r="D196" s="16" t="n"/>
      <c r="E196" s="16" t="n"/>
      <c r="F196" s="103" t="n"/>
      <c r="G196" s="25" t="n"/>
      <c r="H196" s="16" t="n"/>
      <c r="I196" s="7">
        <f>IF(C196="","",C196&amp;"|"&amp;COUNTIF($C$5:C196,C196))</f>
        <v/>
      </c>
      <c r="K196" s="39" t="n"/>
      <c r="L196" s="39" t="n"/>
      <c r="M196" s="39" t="n"/>
      <c r="N196" s="39" t="n"/>
    </row>
    <row r="197" ht="21" customHeight="1" s="65">
      <c r="C197" s="16" t="n"/>
      <c r="D197" s="16" t="n"/>
      <c r="E197" s="16" t="n"/>
      <c r="F197" s="103" t="n"/>
      <c r="G197" s="25" t="n"/>
      <c r="H197" s="16" t="n"/>
      <c r="I197" s="7">
        <f>IF(C197="","",C197&amp;"|"&amp;COUNTIF($C$5:C197,C197))</f>
        <v/>
      </c>
      <c r="K197" s="39" t="n"/>
      <c r="L197" s="39" t="n"/>
      <c r="M197" s="39" t="n"/>
      <c r="N197" s="39" t="n"/>
    </row>
    <row r="198" ht="21" customHeight="1" s="65">
      <c r="C198" s="16" t="n"/>
      <c r="D198" s="16" t="n"/>
      <c r="E198" s="16" t="n"/>
      <c r="F198" s="103" t="n"/>
      <c r="G198" s="25" t="n"/>
      <c r="H198" s="16" t="n"/>
      <c r="I198" s="7">
        <f>IF(C198="","",C198&amp;"|"&amp;COUNTIF($C$5:C198,C198))</f>
        <v/>
      </c>
      <c r="K198" s="39" t="n"/>
      <c r="L198" s="39" t="n"/>
      <c r="M198" s="39" t="n"/>
      <c r="N198" s="39" t="n"/>
    </row>
    <row r="199" ht="21" customHeight="1" s="65">
      <c r="C199" s="16" t="n"/>
      <c r="D199" s="16" t="n"/>
      <c r="E199" s="16" t="n"/>
      <c r="F199" s="103" t="n"/>
      <c r="G199" s="25" t="n"/>
      <c r="H199" s="16" t="n"/>
      <c r="I199" s="7">
        <f>IF(C199="","",C199&amp;"|"&amp;COUNTIF($C$5:C199,C199))</f>
        <v/>
      </c>
      <c r="K199" s="39" t="n"/>
      <c r="L199" s="39" t="n"/>
      <c r="M199" s="39" t="n"/>
      <c r="N199" s="39" t="n"/>
    </row>
    <row r="200" ht="21" customHeight="1" s="65">
      <c r="C200" s="16" t="n"/>
      <c r="D200" s="16" t="n"/>
      <c r="E200" s="16" t="n"/>
      <c r="F200" s="103" t="n"/>
      <c r="G200" s="25" t="n"/>
      <c r="H200" s="16" t="n"/>
      <c r="I200" s="7">
        <f>IF(C200="","",C200&amp;"|"&amp;COUNTIF($C$5:C200,C200))</f>
        <v/>
      </c>
      <c r="K200" s="39" t="n"/>
      <c r="L200" s="39" t="n"/>
      <c r="M200" s="39" t="n"/>
      <c r="N200" s="39" t="n"/>
    </row>
    <row r="201" ht="21" customHeight="1" s="65">
      <c r="C201" s="16" t="n"/>
      <c r="D201" s="16" t="n"/>
      <c r="E201" s="16" t="n"/>
      <c r="F201" s="103" t="n"/>
      <c r="G201" s="25" t="n"/>
      <c r="H201" s="16" t="n"/>
      <c r="I201" s="7">
        <f>IF(C201="","",C201&amp;"|"&amp;COUNTIF($C$5:C201,C201))</f>
        <v/>
      </c>
      <c r="K201" s="39" t="n"/>
      <c r="L201" s="39" t="n"/>
      <c r="M201" s="39" t="n"/>
      <c r="N201" s="39" t="n"/>
    </row>
    <row r="202" ht="21" customHeight="1" s="65">
      <c r="C202" s="16" t="n"/>
      <c r="D202" s="16" t="n"/>
      <c r="E202" s="16" t="n"/>
      <c r="F202" s="103" t="n"/>
      <c r="G202" s="25" t="n"/>
      <c r="H202" s="16" t="n"/>
      <c r="I202" s="7">
        <f>IF(C202="","",C202&amp;"|"&amp;COUNTIF($C$5:C202,C202))</f>
        <v/>
      </c>
      <c r="K202" s="39" t="n"/>
      <c r="L202" s="39" t="n"/>
      <c r="M202" s="39" t="n"/>
      <c r="N202" s="39" t="n"/>
    </row>
    <row r="203" ht="21" customHeight="1" s="65">
      <c r="C203" s="16" t="n"/>
      <c r="D203" s="16" t="n"/>
      <c r="E203" s="16" t="n"/>
      <c r="F203" s="103" t="n"/>
      <c r="G203" s="25" t="n"/>
      <c r="H203" s="16" t="n"/>
      <c r="I203" s="7">
        <f>IF(C203="","",C203&amp;"|"&amp;COUNTIF($C$5:C203,C203))</f>
        <v/>
      </c>
      <c r="K203" s="39" t="n"/>
      <c r="L203" s="39" t="n"/>
      <c r="M203" s="39" t="n"/>
      <c r="N203" s="39" t="n"/>
    </row>
    <row r="204" ht="21" customHeight="1" s="65">
      <c r="C204" s="16" t="n"/>
      <c r="D204" s="16" t="n"/>
      <c r="E204" s="16" t="n"/>
      <c r="F204" s="103" t="n"/>
      <c r="G204" s="25" t="n"/>
      <c r="H204" s="16" t="n"/>
      <c r="I204" s="7">
        <f>IF(C204="","",C204&amp;"|"&amp;COUNTIF($C$5:C204,C204))</f>
        <v/>
      </c>
      <c r="K204" s="39" t="n"/>
      <c r="L204" s="39" t="n"/>
      <c r="M204" s="39" t="n"/>
      <c r="N204" s="39" t="n"/>
    </row>
    <row r="205" ht="21" customHeight="1" s="65">
      <c r="C205" s="16" t="n"/>
      <c r="D205" s="16" t="n"/>
      <c r="E205" s="16" t="n"/>
      <c r="F205" s="103" t="n"/>
      <c r="G205" s="25" t="n"/>
      <c r="H205" s="16" t="n"/>
      <c r="I205" s="7">
        <f>IF(C205="","",C205&amp;"|"&amp;COUNTIF($C$5:C205,C205))</f>
        <v/>
      </c>
      <c r="K205" s="39" t="n"/>
      <c r="L205" s="39" t="n"/>
      <c r="M205" s="39" t="n"/>
      <c r="N205" s="39" t="n"/>
    </row>
    <row r="206" ht="21" customHeight="1" s="65">
      <c r="C206" s="16" t="n"/>
      <c r="D206" s="16" t="n"/>
      <c r="E206" s="16" t="n"/>
      <c r="F206" s="103" t="n"/>
      <c r="G206" s="25" t="n"/>
      <c r="H206" s="16" t="n"/>
      <c r="I206" s="7">
        <f>IF(C206="","",C206&amp;"|"&amp;COUNTIF($C$5:C206,C206))</f>
        <v/>
      </c>
      <c r="K206" s="39" t="n"/>
      <c r="L206" s="39" t="n"/>
      <c r="M206" s="39" t="n"/>
      <c r="N206" s="39" t="n"/>
    </row>
    <row r="207" ht="21" customHeight="1" s="65">
      <c r="C207" s="16" t="n"/>
      <c r="D207" s="16" t="n"/>
      <c r="E207" s="16" t="n"/>
      <c r="F207" s="103" t="n"/>
      <c r="G207" s="25" t="n"/>
      <c r="H207" s="16" t="n"/>
      <c r="I207" s="7">
        <f>IF(C207="","",C207&amp;"|"&amp;COUNTIF($C$5:C207,C207))</f>
        <v/>
      </c>
      <c r="K207" s="39" t="n"/>
      <c r="L207" s="39" t="n"/>
      <c r="M207" s="39" t="n"/>
      <c r="N207" s="39" t="n"/>
    </row>
    <row r="208" ht="21" customHeight="1" s="65">
      <c r="C208" s="16" t="n"/>
      <c r="D208" s="16" t="n"/>
      <c r="E208" s="16" t="n"/>
      <c r="F208" s="103" t="n"/>
      <c r="G208" s="25" t="n"/>
      <c r="H208" s="16" t="n"/>
      <c r="I208" s="7">
        <f>IF(C208="","",C208&amp;"|"&amp;COUNTIF($C$5:C208,C208))</f>
        <v/>
      </c>
      <c r="K208" s="39" t="n"/>
      <c r="L208" s="39" t="n"/>
      <c r="M208" s="39" t="n"/>
      <c r="N208" s="39" t="n"/>
    </row>
    <row r="209" ht="21" customHeight="1" s="65">
      <c r="C209" s="16" t="n"/>
      <c r="D209" s="16" t="n"/>
      <c r="E209" s="16" t="n"/>
      <c r="F209" s="103" t="n"/>
      <c r="G209" s="25" t="n"/>
      <c r="H209" s="16" t="n"/>
      <c r="I209" s="7">
        <f>IF(C209="","",C209&amp;"|"&amp;COUNTIF($C$5:C209,C209))</f>
        <v/>
      </c>
      <c r="K209" s="39" t="n"/>
      <c r="L209" s="39" t="n"/>
      <c r="M209" s="39" t="n"/>
      <c r="N209" s="39" t="n"/>
    </row>
    <row r="210" ht="21" customHeight="1" s="65">
      <c r="C210" s="16" t="n"/>
      <c r="D210" s="16" t="n"/>
      <c r="E210" s="16" t="n"/>
      <c r="F210" s="103" t="n"/>
      <c r="G210" s="25" t="n"/>
      <c r="H210" s="16" t="n"/>
      <c r="I210" s="7">
        <f>IF(C210="","",C210&amp;"|"&amp;COUNTIF($C$5:C210,C210))</f>
        <v/>
      </c>
      <c r="K210" s="39" t="n"/>
      <c r="L210" s="39" t="n"/>
      <c r="M210" s="39" t="n"/>
      <c r="N210" s="39" t="n"/>
    </row>
    <row r="211" ht="21" customHeight="1" s="65">
      <c r="C211" s="16" t="n"/>
      <c r="D211" s="16" t="n"/>
      <c r="E211" s="16" t="n"/>
      <c r="F211" s="103" t="n"/>
      <c r="G211" s="25" t="n"/>
      <c r="H211" s="16" t="n"/>
      <c r="I211" s="7">
        <f>IF(C211="","",C211&amp;"|"&amp;COUNTIF($C$5:C211,C211))</f>
        <v/>
      </c>
      <c r="K211" s="39" t="n"/>
      <c r="L211" s="39" t="n"/>
      <c r="M211" s="39" t="n"/>
      <c r="N211" s="39" t="n"/>
    </row>
    <row r="212" ht="21" customHeight="1" s="65">
      <c r="C212" s="16" t="n"/>
      <c r="D212" s="16" t="n"/>
      <c r="E212" s="16" t="n"/>
      <c r="F212" s="103" t="n"/>
      <c r="G212" s="25" t="n"/>
      <c r="H212" s="16" t="n"/>
      <c r="I212" s="7">
        <f>IF(C212="","",C212&amp;"|"&amp;COUNTIF($C$5:C212,C212))</f>
        <v/>
      </c>
      <c r="K212" s="39" t="n"/>
      <c r="L212" s="39" t="n"/>
      <c r="M212" s="39" t="n"/>
      <c r="N212" s="39" t="n"/>
    </row>
    <row r="213" ht="21" customHeight="1" s="65">
      <c r="C213" s="16" t="n"/>
      <c r="D213" s="16" t="n"/>
      <c r="E213" s="16" t="n"/>
      <c r="F213" s="103" t="n"/>
      <c r="G213" s="25" t="n"/>
      <c r="H213" s="16" t="n"/>
      <c r="I213" s="7">
        <f>IF(C213="","",C213&amp;"|"&amp;COUNTIF($C$5:C213,C213))</f>
        <v/>
      </c>
      <c r="K213" s="39" t="n"/>
      <c r="L213" s="39" t="n"/>
      <c r="M213" s="39" t="n"/>
      <c r="N213" s="39" t="n"/>
    </row>
    <row r="214" ht="21" customHeight="1" s="65">
      <c r="C214" s="16" t="n"/>
      <c r="D214" s="16" t="n"/>
      <c r="E214" s="16" t="n"/>
      <c r="F214" s="103" t="n"/>
      <c r="G214" s="25" t="n"/>
      <c r="H214" s="16" t="n"/>
      <c r="I214" s="7">
        <f>IF(C214="","",C214&amp;"|"&amp;COUNTIF($C$5:C214,C214))</f>
        <v/>
      </c>
      <c r="K214" s="39" t="n"/>
      <c r="L214" s="39" t="n"/>
      <c r="M214" s="39" t="n"/>
      <c r="N214" s="39" t="n"/>
    </row>
    <row r="215" ht="21" customHeight="1" s="65">
      <c r="C215" s="16" t="n"/>
      <c r="D215" s="16" t="n"/>
      <c r="E215" s="16" t="n"/>
      <c r="F215" s="103" t="n"/>
      <c r="G215" s="25" t="n"/>
      <c r="H215" s="16" t="n"/>
      <c r="I215" s="7">
        <f>IF(C215="","",C215&amp;"|"&amp;COUNTIF($C$5:C215,C215))</f>
        <v/>
      </c>
      <c r="K215" s="39" t="n"/>
      <c r="L215" s="39" t="n"/>
      <c r="M215" s="39" t="n"/>
      <c r="N215" s="39" t="n"/>
    </row>
    <row r="216" ht="21" customHeight="1" s="65">
      <c r="C216" s="16" t="n"/>
      <c r="D216" s="16" t="n"/>
      <c r="E216" s="16" t="n"/>
      <c r="F216" s="103" t="n"/>
      <c r="G216" s="25" t="n"/>
      <c r="H216" s="16" t="n"/>
      <c r="I216" s="7">
        <f>IF(C216="","",C216&amp;"|"&amp;COUNTIF($C$5:C216,C216))</f>
        <v/>
      </c>
      <c r="K216" s="39" t="n"/>
      <c r="L216" s="39" t="n"/>
      <c r="M216" s="39" t="n"/>
      <c r="N216" s="39" t="n"/>
    </row>
    <row r="217" ht="21" customHeight="1" s="65">
      <c r="C217" s="16" t="n"/>
      <c r="D217" s="16" t="n"/>
      <c r="E217" s="16" t="n"/>
      <c r="F217" s="103" t="n"/>
      <c r="G217" s="25" t="n"/>
      <c r="H217" s="16" t="n"/>
      <c r="I217" s="7">
        <f>IF(C217="","",C217&amp;"|"&amp;COUNTIF($C$5:C217,C217))</f>
        <v/>
      </c>
      <c r="K217" s="39" t="n"/>
      <c r="L217" s="39" t="n"/>
      <c r="M217" s="39" t="n"/>
      <c r="N217" s="39" t="n"/>
    </row>
    <row r="218" ht="21" customHeight="1" s="65">
      <c r="C218" s="16" t="n"/>
      <c r="D218" s="16" t="n"/>
      <c r="E218" s="16" t="n"/>
      <c r="F218" s="103" t="n"/>
      <c r="G218" s="25" t="n"/>
      <c r="H218" s="16" t="n"/>
      <c r="I218" s="7">
        <f>IF(C218="","",C218&amp;"|"&amp;COUNTIF($C$5:C218,C218))</f>
        <v/>
      </c>
      <c r="K218" s="39" t="n"/>
      <c r="L218" s="39" t="n"/>
      <c r="M218" s="39" t="n"/>
      <c r="N218" s="39" t="n"/>
    </row>
    <row r="219" ht="21" customHeight="1" s="65">
      <c r="C219" s="16" t="n"/>
      <c r="D219" s="16" t="n"/>
      <c r="E219" s="16" t="n"/>
      <c r="F219" s="103" t="n"/>
      <c r="G219" s="25" t="n"/>
      <c r="H219" s="16" t="n"/>
      <c r="I219" s="7">
        <f>IF(C219="","",C219&amp;"|"&amp;COUNTIF($C$5:C219,C219))</f>
        <v/>
      </c>
      <c r="K219" s="39" t="n"/>
      <c r="L219" s="39" t="n"/>
      <c r="M219" s="39" t="n"/>
      <c r="N219" s="39" t="n"/>
    </row>
    <row r="220" ht="21" customHeight="1" s="65">
      <c r="C220" s="16" t="n"/>
      <c r="D220" s="16" t="n"/>
      <c r="E220" s="16" t="n"/>
      <c r="F220" s="103" t="n"/>
      <c r="G220" s="25" t="n"/>
      <c r="H220" s="16" t="n"/>
      <c r="I220" s="7">
        <f>IF(C220="","",C220&amp;"|"&amp;COUNTIF($C$5:C220,C220))</f>
        <v/>
      </c>
      <c r="K220" s="39" t="n"/>
      <c r="L220" s="39" t="n"/>
      <c r="M220" s="39" t="n"/>
      <c r="N220" s="39" t="n"/>
    </row>
    <row r="221" ht="21" customHeight="1" s="65">
      <c r="C221" s="16" t="n"/>
      <c r="D221" s="16" t="n"/>
      <c r="E221" s="16" t="n"/>
      <c r="F221" s="103" t="n"/>
      <c r="G221" s="25" t="n"/>
      <c r="H221" s="16" t="n"/>
      <c r="I221" s="7">
        <f>IF(C221="","",C221&amp;"|"&amp;COUNTIF($C$5:C221,C221))</f>
        <v/>
      </c>
      <c r="K221" s="39" t="n"/>
      <c r="L221" s="39" t="n"/>
      <c r="M221" s="39" t="n"/>
      <c r="N221" s="39" t="n"/>
    </row>
    <row r="222" ht="21" customHeight="1" s="65">
      <c r="C222" s="16" t="n"/>
      <c r="D222" s="16" t="n"/>
      <c r="E222" s="16" t="n"/>
      <c r="F222" s="103" t="n"/>
      <c r="G222" s="25" t="n"/>
      <c r="H222" s="16" t="n"/>
      <c r="I222" s="7">
        <f>IF(C222="","",C222&amp;"|"&amp;COUNTIF($C$5:C222,C222))</f>
        <v/>
      </c>
      <c r="K222" s="39" t="n"/>
      <c r="L222" s="39" t="n"/>
      <c r="M222" s="39" t="n"/>
      <c r="N222" s="39" t="n"/>
    </row>
    <row r="223" ht="21" customHeight="1" s="65">
      <c r="C223" s="16" t="n"/>
      <c r="D223" s="16" t="n"/>
      <c r="E223" s="16" t="n"/>
      <c r="F223" s="103" t="n"/>
      <c r="G223" s="25" t="n"/>
      <c r="H223" s="16" t="n"/>
      <c r="I223" s="7">
        <f>IF(C223="","",C223&amp;"|"&amp;COUNTIF($C$5:C223,C223))</f>
        <v/>
      </c>
      <c r="K223" s="39" t="n"/>
      <c r="L223" s="39" t="n"/>
      <c r="M223" s="39" t="n"/>
      <c r="N223" s="39" t="n"/>
    </row>
    <row r="224" ht="21" customHeight="1" s="65">
      <c r="C224" s="16" t="n"/>
      <c r="D224" s="16" t="n"/>
      <c r="E224" s="16" t="n"/>
      <c r="F224" s="103" t="n"/>
      <c r="G224" s="25" t="n"/>
      <c r="H224" s="16" t="n"/>
      <c r="I224" s="7">
        <f>IF(C224="","",C224&amp;"|"&amp;COUNTIF($C$5:C224,C224))</f>
        <v/>
      </c>
      <c r="K224" s="39" t="n"/>
      <c r="L224" s="39" t="n"/>
      <c r="M224" s="39" t="n"/>
      <c r="N224" s="39" t="n"/>
    </row>
    <row r="225" ht="21" customHeight="1" s="65">
      <c r="C225" s="16" t="n"/>
      <c r="D225" s="16" t="n"/>
      <c r="E225" s="16" t="n"/>
      <c r="F225" s="103" t="n"/>
      <c r="G225" s="25" t="n"/>
      <c r="H225" s="16" t="n"/>
      <c r="I225" s="7">
        <f>IF(C225="","",C225&amp;"|"&amp;COUNTIF($C$5:C225,C225))</f>
        <v/>
      </c>
      <c r="K225" s="39" t="n"/>
      <c r="L225" s="39" t="n"/>
      <c r="M225" s="39" t="n"/>
      <c r="N225" s="39" t="n"/>
    </row>
    <row r="226" ht="21" customHeight="1" s="65">
      <c r="C226" s="16" t="n"/>
      <c r="D226" s="16" t="n"/>
      <c r="E226" s="16" t="n"/>
      <c r="F226" s="103" t="n"/>
      <c r="G226" s="25" t="n"/>
      <c r="H226" s="16" t="n"/>
      <c r="I226" s="7">
        <f>IF(C226="","",C226&amp;"|"&amp;COUNTIF($C$5:C226,C226))</f>
        <v/>
      </c>
      <c r="K226" s="39" t="n"/>
      <c r="L226" s="39" t="n"/>
      <c r="M226" s="39" t="n"/>
      <c r="N226" s="39" t="n"/>
    </row>
    <row r="227" ht="21" customHeight="1" s="65">
      <c r="C227" s="16" t="n"/>
      <c r="D227" s="16" t="n"/>
      <c r="E227" s="16" t="n"/>
      <c r="F227" s="103" t="n"/>
      <c r="G227" s="25" t="n"/>
      <c r="H227" s="16" t="n"/>
      <c r="I227" s="7">
        <f>IF(C227="","",C227&amp;"|"&amp;COUNTIF($C$5:C227,C227))</f>
        <v/>
      </c>
      <c r="K227" s="39" t="n"/>
      <c r="L227" s="39" t="n"/>
      <c r="M227" s="39" t="n"/>
      <c r="N227" s="39" t="n"/>
    </row>
    <row r="228" ht="21" customHeight="1" s="65">
      <c r="C228" s="16" t="n"/>
      <c r="D228" s="16" t="n"/>
      <c r="E228" s="16" t="n"/>
      <c r="F228" s="103" t="n"/>
      <c r="G228" s="25" t="n"/>
      <c r="H228" s="16" t="n"/>
      <c r="I228" s="7">
        <f>IF(C228="","",C228&amp;"|"&amp;COUNTIF($C$5:C228,C228))</f>
        <v/>
      </c>
      <c r="K228" s="39" t="n"/>
      <c r="L228" s="39" t="n"/>
      <c r="M228" s="39" t="n"/>
      <c r="N228" s="39" t="n"/>
    </row>
    <row r="229" ht="21" customHeight="1" s="65">
      <c r="C229" s="16" t="n"/>
      <c r="D229" s="16" t="n"/>
      <c r="E229" s="16" t="n"/>
      <c r="F229" s="103" t="n"/>
      <c r="G229" s="25" t="n"/>
      <c r="H229" s="16" t="n"/>
      <c r="I229" s="7">
        <f>IF(C229="","",C229&amp;"|"&amp;COUNTIF($C$5:C229,C229))</f>
        <v/>
      </c>
      <c r="K229" s="39" t="n"/>
      <c r="L229" s="39" t="n"/>
      <c r="M229" s="39" t="n"/>
      <c r="N229" s="39" t="n"/>
    </row>
    <row r="230" ht="21" customHeight="1" s="65">
      <c r="C230" s="16" t="n"/>
      <c r="D230" s="16" t="n"/>
      <c r="E230" s="16" t="n"/>
      <c r="F230" s="103" t="n"/>
      <c r="G230" s="25" t="n"/>
      <c r="H230" s="16" t="n"/>
      <c r="I230" s="7">
        <f>IF(C230="","",C230&amp;"|"&amp;COUNTIF($C$5:C230,C230))</f>
        <v/>
      </c>
      <c r="K230" s="39" t="n"/>
      <c r="L230" s="39" t="n"/>
      <c r="M230" s="39" t="n"/>
      <c r="N230" s="39" t="n"/>
    </row>
    <row r="231" ht="21" customHeight="1" s="65">
      <c r="C231" s="16" t="n"/>
      <c r="D231" s="16" t="n"/>
      <c r="E231" s="16" t="n"/>
      <c r="F231" s="103" t="n"/>
      <c r="G231" s="25" t="n"/>
      <c r="H231" s="16" t="n"/>
      <c r="I231" s="7">
        <f>IF(C231="","",C231&amp;"|"&amp;COUNTIF($C$5:C231,C231))</f>
        <v/>
      </c>
      <c r="K231" s="39" t="n"/>
      <c r="L231" s="39" t="n"/>
      <c r="M231" s="39" t="n"/>
      <c r="N231" s="39" t="n"/>
    </row>
    <row r="232" ht="21" customHeight="1" s="65">
      <c r="C232" s="16" t="n"/>
      <c r="D232" s="16" t="n"/>
      <c r="E232" s="16" t="n"/>
      <c r="F232" s="103" t="n"/>
      <c r="G232" s="25" t="n"/>
      <c r="H232" s="16" t="n"/>
      <c r="I232" s="7">
        <f>IF(C232="","",C232&amp;"|"&amp;COUNTIF($C$5:C232,C232))</f>
        <v/>
      </c>
      <c r="K232" s="39" t="n"/>
      <c r="L232" s="39" t="n"/>
      <c r="M232" s="39" t="n"/>
      <c r="N232" s="39" t="n"/>
    </row>
    <row r="233" ht="21" customHeight="1" s="65">
      <c r="C233" s="16" t="n"/>
      <c r="D233" s="16" t="n"/>
      <c r="E233" s="16" t="n"/>
      <c r="F233" s="103" t="n"/>
      <c r="G233" s="25" t="n"/>
      <c r="H233" s="16" t="n"/>
      <c r="I233" s="7">
        <f>IF(C233="","",C233&amp;"|"&amp;COUNTIF($C$5:C233,C233))</f>
        <v/>
      </c>
      <c r="K233" s="39" t="n"/>
      <c r="L233" s="39" t="n"/>
      <c r="M233" s="39" t="n"/>
      <c r="N233" s="39" t="n"/>
    </row>
    <row r="234" ht="21" customHeight="1" s="65">
      <c r="C234" s="16" t="n"/>
      <c r="D234" s="16" t="n"/>
      <c r="E234" s="16" t="n"/>
      <c r="F234" s="103" t="n"/>
      <c r="G234" s="25" t="n"/>
      <c r="H234" s="16" t="n"/>
      <c r="I234" s="7">
        <f>IF(C234="","",C234&amp;"|"&amp;COUNTIF($C$5:C234,C234))</f>
        <v/>
      </c>
      <c r="K234" s="39" t="n"/>
      <c r="L234" s="39" t="n"/>
      <c r="M234" s="39" t="n"/>
      <c r="N234" s="39" t="n"/>
    </row>
    <row r="235" ht="21" customHeight="1" s="65">
      <c r="C235" s="16" t="n"/>
      <c r="D235" s="16" t="n"/>
      <c r="E235" s="16" t="n"/>
      <c r="F235" s="103" t="n"/>
      <c r="G235" s="25" t="n"/>
      <c r="H235" s="16" t="n"/>
      <c r="I235" s="7">
        <f>IF(C235="","",C235&amp;"|"&amp;COUNTIF($C$5:C235,C235))</f>
        <v/>
      </c>
      <c r="K235" s="39" t="n"/>
      <c r="L235" s="39" t="n"/>
      <c r="M235" s="39" t="n"/>
      <c r="N235" s="39" t="n"/>
    </row>
    <row r="236" ht="21" customHeight="1" s="65">
      <c r="C236" s="16" t="n"/>
      <c r="D236" s="16" t="n"/>
      <c r="E236" s="16" t="n"/>
      <c r="F236" s="103" t="n"/>
      <c r="G236" s="25" t="n"/>
      <c r="H236" s="16" t="n"/>
      <c r="I236" s="7">
        <f>IF(C236="","",C236&amp;"|"&amp;COUNTIF($C$5:C236,C236))</f>
        <v/>
      </c>
      <c r="K236" s="39" t="n"/>
      <c r="L236" s="39" t="n"/>
      <c r="M236" s="39" t="n"/>
      <c r="N236" s="39" t="n"/>
    </row>
    <row r="237" ht="21" customHeight="1" s="65">
      <c r="C237" s="16" t="n"/>
      <c r="D237" s="16" t="n"/>
      <c r="E237" s="16" t="n"/>
      <c r="F237" s="103" t="n"/>
      <c r="G237" s="25" t="n"/>
      <c r="H237" s="16" t="n"/>
      <c r="I237" s="7">
        <f>IF(C237="","",C237&amp;"|"&amp;COUNTIF($C$5:C237,C237))</f>
        <v/>
      </c>
      <c r="K237" s="39" t="n"/>
      <c r="L237" s="39" t="n"/>
      <c r="M237" s="39" t="n"/>
      <c r="N237" s="39" t="n"/>
    </row>
    <row r="238" ht="21" customHeight="1" s="65">
      <c r="C238" s="16" t="n"/>
      <c r="D238" s="16" t="n"/>
      <c r="E238" s="16" t="n"/>
      <c r="F238" s="103" t="n"/>
      <c r="G238" s="25" t="n"/>
      <c r="H238" s="16" t="n"/>
      <c r="I238" s="7">
        <f>IF(C238="","",C238&amp;"|"&amp;COUNTIF($C$5:C238,C238))</f>
        <v/>
      </c>
      <c r="K238" s="39" t="n"/>
      <c r="L238" s="39" t="n"/>
      <c r="M238" s="39" t="n"/>
      <c r="N238" s="39" t="n"/>
    </row>
    <row r="239" ht="21" customHeight="1" s="65">
      <c r="C239" s="16" t="n"/>
      <c r="D239" s="16" t="n"/>
      <c r="E239" s="16" t="n"/>
      <c r="F239" s="103" t="n"/>
      <c r="G239" s="25" t="n"/>
      <c r="H239" s="16" t="n"/>
      <c r="I239" s="7">
        <f>IF(C239="","",C239&amp;"|"&amp;COUNTIF($C$5:C239,C239))</f>
        <v/>
      </c>
      <c r="K239" s="39" t="n"/>
      <c r="L239" s="39" t="n"/>
      <c r="M239" s="39" t="n"/>
      <c r="N239" s="39" t="n"/>
    </row>
    <row r="240" ht="21" customHeight="1" s="65">
      <c r="C240" s="16" t="n"/>
      <c r="D240" s="16" t="n"/>
      <c r="E240" s="16" t="n"/>
      <c r="F240" s="103" t="n"/>
      <c r="G240" s="25" t="n"/>
      <c r="H240" s="16" t="n"/>
      <c r="I240" s="7">
        <f>IF(C240="","",C240&amp;"|"&amp;COUNTIF($C$5:C240,C240))</f>
        <v/>
      </c>
      <c r="K240" s="39" t="n"/>
      <c r="L240" s="39" t="n"/>
      <c r="M240" s="39" t="n"/>
      <c r="N240" s="39" t="n"/>
    </row>
    <row r="241" ht="21" customHeight="1" s="65">
      <c r="C241" s="16" t="n"/>
      <c r="D241" s="16" t="n"/>
      <c r="E241" s="16" t="n"/>
      <c r="F241" s="103" t="n"/>
      <c r="G241" s="25" t="n"/>
      <c r="H241" s="16" t="n"/>
      <c r="I241" s="7">
        <f>IF(C241="","",C241&amp;"|"&amp;COUNTIF($C$5:C241,C241))</f>
        <v/>
      </c>
      <c r="K241" s="39" t="n"/>
      <c r="L241" s="39" t="n"/>
      <c r="M241" s="39" t="n"/>
      <c r="N241" s="39" t="n"/>
    </row>
    <row r="242" ht="21" customHeight="1" s="65">
      <c r="C242" s="16" t="n"/>
      <c r="D242" s="16" t="n"/>
      <c r="E242" s="16" t="n"/>
      <c r="F242" s="103" t="n"/>
      <c r="G242" s="25" t="n"/>
      <c r="H242" s="16" t="n"/>
      <c r="I242" s="7">
        <f>IF(C242="","",C242&amp;"|"&amp;COUNTIF($C$5:C242,C242))</f>
        <v/>
      </c>
      <c r="K242" s="39" t="n"/>
      <c r="L242" s="39" t="n"/>
      <c r="M242" s="39" t="n"/>
      <c r="N242" s="39" t="n"/>
    </row>
    <row r="243" ht="21" customHeight="1" s="65">
      <c r="C243" s="16" t="n"/>
      <c r="D243" s="16" t="n"/>
      <c r="E243" s="16" t="n"/>
      <c r="F243" s="103" t="n"/>
      <c r="G243" s="25" t="n"/>
      <c r="H243" s="16" t="n"/>
      <c r="I243" s="7">
        <f>IF(C243="","",C243&amp;"|"&amp;COUNTIF($C$5:C243,C243))</f>
        <v/>
      </c>
      <c r="K243" s="39" t="n"/>
      <c r="L243" s="39" t="n"/>
      <c r="M243" s="39" t="n"/>
      <c r="N243" s="39" t="n"/>
    </row>
    <row r="244" ht="21" customHeight="1" s="65">
      <c r="C244" s="16" t="n"/>
      <c r="D244" s="16" t="n"/>
      <c r="E244" s="16" t="n"/>
      <c r="F244" s="103" t="n"/>
      <c r="G244" s="25" t="n"/>
      <c r="H244" s="16" t="n"/>
      <c r="I244" s="7">
        <f>IF(C244="","",C244&amp;"|"&amp;COUNTIF($C$5:C244,C244))</f>
        <v/>
      </c>
      <c r="K244" s="39" t="n"/>
      <c r="L244" s="39" t="n"/>
      <c r="M244" s="39" t="n"/>
      <c r="N244" s="39" t="n"/>
    </row>
    <row r="245" ht="21" customHeight="1" s="65">
      <c r="C245" s="16" t="n"/>
      <c r="D245" s="16" t="n"/>
      <c r="E245" s="16" t="n"/>
      <c r="F245" s="103" t="n"/>
      <c r="G245" s="25" t="n"/>
      <c r="H245" s="16" t="n"/>
      <c r="I245" s="7">
        <f>IF(C245="","",C245&amp;"|"&amp;COUNTIF($C$5:C245,C245))</f>
        <v/>
      </c>
      <c r="K245" s="39" t="n"/>
      <c r="L245" s="39" t="n"/>
      <c r="M245" s="39" t="n"/>
      <c r="N245" s="39" t="n"/>
    </row>
    <row r="246" ht="21" customHeight="1" s="65">
      <c r="C246" s="16" t="n"/>
      <c r="D246" s="16" t="n"/>
      <c r="E246" s="16" t="n"/>
      <c r="F246" s="103" t="n"/>
      <c r="G246" s="25" t="n"/>
      <c r="H246" s="16" t="n"/>
      <c r="I246" s="7">
        <f>IF(C246="","",C246&amp;"|"&amp;COUNTIF($C$5:C246,C246))</f>
        <v/>
      </c>
      <c r="K246" s="39" t="n"/>
      <c r="L246" s="39" t="n"/>
      <c r="M246" s="39" t="n"/>
      <c r="N246" s="39" t="n"/>
    </row>
    <row r="247" ht="21" customHeight="1" s="65">
      <c r="C247" s="16" t="n"/>
      <c r="D247" s="16" t="n"/>
      <c r="E247" s="16" t="n"/>
      <c r="F247" s="103" t="n"/>
      <c r="G247" s="25" t="n"/>
      <c r="H247" s="16" t="n"/>
      <c r="I247" s="7">
        <f>IF(C247="","",C247&amp;"|"&amp;COUNTIF($C$5:C247,C247))</f>
        <v/>
      </c>
      <c r="K247" s="39" t="n"/>
      <c r="L247" s="39" t="n"/>
      <c r="M247" s="39" t="n"/>
      <c r="N247" s="39" t="n"/>
    </row>
    <row r="248" ht="21" customHeight="1" s="65">
      <c r="C248" s="16" t="n"/>
      <c r="D248" s="16" t="n"/>
      <c r="E248" s="16" t="n"/>
      <c r="F248" s="103" t="n"/>
      <c r="G248" s="25" t="n"/>
      <c r="H248" s="16" t="n"/>
      <c r="I248" s="7">
        <f>IF(C248="","",C248&amp;"|"&amp;COUNTIF($C$5:C248,C248))</f>
        <v/>
      </c>
      <c r="K248" s="39" t="n"/>
      <c r="L248" s="39" t="n"/>
      <c r="M248" s="39" t="n"/>
      <c r="N248" s="39" t="n"/>
    </row>
    <row r="249" ht="21" customHeight="1" s="65">
      <c r="C249" s="16" t="n"/>
      <c r="D249" s="16" t="n"/>
      <c r="E249" s="16" t="n"/>
      <c r="F249" s="103" t="n"/>
      <c r="G249" s="25" t="n"/>
      <c r="H249" s="16" t="n"/>
      <c r="I249" s="7">
        <f>IF(C249="","",C249&amp;"|"&amp;COUNTIF($C$5:C249,C249))</f>
        <v/>
      </c>
      <c r="K249" s="39" t="n"/>
      <c r="L249" s="39" t="n"/>
      <c r="M249" s="39" t="n"/>
      <c r="N249" s="39" t="n"/>
    </row>
    <row r="250" ht="21" customHeight="1" s="65">
      <c r="C250" s="16" t="n"/>
      <c r="D250" s="16" t="n"/>
      <c r="E250" s="16" t="n"/>
      <c r="F250" s="103" t="n"/>
      <c r="G250" s="25" t="n"/>
      <c r="H250" s="16" t="n"/>
      <c r="I250" s="7">
        <f>IF(C250="","",C250&amp;"|"&amp;COUNTIF($C$5:C250,C250))</f>
        <v/>
      </c>
      <c r="K250" s="39" t="n"/>
      <c r="L250" s="39" t="n"/>
      <c r="M250" s="39" t="n"/>
      <c r="N250" s="39" t="n"/>
    </row>
    <row r="251" ht="21" customHeight="1" s="65">
      <c r="C251" s="16" t="n"/>
      <c r="D251" s="16" t="n"/>
      <c r="E251" s="16" t="n"/>
      <c r="F251" s="103" t="n"/>
      <c r="G251" s="25" t="n"/>
      <c r="H251" s="16" t="n"/>
      <c r="I251" s="7">
        <f>IF(C251="","",C251&amp;"|"&amp;COUNTIF($C$5:C251,C251))</f>
        <v/>
      </c>
      <c r="K251" s="39" t="n"/>
      <c r="L251" s="39" t="n"/>
      <c r="M251" s="39" t="n"/>
      <c r="N251" s="39" t="n"/>
    </row>
    <row r="252" ht="21" customHeight="1" s="65">
      <c r="C252" s="16" t="n"/>
      <c r="D252" s="16" t="n"/>
      <c r="E252" s="16" t="n"/>
      <c r="F252" s="103" t="n"/>
      <c r="G252" s="25" t="n"/>
      <c r="H252" s="16" t="n"/>
      <c r="I252" s="7">
        <f>IF(C252="","",C252&amp;"|"&amp;COUNTIF($C$5:C252,C252))</f>
        <v/>
      </c>
      <c r="K252" s="39" t="n"/>
      <c r="L252" s="39" t="n"/>
      <c r="M252" s="39" t="n"/>
      <c r="N252" s="39" t="n"/>
    </row>
    <row r="253" ht="21" customHeight="1" s="65">
      <c r="C253" s="16" t="n"/>
      <c r="D253" s="16" t="n"/>
      <c r="E253" s="16" t="n"/>
      <c r="F253" s="103" t="n"/>
      <c r="G253" s="25" t="n"/>
      <c r="H253" s="16" t="n"/>
      <c r="I253" s="7">
        <f>IF(C253="","",C253&amp;"|"&amp;COUNTIF($C$5:C253,C253))</f>
        <v/>
      </c>
      <c r="K253" s="39" t="n"/>
      <c r="L253" s="39" t="n"/>
      <c r="M253" s="39" t="n"/>
      <c r="N253" s="39" t="n"/>
    </row>
    <row r="254" ht="21" customHeight="1" s="65">
      <c r="C254" s="16" t="n"/>
      <c r="D254" s="16" t="n"/>
      <c r="E254" s="16" t="n"/>
      <c r="F254" s="103" t="n"/>
      <c r="G254" s="25" t="n"/>
      <c r="H254" s="16" t="n"/>
      <c r="I254" s="7">
        <f>IF(C254="","",C254&amp;"|"&amp;COUNTIF($C$5:C254,C254))</f>
        <v/>
      </c>
      <c r="K254" s="39" t="n"/>
      <c r="L254" s="39" t="n"/>
      <c r="M254" s="39" t="n"/>
      <c r="N254" s="39" t="n"/>
    </row>
    <row r="255" ht="21" customHeight="1" s="65">
      <c r="C255" s="16" t="n"/>
      <c r="D255" s="16" t="n"/>
      <c r="E255" s="16" t="n"/>
      <c r="F255" s="103" t="n"/>
      <c r="G255" s="25" t="n"/>
      <c r="H255" s="16" t="n"/>
      <c r="I255" s="7">
        <f>IF(C255="","",C255&amp;"|"&amp;COUNTIF($C$5:C255,C255))</f>
        <v/>
      </c>
      <c r="K255" s="39" t="n"/>
      <c r="L255" s="39" t="n"/>
      <c r="M255" s="39" t="n"/>
      <c r="N255" s="39" t="n"/>
    </row>
    <row r="256" ht="21" customHeight="1" s="65">
      <c r="C256" s="16" t="n"/>
      <c r="D256" s="16" t="n"/>
      <c r="E256" s="16" t="n"/>
      <c r="F256" s="103" t="n"/>
      <c r="G256" s="25" t="n"/>
      <c r="H256" s="16" t="n"/>
      <c r="I256" s="7">
        <f>IF(C256="","",C256&amp;"|"&amp;COUNTIF($C$5:C256,C256))</f>
        <v/>
      </c>
      <c r="K256" s="39" t="n"/>
      <c r="L256" s="39" t="n"/>
      <c r="M256" s="39" t="n"/>
      <c r="N256" s="39" t="n"/>
    </row>
    <row r="257" ht="21" customHeight="1" s="65">
      <c r="C257" s="16" t="n"/>
      <c r="D257" s="16" t="n"/>
      <c r="E257" s="16" t="n"/>
      <c r="F257" s="103" t="n"/>
      <c r="G257" s="25" t="n"/>
      <c r="H257" s="16" t="n"/>
      <c r="I257" s="7">
        <f>IF(C257="","",C257&amp;"|"&amp;COUNTIF($C$5:C257,C257))</f>
        <v/>
      </c>
      <c r="K257" s="39" t="n"/>
      <c r="L257" s="39" t="n"/>
      <c r="M257" s="39" t="n"/>
      <c r="N257" s="39" t="n"/>
    </row>
    <row r="258" ht="21" customHeight="1" s="65">
      <c r="C258" s="16" t="n"/>
      <c r="D258" s="16" t="n"/>
      <c r="E258" s="16" t="n"/>
      <c r="F258" s="103" t="n"/>
      <c r="G258" s="25" t="n"/>
      <c r="H258" s="16" t="n"/>
      <c r="I258" s="7">
        <f>IF(C258="","",C258&amp;"|"&amp;COUNTIF($C$5:C258,C258))</f>
        <v/>
      </c>
      <c r="K258" s="39" t="n"/>
      <c r="L258" s="39" t="n"/>
      <c r="M258" s="39" t="n"/>
      <c r="N258" s="39" t="n"/>
    </row>
    <row r="259" ht="21" customHeight="1" s="65">
      <c r="C259" s="16" t="n"/>
      <c r="D259" s="16" t="n"/>
      <c r="E259" s="16" t="n"/>
      <c r="F259" s="103" t="n"/>
      <c r="G259" s="25" t="n"/>
      <c r="H259" s="16" t="n"/>
      <c r="I259" s="7">
        <f>IF(C259="","",C259&amp;"|"&amp;COUNTIF($C$5:C259,C259))</f>
        <v/>
      </c>
      <c r="K259" s="39" t="n"/>
      <c r="L259" s="39" t="n"/>
      <c r="M259" s="39" t="n"/>
      <c r="N259" s="39" t="n"/>
    </row>
    <row r="260" ht="21" customHeight="1" s="65">
      <c r="C260" s="16" t="n"/>
      <c r="D260" s="16" t="n"/>
      <c r="E260" s="16" t="n"/>
      <c r="F260" s="103" t="n"/>
      <c r="G260" s="25" t="n"/>
      <c r="H260" s="16" t="n"/>
      <c r="I260" s="7">
        <f>IF(C260="","",C260&amp;"|"&amp;COUNTIF($C$5:C260,C260))</f>
        <v/>
      </c>
      <c r="K260" s="39" t="n"/>
      <c r="L260" s="39" t="n"/>
      <c r="M260" s="39" t="n"/>
      <c r="N260" s="39" t="n"/>
    </row>
    <row r="261" ht="21" customHeight="1" s="65">
      <c r="C261" s="16" t="n"/>
      <c r="D261" s="16" t="n"/>
      <c r="E261" s="16" t="n"/>
      <c r="F261" s="103" t="n"/>
      <c r="G261" s="25" t="n"/>
      <c r="H261" s="16" t="n"/>
      <c r="I261" s="7">
        <f>IF(C261="","",C261&amp;"|"&amp;COUNTIF($C$5:C261,C261))</f>
        <v/>
      </c>
      <c r="K261" s="39" t="n"/>
      <c r="L261" s="39" t="n"/>
      <c r="M261" s="39" t="n"/>
      <c r="N261" s="39" t="n"/>
    </row>
    <row r="262" ht="21" customHeight="1" s="65">
      <c r="C262" s="16" t="n"/>
      <c r="D262" s="16" t="n"/>
      <c r="E262" s="16" t="n"/>
      <c r="F262" s="103" t="n"/>
      <c r="G262" s="25" t="n"/>
      <c r="H262" s="16" t="n"/>
      <c r="I262" s="7">
        <f>IF(C262="","",C262&amp;"|"&amp;COUNTIF($C$5:C262,C262))</f>
        <v/>
      </c>
      <c r="K262" s="39" t="n"/>
      <c r="L262" s="39" t="n"/>
      <c r="M262" s="39" t="n"/>
      <c r="N262" s="39" t="n"/>
    </row>
    <row r="263" ht="21" customHeight="1" s="65">
      <c r="C263" s="16" t="n"/>
      <c r="D263" s="16" t="n"/>
      <c r="E263" s="16" t="n"/>
      <c r="F263" s="103" t="n"/>
      <c r="G263" s="25" t="n"/>
      <c r="H263" s="16" t="n"/>
      <c r="I263" s="7">
        <f>IF(C263="","",C263&amp;"|"&amp;COUNTIF($C$5:C263,C263))</f>
        <v/>
      </c>
      <c r="K263" s="39" t="n"/>
      <c r="L263" s="39" t="n"/>
      <c r="M263" s="39" t="n"/>
      <c r="N263" s="39" t="n"/>
    </row>
    <row r="264" ht="21" customHeight="1" s="65">
      <c r="C264" s="16" t="n"/>
      <c r="D264" s="16" t="n"/>
      <c r="E264" s="16" t="n"/>
      <c r="F264" s="103" t="n"/>
      <c r="G264" s="25" t="n"/>
      <c r="H264" s="16" t="n"/>
      <c r="I264" s="7">
        <f>IF(C264="","",C264&amp;"|"&amp;COUNTIF($C$5:C264,C264))</f>
        <v/>
      </c>
      <c r="K264" s="39" t="n"/>
      <c r="L264" s="39" t="n"/>
      <c r="M264" s="39" t="n"/>
      <c r="N264" s="39" t="n"/>
    </row>
    <row r="265" ht="21" customHeight="1" s="65">
      <c r="C265" s="16" t="n"/>
      <c r="D265" s="16" t="n"/>
      <c r="E265" s="16" t="n"/>
      <c r="F265" s="103" t="n"/>
      <c r="G265" s="25" t="n"/>
      <c r="H265" s="16" t="n"/>
      <c r="I265" s="7">
        <f>IF(C265="","",C265&amp;"|"&amp;COUNTIF($C$5:C265,C265))</f>
        <v/>
      </c>
      <c r="K265" s="39" t="n"/>
      <c r="L265" s="39" t="n"/>
      <c r="M265" s="39" t="n"/>
      <c r="N265" s="39" t="n"/>
    </row>
    <row r="266" ht="21" customHeight="1" s="65">
      <c r="C266" s="16" t="n"/>
      <c r="D266" s="16" t="n"/>
      <c r="E266" s="16" t="n"/>
      <c r="F266" s="103" t="n"/>
      <c r="G266" s="25" t="n"/>
      <c r="H266" s="16" t="n"/>
      <c r="I266" s="7">
        <f>IF(C266="","",C266&amp;"|"&amp;COUNTIF($C$5:C266,C266))</f>
        <v/>
      </c>
      <c r="K266" s="39" t="n"/>
      <c r="L266" s="39" t="n"/>
      <c r="M266" s="39" t="n"/>
      <c r="N266" s="39" t="n"/>
    </row>
    <row r="267" ht="21" customHeight="1" s="65">
      <c r="C267" s="16" t="n"/>
      <c r="D267" s="16" t="n"/>
      <c r="E267" s="16" t="n"/>
      <c r="F267" s="103" t="n"/>
      <c r="G267" s="25" t="n"/>
      <c r="H267" s="16" t="n"/>
      <c r="I267" s="7">
        <f>IF(C267="","",C267&amp;"|"&amp;COUNTIF($C$5:C267,C267))</f>
        <v/>
      </c>
      <c r="K267" s="39" t="n"/>
      <c r="L267" s="39" t="n"/>
      <c r="M267" s="39" t="n"/>
      <c r="N267" s="39" t="n"/>
    </row>
    <row r="268" ht="21" customHeight="1" s="65">
      <c r="C268" s="16" t="n"/>
      <c r="D268" s="16" t="n"/>
      <c r="E268" s="16" t="n"/>
      <c r="F268" s="103" t="n"/>
      <c r="G268" s="25" t="n"/>
      <c r="H268" s="16" t="n"/>
      <c r="I268" s="7">
        <f>IF(C268="","",C268&amp;"|"&amp;COUNTIF($C$5:C268,C268))</f>
        <v/>
      </c>
      <c r="K268" s="39" t="n"/>
      <c r="L268" s="39" t="n"/>
      <c r="M268" s="39" t="n"/>
      <c r="N268" s="39" t="n"/>
    </row>
    <row r="269" ht="21" customHeight="1" s="65">
      <c r="C269" s="16" t="n"/>
      <c r="D269" s="16" t="n"/>
      <c r="E269" s="16" t="n"/>
      <c r="F269" s="103" t="n"/>
      <c r="G269" s="25" t="n"/>
      <c r="H269" s="16" t="n"/>
      <c r="I269" s="7">
        <f>IF(C269="","",C269&amp;"|"&amp;COUNTIF($C$5:C269,C269))</f>
        <v/>
      </c>
      <c r="K269" s="39" t="n"/>
      <c r="L269" s="39" t="n"/>
      <c r="M269" s="39" t="n"/>
      <c r="N269" s="39" t="n"/>
    </row>
    <row r="270" ht="21" customHeight="1" s="65">
      <c r="C270" s="16" t="n"/>
      <c r="D270" s="16" t="n"/>
      <c r="E270" s="16" t="n"/>
      <c r="F270" s="103" t="n"/>
      <c r="G270" s="25" t="n"/>
      <c r="H270" s="16" t="n"/>
      <c r="I270" s="7">
        <f>IF(C270="","",C270&amp;"|"&amp;COUNTIF($C$5:C270,C270))</f>
        <v/>
      </c>
      <c r="K270" s="39" t="n"/>
      <c r="L270" s="39" t="n"/>
      <c r="M270" s="39" t="n"/>
      <c r="N270" s="39" t="n"/>
    </row>
    <row r="271" ht="21" customHeight="1" s="65">
      <c r="C271" s="16" t="n"/>
      <c r="D271" s="16" t="n"/>
      <c r="E271" s="16" t="n"/>
      <c r="F271" s="103" t="n"/>
      <c r="G271" s="25" t="n"/>
      <c r="H271" s="16" t="n"/>
      <c r="I271" s="7">
        <f>IF(C271="","",C271&amp;"|"&amp;COUNTIF($C$5:C271,C271))</f>
        <v/>
      </c>
      <c r="K271" s="39" t="n"/>
      <c r="L271" s="39" t="n"/>
      <c r="M271" s="39" t="n"/>
      <c r="N271" s="39" t="n"/>
    </row>
    <row r="272" ht="21" customHeight="1" s="65">
      <c r="C272" s="16" t="n"/>
      <c r="D272" s="16" t="n"/>
      <c r="E272" s="16" t="n"/>
      <c r="F272" s="103" t="n"/>
      <c r="G272" s="25" t="n"/>
      <c r="H272" s="16" t="n"/>
      <c r="I272" s="7">
        <f>IF(C272="","",C272&amp;"|"&amp;COUNTIF($C$5:C272,C272))</f>
        <v/>
      </c>
      <c r="K272" s="39" t="n"/>
      <c r="L272" s="39" t="n"/>
      <c r="M272" s="39" t="n"/>
      <c r="N272" s="39" t="n"/>
    </row>
    <row r="273" ht="21" customHeight="1" s="65">
      <c r="C273" s="16" t="n"/>
      <c r="D273" s="16" t="n"/>
      <c r="E273" s="16" t="n"/>
      <c r="F273" s="103" t="n"/>
      <c r="G273" s="25" t="n"/>
      <c r="H273" s="16" t="n"/>
      <c r="I273" s="7">
        <f>IF(C273="","",C273&amp;"|"&amp;COUNTIF($C$5:C273,C273))</f>
        <v/>
      </c>
      <c r="K273" s="39" t="n"/>
      <c r="L273" s="39" t="n"/>
      <c r="M273" s="39" t="n"/>
      <c r="N273" s="39" t="n"/>
    </row>
    <row r="274" ht="21" customHeight="1" s="65">
      <c r="C274" s="16" t="n"/>
      <c r="D274" s="16" t="n"/>
      <c r="E274" s="16" t="n"/>
      <c r="F274" s="103" t="n"/>
      <c r="G274" s="25" t="n"/>
      <c r="H274" s="16" t="n"/>
      <c r="I274" s="7">
        <f>IF(C274="","",C274&amp;"|"&amp;COUNTIF($C$5:C274,C274))</f>
        <v/>
      </c>
      <c r="K274" s="39" t="n"/>
      <c r="L274" s="39" t="n"/>
      <c r="M274" s="39" t="n"/>
      <c r="N274" s="39" t="n"/>
    </row>
    <row r="275" ht="21" customHeight="1" s="65">
      <c r="C275" s="16" t="n"/>
      <c r="D275" s="16" t="n"/>
      <c r="E275" s="16" t="n"/>
      <c r="F275" s="103" t="n"/>
      <c r="G275" s="25" t="n"/>
      <c r="H275" s="16" t="n"/>
      <c r="I275" s="7">
        <f>IF(C275="","",C275&amp;"|"&amp;COUNTIF($C$5:C275,C275))</f>
        <v/>
      </c>
      <c r="K275" s="39" t="n"/>
      <c r="L275" s="39" t="n"/>
      <c r="M275" s="39" t="n"/>
      <c r="N275" s="39" t="n"/>
    </row>
    <row r="276" ht="21" customHeight="1" s="65">
      <c r="C276" s="16" t="n"/>
      <c r="D276" s="16" t="n"/>
      <c r="E276" s="16" t="n"/>
      <c r="F276" s="103" t="n"/>
      <c r="G276" s="25" t="n"/>
      <c r="H276" s="16" t="n"/>
      <c r="I276" s="7">
        <f>IF(C276="","",C276&amp;"|"&amp;COUNTIF($C$5:C276,C276))</f>
        <v/>
      </c>
      <c r="K276" s="39" t="n"/>
      <c r="L276" s="39" t="n"/>
      <c r="M276" s="39" t="n"/>
      <c r="N276" s="39" t="n"/>
    </row>
    <row r="277" ht="21" customHeight="1" s="65">
      <c r="C277" s="16" t="n"/>
      <c r="D277" s="16" t="n"/>
      <c r="E277" s="16" t="n"/>
      <c r="F277" s="103" t="n"/>
      <c r="G277" s="25" t="n"/>
      <c r="H277" s="16" t="n"/>
      <c r="I277" s="7">
        <f>IF(C277="","",C277&amp;"|"&amp;COUNTIF($C$5:C277,C277))</f>
        <v/>
      </c>
      <c r="K277" s="39" t="n"/>
      <c r="L277" s="39" t="n"/>
      <c r="M277" s="39" t="n"/>
      <c r="N277" s="39" t="n"/>
    </row>
    <row r="278" ht="21" customHeight="1" s="65">
      <c r="C278" s="16" t="n"/>
      <c r="D278" s="16" t="n"/>
      <c r="E278" s="16" t="n"/>
      <c r="F278" s="103" t="n"/>
      <c r="G278" s="25" t="n"/>
      <c r="H278" s="16" t="n"/>
      <c r="I278" s="7">
        <f>IF(C278="","",C278&amp;"|"&amp;COUNTIF($C$5:C278,C278))</f>
        <v/>
      </c>
      <c r="K278" s="39" t="n"/>
      <c r="L278" s="39" t="n"/>
      <c r="M278" s="39" t="n"/>
      <c r="N278" s="39" t="n"/>
    </row>
    <row r="279" ht="21" customHeight="1" s="65">
      <c r="C279" s="16" t="n"/>
      <c r="D279" s="16" t="n"/>
      <c r="E279" s="16" t="n"/>
      <c r="F279" s="103" t="n"/>
      <c r="G279" s="25" t="n"/>
      <c r="H279" s="16" t="n"/>
      <c r="I279" s="7">
        <f>IF(C279="","",C279&amp;"|"&amp;COUNTIF($C$5:C279,C279))</f>
        <v/>
      </c>
      <c r="K279" s="39" t="n"/>
      <c r="L279" s="39" t="n"/>
      <c r="M279" s="39" t="n"/>
      <c r="N279" s="39" t="n"/>
    </row>
    <row r="280" ht="21" customHeight="1" s="65">
      <c r="C280" s="16" t="n"/>
      <c r="D280" s="16" t="n"/>
      <c r="E280" s="16" t="n"/>
      <c r="F280" s="103" t="n"/>
      <c r="G280" s="25" t="n"/>
      <c r="H280" s="16" t="n"/>
      <c r="I280" s="7">
        <f>IF(C280="","",C280&amp;"|"&amp;COUNTIF($C$5:C280,C280))</f>
        <v/>
      </c>
      <c r="K280" s="39" t="n"/>
      <c r="L280" s="39" t="n"/>
      <c r="M280" s="39" t="n"/>
      <c r="N280" s="39" t="n"/>
    </row>
    <row r="281" ht="21" customHeight="1" s="65">
      <c r="C281" s="16" t="n"/>
      <c r="D281" s="16" t="n"/>
      <c r="E281" s="16" t="n"/>
      <c r="F281" s="103" t="n"/>
      <c r="G281" s="25" t="n"/>
      <c r="H281" s="16" t="n"/>
      <c r="I281" s="7">
        <f>IF(C281="","",C281&amp;"|"&amp;COUNTIF($C$5:C281,C281))</f>
        <v/>
      </c>
      <c r="K281" s="39" t="n"/>
      <c r="L281" s="39" t="n"/>
      <c r="M281" s="39" t="n"/>
      <c r="N281" s="39" t="n"/>
    </row>
    <row r="282" ht="21" customHeight="1" s="65">
      <c r="C282" s="16" t="n"/>
      <c r="D282" s="16" t="n"/>
      <c r="E282" s="16" t="n"/>
      <c r="F282" s="103" t="n"/>
      <c r="G282" s="25" t="n"/>
      <c r="H282" s="16" t="n"/>
      <c r="I282" s="7">
        <f>IF(C282="","",C282&amp;"|"&amp;COUNTIF($C$5:C282,C282))</f>
        <v/>
      </c>
      <c r="K282" s="39" t="n"/>
      <c r="L282" s="39" t="n"/>
      <c r="M282" s="39" t="n"/>
      <c r="N282" s="39" t="n"/>
    </row>
    <row r="283" ht="21" customHeight="1" s="65">
      <c r="C283" s="16" t="n"/>
      <c r="D283" s="16" t="n"/>
      <c r="E283" s="16" t="n"/>
      <c r="F283" s="103" t="n"/>
      <c r="G283" s="25" t="n"/>
      <c r="H283" s="16" t="n"/>
      <c r="I283" s="7">
        <f>IF(C283="","",C283&amp;"|"&amp;COUNTIF($C$5:C283,C283))</f>
        <v/>
      </c>
      <c r="K283" s="39" t="n"/>
      <c r="L283" s="39" t="n"/>
      <c r="M283" s="39" t="n"/>
      <c r="N283" s="39" t="n"/>
    </row>
    <row r="284" ht="21" customHeight="1" s="65">
      <c r="C284" s="16" t="n"/>
      <c r="D284" s="16" t="n"/>
      <c r="E284" s="16" t="n"/>
      <c r="F284" s="103" t="n"/>
      <c r="G284" s="25" t="n"/>
      <c r="H284" s="16" t="n"/>
      <c r="I284" s="7">
        <f>IF(C284="","",C284&amp;"|"&amp;COUNTIF($C$5:C284,C284))</f>
        <v/>
      </c>
      <c r="K284" s="39" t="n"/>
      <c r="L284" s="39" t="n"/>
      <c r="M284" s="39" t="n"/>
      <c r="N284" s="39" t="n"/>
    </row>
    <row r="285" ht="21" customHeight="1" s="65">
      <c r="C285" s="16" t="n"/>
      <c r="D285" s="16" t="n"/>
      <c r="E285" s="16" t="n"/>
      <c r="F285" s="103" t="n"/>
      <c r="G285" s="25" t="n"/>
      <c r="H285" s="16" t="n"/>
      <c r="I285" s="7">
        <f>IF(C285="","",C285&amp;"|"&amp;COUNTIF($C$5:C285,C285))</f>
        <v/>
      </c>
      <c r="K285" s="39" t="n"/>
      <c r="L285" s="39" t="n"/>
      <c r="M285" s="39" t="n"/>
      <c r="N285" s="39" t="n"/>
    </row>
    <row r="286" ht="21" customHeight="1" s="65">
      <c r="C286" s="16" t="n"/>
      <c r="D286" s="16" t="n"/>
      <c r="E286" s="16" t="n"/>
      <c r="F286" s="103" t="n"/>
      <c r="G286" s="25" t="n"/>
      <c r="H286" s="16" t="n"/>
      <c r="I286" s="7">
        <f>IF(C286="","",C286&amp;"|"&amp;COUNTIF($C$5:C286,C286))</f>
        <v/>
      </c>
      <c r="K286" s="39" t="n"/>
      <c r="L286" s="39" t="n"/>
      <c r="M286" s="39" t="n"/>
      <c r="N286" s="39" t="n"/>
    </row>
    <row r="287" ht="21" customHeight="1" s="65">
      <c r="C287" s="16" t="n"/>
      <c r="D287" s="16" t="n"/>
      <c r="E287" s="16" t="n"/>
      <c r="F287" s="103" t="n"/>
      <c r="G287" s="25" t="n"/>
      <c r="H287" s="16" t="n"/>
      <c r="I287" s="7">
        <f>IF(C287="","",C287&amp;"|"&amp;COUNTIF($C$5:C287,C287))</f>
        <v/>
      </c>
      <c r="K287" s="39" t="n"/>
      <c r="L287" s="39" t="n"/>
      <c r="M287" s="39" t="n"/>
      <c r="N287" s="39" t="n"/>
    </row>
    <row r="288" ht="21" customHeight="1" s="65">
      <c r="C288" s="16" t="n"/>
      <c r="D288" s="16" t="n"/>
      <c r="E288" s="16" t="n"/>
      <c r="F288" s="103" t="n"/>
      <c r="G288" s="25" t="n"/>
      <c r="H288" s="16" t="n"/>
      <c r="I288" s="7">
        <f>IF(C288="","",C288&amp;"|"&amp;COUNTIF($C$5:C288,C288))</f>
        <v/>
      </c>
      <c r="K288" s="39" t="n"/>
      <c r="L288" s="39" t="n"/>
      <c r="M288" s="39" t="n"/>
      <c r="N288" s="39" t="n"/>
    </row>
    <row r="289" ht="21" customHeight="1" s="65">
      <c r="C289" s="16" t="n"/>
      <c r="D289" s="16" t="n"/>
      <c r="E289" s="16" t="n"/>
      <c r="F289" s="103" t="n"/>
      <c r="G289" s="25" t="n"/>
      <c r="H289" s="16" t="n"/>
      <c r="I289" s="7">
        <f>IF(C289="","",C289&amp;"|"&amp;COUNTIF($C$5:C289,C289))</f>
        <v/>
      </c>
      <c r="K289" s="39" t="n"/>
      <c r="L289" s="39" t="n"/>
      <c r="M289" s="39" t="n"/>
      <c r="N289" s="39" t="n"/>
    </row>
    <row r="290" ht="21" customHeight="1" s="65">
      <c r="C290" s="16" t="n"/>
      <c r="D290" s="16" t="n"/>
      <c r="E290" s="16" t="n"/>
      <c r="F290" s="103" t="n"/>
      <c r="G290" s="25" t="n"/>
      <c r="H290" s="16" t="n"/>
      <c r="I290" s="7">
        <f>IF(C290="","",C290&amp;"|"&amp;COUNTIF($C$5:C290,C290))</f>
        <v/>
      </c>
      <c r="K290" s="39" t="n"/>
      <c r="L290" s="39" t="n"/>
      <c r="M290" s="39" t="n"/>
      <c r="N290" s="39" t="n"/>
    </row>
    <row r="291" ht="21" customHeight="1" s="65">
      <c r="C291" s="16" t="n"/>
      <c r="D291" s="16" t="n"/>
      <c r="E291" s="16" t="n"/>
      <c r="F291" s="103" t="n"/>
      <c r="G291" s="25" t="n"/>
      <c r="H291" s="16" t="n"/>
      <c r="I291" s="7">
        <f>IF(C291="","",C291&amp;"|"&amp;COUNTIF($C$5:C291,C291))</f>
        <v/>
      </c>
      <c r="K291" s="39" t="n"/>
      <c r="L291" s="39" t="n"/>
      <c r="M291" s="39" t="n"/>
      <c r="N291" s="39" t="n"/>
    </row>
    <row r="292" ht="21" customHeight="1" s="65">
      <c r="C292" s="16" t="n"/>
      <c r="D292" s="16" t="n"/>
      <c r="E292" s="16" t="n"/>
      <c r="F292" s="103" t="n"/>
      <c r="G292" s="25" t="n"/>
      <c r="H292" s="16" t="n"/>
      <c r="I292" s="7">
        <f>IF(C292="","",C292&amp;"|"&amp;COUNTIF($C$5:C292,C292))</f>
        <v/>
      </c>
      <c r="K292" s="39" t="n"/>
      <c r="L292" s="39" t="n"/>
      <c r="M292" s="39" t="n"/>
      <c r="N292" s="39" t="n"/>
    </row>
    <row r="293" ht="21" customHeight="1" s="65">
      <c r="C293" s="16" t="n"/>
      <c r="D293" s="16" t="n"/>
      <c r="E293" s="16" t="n"/>
      <c r="F293" s="103" t="n"/>
      <c r="G293" s="25" t="n"/>
      <c r="H293" s="16" t="n"/>
      <c r="I293" s="7">
        <f>IF(C293="","",C293&amp;"|"&amp;COUNTIF($C$5:C293,C293))</f>
        <v/>
      </c>
      <c r="K293" s="39" t="n"/>
      <c r="L293" s="39" t="n"/>
      <c r="M293" s="39" t="n"/>
      <c r="N293" s="39" t="n"/>
    </row>
    <row r="294" ht="21" customHeight="1" s="65">
      <c r="C294" s="16" t="n"/>
      <c r="D294" s="16" t="n"/>
      <c r="E294" s="16" t="n"/>
      <c r="F294" s="103" t="n"/>
      <c r="G294" s="25" t="n"/>
      <c r="H294" s="16" t="n"/>
      <c r="I294" s="7">
        <f>IF(C294="","",C294&amp;"|"&amp;COUNTIF($C$5:C294,C294))</f>
        <v/>
      </c>
      <c r="K294" s="39" t="n"/>
      <c r="L294" s="39" t="n"/>
      <c r="M294" s="39" t="n"/>
      <c r="N294" s="39" t="n"/>
    </row>
    <row r="295" ht="21" customHeight="1" s="65">
      <c r="C295" s="16" t="n"/>
      <c r="D295" s="16" t="n"/>
      <c r="E295" s="16" t="n"/>
      <c r="F295" s="103" t="n"/>
      <c r="G295" s="25" t="n"/>
      <c r="H295" s="16" t="n"/>
      <c r="I295" s="7">
        <f>IF(C295="","",C295&amp;"|"&amp;COUNTIF($C$5:C295,C295))</f>
        <v/>
      </c>
      <c r="K295" s="39" t="n"/>
      <c r="L295" s="39" t="n"/>
      <c r="M295" s="39" t="n"/>
      <c r="N295" s="39" t="n"/>
    </row>
    <row r="296" ht="21" customHeight="1" s="65">
      <c r="C296" s="16" t="n"/>
      <c r="D296" s="16" t="n"/>
      <c r="E296" s="16" t="n"/>
      <c r="F296" s="103" t="n"/>
      <c r="G296" s="25" t="n"/>
      <c r="H296" s="16" t="n"/>
      <c r="I296" s="7">
        <f>IF(C296="","",C296&amp;"|"&amp;COUNTIF($C$5:C296,C296))</f>
        <v/>
      </c>
      <c r="K296" s="39" t="n"/>
      <c r="L296" s="39" t="n"/>
      <c r="M296" s="39" t="n"/>
      <c r="N296" s="39" t="n"/>
    </row>
    <row r="297" ht="21" customHeight="1" s="65">
      <c r="C297" s="16" t="n"/>
      <c r="D297" s="16" t="n"/>
      <c r="E297" s="16" t="n"/>
      <c r="F297" s="103" t="n"/>
      <c r="G297" s="25" t="n"/>
      <c r="H297" s="16" t="n"/>
      <c r="I297" s="7">
        <f>IF(C297="","",C297&amp;"|"&amp;COUNTIF($C$5:C297,C297))</f>
        <v/>
      </c>
      <c r="K297" s="39" t="n"/>
      <c r="L297" s="39" t="n"/>
      <c r="M297" s="39" t="n"/>
      <c r="N297" s="39" t="n"/>
    </row>
    <row r="298" ht="21" customHeight="1" s="65">
      <c r="C298" s="16" t="n"/>
      <c r="D298" s="16" t="n"/>
      <c r="E298" s="16" t="n"/>
      <c r="F298" s="103" t="n"/>
      <c r="G298" s="25" t="n"/>
      <c r="H298" s="16" t="n"/>
      <c r="I298" s="7">
        <f>IF(C298="","",C298&amp;"|"&amp;COUNTIF($C$5:C298,C298))</f>
        <v/>
      </c>
      <c r="K298" s="39" t="n"/>
      <c r="L298" s="39" t="n"/>
      <c r="M298" s="39" t="n"/>
      <c r="N298" s="39" t="n"/>
    </row>
    <row r="299" ht="21" customHeight="1" s="65">
      <c r="C299" s="16" t="n"/>
      <c r="D299" s="16" t="n"/>
      <c r="E299" s="16" t="n"/>
      <c r="F299" s="103" t="n"/>
      <c r="G299" s="25" t="n"/>
      <c r="H299" s="16" t="n"/>
      <c r="I299" s="7">
        <f>IF(C299="","",C299&amp;"|"&amp;COUNTIF($C$5:C299,C299))</f>
        <v/>
      </c>
      <c r="K299" s="39" t="n"/>
      <c r="L299" s="39" t="n"/>
      <c r="M299" s="39" t="n"/>
      <c r="N299" s="39" t="n"/>
    </row>
    <row r="300" ht="21" customHeight="1" s="65">
      <c r="C300" s="16" t="n"/>
      <c r="D300" s="16" t="n"/>
      <c r="E300" s="16" t="n"/>
      <c r="F300" s="103" t="n"/>
      <c r="G300" s="25" t="n"/>
      <c r="H300" s="16" t="n"/>
      <c r="I300" s="7">
        <f>IF(C300="","",C300&amp;"|"&amp;COUNTIF($C$5:C300,C300))</f>
        <v/>
      </c>
      <c r="K300" s="39" t="n"/>
      <c r="L300" s="39" t="n"/>
      <c r="M300" s="39" t="n"/>
      <c r="N300" s="39" t="n"/>
    </row>
    <row r="301" ht="21" customHeight="1" s="65">
      <c r="C301" s="16" t="n"/>
      <c r="D301" s="16" t="n"/>
      <c r="E301" s="16" t="n"/>
      <c r="F301" s="103" t="n"/>
      <c r="G301" s="25" t="n"/>
      <c r="H301" s="16" t="n"/>
      <c r="I301" s="7">
        <f>IF(C301="","",C301&amp;"|"&amp;COUNTIF($C$5:C301,C301))</f>
        <v/>
      </c>
      <c r="K301" s="39" t="n"/>
      <c r="L301" s="39" t="n"/>
      <c r="M301" s="39" t="n"/>
      <c r="N301" s="39" t="n"/>
    </row>
    <row r="302" ht="21" customHeight="1" s="65">
      <c r="C302" s="16" t="n"/>
      <c r="D302" s="16" t="n"/>
      <c r="E302" s="16" t="n"/>
      <c r="F302" s="103" t="n"/>
      <c r="G302" s="25" t="n"/>
      <c r="H302" s="16" t="n"/>
      <c r="I302" s="7">
        <f>IF(C302="","",C302&amp;"|"&amp;COUNTIF($C$5:C302,C302))</f>
        <v/>
      </c>
      <c r="K302" s="39" t="n"/>
      <c r="L302" s="39" t="n"/>
      <c r="M302" s="39" t="n"/>
      <c r="N302" s="39" t="n"/>
    </row>
    <row r="303" ht="21" customHeight="1" s="65">
      <c r="C303" s="16" t="n"/>
      <c r="D303" s="16" t="n"/>
      <c r="E303" s="16" t="n"/>
      <c r="F303" s="103" t="n"/>
      <c r="G303" s="25" t="n"/>
      <c r="H303" s="16" t="n"/>
      <c r="I303" s="7">
        <f>IF(C303="","",C303&amp;"|"&amp;COUNTIF($C$5:C303,C303))</f>
        <v/>
      </c>
      <c r="K303" s="39" t="n"/>
      <c r="L303" s="39" t="n"/>
      <c r="M303" s="39" t="n"/>
      <c r="N303" s="39" t="n"/>
    </row>
    <row r="304" ht="21" customHeight="1" s="65">
      <c r="C304" s="16" t="n"/>
      <c r="D304" s="16" t="n"/>
      <c r="E304" s="16" t="n"/>
      <c r="F304" s="103" t="n"/>
      <c r="G304" s="25" t="n"/>
      <c r="H304" s="16" t="n"/>
      <c r="I304" s="7">
        <f>IF(C304="","",C304&amp;"|"&amp;COUNTIF($C$5:C304,C304))</f>
        <v/>
      </c>
      <c r="K304" s="39" t="n"/>
      <c r="L304" s="39" t="n"/>
      <c r="M304" s="39" t="n"/>
      <c r="N304" s="39" t="n"/>
    </row>
    <row r="305" ht="21" customHeight="1" s="65">
      <c r="C305" s="16" t="n"/>
      <c r="D305" s="16" t="n"/>
      <c r="E305" s="16" t="n"/>
      <c r="F305" s="103" t="n"/>
      <c r="G305" s="25" t="n"/>
      <c r="H305" s="16" t="n"/>
      <c r="I305" s="7">
        <f>IF(C305="","",C305&amp;"|"&amp;COUNTIF($C$5:C305,C305))</f>
        <v/>
      </c>
      <c r="K305" s="39" t="n"/>
      <c r="L305" s="39" t="n"/>
      <c r="M305" s="39" t="n"/>
      <c r="N305" s="39" t="n"/>
    </row>
    <row r="306" ht="21" customHeight="1" s="65">
      <c r="C306" s="16" t="n"/>
      <c r="D306" s="16" t="n"/>
      <c r="E306" s="16" t="n"/>
      <c r="F306" s="103" t="n"/>
      <c r="G306" s="25" t="n"/>
      <c r="H306" s="16" t="n"/>
      <c r="I306" s="7">
        <f>IF(C306="","",C306&amp;"|"&amp;COUNTIF($C$5:C306,C306))</f>
        <v/>
      </c>
      <c r="K306" s="39" t="n"/>
      <c r="L306" s="39" t="n"/>
      <c r="M306" s="39" t="n"/>
      <c r="N306" s="39" t="n"/>
    </row>
    <row r="307" ht="21" customHeight="1" s="65">
      <c r="C307" s="16" t="n"/>
      <c r="D307" s="16" t="n"/>
      <c r="E307" s="16" t="n"/>
      <c r="F307" s="103" t="n"/>
      <c r="G307" s="25" t="n"/>
      <c r="H307" s="16" t="n"/>
      <c r="I307" s="7">
        <f>IF(C307="","",C307&amp;"|"&amp;COUNTIF($C$5:C307,C307))</f>
        <v/>
      </c>
      <c r="K307" s="39" t="n"/>
      <c r="L307" s="39" t="n"/>
      <c r="M307" s="39" t="n"/>
      <c r="N307" s="39" t="n"/>
    </row>
    <row r="308" ht="21" customHeight="1" s="65">
      <c r="C308" s="16" t="n"/>
      <c r="D308" s="16" t="n"/>
      <c r="E308" s="16" t="n"/>
      <c r="F308" s="103" t="n"/>
      <c r="G308" s="25" t="n"/>
      <c r="H308" s="16" t="n"/>
      <c r="I308" s="7">
        <f>IF(C308="","",C308&amp;"|"&amp;COUNTIF($C$5:C308,C308))</f>
        <v/>
      </c>
      <c r="K308" s="39" t="n"/>
      <c r="L308" s="39" t="n"/>
      <c r="M308" s="39" t="n"/>
      <c r="N308" s="39" t="n"/>
    </row>
    <row r="309" ht="21" customHeight="1" s="65">
      <c r="C309" s="16" t="n"/>
      <c r="D309" s="16" t="n"/>
      <c r="E309" s="16" t="n"/>
      <c r="F309" s="103" t="n"/>
      <c r="G309" s="25" t="n"/>
      <c r="H309" s="16" t="n"/>
      <c r="I309" s="7">
        <f>IF(C309="","",C309&amp;"|"&amp;COUNTIF($C$5:C309,C309))</f>
        <v/>
      </c>
      <c r="K309" s="39" t="n"/>
      <c r="L309" s="39" t="n"/>
      <c r="M309" s="39" t="n"/>
      <c r="N309" s="39" t="n"/>
    </row>
    <row r="310" ht="21" customHeight="1" s="65">
      <c r="C310" s="16" t="n"/>
      <c r="D310" s="16" t="n"/>
      <c r="E310" s="16" t="n"/>
      <c r="F310" s="103" t="n"/>
      <c r="G310" s="25" t="n"/>
      <c r="H310" s="16" t="n"/>
      <c r="I310" s="7">
        <f>IF(C310="","",C310&amp;"|"&amp;COUNTIF($C$5:C310,C310))</f>
        <v/>
      </c>
      <c r="K310" s="39" t="n"/>
      <c r="L310" s="39" t="n"/>
      <c r="M310" s="39" t="n"/>
      <c r="N310" s="39" t="n"/>
    </row>
    <row r="311" ht="21" customHeight="1" s="65">
      <c r="C311" s="16" t="n"/>
      <c r="D311" s="16" t="n"/>
      <c r="E311" s="16" t="n"/>
      <c r="F311" s="103" t="n"/>
      <c r="G311" s="25" t="n"/>
      <c r="H311" s="16" t="n"/>
      <c r="I311" s="7">
        <f>IF(C311="","",C311&amp;"|"&amp;COUNTIF($C$5:C311,C311))</f>
        <v/>
      </c>
      <c r="K311" s="39" t="n"/>
      <c r="L311" s="39" t="n"/>
      <c r="M311" s="39" t="n"/>
      <c r="N311" s="39" t="n"/>
    </row>
    <row r="312" ht="21" customHeight="1" s="65">
      <c r="C312" s="16" t="n"/>
      <c r="D312" s="16" t="n"/>
      <c r="E312" s="16" t="n"/>
      <c r="F312" s="103" t="n"/>
      <c r="G312" s="25" t="n"/>
      <c r="H312" s="16" t="n"/>
      <c r="I312" s="7">
        <f>IF(C312="","",C312&amp;"|"&amp;COUNTIF($C$5:C312,C312))</f>
        <v/>
      </c>
      <c r="K312" s="39" t="n"/>
      <c r="L312" s="39" t="n"/>
      <c r="M312" s="39" t="n"/>
      <c r="N312" s="39" t="n"/>
    </row>
    <row r="313" ht="21" customHeight="1" s="65">
      <c r="C313" s="16" t="n"/>
      <c r="D313" s="16" t="n"/>
      <c r="E313" s="16" t="n"/>
      <c r="F313" s="103" t="n"/>
      <c r="G313" s="25" t="n"/>
      <c r="H313" s="16" t="n"/>
      <c r="I313" s="7">
        <f>IF(C313="","",C313&amp;"|"&amp;COUNTIF($C$5:C313,C313))</f>
        <v/>
      </c>
      <c r="K313" s="39" t="n"/>
      <c r="L313" s="39" t="n"/>
      <c r="M313" s="39" t="n"/>
      <c r="N313" s="39" t="n"/>
    </row>
    <row r="314" ht="21" customHeight="1" s="65">
      <c r="C314" s="16" t="n"/>
      <c r="D314" s="16" t="n"/>
      <c r="E314" s="16" t="n"/>
      <c r="F314" s="103" t="n"/>
      <c r="G314" s="25" t="n"/>
      <c r="H314" s="16" t="n"/>
      <c r="I314" s="7">
        <f>IF(C314="","",C314&amp;"|"&amp;COUNTIF($C$5:C314,C314))</f>
        <v/>
      </c>
      <c r="K314" s="39" t="n"/>
      <c r="L314" s="39" t="n"/>
      <c r="M314" s="39" t="n"/>
      <c r="N314" s="39" t="n"/>
    </row>
    <row r="315" ht="21" customHeight="1" s="65">
      <c r="C315" s="16" t="n"/>
      <c r="D315" s="16" t="n"/>
      <c r="E315" s="16" t="n"/>
      <c r="F315" s="103" t="n"/>
      <c r="G315" s="25" t="n"/>
      <c r="H315" s="16" t="n"/>
      <c r="I315" s="7">
        <f>IF(C315="","",C315&amp;"|"&amp;COUNTIF($C$5:C315,C315))</f>
        <v/>
      </c>
      <c r="K315" s="39" t="n"/>
      <c r="L315" s="39" t="n"/>
      <c r="M315" s="39" t="n"/>
      <c r="N315" s="39" t="n"/>
    </row>
    <row r="316" ht="21" customHeight="1" s="65">
      <c r="C316" s="16" t="n"/>
      <c r="D316" s="16" t="n"/>
      <c r="E316" s="16" t="n"/>
      <c r="F316" s="103" t="n"/>
      <c r="G316" s="25" t="n"/>
      <c r="H316" s="16" t="n"/>
      <c r="I316" s="7">
        <f>IF(C316="","",C316&amp;"|"&amp;COUNTIF($C$5:C316,C316))</f>
        <v/>
      </c>
      <c r="K316" s="39" t="n"/>
      <c r="L316" s="39" t="n"/>
      <c r="M316" s="39" t="n"/>
      <c r="N316" s="39" t="n"/>
    </row>
    <row r="317" ht="21" customHeight="1" s="65">
      <c r="C317" s="16" t="n"/>
      <c r="D317" s="16" t="n"/>
      <c r="E317" s="16" t="n"/>
      <c r="F317" s="103" t="n"/>
      <c r="G317" s="25" t="n"/>
      <c r="H317" s="16" t="n"/>
      <c r="I317" s="7">
        <f>IF(C317="","",C317&amp;"|"&amp;COUNTIF($C$5:C317,C317))</f>
        <v/>
      </c>
      <c r="K317" s="39" t="n"/>
      <c r="L317" s="39" t="n"/>
      <c r="M317" s="39" t="n"/>
      <c r="N317" s="39" t="n"/>
    </row>
    <row r="318" ht="21" customHeight="1" s="65">
      <c r="C318" s="16" t="n"/>
      <c r="D318" s="16" t="n"/>
      <c r="E318" s="16" t="n"/>
      <c r="F318" s="103" t="n"/>
      <c r="G318" s="25" t="n"/>
      <c r="H318" s="16" t="n"/>
      <c r="I318" s="7">
        <f>IF(C318="","",C318&amp;"|"&amp;COUNTIF($C$5:C318,C318))</f>
        <v/>
      </c>
      <c r="K318" s="39" t="n"/>
      <c r="L318" s="39" t="n"/>
      <c r="M318" s="39" t="n"/>
      <c r="N318" s="39" t="n"/>
    </row>
    <row r="319" ht="21" customHeight="1" s="65">
      <c r="C319" s="16" t="n"/>
      <c r="D319" s="16" t="n"/>
      <c r="E319" s="16" t="n"/>
      <c r="F319" s="103" t="n"/>
      <c r="G319" s="25" t="n"/>
      <c r="H319" s="16" t="n"/>
      <c r="I319" s="7">
        <f>IF(C319="","",C319&amp;"|"&amp;COUNTIF($C$5:C319,C319))</f>
        <v/>
      </c>
      <c r="K319" s="39" t="n"/>
      <c r="L319" s="39" t="n"/>
      <c r="M319" s="39" t="n"/>
      <c r="N319" s="39" t="n"/>
    </row>
    <row r="320" ht="21" customHeight="1" s="65">
      <c r="C320" s="16" t="n"/>
      <c r="D320" s="16" t="n"/>
      <c r="E320" s="16" t="n"/>
      <c r="F320" s="103" t="n"/>
      <c r="G320" s="25" t="n"/>
      <c r="H320" s="16" t="n"/>
      <c r="I320" s="7">
        <f>IF(C320="","",C320&amp;"|"&amp;COUNTIF($C$5:C320,C320))</f>
        <v/>
      </c>
      <c r="K320" s="39" t="n"/>
      <c r="L320" s="39" t="n"/>
      <c r="M320" s="39" t="n"/>
      <c r="N320" s="39" t="n"/>
    </row>
    <row r="321" ht="21" customHeight="1" s="65">
      <c r="C321" s="16" t="n"/>
      <c r="D321" s="16" t="n"/>
      <c r="E321" s="16" t="n"/>
      <c r="F321" s="103" t="n"/>
      <c r="G321" s="25" t="n"/>
      <c r="H321" s="16" t="n"/>
      <c r="I321" s="7">
        <f>IF(C321="","",C321&amp;"|"&amp;COUNTIF($C$5:C321,C321))</f>
        <v/>
      </c>
      <c r="K321" s="39" t="n"/>
      <c r="L321" s="39" t="n"/>
      <c r="M321" s="39" t="n"/>
      <c r="N321" s="39" t="n"/>
    </row>
    <row r="322" ht="21" customHeight="1" s="65">
      <c r="C322" s="16" t="n"/>
      <c r="D322" s="16" t="n"/>
      <c r="E322" s="16" t="n"/>
      <c r="F322" s="103" t="n"/>
      <c r="G322" s="25" t="n"/>
      <c r="H322" s="16" t="n"/>
      <c r="I322" s="7">
        <f>IF(C322="","",C322&amp;"|"&amp;COUNTIF($C$5:C322,C322))</f>
        <v/>
      </c>
      <c r="K322" s="39" t="n"/>
      <c r="L322" s="39" t="n"/>
      <c r="M322" s="39" t="n"/>
      <c r="N322" s="39" t="n"/>
    </row>
    <row r="323" ht="21" customHeight="1" s="65">
      <c r="C323" s="16" t="n"/>
      <c r="D323" s="16" t="n"/>
      <c r="E323" s="16" t="n"/>
      <c r="F323" s="103" t="n"/>
      <c r="G323" s="25" t="n"/>
      <c r="H323" s="16" t="n"/>
      <c r="I323" s="7">
        <f>IF(C323="","",C323&amp;"|"&amp;COUNTIF($C$5:C323,C323))</f>
        <v/>
      </c>
      <c r="K323" s="39" t="n"/>
      <c r="L323" s="39" t="n"/>
      <c r="M323" s="39" t="n"/>
      <c r="N323" s="39" t="n"/>
    </row>
    <row r="324" ht="21" customHeight="1" s="65">
      <c r="C324" s="16" t="n"/>
      <c r="D324" s="16" t="n"/>
      <c r="E324" s="16" t="n"/>
      <c r="F324" s="103" t="n"/>
      <c r="G324" s="25" t="n"/>
      <c r="H324" s="16" t="n"/>
      <c r="I324" s="7">
        <f>IF(C324="","",C324&amp;"|"&amp;COUNTIF($C$5:C324,C324))</f>
        <v/>
      </c>
      <c r="K324" s="39" t="n"/>
      <c r="L324" s="39" t="n"/>
      <c r="M324" s="39" t="n"/>
      <c r="N324" s="39" t="n"/>
    </row>
    <row r="325" ht="21" customHeight="1" s="65">
      <c r="C325" s="16" t="n"/>
      <c r="D325" s="16" t="n"/>
      <c r="E325" s="16" t="n"/>
      <c r="F325" s="103" t="n"/>
      <c r="G325" s="25" t="n"/>
      <c r="H325" s="16" t="n"/>
      <c r="I325" s="7">
        <f>IF(C325="","",C325&amp;"|"&amp;COUNTIF($C$5:C325,C325))</f>
        <v/>
      </c>
      <c r="K325" s="39" t="n"/>
      <c r="L325" s="39" t="n"/>
      <c r="M325" s="39" t="n"/>
      <c r="N325" s="39" t="n"/>
    </row>
    <row r="326" ht="21" customHeight="1" s="65">
      <c r="C326" s="16" t="n"/>
      <c r="D326" s="16" t="n"/>
      <c r="E326" s="16" t="n"/>
      <c r="F326" s="103" t="n"/>
      <c r="G326" s="25" t="n"/>
      <c r="H326" s="16" t="n"/>
      <c r="I326" s="7">
        <f>IF(C326="","",C326&amp;"|"&amp;COUNTIF($C$5:C326,C326))</f>
        <v/>
      </c>
      <c r="K326" s="39" t="n"/>
      <c r="L326" s="39" t="n"/>
      <c r="M326" s="39" t="n"/>
      <c r="N326" s="39" t="n"/>
    </row>
    <row r="327" ht="21" customHeight="1" s="65">
      <c r="C327" s="16" t="n"/>
      <c r="D327" s="16" t="n"/>
      <c r="E327" s="16" t="n"/>
      <c r="F327" s="103" t="n"/>
      <c r="G327" s="25" t="n"/>
      <c r="H327" s="16" t="n"/>
      <c r="I327" s="7">
        <f>IF(C327="","",C327&amp;"|"&amp;COUNTIF($C$5:C327,C327))</f>
        <v/>
      </c>
      <c r="K327" s="39" t="n"/>
      <c r="L327" s="39" t="n"/>
      <c r="M327" s="39" t="n"/>
      <c r="N327" s="39" t="n"/>
    </row>
    <row r="328" ht="21" customHeight="1" s="65">
      <c r="C328" s="16" t="n"/>
      <c r="D328" s="16" t="n"/>
      <c r="E328" s="16" t="n"/>
      <c r="F328" s="103" t="n"/>
      <c r="G328" s="25" t="n"/>
      <c r="H328" s="16" t="n"/>
      <c r="I328" s="7">
        <f>IF(C328="","",C328&amp;"|"&amp;COUNTIF($C$5:C328,C328))</f>
        <v/>
      </c>
      <c r="K328" s="39" t="n"/>
      <c r="L328" s="39" t="n"/>
      <c r="M328" s="39" t="n"/>
      <c r="N328" s="39" t="n"/>
    </row>
    <row r="329" ht="21" customHeight="1" s="65">
      <c r="C329" s="16" t="n"/>
      <c r="D329" s="16" t="n"/>
      <c r="E329" s="16" t="n"/>
      <c r="F329" s="103" t="n"/>
      <c r="G329" s="25" t="n"/>
      <c r="H329" s="16" t="n"/>
      <c r="I329" s="7">
        <f>IF(C329="","",C329&amp;"|"&amp;COUNTIF($C$5:C329,C329))</f>
        <v/>
      </c>
      <c r="K329" s="39" t="n"/>
      <c r="L329" s="39" t="n"/>
      <c r="M329" s="39" t="n"/>
      <c r="N329" s="39" t="n"/>
    </row>
    <row r="330" ht="21" customHeight="1" s="65">
      <c r="C330" s="16" t="n"/>
      <c r="D330" s="16" t="n"/>
      <c r="E330" s="16" t="n"/>
      <c r="F330" s="103" t="n"/>
      <c r="G330" s="25" t="n"/>
      <c r="H330" s="16" t="n"/>
      <c r="I330" s="7">
        <f>IF(C330="","",C330&amp;"|"&amp;COUNTIF($C$5:C330,C330))</f>
        <v/>
      </c>
      <c r="K330" s="39" t="n"/>
      <c r="L330" s="39" t="n"/>
      <c r="M330" s="39" t="n"/>
      <c r="N330" s="39" t="n"/>
    </row>
    <row r="331" ht="21" customHeight="1" s="65">
      <c r="C331" s="16" t="n"/>
      <c r="D331" s="16" t="n"/>
      <c r="E331" s="16" t="n"/>
      <c r="F331" s="103" t="n"/>
      <c r="G331" s="25" t="n"/>
      <c r="H331" s="16" t="n"/>
      <c r="I331" s="7">
        <f>IF(C331="","",C331&amp;"|"&amp;COUNTIF($C$5:C331,C331))</f>
        <v/>
      </c>
      <c r="K331" s="39" t="n"/>
      <c r="L331" s="39" t="n"/>
      <c r="M331" s="39" t="n"/>
      <c r="N331" s="39" t="n"/>
    </row>
    <row r="332" ht="21" customHeight="1" s="65">
      <c r="C332" s="16" t="n"/>
      <c r="D332" s="16" t="n"/>
      <c r="E332" s="16" t="n"/>
      <c r="F332" s="103" t="n"/>
      <c r="G332" s="25" t="n"/>
      <c r="H332" s="16" t="n"/>
      <c r="I332" s="7">
        <f>IF(C332="","",C332&amp;"|"&amp;COUNTIF($C$5:C332,C332))</f>
        <v/>
      </c>
      <c r="K332" s="39" t="n"/>
      <c r="L332" s="39" t="n"/>
      <c r="M332" s="39" t="n"/>
      <c r="N332" s="39" t="n"/>
    </row>
    <row r="333" ht="21" customHeight="1" s="65">
      <c r="C333" s="16" t="n"/>
      <c r="D333" s="16" t="n"/>
      <c r="E333" s="16" t="n"/>
      <c r="F333" s="103" t="n"/>
      <c r="G333" s="25" t="n"/>
      <c r="H333" s="16" t="n"/>
      <c r="I333" s="7">
        <f>IF(C333="","",C333&amp;"|"&amp;COUNTIF($C$5:C333,C333))</f>
        <v/>
      </c>
      <c r="K333" s="39" t="n"/>
      <c r="L333" s="39" t="n"/>
      <c r="M333" s="39" t="n"/>
      <c r="N333" s="39" t="n"/>
    </row>
    <row r="334" ht="21" customHeight="1" s="65">
      <c r="C334" s="16" t="n"/>
      <c r="D334" s="16" t="n"/>
      <c r="E334" s="16" t="n"/>
      <c r="F334" s="103" t="n"/>
      <c r="G334" s="25" t="n"/>
      <c r="H334" s="16" t="n"/>
      <c r="I334" s="7">
        <f>IF(C334="","",C334&amp;"|"&amp;COUNTIF($C$5:C334,C334))</f>
        <v/>
      </c>
      <c r="K334" s="39" t="n"/>
      <c r="L334" s="39" t="n"/>
      <c r="M334" s="39" t="n"/>
      <c r="N334" s="39" t="n"/>
    </row>
    <row r="335" ht="21" customHeight="1" s="65">
      <c r="C335" s="16" t="n"/>
      <c r="D335" s="16" t="n"/>
      <c r="E335" s="16" t="n"/>
      <c r="F335" s="103" t="n"/>
      <c r="G335" s="25" t="n"/>
      <c r="H335" s="16" t="n"/>
      <c r="I335" s="7">
        <f>IF(C335="","",C335&amp;"|"&amp;COUNTIF($C$5:C335,C335))</f>
        <v/>
      </c>
      <c r="K335" s="39" t="n"/>
      <c r="L335" s="39" t="n"/>
      <c r="M335" s="39" t="n"/>
      <c r="N335" s="39" t="n"/>
    </row>
    <row r="336" ht="21" customHeight="1" s="65">
      <c r="C336" s="16" t="n"/>
      <c r="D336" s="16" t="n"/>
      <c r="E336" s="16" t="n"/>
      <c r="F336" s="103" t="n"/>
      <c r="G336" s="25" t="n"/>
      <c r="H336" s="16" t="n"/>
      <c r="I336" s="7">
        <f>IF(C336="","",C336&amp;"|"&amp;COUNTIF($C$5:C336,C336))</f>
        <v/>
      </c>
      <c r="K336" s="39" t="n"/>
      <c r="L336" s="39" t="n"/>
      <c r="M336" s="39" t="n"/>
      <c r="N336" s="39" t="n"/>
    </row>
    <row r="337" ht="21" customHeight="1" s="65">
      <c r="C337" s="16" t="n"/>
      <c r="D337" s="16" t="n"/>
      <c r="E337" s="16" t="n"/>
      <c r="F337" s="103" t="n"/>
      <c r="G337" s="25" t="n"/>
      <c r="H337" s="16" t="n"/>
      <c r="I337" s="7">
        <f>IF(C337="","",C337&amp;"|"&amp;COUNTIF($C$5:C337,C337))</f>
        <v/>
      </c>
      <c r="K337" s="39" t="n"/>
      <c r="L337" s="39" t="n"/>
      <c r="M337" s="39" t="n"/>
      <c r="N337" s="39" t="n"/>
    </row>
    <row r="338" ht="21" customHeight="1" s="65">
      <c r="C338" s="16" t="n"/>
      <c r="D338" s="16" t="n"/>
      <c r="E338" s="16" t="n"/>
      <c r="F338" s="103" t="n"/>
      <c r="G338" s="25" t="n"/>
      <c r="H338" s="16" t="n"/>
      <c r="I338" s="7">
        <f>IF(C338="","",C338&amp;"|"&amp;COUNTIF($C$5:C338,C338))</f>
        <v/>
      </c>
      <c r="K338" s="39" t="n"/>
      <c r="L338" s="39" t="n"/>
      <c r="M338" s="39" t="n"/>
      <c r="N338" s="39" t="n"/>
    </row>
    <row r="339" ht="21" customHeight="1" s="65">
      <c r="C339" s="16" t="n"/>
      <c r="D339" s="16" t="n"/>
      <c r="E339" s="16" t="n"/>
      <c r="F339" s="103" t="n"/>
      <c r="G339" s="25" t="n"/>
      <c r="H339" s="16" t="n"/>
      <c r="I339" s="7">
        <f>IF(C339="","",C339&amp;"|"&amp;COUNTIF($C$5:C339,C339))</f>
        <v/>
      </c>
      <c r="K339" s="39" t="n"/>
      <c r="L339" s="39" t="n"/>
      <c r="M339" s="39" t="n"/>
      <c r="N339" s="39" t="n"/>
    </row>
    <row r="340" ht="21" customHeight="1" s="65">
      <c r="C340" s="16" t="n"/>
      <c r="D340" s="16" t="n"/>
      <c r="E340" s="16" t="n"/>
      <c r="F340" s="103" t="n"/>
      <c r="G340" s="25" t="n"/>
      <c r="H340" s="16" t="n"/>
      <c r="I340" s="7">
        <f>IF(C340="","",C340&amp;"|"&amp;COUNTIF($C$5:C340,C340))</f>
        <v/>
      </c>
      <c r="K340" s="39" t="n"/>
      <c r="L340" s="39" t="n"/>
      <c r="M340" s="39" t="n"/>
      <c r="N340" s="39" t="n"/>
    </row>
    <row r="341" ht="21" customHeight="1" s="65">
      <c r="C341" s="16" t="n"/>
      <c r="D341" s="16" t="n"/>
      <c r="E341" s="16" t="n"/>
      <c r="F341" s="103" t="n"/>
      <c r="G341" s="25" t="n"/>
      <c r="H341" s="16" t="n"/>
      <c r="I341" s="7">
        <f>IF(C341="","",C341&amp;"|"&amp;COUNTIF($C$5:C341,C341))</f>
        <v/>
      </c>
      <c r="K341" s="39" t="n"/>
      <c r="L341" s="39" t="n"/>
      <c r="M341" s="39" t="n"/>
      <c r="N341" s="39" t="n"/>
    </row>
    <row r="342" ht="21" customHeight="1" s="65">
      <c r="C342" s="16" t="n"/>
      <c r="D342" s="16" t="n"/>
      <c r="E342" s="16" t="n"/>
      <c r="F342" s="103" t="n"/>
      <c r="G342" s="25" t="n"/>
      <c r="H342" s="16" t="n"/>
      <c r="I342" s="7">
        <f>IF(C342="","",C342&amp;"|"&amp;COUNTIF($C$5:C342,C342))</f>
        <v/>
      </c>
      <c r="K342" s="39" t="n"/>
      <c r="L342" s="39" t="n"/>
      <c r="M342" s="39" t="n"/>
      <c r="N342" s="39" t="n"/>
    </row>
    <row r="343" ht="21" customHeight="1" s="65">
      <c r="C343" s="16" t="n"/>
      <c r="D343" s="16" t="n"/>
      <c r="E343" s="16" t="n"/>
      <c r="F343" s="103" t="n"/>
      <c r="G343" s="25" t="n"/>
      <c r="H343" s="16" t="n"/>
      <c r="I343" s="7">
        <f>IF(C343="","",C343&amp;"|"&amp;COUNTIF($C$5:C343,C343))</f>
        <v/>
      </c>
      <c r="K343" s="39" t="n"/>
      <c r="L343" s="39" t="n"/>
      <c r="M343" s="39" t="n"/>
      <c r="N343" s="39" t="n"/>
    </row>
    <row r="344" ht="21" customHeight="1" s="65">
      <c r="C344" s="16" t="n"/>
      <c r="D344" s="16" t="n"/>
      <c r="E344" s="16" t="n"/>
      <c r="F344" s="103" t="n"/>
      <c r="G344" s="25" t="n"/>
      <c r="H344" s="16" t="n"/>
      <c r="I344" s="7">
        <f>IF(C344="","",C344&amp;"|"&amp;COUNTIF($C$5:C344,C344))</f>
        <v/>
      </c>
      <c r="K344" s="39" t="n"/>
      <c r="L344" s="39" t="n"/>
      <c r="M344" s="39" t="n"/>
      <c r="N344" s="39" t="n"/>
    </row>
    <row r="345" ht="21" customHeight="1" s="65">
      <c r="C345" s="16" t="n"/>
      <c r="D345" s="16" t="n"/>
      <c r="E345" s="16" t="n"/>
      <c r="F345" s="103" t="n"/>
      <c r="G345" s="25" t="n"/>
      <c r="H345" s="16" t="n"/>
      <c r="I345" s="7">
        <f>IF(C345="","",C345&amp;"|"&amp;COUNTIF($C$5:C345,C345))</f>
        <v/>
      </c>
      <c r="K345" s="39" t="n"/>
      <c r="L345" s="39" t="n"/>
      <c r="M345" s="39" t="n"/>
      <c r="N345" s="39" t="n"/>
    </row>
    <row r="346" ht="21" customHeight="1" s="65">
      <c r="C346" s="16" t="n"/>
      <c r="D346" s="16" t="n"/>
      <c r="E346" s="16" t="n"/>
      <c r="F346" s="103" t="n"/>
      <c r="G346" s="25" t="n"/>
      <c r="H346" s="16" t="n"/>
      <c r="I346" s="7">
        <f>IF(C346="","",C346&amp;"|"&amp;COUNTIF($C$5:C346,C346))</f>
        <v/>
      </c>
      <c r="K346" s="39" t="n"/>
      <c r="L346" s="39" t="n"/>
      <c r="M346" s="39" t="n"/>
      <c r="N346" s="39" t="n"/>
    </row>
    <row r="347" ht="21" customHeight="1" s="65">
      <c r="C347" s="16" t="n"/>
      <c r="D347" s="16" t="n"/>
      <c r="E347" s="16" t="n"/>
      <c r="F347" s="103" t="n"/>
      <c r="G347" s="25" t="n"/>
      <c r="H347" s="16" t="n"/>
      <c r="I347" s="7">
        <f>IF(C347="","",C347&amp;"|"&amp;COUNTIF($C$5:C347,C347))</f>
        <v/>
      </c>
      <c r="K347" s="39" t="n"/>
      <c r="L347" s="39" t="n"/>
      <c r="M347" s="39" t="n"/>
      <c r="N347" s="39" t="n"/>
    </row>
    <row r="348" ht="21" customHeight="1" s="65">
      <c r="C348" s="16" t="n"/>
      <c r="D348" s="16" t="n"/>
      <c r="E348" s="16" t="n"/>
      <c r="F348" s="103" t="n"/>
      <c r="G348" s="25" t="n"/>
      <c r="H348" s="16" t="n"/>
      <c r="I348" s="7">
        <f>IF(C348="","",C348&amp;"|"&amp;COUNTIF($C$5:C348,C348))</f>
        <v/>
      </c>
      <c r="K348" s="39" t="n"/>
      <c r="L348" s="39" t="n"/>
      <c r="M348" s="39" t="n"/>
      <c r="N348" s="39" t="n"/>
    </row>
    <row r="349" ht="21" customHeight="1" s="65">
      <c r="C349" s="16" t="n"/>
      <c r="D349" s="16" t="n"/>
      <c r="E349" s="16" t="n"/>
      <c r="F349" s="103" t="n"/>
      <c r="G349" s="25" t="n"/>
      <c r="H349" s="16" t="n"/>
      <c r="I349" s="7">
        <f>IF(C349="","",C349&amp;"|"&amp;COUNTIF($C$5:C349,C349))</f>
        <v/>
      </c>
      <c r="K349" s="39" t="n"/>
      <c r="L349" s="39" t="n"/>
      <c r="M349" s="39" t="n"/>
      <c r="N349" s="39" t="n"/>
    </row>
    <row r="350" ht="21" customHeight="1" s="65">
      <c r="C350" s="16" t="n"/>
      <c r="D350" s="16" t="n"/>
      <c r="E350" s="16" t="n"/>
      <c r="F350" s="103" t="n"/>
      <c r="G350" s="25" t="n"/>
      <c r="H350" s="16" t="n"/>
      <c r="I350" s="7">
        <f>IF(C350="","",C350&amp;"|"&amp;COUNTIF($C$5:C350,C350))</f>
        <v/>
      </c>
      <c r="K350" s="39" t="n"/>
      <c r="L350" s="39" t="n"/>
      <c r="M350" s="39" t="n"/>
      <c r="N350" s="39" t="n"/>
    </row>
    <row r="351" ht="21" customHeight="1" s="65">
      <c r="C351" s="16" t="n"/>
      <c r="D351" s="16" t="n"/>
      <c r="E351" s="16" t="n"/>
      <c r="F351" s="103" t="n"/>
      <c r="G351" s="25" t="n"/>
      <c r="H351" s="16" t="n"/>
      <c r="I351" s="7">
        <f>IF(C351="","",C351&amp;"|"&amp;COUNTIF($C$5:C351,C351))</f>
        <v/>
      </c>
      <c r="K351" s="39" t="n"/>
      <c r="L351" s="39" t="n"/>
      <c r="M351" s="39" t="n"/>
      <c r="N351" s="39" t="n"/>
    </row>
    <row r="352" ht="21" customHeight="1" s="65">
      <c r="C352" s="16" t="n"/>
      <c r="D352" s="16" t="n"/>
      <c r="E352" s="16" t="n"/>
      <c r="F352" s="103" t="n"/>
      <c r="G352" s="25" t="n"/>
      <c r="H352" s="16" t="n"/>
      <c r="I352" s="7">
        <f>IF(C352="","",C352&amp;"|"&amp;COUNTIF($C$5:C352,C352))</f>
        <v/>
      </c>
      <c r="K352" s="39" t="n"/>
      <c r="L352" s="39" t="n"/>
      <c r="M352" s="39" t="n"/>
      <c r="N352" s="39" t="n"/>
    </row>
    <row r="353" ht="21" customHeight="1" s="65">
      <c r="C353" s="16" t="n"/>
      <c r="D353" s="16" t="n"/>
      <c r="E353" s="16" t="n"/>
      <c r="F353" s="103" t="n"/>
      <c r="G353" s="25" t="n"/>
      <c r="H353" s="16" t="n"/>
      <c r="I353" s="7">
        <f>IF(C353="","",C353&amp;"|"&amp;COUNTIF($C$5:C353,C353))</f>
        <v/>
      </c>
      <c r="K353" s="39" t="n"/>
      <c r="L353" s="39" t="n"/>
      <c r="M353" s="39" t="n"/>
      <c r="N353" s="39" t="n"/>
    </row>
    <row r="354" ht="21" customHeight="1" s="65">
      <c r="C354" s="16" t="n"/>
      <c r="D354" s="16" t="n"/>
      <c r="E354" s="16" t="n"/>
      <c r="F354" s="103" t="n"/>
      <c r="G354" s="25" t="n"/>
      <c r="H354" s="16" t="n"/>
      <c r="I354" s="7">
        <f>IF(C354="","",C354&amp;"|"&amp;COUNTIF($C$5:C354,C354))</f>
        <v/>
      </c>
      <c r="K354" s="39" t="n"/>
      <c r="L354" s="39" t="n"/>
      <c r="M354" s="39" t="n"/>
      <c r="N354" s="39" t="n"/>
    </row>
    <row r="355" ht="21" customHeight="1" s="65">
      <c r="C355" s="16" t="n"/>
      <c r="D355" s="16" t="n"/>
      <c r="E355" s="16" t="n"/>
      <c r="F355" s="103" t="n"/>
      <c r="G355" s="25" t="n"/>
      <c r="H355" s="16" t="n"/>
      <c r="I355" s="7">
        <f>IF(C355="","",C355&amp;"|"&amp;COUNTIF($C$5:C355,C355))</f>
        <v/>
      </c>
      <c r="K355" s="39" t="n"/>
      <c r="L355" s="39" t="n"/>
      <c r="M355" s="39" t="n"/>
      <c r="N355" s="39" t="n"/>
    </row>
    <row r="356" ht="21" customHeight="1" s="65">
      <c r="C356" s="16" t="n"/>
      <c r="D356" s="16" t="n"/>
      <c r="E356" s="16" t="n"/>
      <c r="F356" s="103" t="n"/>
      <c r="G356" s="25" t="n"/>
      <c r="H356" s="16" t="n"/>
      <c r="I356" s="7">
        <f>IF(C356="","",C356&amp;"|"&amp;COUNTIF($C$5:C356,C356))</f>
        <v/>
      </c>
      <c r="K356" s="39" t="n"/>
      <c r="L356" s="39" t="n"/>
      <c r="M356" s="39" t="n"/>
      <c r="N356" s="39" t="n"/>
    </row>
    <row r="357" ht="21" customHeight="1" s="65">
      <c r="C357" s="16" t="n"/>
      <c r="D357" s="16" t="n"/>
      <c r="E357" s="16" t="n"/>
      <c r="F357" s="103" t="n"/>
      <c r="G357" s="25" t="n"/>
      <c r="H357" s="16" t="n"/>
      <c r="I357" s="7">
        <f>IF(C357="","",C357&amp;"|"&amp;COUNTIF($C$5:C357,C357))</f>
        <v/>
      </c>
      <c r="K357" s="39" t="n"/>
      <c r="L357" s="39" t="n"/>
      <c r="M357" s="39" t="n"/>
      <c r="N357" s="39" t="n"/>
    </row>
    <row r="358" ht="21" customHeight="1" s="65">
      <c r="C358" s="16" t="n"/>
      <c r="D358" s="16" t="n"/>
      <c r="E358" s="16" t="n"/>
      <c r="F358" s="103" t="n"/>
      <c r="G358" s="25" t="n"/>
      <c r="H358" s="16" t="n"/>
      <c r="I358" s="7">
        <f>IF(C358="","",C358&amp;"|"&amp;COUNTIF($C$5:C358,C358))</f>
        <v/>
      </c>
      <c r="K358" s="39" t="n"/>
      <c r="L358" s="39" t="n"/>
      <c r="M358" s="39" t="n"/>
      <c r="N358" s="39" t="n"/>
    </row>
    <row r="359" ht="21" customHeight="1" s="65">
      <c r="C359" s="16" t="n"/>
      <c r="D359" s="16" t="n"/>
      <c r="E359" s="16" t="n"/>
      <c r="F359" s="103" t="n"/>
      <c r="G359" s="25" t="n"/>
      <c r="H359" s="16" t="n"/>
      <c r="I359" s="7">
        <f>IF(C359="","",C359&amp;"|"&amp;COUNTIF($C$5:C359,C359))</f>
        <v/>
      </c>
      <c r="K359" s="39" t="n"/>
      <c r="L359" s="39" t="n"/>
      <c r="M359" s="39" t="n"/>
      <c r="N359" s="39" t="n"/>
    </row>
    <row r="360" ht="21" customHeight="1" s="65">
      <c r="C360" s="16" t="n"/>
      <c r="D360" s="16" t="n"/>
      <c r="E360" s="16" t="n"/>
      <c r="F360" s="103" t="n"/>
      <c r="G360" s="25" t="n"/>
      <c r="H360" s="16" t="n"/>
      <c r="I360" s="7">
        <f>IF(C360="","",C360&amp;"|"&amp;COUNTIF($C$5:C360,C360))</f>
        <v/>
      </c>
      <c r="K360" s="39" t="n"/>
      <c r="L360" s="39" t="n"/>
      <c r="M360" s="39" t="n"/>
      <c r="N360" s="39" t="n"/>
    </row>
    <row r="361" ht="21" customHeight="1" s="65">
      <c r="C361" s="16" t="n"/>
      <c r="D361" s="16" t="n"/>
      <c r="E361" s="16" t="n"/>
      <c r="F361" s="103" t="n"/>
      <c r="G361" s="25" t="n"/>
      <c r="H361" s="16" t="n"/>
      <c r="I361" s="7">
        <f>IF(C361="","",C361&amp;"|"&amp;COUNTIF($C$5:C361,C361))</f>
        <v/>
      </c>
      <c r="K361" s="39" t="n"/>
      <c r="L361" s="39" t="n"/>
      <c r="M361" s="39" t="n"/>
      <c r="N361" s="39" t="n"/>
    </row>
    <row r="362" ht="21" customHeight="1" s="65">
      <c r="C362" s="16" t="n"/>
      <c r="D362" s="16" t="n"/>
      <c r="E362" s="16" t="n"/>
      <c r="F362" s="103" t="n"/>
      <c r="G362" s="25" t="n"/>
      <c r="H362" s="16" t="n"/>
      <c r="I362" s="7">
        <f>IF(C362="","",C362&amp;"|"&amp;COUNTIF($C$5:C362,C362))</f>
        <v/>
      </c>
      <c r="K362" s="39" t="n"/>
      <c r="L362" s="39" t="n"/>
      <c r="M362" s="39" t="n"/>
      <c r="N362" s="39" t="n"/>
    </row>
    <row r="363" ht="21" customHeight="1" s="65">
      <c r="C363" s="16" t="n"/>
      <c r="D363" s="16" t="n"/>
      <c r="E363" s="16" t="n"/>
      <c r="F363" s="103" t="n"/>
      <c r="G363" s="25" t="n"/>
      <c r="H363" s="16" t="n"/>
      <c r="I363" s="7">
        <f>IF(C363="","",C363&amp;"|"&amp;COUNTIF($C$5:C363,C363))</f>
        <v/>
      </c>
      <c r="K363" s="39" t="n"/>
      <c r="L363" s="39" t="n"/>
      <c r="M363" s="39" t="n"/>
      <c r="N363" s="39" t="n"/>
    </row>
    <row r="364" ht="21" customHeight="1" s="65">
      <c r="C364" s="16" t="n"/>
      <c r="D364" s="16" t="n"/>
      <c r="E364" s="16" t="n"/>
      <c r="F364" s="103" t="n"/>
      <c r="G364" s="25" t="n"/>
      <c r="H364" s="16" t="n"/>
      <c r="I364" s="7">
        <f>IF(C364="","",C364&amp;"|"&amp;COUNTIF($C$5:C364,C364))</f>
        <v/>
      </c>
      <c r="K364" s="39" t="n"/>
      <c r="L364" s="39" t="n"/>
      <c r="M364" s="39" t="n"/>
      <c r="N364" s="39" t="n"/>
    </row>
    <row r="365" ht="21" customHeight="1" s="65">
      <c r="C365" s="16" t="n"/>
      <c r="D365" s="16" t="n"/>
      <c r="E365" s="16" t="n"/>
      <c r="F365" s="103" t="n"/>
      <c r="G365" s="25" t="n"/>
      <c r="H365" s="16" t="n"/>
      <c r="I365" s="7">
        <f>IF(C365="","",C365&amp;"|"&amp;COUNTIF($C$5:C365,C365))</f>
        <v/>
      </c>
      <c r="K365" s="39" t="n"/>
      <c r="L365" s="39" t="n"/>
      <c r="M365" s="39" t="n"/>
      <c r="N365" s="39" t="n"/>
    </row>
    <row r="366" ht="21" customHeight="1" s="65">
      <c r="C366" s="16" t="n"/>
      <c r="D366" s="16" t="n"/>
      <c r="E366" s="16" t="n"/>
      <c r="F366" s="103" t="n"/>
      <c r="G366" s="25" t="n"/>
      <c r="H366" s="16" t="n"/>
      <c r="I366" s="7">
        <f>IF(C366="","",C366&amp;"|"&amp;COUNTIF($C$5:C366,C366))</f>
        <v/>
      </c>
      <c r="K366" s="39" t="n"/>
      <c r="L366" s="39" t="n"/>
      <c r="M366" s="39" t="n"/>
      <c r="N366" s="39" t="n"/>
    </row>
    <row r="367" ht="21" customHeight="1" s="65">
      <c r="C367" s="16" t="n"/>
      <c r="D367" s="16" t="n"/>
      <c r="E367" s="16" t="n"/>
      <c r="F367" s="103" t="n"/>
      <c r="G367" s="25" t="n"/>
      <c r="H367" s="16" t="n"/>
      <c r="I367" s="7">
        <f>IF(C367="","",C367&amp;"|"&amp;COUNTIF($C$5:C367,C367))</f>
        <v/>
      </c>
      <c r="K367" s="39" t="n"/>
      <c r="L367" s="39" t="n"/>
      <c r="M367" s="39" t="n"/>
      <c r="N367" s="39" t="n"/>
    </row>
    <row r="368" ht="21" customHeight="1" s="65">
      <c r="C368" s="16" t="n"/>
      <c r="D368" s="16" t="n"/>
      <c r="E368" s="16" t="n"/>
      <c r="F368" s="103" t="n"/>
      <c r="G368" s="25" t="n"/>
      <c r="H368" s="16" t="n"/>
      <c r="I368" s="7">
        <f>IF(C368="","",C368&amp;"|"&amp;COUNTIF($C$5:C368,C368))</f>
        <v/>
      </c>
      <c r="K368" s="39" t="n"/>
      <c r="L368" s="39" t="n"/>
      <c r="M368" s="39" t="n"/>
      <c r="N368" s="39" t="n"/>
    </row>
    <row r="369" ht="21" customHeight="1" s="65">
      <c r="C369" s="16" t="n"/>
      <c r="D369" s="16" t="n"/>
      <c r="E369" s="16" t="n"/>
      <c r="F369" s="103" t="n"/>
      <c r="G369" s="25" t="n"/>
      <c r="H369" s="16" t="n"/>
      <c r="I369" s="7">
        <f>IF(C369="","",C369&amp;"|"&amp;COUNTIF($C$5:C369,C369))</f>
        <v/>
      </c>
      <c r="K369" s="39" t="n"/>
      <c r="L369" s="39" t="n"/>
      <c r="M369" s="39" t="n"/>
      <c r="N369" s="39" t="n"/>
    </row>
    <row r="370" ht="21" customHeight="1" s="65">
      <c r="C370" s="16" t="n"/>
      <c r="D370" s="16" t="n"/>
      <c r="E370" s="16" t="n"/>
      <c r="F370" s="103" t="n"/>
      <c r="G370" s="25" t="n"/>
      <c r="H370" s="16" t="n"/>
      <c r="I370" s="7">
        <f>IF(C370="","",C370&amp;"|"&amp;COUNTIF($C$5:C370,C370))</f>
        <v/>
      </c>
      <c r="K370" s="39" t="n"/>
      <c r="L370" s="39" t="n"/>
      <c r="M370" s="39" t="n"/>
      <c r="N370" s="39" t="n"/>
    </row>
    <row r="371" ht="21" customHeight="1" s="65">
      <c r="C371" s="16" t="n"/>
      <c r="D371" s="16" t="n"/>
      <c r="E371" s="16" t="n"/>
      <c r="F371" s="103" t="n"/>
      <c r="G371" s="25" t="n"/>
      <c r="H371" s="16" t="n"/>
      <c r="I371" s="7">
        <f>IF(C371="","",C371&amp;"|"&amp;COUNTIF($C$5:C371,C371))</f>
        <v/>
      </c>
      <c r="K371" s="39" t="n"/>
      <c r="L371" s="39" t="n"/>
      <c r="M371" s="39" t="n"/>
      <c r="N371" s="39" t="n"/>
    </row>
    <row r="372" ht="21" customHeight="1" s="65">
      <c r="C372" s="16" t="n"/>
      <c r="D372" s="16" t="n"/>
      <c r="E372" s="16" t="n"/>
      <c r="F372" s="103" t="n"/>
      <c r="G372" s="25" t="n"/>
      <c r="H372" s="16" t="n"/>
      <c r="I372" s="7">
        <f>IF(C372="","",C372&amp;"|"&amp;COUNTIF($C$5:C372,C372))</f>
        <v/>
      </c>
      <c r="K372" s="39" t="n"/>
      <c r="L372" s="39" t="n"/>
      <c r="M372" s="39" t="n"/>
      <c r="N372" s="39" t="n"/>
    </row>
    <row r="373" ht="21" customHeight="1" s="65">
      <c r="C373" s="16" t="n"/>
      <c r="D373" s="16" t="n"/>
      <c r="E373" s="16" t="n"/>
      <c r="F373" s="103" t="n"/>
      <c r="G373" s="25" t="n"/>
      <c r="H373" s="16" t="n"/>
      <c r="I373" s="7">
        <f>IF(C373="","",C373&amp;"|"&amp;COUNTIF($C$5:C373,C373))</f>
        <v/>
      </c>
      <c r="K373" s="39" t="n"/>
      <c r="L373" s="39" t="n"/>
      <c r="M373" s="39" t="n"/>
      <c r="N373" s="39" t="n"/>
    </row>
    <row r="374" ht="21" customHeight="1" s="65">
      <c r="C374" s="16" t="n"/>
      <c r="D374" s="16" t="n"/>
      <c r="E374" s="16" t="n"/>
      <c r="F374" s="103" t="n"/>
      <c r="G374" s="25" t="n"/>
      <c r="H374" s="16" t="n"/>
      <c r="I374" s="7">
        <f>IF(C374="","",C374&amp;"|"&amp;COUNTIF($C$5:C374,C374))</f>
        <v/>
      </c>
      <c r="K374" s="39" t="n"/>
      <c r="L374" s="39" t="n"/>
      <c r="M374" s="39" t="n"/>
      <c r="N374" s="39" t="n"/>
    </row>
    <row r="375" ht="21" customHeight="1" s="65">
      <c r="C375" s="16" t="n"/>
      <c r="D375" s="16" t="n"/>
      <c r="E375" s="16" t="n"/>
      <c r="F375" s="103" t="n"/>
      <c r="G375" s="25" t="n"/>
      <c r="H375" s="16" t="n"/>
      <c r="I375" s="7">
        <f>IF(C375="","",C375&amp;"|"&amp;COUNTIF($C$5:C375,C375))</f>
        <v/>
      </c>
      <c r="K375" s="39" t="n"/>
      <c r="L375" s="39" t="n"/>
      <c r="M375" s="39" t="n"/>
      <c r="N375" s="39" t="n"/>
    </row>
    <row r="376" ht="21" customHeight="1" s="65">
      <c r="C376" s="16" t="n"/>
      <c r="D376" s="16" t="n"/>
      <c r="E376" s="16" t="n"/>
      <c r="F376" s="103" t="n"/>
      <c r="G376" s="25" t="n"/>
      <c r="H376" s="16" t="n"/>
      <c r="I376" s="7">
        <f>IF(C376="","",C376&amp;"|"&amp;COUNTIF($C$5:C376,C376))</f>
        <v/>
      </c>
      <c r="K376" s="39" t="n"/>
      <c r="L376" s="39" t="n"/>
      <c r="M376" s="39" t="n"/>
      <c r="N376" s="39" t="n"/>
    </row>
    <row r="377" ht="21" customHeight="1" s="65">
      <c r="C377" s="16" t="n"/>
      <c r="D377" s="16" t="n"/>
      <c r="E377" s="16" t="n"/>
      <c r="F377" s="103" t="n"/>
      <c r="G377" s="25" t="n"/>
      <c r="H377" s="16" t="n"/>
      <c r="I377" s="7">
        <f>IF(C377="","",C377&amp;"|"&amp;COUNTIF($C$5:C377,C377))</f>
        <v/>
      </c>
      <c r="K377" s="39" t="n"/>
      <c r="L377" s="39" t="n"/>
      <c r="M377" s="39" t="n"/>
      <c r="N377" s="39" t="n"/>
    </row>
    <row r="378" ht="21" customHeight="1" s="65">
      <c r="C378" s="16" t="n"/>
      <c r="D378" s="16" t="n"/>
      <c r="E378" s="16" t="n"/>
      <c r="F378" s="103" t="n"/>
      <c r="G378" s="25" t="n"/>
      <c r="H378" s="16" t="n"/>
      <c r="I378" s="7">
        <f>IF(C378="","",C378&amp;"|"&amp;COUNTIF($C$5:C378,C378))</f>
        <v/>
      </c>
      <c r="K378" s="39" t="n"/>
      <c r="L378" s="39" t="n"/>
      <c r="M378" s="39" t="n"/>
      <c r="N378" s="39" t="n"/>
    </row>
    <row r="379" ht="21" customHeight="1" s="65">
      <c r="C379" s="16" t="n"/>
      <c r="D379" s="16" t="n"/>
      <c r="E379" s="16" t="n"/>
      <c r="F379" s="103" t="n"/>
      <c r="G379" s="25" t="n"/>
      <c r="H379" s="16" t="n"/>
      <c r="I379" s="7">
        <f>IF(C379="","",C379&amp;"|"&amp;COUNTIF($C$5:C379,C379))</f>
        <v/>
      </c>
      <c r="K379" s="39" t="n"/>
      <c r="L379" s="39" t="n"/>
      <c r="M379" s="39" t="n"/>
      <c r="N379" s="39" t="n"/>
    </row>
    <row r="380" ht="21" customHeight="1" s="65">
      <c r="C380" s="16" t="n"/>
      <c r="D380" s="16" t="n"/>
      <c r="E380" s="16" t="n"/>
      <c r="F380" s="103" t="n"/>
      <c r="G380" s="25" t="n"/>
      <c r="H380" s="16" t="n"/>
      <c r="I380" s="7">
        <f>IF(C380="","",C380&amp;"|"&amp;COUNTIF($C$5:C380,C380))</f>
        <v/>
      </c>
      <c r="K380" s="39" t="n"/>
      <c r="L380" s="39" t="n"/>
      <c r="M380" s="39" t="n"/>
      <c r="N380" s="39" t="n"/>
    </row>
    <row r="381" ht="21" customHeight="1" s="65">
      <c r="C381" s="16" t="n"/>
      <c r="D381" s="16" t="n"/>
      <c r="E381" s="16" t="n"/>
      <c r="F381" s="103" t="n"/>
      <c r="G381" s="25" t="n"/>
      <c r="H381" s="16" t="n"/>
      <c r="I381" s="7">
        <f>IF(C381="","",C381&amp;"|"&amp;COUNTIF($C$5:C381,C381))</f>
        <v/>
      </c>
      <c r="K381" s="39" t="n"/>
      <c r="L381" s="39" t="n"/>
      <c r="M381" s="39" t="n"/>
      <c r="N381" s="39" t="n"/>
    </row>
    <row r="382" ht="21" customHeight="1" s="65">
      <c r="C382" s="16" t="n"/>
      <c r="D382" s="16" t="n"/>
      <c r="E382" s="16" t="n"/>
      <c r="F382" s="103" t="n"/>
      <c r="G382" s="25" t="n"/>
      <c r="H382" s="16" t="n"/>
      <c r="I382" s="7">
        <f>IF(C382="","",C382&amp;"|"&amp;COUNTIF($C$5:C382,C382))</f>
        <v/>
      </c>
      <c r="K382" s="39" t="n"/>
      <c r="L382" s="39" t="n"/>
      <c r="M382" s="39" t="n"/>
      <c r="N382" s="39" t="n"/>
    </row>
    <row r="383" ht="21" customHeight="1" s="65">
      <c r="C383" s="16" t="n"/>
      <c r="D383" s="16" t="n"/>
      <c r="E383" s="16" t="n"/>
      <c r="F383" s="103" t="n"/>
      <c r="G383" s="25" t="n"/>
      <c r="H383" s="16" t="n"/>
      <c r="I383" s="7">
        <f>IF(C383="","",C383&amp;"|"&amp;COUNTIF($C$5:C383,C383))</f>
        <v/>
      </c>
      <c r="K383" s="39" t="n"/>
      <c r="L383" s="39" t="n"/>
      <c r="M383" s="39" t="n"/>
      <c r="N383" s="39" t="n"/>
    </row>
    <row r="384" ht="21" customHeight="1" s="65">
      <c r="C384" s="16" t="n"/>
      <c r="D384" s="16" t="n"/>
      <c r="E384" s="16" t="n"/>
      <c r="F384" s="103" t="n"/>
      <c r="G384" s="25" t="n"/>
      <c r="H384" s="16" t="n"/>
      <c r="I384" s="7">
        <f>IF(C384="","",C384&amp;"|"&amp;COUNTIF($C$5:C384,C384))</f>
        <v/>
      </c>
      <c r="K384" s="39" t="n"/>
      <c r="L384" s="39" t="n"/>
      <c r="M384" s="39" t="n"/>
      <c r="N384" s="39" t="n"/>
    </row>
    <row r="385" ht="21" customHeight="1" s="65">
      <c r="C385" s="16" t="n"/>
      <c r="D385" s="16" t="n"/>
      <c r="E385" s="16" t="n"/>
      <c r="F385" s="103" t="n"/>
      <c r="G385" s="25" t="n"/>
      <c r="H385" s="16" t="n"/>
      <c r="I385" s="7">
        <f>IF(C385="","",C385&amp;"|"&amp;COUNTIF($C$5:C385,C385))</f>
        <v/>
      </c>
      <c r="K385" s="39" t="n"/>
      <c r="L385" s="39" t="n"/>
      <c r="M385" s="39" t="n"/>
      <c r="N385" s="39" t="n"/>
    </row>
    <row r="386" ht="21" customHeight="1" s="65">
      <c r="C386" s="16" t="n"/>
      <c r="D386" s="16" t="n"/>
      <c r="E386" s="16" t="n"/>
      <c r="F386" s="103" t="n"/>
      <c r="G386" s="25" t="n"/>
      <c r="H386" s="16" t="n"/>
      <c r="I386" s="7">
        <f>IF(C386="","",C386&amp;"|"&amp;COUNTIF($C$5:C386,C386))</f>
        <v/>
      </c>
      <c r="K386" s="39" t="n"/>
      <c r="L386" s="39" t="n"/>
      <c r="M386" s="39" t="n"/>
      <c r="N386" s="39" t="n"/>
    </row>
    <row r="387" ht="21" customHeight="1" s="65">
      <c r="C387" s="16" t="n"/>
      <c r="D387" s="16" t="n"/>
      <c r="E387" s="16" t="n"/>
      <c r="F387" s="103" t="n"/>
      <c r="G387" s="25" t="n"/>
      <c r="H387" s="16" t="n"/>
      <c r="I387" s="7">
        <f>IF(C387="","",C387&amp;"|"&amp;COUNTIF($C$5:C387,C387))</f>
        <v/>
      </c>
      <c r="K387" s="39" t="n"/>
      <c r="L387" s="39" t="n"/>
      <c r="M387" s="39" t="n"/>
      <c r="N387" s="39" t="n"/>
    </row>
    <row r="388" ht="21" customHeight="1" s="65">
      <c r="C388" s="16" t="n"/>
      <c r="D388" s="16" t="n"/>
      <c r="E388" s="16" t="n"/>
      <c r="F388" s="103" t="n"/>
      <c r="G388" s="25" t="n"/>
      <c r="H388" s="16" t="n"/>
      <c r="I388" s="7">
        <f>IF(C388="","",C388&amp;"|"&amp;COUNTIF($C$5:C388,C388))</f>
        <v/>
      </c>
      <c r="K388" s="39" t="n"/>
      <c r="L388" s="39" t="n"/>
      <c r="M388" s="39" t="n"/>
      <c r="N388" s="39" t="n"/>
    </row>
    <row r="389" ht="21" customHeight="1" s="65">
      <c r="C389" s="16" t="n"/>
      <c r="D389" s="16" t="n"/>
      <c r="E389" s="16" t="n"/>
      <c r="F389" s="103" t="n"/>
      <c r="G389" s="25" t="n"/>
      <c r="H389" s="16" t="n"/>
      <c r="I389" s="7">
        <f>IF(C389="","",C389&amp;"|"&amp;COUNTIF($C$5:C389,C389))</f>
        <v/>
      </c>
      <c r="K389" s="39" t="n"/>
      <c r="L389" s="39" t="n"/>
      <c r="M389" s="39" t="n"/>
      <c r="N389" s="39" t="n"/>
    </row>
    <row r="390" ht="21" customHeight="1" s="65">
      <c r="C390" s="16" t="n"/>
      <c r="D390" s="16" t="n"/>
      <c r="E390" s="16" t="n"/>
      <c r="F390" s="103" t="n"/>
      <c r="G390" s="25" t="n"/>
      <c r="H390" s="16" t="n"/>
      <c r="I390" s="7">
        <f>IF(C390="","",C390&amp;"|"&amp;COUNTIF($C$5:C390,C390))</f>
        <v/>
      </c>
      <c r="K390" s="39" t="n"/>
      <c r="L390" s="39" t="n"/>
      <c r="M390" s="39" t="n"/>
      <c r="N390" s="39" t="n"/>
    </row>
    <row r="391" ht="21" customHeight="1" s="65">
      <c r="C391" s="16" t="n"/>
      <c r="D391" s="16" t="n"/>
      <c r="E391" s="16" t="n"/>
      <c r="F391" s="103" t="n"/>
      <c r="G391" s="25" t="n"/>
      <c r="H391" s="16" t="n"/>
      <c r="I391" s="7">
        <f>IF(C391="","",C391&amp;"|"&amp;COUNTIF($C$5:C391,C391))</f>
        <v/>
      </c>
      <c r="K391" s="39" t="n"/>
      <c r="L391" s="39" t="n"/>
      <c r="M391" s="39" t="n"/>
      <c r="N391" s="39" t="n"/>
    </row>
    <row r="392" ht="21" customHeight="1" s="65">
      <c r="C392" s="16" t="n"/>
      <c r="D392" s="16" t="n"/>
      <c r="E392" s="16" t="n"/>
      <c r="F392" s="103" t="n"/>
      <c r="G392" s="25" t="n"/>
      <c r="H392" s="16" t="n"/>
      <c r="I392" s="7">
        <f>IF(C392="","",C392&amp;"|"&amp;COUNTIF($C$5:C392,C392))</f>
        <v/>
      </c>
      <c r="K392" s="39" t="n"/>
      <c r="L392" s="39" t="n"/>
      <c r="M392" s="39" t="n"/>
      <c r="N392" s="39" t="n"/>
    </row>
    <row r="393" ht="21" customHeight="1" s="65">
      <c r="C393" s="16" t="n"/>
      <c r="D393" s="16" t="n"/>
      <c r="E393" s="16" t="n"/>
      <c r="F393" s="103" t="n"/>
      <c r="G393" s="25" t="n"/>
      <c r="H393" s="16" t="n"/>
      <c r="I393" s="7">
        <f>IF(C393="","",C393&amp;"|"&amp;COUNTIF($C$5:C393,C393))</f>
        <v/>
      </c>
      <c r="K393" s="39" t="n"/>
      <c r="L393" s="39" t="n"/>
      <c r="M393" s="39" t="n"/>
      <c r="N393" s="39" t="n"/>
    </row>
    <row r="394" ht="21" customHeight="1" s="65">
      <c r="C394" s="16" t="n"/>
      <c r="D394" s="16" t="n"/>
      <c r="E394" s="16" t="n"/>
      <c r="F394" s="103" t="n"/>
      <c r="G394" s="25" t="n"/>
      <c r="H394" s="16" t="n"/>
      <c r="I394" s="7">
        <f>IF(C394="","",C394&amp;"|"&amp;COUNTIF($C$5:C394,C394))</f>
        <v/>
      </c>
      <c r="K394" s="39" t="n"/>
      <c r="L394" s="39" t="n"/>
      <c r="M394" s="39" t="n"/>
      <c r="N394" s="39" t="n"/>
    </row>
    <row r="395" ht="21" customHeight="1" s="65">
      <c r="C395" s="16" t="n"/>
      <c r="D395" s="16" t="n"/>
      <c r="E395" s="16" t="n"/>
      <c r="F395" s="103" t="n"/>
      <c r="G395" s="25" t="n"/>
      <c r="H395" s="16" t="n"/>
      <c r="I395" s="7">
        <f>IF(C395="","",C395&amp;"|"&amp;COUNTIF($C$5:C395,C395))</f>
        <v/>
      </c>
      <c r="K395" s="39" t="n"/>
      <c r="L395" s="39" t="n"/>
      <c r="M395" s="39" t="n"/>
      <c r="N395" s="39" t="n"/>
    </row>
    <row r="396" ht="21" customHeight="1" s="65">
      <c r="C396" s="16" t="n"/>
      <c r="D396" s="16" t="n"/>
      <c r="E396" s="16" t="n"/>
      <c r="F396" s="103" t="n"/>
      <c r="G396" s="25" t="n"/>
      <c r="H396" s="16" t="n"/>
      <c r="I396" s="7">
        <f>IF(C396="","",C396&amp;"|"&amp;COUNTIF($C$5:C396,C396))</f>
        <v/>
      </c>
      <c r="K396" s="39" t="n"/>
      <c r="L396" s="39" t="n"/>
      <c r="M396" s="39" t="n"/>
      <c r="N396" s="39" t="n"/>
    </row>
    <row r="397" ht="21" customHeight="1" s="65">
      <c r="C397" s="16" t="n"/>
      <c r="D397" s="16" t="n"/>
      <c r="E397" s="16" t="n"/>
      <c r="F397" s="103" t="n"/>
      <c r="G397" s="25" t="n"/>
      <c r="H397" s="16" t="n"/>
      <c r="I397" s="7">
        <f>IF(C397="","",C397&amp;"|"&amp;COUNTIF($C$5:C397,C397))</f>
        <v/>
      </c>
      <c r="K397" s="39" t="n"/>
      <c r="L397" s="39" t="n"/>
      <c r="M397" s="39" t="n"/>
      <c r="N397" s="39" t="n"/>
    </row>
    <row r="398" ht="21" customHeight="1" s="65">
      <c r="C398" s="16" t="n"/>
      <c r="D398" s="16" t="n"/>
      <c r="E398" s="16" t="n"/>
      <c r="F398" s="103" t="n"/>
      <c r="G398" s="25" t="n"/>
      <c r="H398" s="16" t="n"/>
      <c r="I398" s="7">
        <f>IF(C398="","",C398&amp;"|"&amp;COUNTIF($C$5:C398,C398))</f>
        <v/>
      </c>
      <c r="K398" s="39" t="n"/>
      <c r="L398" s="39" t="n"/>
      <c r="M398" s="39" t="n"/>
      <c r="N398" s="39" t="n"/>
    </row>
    <row r="399" ht="21" customHeight="1" s="65">
      <c r="C399" s="16" t="n"/>
      <c r="D399" s="16" t="n"/>
      <c r="E399" s="16" t="n"/>
      <c r="F399" s="103" t="n"/>
      <c r="G399" s="25" t="n"/>
      <c r="H399" s="16" t="n"/>
      <c r="I399" s="7">
        <f>IF(C399="","",C399&amp;"|"&amp;COUNTIF($C$5:C399,C399))</f>
        <v/>
      </c>
      <c r="K399" s="39" t="n"/>
      <c r="L399" s="39" t="n"/>
      <c r="M399" s="39" t="n"/>
      <c r="N399" s="39" t="n"/>
    </row>
    <row r="400" ht="21" customHeight="1" s="65">
      <c r="C400" s="16" t="n"/>
      <c r="D400" s="16" t="n"/>
      <c r="E400" s="16" t="n"/>
      <c r="F400" s="103" t="n"/>
      <c r="G400" s="25" t="n"/>
      <c r="H400" s="16" t="n"/>
      <c r="I400" s="7">
        <f>IF(C400="","",C400&amp;"|"&amp;COUNTIF($C$5:C400,C400))</f>
        <v/>
      </c>
      <c r="K400" s="39" t="n"/>
      <c r="L400" s="39" t="n"/>
      <c r="M400" s="39" t="n"/>
      <c r="N400" s="39" t="n"/>
    </row>
    <row r="401" ht="21" customHeight="1" s="65">
      <c r="C401" s="16" t="n"/>
      <c r="D401" s="16" t="n"/>
      <c r="E401" s="16" t="n"/>
      <c r="F401" s="103" t="n"/>
      <c r="G401" s="25" t="n"/>
      <c r="H401" s="16" t="n"/>
      <c r="I401" s="7">
        <f>IF(C401="","",C401&amp;"|"&amp;COUNTIF($C$5:C401,C401))</f>
        <v/>
      </c>
      <c r="K401" s="39" t="n"/>
      <c r="L401" s="39" t="n"/>
      <c r="M401" s="39" t="n"/>
      <c r="N401" s="39" t="n"/>
    </row>
    <row r="402" ht="21" customHeight="1" s="65">
      <c r="C402" s="16" t="n"/>
      <c r="D402" s="16" t="n"/>
      <c r="E402" s="16" t="n"/>
      <c r="F402" s="103" t="n"/>
      <c r="G402" s="25" t="n"/>
      <c r="H402" s="16" t="n"/>
      <c r="I402" s="7">
        <f>IF(C402="","",C402&amp;"|"&amp;COUNTIF($C$5:C402,C402))</f>
        <v/>
      </c>
      <c r="K402" s="39" t="n"/>
      <c r="L402" s="39" t="n"/>
      <c r="M402" s="39" t="n"/>
      <c r="N402" s="39" t="n"/>
    </row>
    <row r="403" ht="21" customHeight="1" s="65">
      <c r="C403" s="16" t="n"/>
      <c r="D403" s="16" t="n"/>
      <c r="E403" s="16" t="n"/>
      <c r="F403" s="103" t="n"/>
      <c r="G403" s="25" t="n"/>
      <c r="H403" s="16" t="n"/>
      <c r="I403" s="7">
        <f>IF(C403="","",C403&amp;"|"&amp;COUNTIF($C$5:C403,C403))</f>
        <v/>
      </c>
      <c r="K403" s="39" t="n"/>
      <c r="L403" s="39" t="n"/>
      <c r="M403" s="39" t="n"/>
      <c r="N403" s="39" t="n"/>
    </row>
    <row r="404" ht="21" customHeight="1" s="65">
      <c r="C404" s="16" t="n"/>
      <c r="D404" s="16" t="n"/>
      <c r="E404" s="16" t="n"/>
      <c r="F404" s="103" t="n"/>
      <c r="G404" s="25" t="n"/>
      <c r="H404" s="16" t="n"/>
      <c r="I404" s="7">
        <f>IF(C404="","",C404&amp;"|"&amp;COUNTIF($C$5:C404,C404))</f>
        <v/>
      </c>
      <c r="K404" s="39" t="n"/>
      <c r="L404" s="39" t="n"/>
      <c r="M404" s="39" t="n"/>
      <c r="N404" s="39" t="n"/>
    </row>
    <row r="405" ht="21" customHeight="1" s="65">
      <c r="C405" s="16" t="n"/>
      <c r="D405" s="16" t="n"/>
      <c r="E405" s="16" t="n"/>
      <c r="F405" s="103" t="n"/>
      <c r="G405" s="25" t="n"/>
      <c r="H405" s="16" t="n"/>
      <c r="I405" s="7">
        <f>IF(C405="","",C405&amp;"|"&amp;COUNTIF($C$5:C405,C405))</f>
        <v/>
      </c>
      <c r="K405" s="39" t="n"/>
      <c r="L405" s="39" t="n"/>
      <c r="M405" s="39" t="n"/>
      <c r="N405" s="39" t="n"/>
    </row>
    <row r="406" ht="21" customHeight="1" s="65">
      <c r="C406" s="16" t="n"/>
      <c r="D406" s="16" t="n"/>
      <c r="E406" s="16" t="n"/>
      <c r="F406" s="103" t="n"/>
      <c r="G406" s="25" t="n"/>
      <c r="H406" s="16" t="n"/>
      <c r="I406" s="7">
        <f>IF(C406="","",C406&amp;"|"&amp;COUNTIF($C$5:C406,C406))</f>
        <v/>
      </c>
      <c r="K406" s="39" t="n"/>
      <c r="L406" s="39" t="n"/>
      <c r="M406" s="39" t="n"/>
      <c r="N406" s="39" t="n"/>
    </row>
    <row r="407" ht="21" customHeight="1" s="65">
      <c r="C407" s="16" t="n"/>
      <c r="D407" s="16" t="n"/>
      <c r="E407" s="16" t="n"/>
      <c r="F407" s="103" t="n"/>
      <c r="G407" s="25" t="n"/>
      <c r="H407" s="16" t="n"/>
      <c r="I407" s="7">
        <f>IF(C407="","",C407&amp;"|"&amp;COUNTIF($C$5:C407,C407))</f>
        <v/>
      </c>
      <c r="K407" s="39" t="n"/>
      <c r="L407" s="39" t="n"/>
      <c r="M407" s="39" t="n"/>
      <c r="N407" s="39" t="n"/>
    </row>
    <row r="408" ht="21" customHeight="1" s="65">
      <c r="C408" s="16" t="n"/>
      <c r="D408" s="16" t="n"/>
      <c r="E408" s="16" t="n"/>
      <c r="F408" s="103" t="n"/>
      <c r="G408" s="25" t="n"/>
      <c r="H408" s="16" t="n"/>
      <c r="I408" s="7">
        <f>IF(C408="","",C408&amp;"|"&amp;COUNTIF($C$5:C408,C408))</f>
        <v/>
      </c>
      <c r="K408" s="39" t="n"/>
      <c r="L408" s="39" t="n"/>
      <c r="M408" s="39" t="n"/>
      <c r="N408" s="39" t="n"/>
    </row>
    <row r="409" ht="21" customHeight="1" s="65">
      <c r="C409" s="16" t="n"/>
      <c r="D409" s="16" t="n"/>
      <c r="E409" s="16" t="n"/>
      <c r="F409" s="103" t="n"/>
      <c r="G409" s="25" t="n"/>
      <c r="H409" s="16" t="n"/>
      <c r="I409" s="7">
        <f>IF(C409="","",C409&amp;"|"&amp;COUNTIF($C$5:C409,C409))</f>
        <v/>
      </c>
      <c r="K409" s="39" t="n"/>
      <c r="L409" s="39" t="n"/>
      <c r="M409" s="39" t="n"/>
      <c r="N409" s="39" t="n"/>
    </row>
    <row r="410" ht="21" customHeight="1" s="65">
      <c r="C410" s="16" t="n"/>
      <c r="D410" s="16" t="n"/>
      <c r="E410" s="16" t="n"/>
      <c r="F410" s="103" t="n"/>
      <c r="G410" s="25" t="n"/>
      <c r="H410" s="16" t="n"/>
      <c r="I410" s="7">
        <f>IF(C410="","",C410&amp;"|"&amp;COUNTIF($C$5:C410,C410))</f>
        <v/>
      </c>
      <c r="K410" s="39" t="n"/>
      <c r="L410" s="39" t="n"/>
      <c r="M410" s="39" t="n"/>
      <c r="N410" s="39" t="n"/>
    </row>
    <row r="411" ht="21" customHeight="1" s="65">
      <c r="C411" s="16" t="n"/>
      <c r="D411" s="16" t="n"/>
      <c r="E411" s="16" t="n"/>
      <c r="F411" s="103" t="n"/>
      <c r="G411" s="25" t="n"/>
      <c r="H411" s="16" t="n"/>
      <c r="I411" s="7">
        <f>IF(C411="","",C411&amp;"|"&amp;COUNTIF($C$5:C411,C411))</f>
        <v/>
      </c>
      <c r="K411" s="39" t="n"/>
      <c r="L411" s="39" t="n"/>
      <c r="M411" s="39" t="n"/>
      <c r="N411" s="39" t="n"/>
    </row>
    <row r="412" ht="21" customHeight="1" s="65">
      <c r="C412" s="16" t="n"/>
      <c r="D412" s="16" t="n"/>
      <c r="E412" s="16" t="n"/>
      <c r="F412" s="103" t="n"/>
      <c r="G412" s="25" t="n"/>
      <c r="H412" s="16" t="n"/>
      <c r="I412" s="7">
        <f>IF(C412="","",C412&amp;"|"&amp;COUNTIF($C$5:C412,C412))</f>
        <v/>
      </c>
      <c r="K412" s="39" t="n"/>
      <c r="L412" s="39" t="n"/>
      <c r="M412" s="39" t="n"/>
      <c r="N412" s="39" t="n"/>
    </row>
    <row r="413" ht="21" customHeight="1" s="65">
      <c r="C413" s="16" t="n"/>
      <c r="D413" s="16" t="n"/>
      <c r="E413" s="16" t="n"/>
      <c r="F413" s="103" t="n"/>
      <c r="G413" s="25" t="n"/>
      <c r="H413" s="16" t="n"/>
      <c r="I413" s="7">
        <f>IF(C413="","",C413&amp;"|"&amp;COUNTIF($C$5:C413,C413))</f>
        <v/>
      </c>
      <c r="K413" s="39" t="n"/>
      <c r="L413" s="39" t="n"/>
      <c r="M413" s="39" t="n"/>
      <c r="N413" s="39" t="n"/>
    </row>
    <row r="414" ht="21" customHeight="1" s="65">
      <c r="C414" s="16" t="n"/>
      <c r="D414" s="16" t="n"/>
      <c r="E414" s="16" t="n"/>
      <c r="F414" s="103" t="n"/>
      <c r="G414" s="25" t="n"/>
      <c r="H414" s="16" t="n"/>
      <c r="I414" s="7">
        <f>IF(C414="","",C414&amp;"|"&amp;COUNTIF($C$5:C414,C414))</f>
        <v/>
      </c>
      <c r="K414" s="39" t="n"/>
      <c r="L414" s="39" t="n"/>
      <c r="M414" s="39" t="n"/>
      <c r="N414" s="39" t="n"/>
    </row>
    <row r="415" ht="21" customHeight="1" s="65">
      <c r="C415" s="16" t="n"/>
      <c r="D415" s="16" t="n"/>
      <c r="E415" s="16" t="n"/>
      <c r="F415" s="103" t="n"/>
      <c r="G415" s="25" t="n"/>
      <c r="H415" s="16" t="n"/>
      <c r="I415" s="7">
        <f>IF(C415="","",C415&amp;"|"&amp;COUNTIF($C$5:C415,C415))</f>
        <v/>
      </c>
      <c r="K415" s="39" t="n"/>
      <c r="L415" s="39" t="n"/>
      <c r="M415" s="39" t="n"/>
      <c r="N415" s="39" t="n"/>
    </row>
    <row r="416" ht="21" customHeight="1" s="65">
      <c r="C416" s="16" t="n"/>
      <c r="D416" s="16" t="n"/>
      <c r="E416" s="16" t="n"/>
      <c r="F416" s="103" t="n"/>
      <c r="G416" s="25" t="n"/>
      <c r="H416" s="16" t="n"/>
      <c r="I416" s="7">
        <f>IF(C416="","",C416&amp;"|"&amp;COUNTIF($C$5:C416,C416))</f>
        <v/>
      </c>
      <c r="K416" s="39" t="n"/>
      <c r="L416" s="39" t="n"/>
      <c r="M416" s="39" t="n"/>
      <c r="N416" s="39" t="n"/>
    </row>
    <row r="417" ht="21" customHeight="1" s="65">
      <c r="C417" s="16" t="n"/>
      <c r="D417" s="16" t="n"/>
      <c r="E417" s="16" t="n"/>
      <c r="F417" s="103" t="n"/>
      <c r="G417" s="25" t="n"/>
      <c r="H417" s="16" t="n"/>
      <c r="I417" s="7">
        <f>IF(C417="","",C417&amp;"|"&amp;COUNTIF($C$5:C417,C417))</f>
        <v/>
      </c>
      <c r="K417" s="39" t="n"/>
      <c r="L417" s="39" t="n"/>
      <c r="M417" s="39" t="n"/>
      <c r="N417" s="39" t="n"/>
    </row>
    <row r="418" ht="21" customHeight="1" s="65">
      <c r="C418" s="16" t="n"/>
      <c r="D418" s="16" t="n"/>
      <c r="E418" s="16" t="n"/>
      <c r="F418" s="103" t="n"/>
      <c r="G418" s="25" t="n"/>
      <c r="H418" s="16" t="n"/>
      <c r="I418" s="7">
        <f>IF(C418="","",C418&amp;"|"&amp;COUNTIF($C$5:C418,C418))</f>
        <v/>
      </c>
      <c r="K418" s="39" t="n"/>
      <c r="L418" s="39" t="n"/>
      <c r="M418" s="39" t="n"/>
      <c r="N418" s="39" t="n"/>
    </row>
    <row r="419" ht="21" customHeight="1" s="65">
      <c r="C419" s="16" t="n"/>
      <c r="D419" s="16" t="n"/>
      <c r="E419" s="16" t="n"/>
      <c r="F419" s="103" t="n"/>
      <c r="G419" s="25" t="n"/>
      <c r="H419" s="16" t="n"/>
      <c r="I419" s="7">
        <f>IF(C419="","",C419&amp;"|"&amp;COUNTIF($C$5:C419,C419))</f>
        <v/>
      </c>
      <c r="K419" s="39" t="n"/>
      <c r="L419" s="39" t="n"/>
      <c r="M419" s="39" t="n"/>
      <c r="N419" s="39" t="n"/>
    </row>
    <row r="420" ht="21" customHeight="1" s="65">
      <c r="C420" s="16" t="n"/>
      <c r="D420" s="16" t="n"/>
      <c r="E420" s="16" t="n"/>
      <c r="F420" s="103" t="n"/>
      <c r="G420" s="25" t="n"/>
      <c r="H420" s="16" t="n"/>
      <c r="I420" s="7">
        <f>IF(C420="","",C420&amp;"|"&amp;COUNTIF($C$5:C420,C420))</f>
        <v/>
      </c>
      <c r="K420" s="39" t="n"/>
      <c r="L420" s="39" t="n"/>
      <c r="M420" s="39" t="n"/>
      <c r="N420" s="39" t="n"/>
    </row>
    <row r="421" ht="21" customHeight="1" s="65">
      <c r="C421" s="16" t="n"/>
      <c r="D421" s="16" t="n"/>
      <c r="E421" s="16" t="n"/>
      <c r="F421" s="103" t="n"/>
      <c r="G421" s="25" t="n"/>
      <c r="H421" s="16" t="n"/>
      <c r="I421" s="7">
        <f>IF(C421="","",C421&amp;"|"&amp;COUNTIF($C$5:C421,C421))</f>
        <v/>
      </c>
      <c r="K421" s="39" t="n"/>
      <c r="L421" s="39" t="n"/>
      <c r="M421" s="39" t="n"/>
      <c r="N421" s="39" t="n"/>
    </row>
    <row r="422" ht="21" customHeight="1" s="65">
      <c r="C422" s="16" t="n"/>
      <c r="D422" s="16" t="n"/>
      <c r="E422" s="16" t="n"/>
      <c r="F422" s="103" t="n"/>
      <c r="G422" s="25" t="n"/>
      <c r="H422" s="16" t="n"/>
      <c r="I422" s="7">
        <f>IF(C422="","",C422&amp;"|"&amp;COUNTIF($C$5:C422,C422))</f>
        <v/>
      </c>
      <c r="K422" s="39" t="n"/>
      <c r="L422" s="39" t="n"/>
      <c r="M422" s="39" t="n"/>
      <c r="N422" s="39" t="n"/>
    </row>
    <row r="423" ht="21" customHeight="1" s="65">
      <c r="C423" s="16" t="n"/>
      <c r="D423" s="16" t="n"/>
      <c r="E423" s="16" t="n"/>
      <c r="F423" s="103" t="n"/>
      <c r="G423" s="25" t="n"/>
      <c r="H423" s="16" t="n"/>
      <c r="I423" s="7">
        <f>IF(C423="","",C423&amp;"|"&amp;COUNTIF($C$5:C423,C423))</f>
        <v/>
      </c>
      <c r="K423" s="39" t="n"/>
      <c r="L423" s="39" t="n"/>
      <c r="M423" s="39" t="n"/>
      <c r="N423" s="39" t="n"/>
    </row>
    <row r="424" ht="21" customHeight="1" s="65">
      <c r="C424" s="16" t="n"/>
      <c r="D424" s="16" t="n"/>
      <c r="E424" s="16" t="n"/>
      <c r="F424" s="103" t="n"/>
      <c r="G424" s="25" t="n"/>
      <c r="H424" s="16" t="n"/>
      <c r="I424" s="7">
        <f>IF(C424="","",C424&amp;"|"&amp;COUNTIF($C$5:C424,C424))</f>
        <v/>
      </c>
      <c r="K424" s="39" t="n"/>
      <c r="L424" s="39" t="n"/>
      <c r="M424" s="39" t="n"/>
      <c r="N424" s="39" t="n"/>
    </row>
    <row r="425" ht="21" customHeight="1" s="65">
      <c r="C425" s="16" t="n"/>
      <c r="D425" s="16" t="n"/>
      <c r="E425" s="16" t="n"/>
      <c r="F425" s="103" t="n"/>
      <c r="G425" s="25" t="n"/>
      <c r="H425" s="16" t="n"/>
      <c r="I425" s="7">
        <f>IF(C425="","",C425&amp;"|"&amp;COUNTIF($C$5:C425,C425))</f>
        <v/>
      </c>
      <c r="K425" s="39" t="n"/>
      <c r="L425" s="39" t="n"/>
      <c r="M425" s="39" t="n"/>
      <c r="N425" s="39" t="n"/>
    </row>
    <row r="426" ht="21" customHeight="1" s="65">
      <c r="C426" s="16" t="n"/>
      <c r="D426" s="16" t="n"/>
      <c r="E426" s="16" t="n"/>
      <c r="F426" s="103" t="n"/>
      <c r="G426" s="25" t="n"/>
      <c r="H426" s="16" t="n"/>
      <c r="I426" s="7">
        <f>IF(C426="","",C426&amp;"|"&amp;COUNTIF($C$5:C426,C426))</f>
        <v/>
      </c>
      <c r="K426" s="39" t="n"/>
      <c r="L426" s="39" t="n"/>
      <c r="M426" s="39" t="n"/>
      <c r="N426" s="39" t="n"/>
    </row>
    <row r="427" ht="21" customHeight="1" s="65">
      <c r="C427" s="16" t="n"/>
      <c r="D427" s="16" t="n"/>
      <c r="E427" s="16" t="n"/>
      <c r="F427" s="103" t="n"/>
      <c r="G427" s="25" t="n"/>
      <c r="H427" s="16" t="n"/>
      <c r="I427" s="7">
        <f>IF(C427="","",C427&amp;"|"&amp;COUNTIF($C$5:C427,C427))</f>
        <v/>
      </c>
      <c r="K427" s="39" t="n"/>
      <c r="L427" s="39" t="n"/>
      <c r="M427" s="39" t="n"/>
      <c r="N427" s="39" t="n"/>
    </row>
    <row r="428" ht="21" customHeight="1" s="65">
      <c r="C428" s="16" t="n"/>
      <c r="D428" s="16" t="n"/>
      <c r="E428" s="16" t="n"/>
      <c r="F428" s="103" t="n"/>
      <c r="G428" s="25" t="n"/>
      <c r="H428" s="16" t="n"/>
      <c r="I428" s="7">
        <f>IF(C428="","",C428&amp;"|"&amp;COUNTIF($C$5:C428,C428))</f>
        <v/>
      </c>
      <c r="K428" s="39" t="n"/>
      <c r="L428" s="39" t="n"/>
      <c r="M428" s="39" t="n"/>
      <c r="N428" s="39" t="n"/>
    </row>
    <row r="429" ht="21" customHeight="1" s="65">
      <c r="C429" s="16" t="n"/>
      <c r="D429" s="16" t="n"/>
      <c r="E429" s="16" t="n"/>
      <c r="F429" s="103" t="n"/>
      <c r="G429" s="25" t="n"/>
      <c r="H429" s="16" t="n"/>
      <c r="I429" s="7">
        <f>IF(C429="","",C429&amp;"|"&amp;COUNTIF($C$5:C429,C429))</f>
        <v/>
      </c>
      <c r="K429" s="39" t="n"/>
      <c r="L429" s="39" t="n"/>
      <c r="M429" s="39" t="n"/>
      <c r="N429" s="39" t="n"/>
    </row>
    <row r="430" ht="21" customHeight="1" s="65">
      <c r="C430" s="16" t="n"/>
      <c r="D430" s="16" t="n"/>
      <c r="E430" s="16" t="n"/>
      <c r="F430" s="103" t="n"/>
      <c r="G430" s="25" t="n"/>
      <c r="H430" s="16" t="n"/>
      <c r="I430" s="7">
        <f>IF(C430="","",C430&amp;"|"&amp;COUNTIF($C$5:C430,C430))</f>
        <v/>
      </c>
      <c r="K430" s="39" t="n"/>
      <c r="L430" s="39" t="n"/>
      <c r="M430" s="39" t="n"/>
      <c r="N430" s="39" t="n"/>
    </row>
    <row r="431" ht="21" customHeight="1" s="65">
      <c r="C431" s="16" t="n"/>
      <c r="D431" s="16" t="n"/>
      <c r="E431" s="16" t="n"/>
      <c r="F431" s="103" t="n"/>
      <c r="G431" s="25" t="n"/>
      <c r="H431" s="16" t="n"/>
      <c r="I431" s="7">
        <f>IF(C431="","",C431&amp;"|"&amp;COUNTIF($C$5:C431,C431))</f>
        <v/>
      </c>
      <c r="K431" s="39" t="n"/>
      <c r="L431" s="39" t="n"/>
      <c r="M431" s="39" t="n"/>
      <c r="N431" s="39" t="n"/>
    </row>
    <row r="432" ht="21" customHeight="1" s="65">
      <c r="C432" s="16" t="n"/>
      <c r="D432" s="16" t="n"/>
      <c r="E432" s="16" t="n"/>
      <c r="F432" s="103" t="n"/>
      <c r="G432" s="25" t="n"/>
      <c r="H432" s="16" t="n"/>
      <c r="I432" s="7">
        <f>IF(C432="","",C432&amp;"|"&amp;COUNTIF($C$5:C432,C432))</f>
        <v/>
      </c>
      <c r="K432" s="39" t="n"/>
      <c r="L432" s="39" t="n"/>
      <c r="M432" s="39" t="n"/>
      <c r="N432" s="39" t="n"/>
    </row>
    <row r="433" ht="21" customHeight="1" s="65">
      <c r="C433" s="16" t="n"/>
      <c r="D433" s="16" t="n"/>
      <c r="E433" s="16" t="n"/>
      <c r="F433" s="103" t="n"/>
      <c r="G433" s="25" t="n"/>
      <c r="H433" s="16" t="n"/>
      <c r="I433" s="7">
        <f>IF(C433="","",C433&amp;"|"&amp;COUNTIF($C$5:C433,C433))</f>
        <v/>
      </c>
      <c r="K433" s="39" t="n"/>
      <c r="L433" s="39" t="n"/>
      <c r="M433" s="39" t="n"/>
      <c r="N433" s="39" t="n"/>
    </row>
    <row r="434" ht="21" customHeight="1" s="65">
      <c r="C434" s="16" t="n"/>
      <c r="D434" s="16" t="n"/>
      <c r="E434" s="16" t="n"/>
      <c r="F434" s="103" t="n"/>
      <c r="G434" s="25" t="n"/>
      <c r="H434" s="16" t="n"/>
      <c r="I434" s="7">
        <f>IF(C434="","",C434&amp;"|"&amp;COUNTIF($C$5:C434,C434))</f>
        <v/>
      </c>
      <c r="K434" s="39" t="n"/>
      <c r="L434" s="39" t="n"/>
      <c r="M434" s="39" t="n"/>
      <c r="N434" s="39" t="n"/>
    </row>
    <row r="435" ht="21" customHeight="1" s="65">
      <c r="C435" s="16" t="n"/>
      <c r="D435" s="16" t="n"/>
      <c r="E435" s="16" t="n"/>
      <c r="F435" s="103" t="n"/>
      <c r="G435" s="25" t="n"/>
      <c r="H435" s="16" t="n"/>
      <c r="I435" s="7">
        <f>IF(C435="","",C435&amp;"|"&amp;COUNTIF($C$5:C435,C435))</f>
        <v/>
      </c>
      <c r="K435" s="39" t="n"/>
      <c r="L435" s="39" t="n"/>
      <c r="M435" s="39" t="n"/>
      <c r="N435" s="39" t="n"/>
    </row>
    <row r="436" ht="21" customHeight="1" s="65">
      <c r="C436" s="16" t="n"/>
      <c r="D436" s="16" t="n"/>
      <c r="E436" s="16" t="n"/>
      <c r="F436" s="103" t="n"/>
      <c r="G436" s="25" t="n"/>
      <c r="H436" s="16" t="n"/>
      <c r="I436" s="7">
        <f>IF(C436="","",C436&amp;"|"&amp;COUNTIF($C$5:C436,C436))</f>
        <v/>
      </c>
      <c r="K436" s="39" t="n"/>
      <c r="L436" s="39" t="n"/>
      <c r="M436" s="39" t="n"/>
      <c r="N436" s="39" t="n"/>
    </row>
    <row r="437" ht="21" customHeight="1" s="65">
      <c r="C437" s="16" t="n"/>
      <c r="D437" s="16" t="n"/>
      <c r="E437" s="16" t="n"/>
      <c r="F437" s="103" t="n"/>
      <c r="G437" s="25" t="n"/>
      <c r="H437" s="16" t="n"/>
      <c r="I437" s="7">
        <f>IF(C437="","",C437&amp;"|"&amp;COUNTIF($C$5:C437,C437))</f>
        <v/>
      </c>
      <c r="K437" s="39" t="n"/>
      <c r="L437" s="39" t="n"/>
      <c r="M437" s="39" t="n"/>
      <c r="N437" s="39" t="n"/>
    </row>
    <row r="438" ht="21" customHeight="1" s="65">
      <c r="C438" s="16" t="n"/>
      <c r="D438" s="16" t="n"/>
      <c r="E438" s="16" t="n"/>
      <c r="F438" s="103" t="n"/>
      <c r="G438" s="25" t="n"/>
      <c r="H438" s="16" t="n"/>
      <c r="I438" s="7">
        <f>IF(C438="","",C438&amp;"|"&amp;COUNTIF($C$5:C438,C438))</f>
        <v/>
      </c>
      <c r="K438" s="39" t="n"/>
      <c r="L438" s="39" t="n"/>
      <c r="M438" s="39" t="n"/>
      <c r="N438" s="39" t="n"/>
    </row>
    <row r="439" ht="21" customHeight="1" s="65">
      <c r="C439" s="16" t="n"/>
      <c r="D439" s="16" t="n"/>
      <c r="E439" s="16" t="n"/>
      <c r="F439" s="103" t="n"/>
      <c r="G439" s="25" t="n"/>
      <c r="H439" s="16" t="n"/>
      <c r="I439" s="7">
        <f>IF(C439="","",C439&amp;"|"&amp;COUNTIF($C$5:C439,C439))</f>
        <v/>
      </c>
      <c r="K439" s="39" t="n"/>
      <c r="L439" s="39" t="n"/>
      <c r="M439" s="39" t="n"/>
      <c r="N439" s="39" t="n"/>
    </row>
    <row r="440" ht="21" customHeight="1" s="65">
      <c r="C440" s="16" t="n"/>
      <c r="D440" s="16" t="n"/>
      <c r="E440" s="16" t="n"/>
      <c r="F440" s="103" t="n"/>
      <c r="G440" s="25" t="n"/>
      <c r="H440" s="16" t="n"/>
      <c r="I440" s="7">
        <f>IF(C440="","",C440&amp;"|"&amp;COUNTIF($C$5:C440,C440))</f>
        <v/>
      </c>
      <c r="K440" s="39" t="n"/>
      <c r="L440" s="39" t="n"/>
      <c r="M440" s="39" t="n"/>
      <c r="N440" s="39" t="n"/>
    </row>
    <row r="441" ht="21" customHeight="1" s="65">
      <c r="C441" s="16" t="n"/>
      <c r="D441" s="16" t="n"/>
      <c r="E441" s="16" t="n"/>
      <c r="F441" s="103" t="n"/>
      <c r="G441" s="25" t="n"/>
      <c r="H441" s="16" t="n"/>
      <c r="I441" s="7">
        <f>IF(C441="","",C441&amp;"|"&amp;COUNTIF($C$5:C441,C441))</f>
        <v/>
      </c>
      <c r="K441" s="39" t="n"/>
      <c r="L441" s="39" t="n"/>
      <c r="M441" s="39" t="n"/>
      <c r="N441" s="39" t="n"/>
    </row>
    <row r="442" ht="21" customHeight="1" s="65">
      <c r="C442" s="16" t="n"/>
      <c r="D442" s="16" t="n"/>
      <c r="E442" s="16" t="n"/>
      <c r="F442" s="103" t="n"/>
      <c r="G442" s="25" t="n"/>
      <c r="H442" s="16" t="n"/>
      <c r="I442" s="7">
        <f>IF(C442="","",C442&amp;"|"&amp;COUNTIF($C$5:C442,C442))</f>
        <v/>
      </c>
      <c r="K442" s="39" t="n"/>
      <c r="L442" s="39" t="n"/>
      <c r="M442" s="39" t="n"/>
      <c r="N442" s="39" t="n"/>
    </row>
    <row r="443" ht="21" customHeight="1" s="65">
      <c r="C443" s="16" t="n"/>
      <c r="D443" s="16" t="n"/>
      <c r="E443" s="16" t="n"/>
      <c r="F443" s="103" t="n"/>
      <c r="G443" s="25" t="n"/>
      <c r="H443" s="16" t="n"/>
      <c r="I443" s="7">
        <f>IF(C443="","",C443&amp;"|"&amp;COUNTIF($C$5:C443,C443))</f>
        <v/>
      </c>
      <c r="K443" s="39" t="n"/>
      <c r="L443" s="39" t="n"/>
      <c r="M443" s="39" t="n"/>
      <c r="N443" s="39" t="n"/>
    </row>
    <row r="444" ht="21" customHeight="1" s="65">
      <c r="C444" s="16" t="n"/>
      <c r="D444" s="16" t="n"/>
      <c r="E444" s="16" t="n"/>
      <c r="F444" s="103" t="n"/>
      <c r="G444" s="25" t="n"/>
      <c r="H444" s="16" t="n"/>
      <c r="I444" s="7">
        <f>IF(C444="","",C444&amp;"|"&amp;COUNTIF($C$5:C444,C444))</f>
        <v/>
      </c>
      <c r="K444" s="39" t="n"/>
      <c r="L444" s="39" t="n"/>
      <c r="M444" s="39" t="n"/>
      <c r="N444" s="39" t="n"/>
    </row>
    <row r="445" ht="21" customHeight="1" s="65">
      <c r="C445" s="16" t="n"/>
      <c r="D445" s="16" t="n"/>
      <c r="E445" s="16" t="n"/>
      <c r="F445" s="103" t="n"/>
      <c r="G445" s="25" t="n"/>
      <c r="H445" s="16" t="n"/>
      <c r="I445" s="7">
        <f>IF(C445="","",C445&amp;"|"&amp;COUNTIF($C$5:C445,C445))</f>
        <v/>
      </c>
      <c r="K445" s="39" t="n"/>
      <c r="L445" s="39" t="n"/>
      <c r="M445" s="39" t="n"/>
      <c r="N445" s="39" t="n"/>
    </row>
    <row r="446" ht="21" customHeight="1" s="65">
      <c r="C446" s="16" t="n"/>
      <c r="D446" s="16" t="n"/>
      <c r="E446" s="16" t="n"/>
      <c r="F446" s="103" t="n"/>
      <c r="G446" s="25" t="n"/>
      <c r="H446" s="16" t="n"/>
      <c r="I446" s="7">
        <f>IF(C446="","",C446&amp;"|"&amp;COUNTIF($C$5:C446,C446))</f>
        <v/>
      </c>
      <c r="K446" s="39" t="n"/>
      <c r="L446" s="39" t="n"/>
      <c r="M446" s="39" t="n"/>
      <c r="N446" s="39" t="n"/>
    </row>
    <row r="447" ht="21" customHeight="1" s="65">
      <c r="C447" s="16" t="n"/>
      <c r="D447" s="16" t="n"/>
      <c r="E447" s="16" t="n"/>
      <c r="F447" s="103" t="n"/>
      <c r="G447" s="25" t="n"/>
      <c r="H447" s="16" t="n"/>
      <c r="I447" s="7">
        <f>IF(C447="","",C447&amp;"|"&amp;COUNTIF($C$5:C447,C447))</f>
        <v/>
      </c>
      <c r="K447" s="39" t="n"/>
      <c r="L447" s="39" t="n"/>
      <c r="M447" s="39" t="n"/>
      <c r="N447" s="39" t="n"/>
    </row>
    <row r="448" ht="21" customHeight="1" s="65">
      <c r="C448" s="16" t="n"/>
      <c r="D448" s="16" t="n"/>
      <c r="E448" s="16" t="n"/>
      <c r="F448" s="103" t="n"/>
      <c r="G448" s="25" t="n"/>
      <c r="H448" s="16" t="n"/>
      <c r="I448" s="7">
        <f>IF(C448="","",C448&amp;"|"&amp;COUNTIF($C$5:C448,C448))</f>
        <v/>
      </c>
      <c r="K448" s="39" t="n"/>
      <c r="L448" s="39" t="n"/>
      <c r="M448" s="39" t="n"/>
      <c r="N448" s="39" t="n"/>
    </row>
    <row r="449" ht="21" customHeight="1" s="65">
      <c r="C449" s="16" t="n"/>
      <c r="D449" s="16" t="n"/>
      <c r="E449" s="16" t="n"/>
      <c r="F449" s="103" t="n"/>
      <c r="G449" s="25" t="n"/>
      <c r="H449" s="16" t="n"/>
      <c r="I449" s="7">
        <f>IF(C449="","",C449&amp;"|"&amp;COUNTIF($C$5:C449,C449))</f>
        <v/>
      </c>
      <c r="K449" s="39" t="n"/>
      <c r="L449" s="39" t="n"/>
      <c r="M449" s="39" t="n"/>
      <c r="N449" s="39" t="n"/>
    </row>
    <row r="450" ht="21" customHeight="1" s="65">
      <c r="C450" s="16" t="n"/>
      <c r="D450" s="16" t="n"/>
      <c r="E450" s="16" t="n"/>
      <c r="F450" s="103" t="n"/>
      <c r="G450" s="25" t="n"/>
      <c r="H450" s="16" t="n"/>
      <c r="I450" s="7">
        <f>IF(C450="","",C450&amp;"|"&amp;COUNTIF($C$5:C450,C450))</f>
        <v/>
      </c>
      <c r="K450" s="39" t="n"/>
      <c r="L450" s="39" t="n"/>
      <c r="M450" s="39" t="n"/>
      <c r="N450" s="39" t="n"/>
    </row>
    <row r="451" ht="21" customHeight="1" s="65">
      <c r="C451" s="16" t="n"/>
      <c r="D451" s="16" t="n"/>
      <c r="E451" s="16" t="n"/>
      <c r="F451" s="103" t="n"/>
      <c r="G451" s="25" t="n"/>
      <c r="H451" s="16" t="n"/>
      <c r="I451" s="7">
        <f>IF(C451="","",C451&amp;"|"&amp;COUNTIF($C$5:C451,C451))</f>
        <v/>
      </c>
      <c r="K451" s="39" t="n"/>
      <c r="L451" s="39" t="n"/>
      <c r="M451" s="39" t="n"/>
      <c r="N451" s="39" t="n"/>
    </row>
    <row r="452" ht="21" customHeight="1" s="65">
      <c r="C452" s="16" t="n"/>
      <c r="D452" s="16" t="n"/>
      <c r="E452" s="16" t="n"/>
      <c r="F452" s="103" t="n"/>
      <c r="G452" s="25" t="n"/>
      <c r="H452" s="16" t="n"/>
      <c r="I452" s="7">
        <f>IF(C452="","",C452&amp;"|"&amp;COUNTIF($C$5:C452,C452))</f>
        <v/>
      </c>
      <c r="K452" s="39" t="n"/>
      <c r="L452" s="39" t="n"/>
      <c r="M452" s="39" t="n"/>
      <c r="N452" s="39" t="n"/>
    </row>
    <row r="453" ht="21" customHeight="1" s="65">
      <c r="C453" s="16" t="n"/>
      <c r="D453" s="16" t="n"/>
      <c r="E453" s="16" t="n"/>
      <c r="F453" s="103" t="n"/>
      <c r="G453" s="25" t="n"/>
      <c r="H453" s="16" t="n"/>
      <c r="I453" s="7">
        <f>IF(C453="","",C453&amp;"|"&amp;COUNTIF($C$5:C453,C453))</f>
        <v/>
      </c>
      <c r="K453" s="39" t="n"/>
      <c r="L453" s="39" t="n"/>
      <c r="M453" s="39" t="n"/>
      <c r="N453" s="39" t="n"/>
    </row>
    <row r="454" ht="21" customHeight="1" s="65">
      <c r="C454" s="16" t="n"/>
      <c r="D454" s="16" t="n"/>
      <c r="E454" s="16" t="n"/>
      <c r="F454" s="103" t="n"/>
      <c r="G454" s="25" t="n"/>
      <c r="H454" s="16" t="n"/>
      <c r="I454" s="7">
        <f>IF(C454="","",C454&amp;"|"&amp;COUNTIF($C$5:C454,C454))</f>
        <v/>
      </c>
      <c r="K454" s="39" t="n"/>
      <c r="L454" s="39" t="n"/>
      <c r="M454" s="39" t="n"/>
      <c r="N454" s="39" t="n"/>
    </row>
    <row r="455" ht="21" customHeight="1" s="65">
      <c r="C455" s="16" t="n"/>
      <c r="D455" s="16" t="n"/>
      <c r="E455" s="16" t="n"/>
      <c r="F455" s="103" t="n"/>
      <c r="G455" s="25" t="n"/>
      <c r="H455" s="16" t="n"/>
      <c r="I455" s="7">
        <f>IF(C455="","",C455&amp;"|"&amp;COUNTIF($C$5:C455,C455))</f>
        <v/>
      </c>
      <c r="K455" s="39" t="n"/>
      <c r="L455" s="39" t="n"/>
      <c r="M455" s="39" t="n"/>
      <c r="N455" s="39" t="n"/>
    </row>
    <row r="456" ht="21" customHeight="1" s="65">
      <c r="C456" s="16" t="n"/>
      <c r="D456" s="16" t="n"/>
      <c r="E456" s="16" t="n"/>
      <c r="F456" s="103" t="n"/>
      <c r="G456" s="25" t="n"/>
      <c r="H456" s="16" t="n"/>
      <c r="I456" s="7">
        <f>IF(C456="","",C456&amp;"|"&amp;COUNTIF($C$5:C456,C456))</f>
        <v/>
      </c>
      <c r="K456" s="39" t="n"/>
      <c r="L456" s="39" t="n"/>
      <c r="M456" s="39" t="n"/>
      <c r="N456" s="39" t="n"/>
    </row>
    <row r="457" ht="21" customHeight="1" s="65">
      <c r="C457" s="16" t="n"/>
      <c r="D457" s="16" t="n"/>
      <c r="E457" s="16" t="n"/>
      <c r="F457" s="103" t="n"/>
      <c r="G457" s="25" t="n"/>
      <c r="H457" s="16" t="n"/>
      <c r="I457" s="7">
        <f>IF(C457="","",C457&amp;"|"&amp;COUNTIF($C$5:C457,C457))</f>
        <v/>
      </c>
      <c r="K457" s="39" t="n"/>
      <c r="L457" s="39" t="n"/>
      <c r="M457" s="39" t="n"/>
      <c r="N457" s="39" t="n"/>
    </row>
    <row r="458" ht="21" customHeight="1" s="65">
      <c r="C458" s="16" t="n"/>
      <c r="D458" s="16" t="n"/>
      <c r="E458" s="16" t="n"/>
      <c r="F458" s="103" t="n"/>
      <c r="G458" s="25" t="n"/>
      <c r="H458" s="16" t="n"/>
      <c r="I458" s="7">
        <f>IF(C458="","",C458&amp;"|"&amp;COUNTIF($C$5:C458,C458))</f>
        <v/>
      </c>
      <c r="K458" s="39" t="n"/>
      <c r="L458" s="39" t="n"/>
      <c r="M458" s="39" t="n"/>
      <c r="N458" s="39" t="n"/>
    </row>
    <row r="459" ht="21" customHeight="1" s="65">
      <c r="C459" s="16" t="n"/>
      <c r="D459" s="16" t="n"/>
      <c r="E459" s="16" t="n"/>
      <c r="F459" s="103" t="n"/>
      <c r="G459" s="25" t="n"/>
      <c r="H459" s="16" t="n"/>
      <c r="I459" s="7">
        <f>IF(C459="","",C459&amp;"|"&amp;COUNTIF($C$5:C459,C459))</f>
        <v/>
      </c>
      <c r="K459" s="39" t="n"/>
      <c r="L459" s="39" t="n"/>
      <c r="M459" s="39" t="n"/>
      <c r="N459" s="39" t="n"/>
    </row>
    <row r="460" ht="21" customHeight="1" s="65">
      <c r="C460" s="16" t="n"/>
      <c r="D460" s="16" t="n"/>
      <c r="E460" s="16" t="n"/>
      <c r="F460" s="103" t="n"/>
      <c r="G460" s="25" t="n"/>
      <c r="H460" s="16" t="n"/>
      <c r="I460" s="7">
        <f>IF(C460="","",C460&amp;"|"&amp;COUNTIF($C$5:C460,C460))</f>
        <v/>
      </c>
      <c r="K460" s="39" t="n"/>
      <c r="L460" s="39" t="n"/>
      <c r="M460" s="39" t="n"/>
      <c r="N460" s="39" t="n"/>
    </row>
    <row r="461" ht="21" customHeight="1" s="65">
      <c r="C461" s="16" t="n"/>
      <c r="D461" s="16" t="n"/>
      <c r="E461" s="16" t="n"/>
      <c r="F461" s="103" t="n"/>
      <c r="G461" s="25" t="n"/>
      <c r="H461" s="16" t="n"/>
      <c r="I461" s="7">
        <f>IF(C461="","",C461&amp;"|"&amp;COUNTIF($C$5:C461,C461))</f>
        <v/>
      </c>
      <c r="K461" s="39" t="n"/>
      <c r="L461" s="39" t="n"/>
      <c r="M461" s="39" t="n"/>
      <c r="N461" s="39" t="n"/>
    </row>
    <row r="462" ht="21" customHeight="1" s="65">
      <c r="C462" s="16" t="n"/>
      <c r="D462" s="16" t="n"/>
      <c r="E462" s="16" t="n"/>
      <c r="F462" s="103" t="n"/>
      <c r="G462" s="25" t="n"/>
      <c r="H462" s="16" t="n"/>
      <c r="I462" s="7">
        <f>IF(C462="","",C462&amp;"|"&amp;COUNTIF($C$5:C462,C462))</f>
        <v/>
      </c>
      <c r="K462" s="39" t="n"/>
      <c r="L462" s="39" t="n"/>
      <c r="M462" s="39" t="n"/>
      <c r="N462" s="39" t="n"/>
    </row>
    <row r="463" ht="21" customHeight="1" s="65">
      <c r="C463" s="16" t="n"/>
      <c r="D463" s="16" t="n"/>
      <c r="E463" s="16" t="n"/>
      <c r="F463" s="103" t="n"/>
      <c r="G463" s="25" t="n"/>
      <c r="H463" s="16" t="n"/>
      <c r="I463" s="7">
        <f>IF(C463="","",C463&amp;"|"&amp;COUNTIF($C$5:C463,C463))</f>
        <v/>
      </c>
      <c r="K463" s="39" t="n"/>
      <c r="L463" s="39" t="n"/>
      <c r="M463" s="39" t="n"/>
      <c r="N463" s="39" t="n"/>
    </row>
    <row r="464" ht="21" customHeight="1" s="65">
      <c r="C464" s="16" t="n"/>
      <c r="D464" s="16" t="n"/>
      <c r="E464" s="16" t="n"/>
      <c r="F464" s="103" t="n"/>
      <c r="G464" s="25" t="n"/>
      <c r="H464" s="16" t="n"/>
      <c r="I464" s="7">
        <f>IF(C464="","",C464&amp;"|"&amp;COUNTIF($C$5:C464,C464))</f>
        <v/>
      </c>
      <c r="K464" s="39" t="n"/>
      <c r="L464" s="39" t="n"/>
      <c r="M464" s="39" t="n"/>
      <c r="N464" s="39" t="n"/>
    </row>
    <row r="465" ht="21" customHeight="1" s="65">
      <c r="C465" s="16" t="n"/>
      <c r="D465" s="16" t="n"/>
      <c r="E465" s="16" t="n"/>
      <c r="F465" s="103" t="n"/>
      <c r="G465" s="25" t="n"/>
      <c r="H465" s="16" t="n"/>
      <c r="I465" s="7">
        <f>IF(C465="","",C465&amp;"|"&amp;COUNTIF($C$5:C465,C465))</f>
        <v/>
      </c>
      <c r="K465" s="39" t="n"/>
      <c r="L465" s="39" t="n"/>
      <c r="M465" s="39" t="n"/>
      <c r="N465" s="39" t="n"/>
    </row>
    <row r="466" ht="21" customHeight="1" s="65">
      <c r="C466" s="16" t="n"/>
      <c r="D466" s="16" t="n"/>
      <c r="E466" s="16" t="n"/>
      <c r="F466" s="103" t="n"/>
      <c r="G466" s="25" t="n"/>
      <c r="H466" s="16" t="n"/>
      <c r="I466" s="7">
        <f>IF(C466="","",C466&amp;"|"&amp;COUNTIF($C$5:C466,C466))</f>
        <v/>
      </c>
      <c r="K466" s="39" t="n"/>
      <c r="L466" s="39" t="n"/>
      <c r="M466" s="39" t="n"/>
      <c r="N466" s="39" t="n"/>
    </row>
    <row r="467" ht="21" customHeight="1" s="65">
      <c r="C467" s="16" t="n"/>
      <c r="D467" s="16" t="n"/>
      <c r="E467" s="16" t="n"/>
      <c r="F467" s="103" t="n"/>
      <c r="G467" s="25" t="n"/>
      <c r="H467" s="16" t="n"/>
      <c r="I467" s="7">
        <f>IF(C467="","",C467&amp;"|"&amp;COUNTIF($C$5:C467,C467))</f>
        <v/>
      </c>
      <c r="K467" s="39" t="n"/>
      <c r="L467" s="39" t="n"/>
      <c r="M467" s="39" t="n"/>
      <c r="N467" s="39" t="n"/>
    </row>
    <row r="468" ht="21" customHeight="1" s="65">
      <c r="C468" s="16" t="n"/>
      <c r="D468" s="16" t="n"/>
      <c r="E468" s="16" t="n"/>
      <c r="F468" s="103" t="n"/>
      <c r="G468" s="25" t="n"/>
      <c r="H468" s="16" t="n"/>
      <c r="I468" s="7">
        <f>IF(C468="","",C468&amp;"|"&amp;COUNTIF($C$5:C468,C468))</f>
        <v/>
      </c>
      <c r="K468" s="39" t="n"/>
      <c r="L468" s="39" t="n"/>
      <c r="M468" s="39" t="n"/>
      <c r="N468" s="39" t="n"/>
    </row>
    <row r="469" ht="21" customHeight="1" s="65">
      <c r="C469" s="16" t="n"/>
      <c r="D469" s="16" t="n"/>
      <c r="E469" s="16" t="n"/>
      <c r="F469" s="103" t="n"/>
      <c r="G469" s="25" t="n"/>
      <c r="H469" s="16" t="n"/>
      <c r="I469" s="7">
        <f>IF(C469="","",C469&amp;"|"&amp;COUNTIF($C$5:C469,C469))</f>
        <v/>
      </c>
      <c r="K469" s="39" t="n"/>
      <c r="L469" s="39" t="n"/>
      <c r="M469" s="39" t="n"/>
      <c r="N469" s="39" t="n"/>
    </row>
    <row r="470" ht="21" customHeight="1" s="65">
      <c r="C470" s="16" t="n"/>
      <c r="D470" s="16" t="n"/>
      <c r="E470" s="16" t="n"/>
      <c r="F470" s="103" t="n"/>
      <c r="G470" s="25" t="n"/>
      <c r="H470" s="16" t="n"/>
      <c r="I470" s="7">
        <f>IF(C470="","",C470&amp;"|"&amp;COUNTIF($C$5:C470,C470))</f>
        <v/>
      </c>
      <c r="K470" s="39" t="n"/>
      <c r="L470" s="39" t="n"/>
      <c r="M470" s="39" t="n"/>
      <c r="N470" s="39" t="n"/>
    </row>
    <row r="471" ht="21" customHeight="1" s="65">
      <c r="C471" s="16" t="n"/>
      <c r="D471" s="16" t="n"/>
      <c r="E471" s="16" t="n"/>
      <c r="F471" s="103" t="n"/>
      <c r="G471" s="25" t="n"/>
      <c r="H471" s="16" t="n"/>
      <c r="I471" s="7">
        <f>IF(C471="","",C471&amp;"|"&amp;COUNTIF($C$5:C471,C471))</f>
        <v/>
      </c>
      <c r="K471" s="39" t="n"/>
      <c r="L471" s="39" t="n"/>
      <c r="M471" s="39" t="n"/>
      <c r="N471" s="39" t="n"/>
    </row>
    <row r="472" ht="21" customHeight="1" s="65">
      <c r="C472" s="16" t="n"/>
      <c r="D472" s="16" t="n"/>
      <c r="E472" s="16" t="n"/>
      <c r="F472" s="103" t="n"/>
      <c r="G472" s="25" t="n"/>
      <c r="H472" s="16" t="n"/>
      <c r="I472" s="7">
        <f>IF(C472="","",C472&amp;"|"&amp;COUNTIF($C$5:C472,C472))</f>
        <v/>
      </c>
      <c r="K472" s="39" t="n"/>
      <c r="L472" s="39" t="n"/>
      <c r="M472" s="39" t="n"/>
      <c r="N472" s="39" t="n"/>
    </row>
    <row r="473" ht="21" customHeight="1" s="65">
      <c r="C473" s="16" t="n"/>
      <c r="D473" s="16" t="n"/>
      <c r="E473" s="16" t="n"/>
      <c r="F473" s="103" t="n"/>
      <c r="G473" s="25" t="n"/>
      <c r="H473" s="16" t="n"/>
      <c r="I473" s="7">
        <f>IF(C473="","",C473&amp;"|"&amp;COUNTIF($C$5:C473,C473))</f>
        <v/>
      </c>
      <c r="K473" s="39" t="n"/>
      <c r="L473" s="39" t="n"/>
      <c r="M473" s="39" t="n"/>
      <c r="N473" s="39" t="n"/>
    </row>
    <row r="474" ht="21" customHeight="1" s="65">
      <c r="C474" s="16" t="n"/>
      <c r="D474" s="16" t="n"/>
      <c r="E474" s="16" t="n"/>
      <c r="F474" s="103" t="n"/>
      <c r="G474" s="25" t="n"/>
      <c r="H474" s="16" t="n"/>
      <c r="I474" s="7">
        <f>IF(C474="","",C474&amp;"|"&amp;COUNTIF($C$5:C474,C474))</f>
        <v/>
      </c>
      <c r="K474" s="39" t="n"/>
      <c r="L474" s="39" t="n"/>
      <c r="M474" s="39" t="n"/>
      <c r="N474" s="39" t="n"/>
    </row>
    <row r="475" ht="21" customHeight="1" s="65">
      <c r="C475" s="16" t="n"/>
      <c r="D475" s="16" t="n"/>
      <c r="E475" s="16" t="n"/>
      <c r="F475" s="103" t="n"/>
      <c r="G475" s="25" t="n"/>
      <c r="H475" s="16" t="n"/>
      <c r="I475" s="7">
        <f>IF(C475="","",C475&amp;"|"&amp;COUNTIF($C$5:C475,C475))</f>
        <v/>
      </c>
      <c r="K475" s="39" t="n"/>
      <c r="L475" s="39" t="n"/>
      <c r="M475" s="39" t="n"/>
      <c r="N475" s="39" t="n"/>
    </row>
    <row r="476" ht="21" customHeight="1" s="65">
      <c r="C476" s="16" t="n"/>
      <c r="D476" s="16" t="n"/>
      <c r="E476" s="16" t="n"/>
      <c r="F476" s="103" t="n"/>
      <c r="G476" s="25" t="n"/>
      <c r="H476" s="16" t="n"/>
      <c r="I476" s="7">
        <f>IF(C476="","",C476&amp;"|"&amp;COUNTIF($C$5:C476,C476))</f>
        <v/>
      </c>
      <c r="K476" s="39" t="n"/>
      <c r="L476" s="39" t="n"/>
      <c r="M476" s="39" t="n"/>
      <c r="N476" s="39" t="n"/>
    </row>
    <row r="477" ht="21" customHeight="1" s="65">
      <c r="C477" s="16" t="n"/>
      <c r="D477" s="16" t="n"/>
      <c r="E477" s="16" t="n"/>
      <c r="F477" s="103" t="n"/>
      <c r="G477" s="25" t="n"/>
      <c r="H477" s="16" t="n"/>
      <c r="I477" s="7">
        <f>IF(C477="","",C477&amp;"|"&amp;COUNTIF($C$5:C477,C477))</f>
        <v/>
      </c>
      <c r="K477" s="39" t="n"/>
      <c r="L477" s="39" t="n"/>
      <c r="M477" s="39" t="n"/>
      <c r="N477" s="39" t="n"/>
    </row>
    <row r="478" ht="21" customHeight="1" s="65">
      <c r="C478" s="16" t="n"/>
      <c r="D478" s="16" t="n"/>
      <c r="E478" s="16" t="n"/>
      <c r="F478" s="103" t="n"/>
      <c r="G478" s="25" t="n"/>
      <c r="H478" s="16" t="n"/>
      <c r="I478" s="7">
        <f>IF(C478="","",C478&amp;"|"&amp;COUNTIF($C$5:C478,C478))</f>
        <v/>
      </c>
      <c r="K478" s="39" t="n"/>
      <c r="L478" s="39" t="n"/>
      <c r="M478" s="39" t="n"/>
      <c r="N478" s="39" t="n"/>
    </row>
    <row r="479" ht="21" customHeight="1" s="65">
      <c r="C479" s="16" t="n"/>
      <c r="D479" s="16" t="n"/>
      <c r="E479" s="16" t="n"/>
      <c r="F479" s="103" t="n"/>
      <c r="G479" s="25" t="n"/>
      <c r="H479" s="16" t="n"/>
      <c r="I479" s="7">
        <f>IF(C479="","",C479&amp;"|"&amp;COUNTIF($C$5:C479,C479))</f>
        <v/>
      </c>
      <c r="K479" s="39" t="n"/>
      <c r="L479" s="39" t="n"/>
      <c r="M479" s="39" t="n"/>
      <c r="N479" s="39" t="n"/>
    </row>
    <row r="480" ht="21" customHeight="1" s="65">
      <c r="C480" s="16" t="n"/>
      <c r="D480" s="16" t="n"/>
      <c r="E480" s="16" t="n"/>
      <c r="F480" s="103" t="n"/>
      <c r="G480" s="25" t="n"/>
      <c r="H480" s="16" t="n"/>
      <c r="I480" s="7">
        <f>IF(C480="","",C480&amp;"|"&amp;COUNTIF($C$5:C480,C480))</f>
        <v/>
      </c>
      <c r="K480" s="39" t="n"/>
      <c r="L480" s="39" t="n"/>
      <c r="M480" s="39" t="n"/>
      <c r="N480" s="39" t="n"/>
    </row>
    <row r="481" ht="21" customHeight="1" s="65">
      <c r="C481" s="16" t="n"/>
      <c r="D481" s="16" t="n"/>
      <c r="E481" s="16" t="n"/>
      <c r="F481" s="103" t="n"/>
      <c r="G481" s="25" t="n"/>
      <c r="H481" s="16" t="n"/>
      <c r="I481" s="7">
        <f>IF(C481="","",C481&amp;"|"&amp;COUNTIF($C$5:C481,C481))</f>
        <v/>
      </c>
      <c r="K481" s="39" t="n"/>
      <c r="L481" s="39" t="n"/>
      <c r="M481" s="39" t="n"/>
      <c r="N481" s="39" t="n"/>
    </row>
    <row r="482" ht="21" customHeight="1" s="65">
      <c r="C482" s="16" t="n"/>
      <c r="D482" s="16" t="n"/>
      <c r="E482" s="16" t="n"/>
      <c r="F482" s="103" t="n"/>
      <c r="G482" s="25" t="n"/>
      <c r="H482" s="16" t="n"/>
      <c r="I482" s="7">
        <f>IF(C482="","",C482&amp;"|"&amp;COUNTIF($C$5:C482,C482))</f>
        <v/>
      </c>
      <c r="K482" s="39" t="n"/>
      <c r="L482" s="39" t="n"/>
      <c r="M482" s="39" t="n"/>
      <c r="N482" s="39" t="n"/>
    </row>
    <row r="483" ht="21" customHeight="1" s="65">
      <c r="C483" s="16" t="n"/>
      <c r="D483" s="16" t="n"/>
      <c r="E483" s="16" t="n"/>
      <c r="F483" s="103" t="n"/>
      <c r="G483" s="25" t="n"/>
      <c r="H483" s="16" t="n"/>
      <c r="I483" s="7">
        <f>IF(C483="","",C483&amp;"|"&amp;COUNTIF($C$5:C483,C483))</f>
        <v/>
      </c>
      <c r="K483" s="39" t="n"/>
      <c r="L483" s="39" t="n"/>
      <c r="M483" s="39" t="n"/>
      <c r="N483" s="39" t="n"/>
    </row>
    <row r="484" ht="21" customHeight="1" s="65">
      <c r="C484" s="16" t="n"/>
      <c r="D484" s="16" t="n"/>
      <c r="E484" s="16" t="n"/>
      <c r="F484" s="103" t="n"/>
      <c r="G484" s="25" t="n"/>
      <c r="H484" s="16" t="n"/>
      <c r="I484" s="7">
        <f>IF(C484="","",C484&amp;"|"&amp;COUNTIF($C$5:C484,C484))</f>
        <v/>
      </c>
      <c r="K484" s="39" t="n"/>
      <c r="L484" s="39" t="n"/>
      <c r="M484" s="39" t="n"/>
      <c r="N484" s="39" t="n"/>
    </row>
    <row r="485" ht="21" customHeight="1" s="65">
      <c r="C485" s="16" t="n"/>
      <c r="D485" s="16" t="n"/>
      <c r="E485" s="16" t="n"/>
      <c r="F485" s="103" t="n"/>
      <c r="G485" s="25" t="n"/>
      <c r="H485" s="16" t="n"/>
      <c r="I485" s="7">
        <f>IF(C485="","",C485&amp;"|"&amp;COUNTIF($C$5:C485,C485))</f>
        <v/>
      </c>
      <c r="K485" s="39" t="n"/>
      <c r="L485" s="39" t="n"/>
      <c r="M485" s="39" t="n"/>
      <c r="N485" s="39" t="n"/>
    </row>
    <row r="486" ht="21" customHeight="1" s="65">
      <c r="C486" s="16" t="n"/>
      <c r="D486" s="16" t="n"/>
      <c r="E486" s="16" t="n"/>
      <c r="F486" s="103" t="n"/>
      <c r="G486" s="25" t="n"/>
      <c r="H486" s="16" t="n"/>
      <c r="I486" s="7">
        <f>IF(C486="","",C486&amp;"|"&amp;COUNTIF($C$5:C486,C486))</f>
        <v/>
      </c>
      <c r="K486" s="39" t="n"/>
      <c r="L486" s="39" t="n"/>
      <c r="M486" s="39" t="n"/>
      <c r="N486" s="39" t="n"/>
    </row>
    <row r="487" ht="21" customHeight="1" s="65">
      <c r="C487" s="16" t="n"/>
      <c r="D487" s="16" t="n"/>
      <c r="E487" s="16" t="n"/>
      <c r="F487" s="103" t="n"/>
      <c r="G487" s="25" t="n"/>
      <c r="H487" s="16" t="n"/>
      <c r="I487" s="7">
        <f>IF(C487="","",C487&amp;"|"&amp;COUNTIF($C$5:C487,C487))</f>
        <v/>
      </c>
      <c r="K487" s="39" t="n"/>
      <c r="L487" s="39" t="n"/>
      <c r="M487" s="39" t="n"/>
      <c r="N487" s="39" t="n"/>
    </row>
    <row r="488" ht="21" customHeight="1" s="65">
      <c r="C488" s="16" t="n"/>
      <c r="D488" s="16" t="n"/>
      <c r="E488" s="16" t="n"/>
      <c r="F488" s="103" t="n"/>
      <c r="G488" s="25" t="n"/>
      <c r="H488" s="16" t="n"/>
      <c r="I488" s="7">
        <f>IF(C488="","",C488&amp;"|"&amp;COUNTIF($C$5:C488,C488))</f>
        <v/>
      </c>
      <c r="K488" s="39" t="n"/>
      <c r="L488" s="39" t="n"/>
      <c r="M488" s="39" t="n"/>
      <c r="N488" s="39" t="n"/>
    </row>
    <row r="489" ht="21" customHeight="1" s="65">
      <c r="C489" s="16" t="n"/>
      <c r="D489" s="16" t="n"/>
      <c r="E489" s="16" t="n"/>
      <c r="F489" s="103" t="n"/>
      <c r="G489" s="25" t="n"/>
      <c r="H489" s="16" t="n"/>
      <c r="I489" s="7">
        <f>IF(C489="","",C489&amp;"|"&amp;COUNTIF($C$5:C489,C489))</f>
        <v/>
      </c>
      <c r="K489" s="39" t="n"/>
      <c r="L489" s="39" t="n"/>
      <c r="M489" s="39" t="n"/>
      <c r="N489" s="39" t="n"/>
    </row>
    <row r="490" ht="21" customHeight="1" s="65">
      <c r="C490" s="16" t="n"/>
      <c r="D490" s="16" t="n"/>
      <c r="E490" s="16" t="n"/>
      <c r="F490" s="103" t="n"/>
      <c r="G490" s="25" t="n"/>
      <c r="H490" s="16" t="n"/>
      <c r="I490" s="7">
        <f>IF(C490="","",C490&amp;"|"&amp;COUNTIF($C$5:C490,C490))</f>
        <v/>
      </c>
      <c r="K490" s="39" t="n"/>
      <c r="L490" s="39" t="n"/>
      <c r="M490" s="39" t="n"/>
      <c r="N490" s="39" t="n"/>
    </row>
    <row r="491" ht="21" customHeight="1" s="65">
      <c r="C491" s="16" t="n"/>
      <c r="D491" s="16" t="n"/>
      <c r="E491" s="16" t="n"/>
      <c r="F491" s="103" t="n"/>
      <c r="G491" s="25" t="n"/>
      <c r="H491" s="16" t="n"/>
      <c r="I491" s="7">
        <f>IF(C491="","",C491&amp;"|"&amp;COUNTIF($C$5:C491,C491))</f>
        <v/>
      </c>
      <c r="K491" s="39" t="n"/>
      <c r="L491" s="39" t="n"/>
      <c r="M491" s="39" t="n"/>
      <c r="N491" s="39" t="n"/>
    </row>
    <row r="492" ht="21" customHeight="1" s="65">
      <c r="C492" s="16" t="n"/>
      <c r="D492" s="16" t="n"/>
      <c r="E492" s="16" t="n"/>
      <c r="F492" s="103" t="n"/>
      <c r="G492" s="25" t="n"/>
      <c r="H492" s="16" t="n"/>
      <c r="I492" s="7">
        <f>IF(C492="","",C492&amp;"|"&amp;COUNTIF($C$5:C492,C492))</f>
        <v/>
      </c>
      <c r="K492" s="39" t="n"/>
      <c r="L492" s="39" t="n"/>
      <c r="M492" s="39" t="n"/>
      <c r="N492" s="39" t="n"/>
    </row>
    <row r="493" ht="21" customHeight="1" s="65">
      <c r="C493" s="16" t="n"/>
      <c r="D493" s="16" t="n"/>
      <c r="E493" s="16" t="n"/>
      <c r="F493" s="103" t="n"/>
      <c r="G493" s="25" t="n"/>
      <c r="H493" s="16" t="n"/>
      <c r="I493" s="7">
        <f>IF(C493="","",C493&amp;"|"&amp;COUNTIF($C$5:C493,C493))</f>
        <v/>
      </c>
      <c r="K493" s="39" t="n"/>
      <c r="L493" s="39" t="n"/>
      <c r="M493" s="39" t="n"/>
      <c r="N493" s="39" t="n"/>
    </row>
    <row r="494" ht="21" customHeight="1" s="65">
      <c r="C494" s="16" t="n"/>
      <c r="D494" s="16" t="n"/>
      <c r="E494" s="16" t="n"/>
      <c r="F494" s="103" t="n"/>
      <c r="G494" s="25" t="n"/>
      <c r="H494" s="16" t="n"/>
      <c r="I494" s="7">
        <f>IF(C494="","",C494&amp;"|"&amp;COUNTIF($C$5:C494,C494))</f>
        <v/>
      </c>
      <c r="K494" s="39" t="n"/>
      <c r="L494" s="39" t="n"/>
      <c r="M494" s="39" t="n"/>
      <c r="N494" s="39" t="n"/>
    </row>
    <row r="495" ht="21" customHeight="1" s="65">
      <c r="C495" s="16" t="n"/>
      <c r="D495" s="16" t="n"/>
      <c r="E495" s="16" t="n"/>
      <c r="F495" s="103" t="n"/>
      <c r="G495" s="25" t="n"/>
      <c r="H495" s="16" t="n"/>
      <c r="I495" s="7">
        <f>IF(C495="","",C495&amp;"|"&amp;COUNTIF($C$5:C495,C495))</f>
        <v/>
      </c>
      <c r="K495" s="39" t="n"/>
      <c r="L495" s="39" t="n"/>
      <c r="M495" s="39" t="n"/>
      <c r="N495" s="39" t="n"/>
    </row>
    <row r="496" ht="21" customHeight="1" s="65">
      <c r="C496" s="16" t="n"/>
      <c r="D496" s="16" t="n"/>
      <c r="E496" s="16" t="n"/>
      <c r="F496" s="103" t="n"/>
      <c r="G496" s="25" t="n"/>
      <c r="H496" s="16" t="n"/>
      <c r="I496" s="7">
        <f>IF(C496="","",C496&amp;"|"&amp;COUNTIF($C$5:C496,C496))</f>
        <v/>
      </c>
      <c r="K496" s="39" t="n"/>
      <c r="L496" s="39" t="n"/>
      <c r="M496" s="39" t="n"/>
      <c r="N496" s="39" t="n"/>
    </row>
    <row r="497" ht="21" customHeight="1" s="65">
      <c r="C497" s="16" t="n"/>
      <c r="D497" s="16" t="n"/>
      <c r="E497" s="16" t="n"/>
      <c r="F497" s="103" t="n"/>
      <c r="G497" s="25" t="n"/>
      <c r="H497" s="16" t="n"/>
      <c r="I497" s="7">
        <f>IF(C497="","",C497&amp;"|"&amp;COUNTIF($C$5:C497,C497))</f>
        <v/>
      </c>
      <c r="K497" s="39" t="n"/>
      <c r="L497" s="39" t="n"/>
      <c r="M497" s="39" t="n"/>
      <c r="N497" s="39" t="n"/>
    </row>
    <row r="498" ht="21" customHeight="1" s="65">
      <c r="C498" s="16" t="n"/>
      <c r="D498" s="16" t="n"/>
      <c r="E498" s="16" t="n"/>
      <c r="F498" s="103" t="n"/>
      <c r="G498" s="25" t="n"/>
      <c r="H498" s="16" t="n"/>
      <c r="I498" s="7">
        <f>IF(C498="","",C498&amp;"|"&amp;COUNTIF($C$5:C498,C498))</f>
        <v/>
      </c>
      <c r="K498" s="39" t="n"/>
      <c r="L498" s="39" t="n"/>
      <c r="M498" s="39" t="n"/>
      <c r="N498" s="39" t="n"/>
    </row>
    <row r="499" ht="21" customHeight="1" s="65">
      <c r="C499" s="16" t="n"/>
      <c r="D499" s="16" t="n"/>
      <c r="E499" s="16" t="n"/>
      <c r="F499" s="103" t="n"/>
      <c r="G499" s="25" t="n"/>
      <c r="H499" s="16" t="n"/>
      <c r="I499" s="7">
        <f>IF(C499="","",C499&amp;"|"&amp;COUNTIF($C$5:C499,C499))</f>
        <v/>
      </c>
      <c r="K499" s="39" t="n"/>
      <c r="L499" s="39" t="n"/>
      <c r="M499" s="39" t="n"/>
      <c r="N499" s="39" t="n"/>
    </row>
    <row r="500" ht="21" customHeight="1" s="65">
      <c r="C500" s="16" t="n"/>
      <c r="D500" s="16" t="n"/>
      <c r="E500" s="16" t="n"/>
      <c r="F500" s="103" t="n"/>
      <c r="G500" s="25" t="n"/>
      <c r="H500" s="16" t="n"/>
      <c r="I500" s="7">
        <f>IF(C500="","",C500&amp;"|"&amp;COUNTIF($C$5:C500,C500))</f>
        <v/>
      </c>
      <c r="K500" s="39" t="n"/>
      <c r="L500" s="39" t="n"/>
      <c r="M500" s="39" t="n"/>
      <c r="N500" s="39" t="n"/>
    </row>
    <row r="501" ht="21" customHeight="1" s="65">
      <c r="C501" s="16" t="n"/>
      <c r="D501" s="16" t="n"/>
      <c r="E501" s="16" t="n"/>
      <c r="F501" s="103" t="n"/>
      <c r="G501" s="25" t="n"/>
      <c r="H501" s="16" t="n"/>
      <c r="I501" s="7">
        <f>IF(C501="","",C501&amp;"|"&amp;COUNTIF($C$5:C501,C501))</f>
        <v/>
      </c>
      <c r="K501" s="39" t="n"/>
      <c r="L501" s="39" t="n"/>
      <c r="M501" s="39" t="n"/>
      <c r="N501" s="39" t="n"/>
    </row>
    <row r="502" ht="21" customHeight="1" s="65">
      <c r="C502" s="16" t="n"/>
      <c r="D502" s="16" t="n"/>
      <c r="E502" s="16" t="n"/>
      <c r="F502" s="103" t="n"/>
      <c r="G502" s="25" t="n"/>
      <c r="H502" s="16" t="n"/>
      <c r="I502" s="7">
        <f>IF(C502="","",C502&amp;"|"&amp;COUNTIF($C$5:C502,C502))</f>
        <v/>
      </c>
      <c r="K502" s="39" t="n"/>
      <c r="L502" s="39" t="n"/>
      <c r="M502" s="39" t="n"/>
      <c r="N502" s="39" t="n"/>
    </row>
    <row r="503" ht="21" customHeight="1" s="65">
      <c r="C503" s="16" t="n"/>
      <c r="D503" s="16" t="n"/>
      <c r="E503" s="16" t="n"/>
      <c r="F503" s="103" t="n"/>
      <c r="G503" s="25" t="n"/>
      <c r="H503" s="16" t="n"/>
      <c r="I503" s="7">
        <f>IF(C503="","",C503&amp;"|"&amp;COUNTIF($C$5:C503,C503))</f>
        <v/>
      </c>
      <c r="K503" s="39" t="n"/>
      <c r="L503" s="39" t="n"/>
      <c r="M503" s="39" t="n"/>
      <c r="N503" s="39" t="n"/>
    </row>
    <row r="504" ht="21" customHeight="1" s="65">
      <c r="C504" s="16" t="n"/>
      <c r="D504" s="16" t="n"/>
      <c r="E504" s="16" t="n"/>
      <c r="F504" s="103" t="n"/>
      <c r="G504" s="25" t="n"/>
      <c r="H504" s="16" t="n"/>
      <c r="I504" s="7">
        <f>IF(C504="","",C504&amp;"|"&amp;COUNTIF($C$5:C504,C504))</f>
        <v/>
      </c>
      <c r="K504" s="39" t="n"/>
      <c r="L504" s="39" t="n"/>
      <c r="M504" s="39" t="n"/>
      <c r="N504" s="39" t="n"/>
    </row>
    <row r="505" ht="21" customHeight="1" s="65">
      <c r="C505" s="39" t="n"/>
      <c r="D505" s="39" t="n"/>
      <c r="E505" s="39" t="n"/>
      <c r="F505" s="39" t="n"/>
      <c r="G505" s="39" t="n"/>
      <c r="H505" s="39" t="n"/>
      <c r="I505" s="39" t="n"/>
      <c r="K505" s="39" t="n"/>
      <c r="L505" s="39" t="n"/>
      <c r="M505" s="39" t="n"/>
      <c r="N505" s="39" t="n"/>
    </row>
    <row r="506" ht="21" customHeight="1" s="65">
      <c r="C506" s="39" t="n"/>
      <c r="D506" s="39" t="n"/>
      <c r="E506" s="39" t="n"/>
      <c r="F506" s="39" t="n"/>
      <c r="G506" s="39" t="n"/>
      <c r="H506" s="39" t="n"/>
      <c r="I506" s="39" t="n"/>
      <c r="K506" s="39" t="n"/>
      <c r="L506" s="39" t="n"/>
      <c r="M506" s="39" t="n"/>
      <c r="N506" s="39" t="n"/>
    </row>
    <row r="507" ht="21" customHeight="1" s="65">
      <c r="C507" s="39" t="n"/>
      <c r="D507" s="39" t="n"/>
      <c r="E507" s="39" t="n"/>
      <c r="F507" s="39" t="n"/>
      <c r="G507" s="39" t="n"/>
      <c r="H507" s="39" t="n"/>
      <c r="I507" s="39" t="n"/>
      <c r="K507" s="39" t="n"/>
      <c r="L507" s="39" t="n"/>
      <c r="M507" s="39" t="n"/>
      <c r="N507" s="39" t="n"/>
    </row>
    <row r="508" ht="21" customHeight="1" s="65">
      <c r="C508" s="39" t="n"/>
      <c r="D508" s="39" t="n"/>
      <c r="E508" s="39" t="n"/>
      <c r="F508" s="39" t="n"/>
      <c r="G508" s="39" t="n"/>
      <c r="H508" s="39" t="n"/>
      <c r="I508" s="39" t="n"/>
      <c r="K508" s="39" t="n"/>
      <c r="L508" s="39" t="n"/>
      <c r="M508" s="39" t="n"/>
      <c r="N508" s="39" t="n"/>
    </row>
    <row r="509" ht="21" customHeight="1" s="65">
      <c r="C509" s="39" t="n"/>
      <c r="D509" s="39" t="n"/>
      <c r="E509" s="39" t="n"/>
      <c r="F509" s="39" t="n"/>
      <c r="G509" s="39" t="n"/>
      <c r="H509" s="39" t="n"/>
      <c r="I509" s="39" t="n"/>
      <c r="K509" s="39" t="n"/>
      <c r="L509" s="39" t="n"/>
      <c r="M509" s="39" t="n"/>
      <c r="N509" s="39" t="n"/>
    </row>
    <row r="510" ht="21" customHeight="1" s="65">
      <c r="C510" s="39" t="n"/>
      <c r="D510" s="39" t="n"/>
      <c r="E510" s="39" t="n"/>
      <c r="F510" s="39" t="n"/>
      <c r="G510" s="39" t="n"/>
      <c r="H510" s="39" t="n"/>
      <c r="I510" s="39" t="n"/>
      <c r="K510" s="39" t="n"/>
      <c r="L510" s="39" t="n"/>
      <c r="M510" s="39" t="n"/>
      <c r="N510" s="39" t="n"/>
    </row>
    <row r="511" ht="21" customHeight="1" s="65">
      <c r="C511" s="39" t="n"/>
      <c r="D511" s="39" t="n"/>
      <c r="E511" s="39" t="n"/>
      <c r="F511" s="39" t="n"/>
      <c r="G511" s="39" t="n"/>
      <c r="H511" s="39" t="n"/>
      <c r="I511" s="39" t="n"/>
      <c r="K511" s="39" t="n"/>
      <c r="L511" s="39" t="n"/>
      <c r="M511" s="39" t="n"/>
      <c r="N511" s="39" t="n"/>
    </row>
    <row r="512" ht="21" customHeight="1" s="65">
      <c r="C512" s="39" t="n"/>
      <c r="D512" s="39" t="n"/>
      <c r="E512" s="39" t="n"/>
      <c r="F512" s="39" t="n"/>
      <c r="G512" s="39" t="n"/>
      <c r="H512" s="39" t="n"/>
      <c r="I512" s="39" t="n"/>
      <c r="K512" s="39" t="n"/>
      <c r="L512" s="39" t="n"/>
      <c r="M512" s="39" t="n"/>
      <c r="N512" s="39" t="n"/>
    </row>
    <row r="513" ht="21" customHeight="1" s="65">
      <c r="C513" s="39" t="n"/>
      <c r="D513" s="39" t="n"/>
      <c r="E513" s="39" t="n"/>
      <c r="F513" s="39" t="n"/>
      <c r="G513" s="39" t="n"/>
      <c r="H513" s="39" t="n"/>
      <c r="I513" s="39" t="n"/>
      <c r="K513" s="39" t="n"/>
      <c r="L513" s="39" t="n"/>
      <c r="M513" s="39" t="n"/>
      <c r="N513" s="39" t="n"/>
    </row>
    <row r="514" ht="21" customHeight="1" s="65">
      <c r="C514" s="39" t="n"/>
      <c r="D514" s="39" t="n"/>
      <c r="E514" s="39" t="n"/>
      <c r="F514" s="39" t="n"/>
      <c r="G514" s="39" t="n"/>
      <c r="H514" s="39" t="n"/>
      <c r="I514" s="39" t="n"/>
      <c r="K514" s="39" t="n"/>
      <c r="L514" s="39" t="n"/>
      <c r="M514" s="39" t="n"/>
      <c r="N514" s="39" t="n"/>
    </row>
    <row r="515" ht="21" customHeight="1" s="65">
      <c r="C515" s="39" t="n"/>
      <c r="D515" s="39" t="n"/>
      <c r="E515" s="39" t="n"/>
      <c r="F515" s="39" t="n"/>
      <c r="G515" s="39" t="n"/>
      <c r="H515" s="39" t="n"/>
      <c r="I515" s="39" t="n"/>
      <c r="K515" s="39" t="n"/>
      <c r="L515" s="39" t="n"/>
      <c r="M515" s="39" t="n"/>
      <c r="N515" s="39" t="n"/>
    </row>
    <row r="516" ht="21" customHeight="1" s="65">
      <c r="C516" s="39" t="n"/>
      <c r="D516" s="39" t="n"/>
      <c r="E516" s="39" t="n"/>
      <c r="F516" s="39" t="n"/>
      <c r="G516" s="39" t="n"/>
      <c r="H516" s="39" t="n"/>
      <c r="I516" s="39" t="n"/>
      <c r="K516" s="39" t="n"/>
      <c r="L516" s="39" t="n"/>
      <c r="M516" s="39" t="n"/>
      <c r="N516" s="39" t="n"/>
    </row>
    <row r="517" ht="21" customHeight="1" s="65">
      <c r="C517" s="39" t="n"/>
      <c r="D517" s="39" t="n"/>
      <c r="E517" s="39" t="n"/>
      <c r="F517" s="39" t="n"/>
      <c r="G517" s="39" t="n"/>
      <c r="H517" s="39" t="n"/>
      <c r="I517" s="39" t="n"/>
      <c r="K517" s="39" t="n"/>
      <c r="L517" s="39" t="n"/>
      <c r="M517" s="39" t="n"/>
      <c r="N517" s="39" t="n"/>
    </row>
    <row r="518" ht="21" customHeight="1" s="65">
      <c r="C518" s="39" t="n"/>
      <c r="D518" s="39" t="n"/>
      <c r="E518" s="39" t="n"/>
      <c r="F518" s="39" t="n"/>
      <c r="G518" s="39" t="n"/>
      <c r="H518" s="39" t="n"/>
      <c r="I518" s="39" t="n"/>
      <c r="K518" s="39" t="n"/>
      <c r="L518" s="39" t="n"/>
      <c r="M518" s="39" t="n"/>
      <c r="N518" s="39" t="n"/>
    </row>
    <row r="519" ht="21" customHeight="1" s="65">
      <c r="C519" s="39" t="n"/>
      <c r="D519" s="39" t="n"/>
      <c r="E519" s="39" t="n"/>
      <c r="F519" s="39" t="n"/>
      <c r="G519" s="39" t="n"/>
      <c r="H519" s="39" t="n"/>
      <c r="I519" s="39" t="n"/>
      <c r="K519" s="39" t="n"/>
      <c r="L519" s="39" t="n"/>
      <c r="M519" s="39" t="n"/>
      <c r="N519" s="39" t="n"/>
    </row>
    <row r="520" ht="21" customHeight="1" s="65">
      <c r="C520" s="39" t="n"/>
      <c r="D520" s="39" t="n"/>
      <c r="E520" s="39" t="n"/>
      <c r="F520" s="39" t="n"/>
      <c r="G520" s="39" t="n"/>
      <c r="H520" s="39" t="n"/>
      <c r="I520" s="39" t="n"/>
      <c r="K520" s="39" t="n"/>
      <c r="L520" s="39" t="n"/>
      <c r="M520" s="39" t="n"/>
      <c r="N520" s="39" t="n"/>
    </row>
    <row r="521" ht="21" customHeight="1" s="65">
      <c r="C521" s="39" t="n"/>
      <c r="D521" s="39" t="n"/>
      <c r="E521" s="39" t="n"/>
      <c r="F521" s="39" t="n"/>
      <c r="G521" s="39" t="n"/>
      <c r="H521" s="39" t="n"/>
      <c r="I521" s="39" t="n"/>
      <c r="K521" s="39" t="n"/>
      <c r="L521" s="39" t="n"/>
      <c r="M521" s="39" t="n"/>
      <c r="N521" s="39" t="n"/>
    </row>
    <row r="522" ht="21" customHeight="1" s="65">
      <c r="C522" s="39" t="n"/>
      <c r="D522" s="39" t="n"/>
      <c r="E522" s="39" t="n"/>
      <c r="F522" s="39" t="n"/>
      <c r="G522" s="39" t="n"/>
      <c r="H522" s="39" t="n"/>
      <c r="I522" s="39" t="n"/>
      <c r="K522" s="39" t="n"/>
      <c r="L522" s="39" t="n"/>
      <c r="M522" s="39" t="n"/>
      <c r="N522" s="39" t="n"/>
    </row>
    <row r="523" ht="21" customHeight="1" s="65">
      <c r="C523" s="39" t="n"/>
      <c r="D523" s="39" t="n"/>
      <c r="E523" s="39" t="n"/>
      <c r="F523" s="39" t="n"/>
      <c r="G523" s="39" t="n"/>
      <c r="H523" s="39" t="n"/>
      <c r="I523" s="39" t="n"/>
      <c r="K523" s="39" t="n"/>
      <c r="L523" s="39" t="n"/>
      <c r="M523" s="39" t="n"/>
      <c r="N523" s="39" t="n"/>
    </row>
    <row r="524" ht="21" customHeight="1" s="65">
      <c r="C524" s="39" t="n"/>
      <c r="D524" s="39" t="n"/>
      <c r="E524" s="39" t="n"/>
      <c r="F524" s="39" t="n"/>
      <c r="G524" s="39" t="n"/>
      <c r="H524" s="39" t="n"/>
      <c r="I524" s="39" t="n"/>
      <c r="K524" s="39" t="n"/>
      <c r="L524" s="39" t="n"/>
      <c r="M524" s="39" t="n"/>
      <c r="N524" s="39" t="n"/>
    </row>
    <row r="525" ht="21" customHeight="1" s="65">
      <c r="C525" s="39" t="n"/>
      <c r="D525" s="39" t="n"/>
      <c r="E525" s="39" t="n"/>
      <c r="F525" s="39" t="n"/>
      <c r="G525" s="39" t="n"/>
      <c r="H525" s="39" t="n"/>
      <c r="I525" s="39" t="n"/>
      <c r="K525" s="39" t="n"/>
      <c r="L525" s="39" t="n"/>
      <c r="M525" s="39" t="n"/>
      <c r="N525" s="39" t="n"/>
    </row>
    <row r="526" ht="21" customHeight="1" s="65">
      <c r="C526" s="39" t="n"/>
      <c r="D526" s="39" t="n"/>
      <c r="E526" s="39" t="n"/>
      <c r="F526" s="39" t="n"/>
      <c r="G526" s="39" t="n"/>
      <c r="H526" s="39" t="n"/>
      <c r="I526" s="39" t="n"/>
      <c r="K526" s="39" t="n"/>
      <c r="L526" s="39" t="n"/>
      <c r="M526" s="39" t="n"/>
      <c r="N526" s="39" t="n"/>
    </row>
    <row r="527" ht="21" customHeight="1" s="65">
      <c r="C527" s="39" t="n"/>
      <c r="D527" s="39" t="n"/>
      <c r="E527" s="39" t="n"/>
      <c r="F527" s="39" t="n"/>
      <c r="G527" s="39" t="n"/>
      <c r="H527" s="39" t="n"/>
      <c r="I527" s="39" t="n"/>
      <c r="K527" s="39" t="n"/>
      <c r="L527" s="39" t="n"/>
      <c r="M527" s="39" t="n"/>
      <c r="N527" s="39" t="n"/>
    </row>
    <row r="528" ht="21" customHeight="1" s="65"/>
    <row r="529" ht="21" customHeight="1" s="65"/>
    <row r="530" ht="21" customHeight="1" s="65"/>
    <row r="531" ht="21" customHeight="1" s="65"/>
    <row r="532" ht="21" customHeight="1" s="65"/>
    <row r="533" ht="21" customHeight="1" s="65"/>
    <row r="534" ht="21" customHeight="1" s="65"/>
    <row r="535" ht="21" customHeight="1" s="65"/>
    <row r="536" ht="21" customHeight="1" s="65"/>
    <row r="537" ht="21" customHeight="1" s="65"/>
    <row r="538" ht="21" customHeight="1" s="65"/>
    <row r="539" ht="21" customHeight="1" s="65"/>
    <row r="540" ht="21" customHeight="1" s="65"/>
    <row r="541" ht="21" customHeight="1" s="65"/>
    <row r="542" ht="21" customHeight="1" s="65"/>
    <row r="543" ht="21" customHeight="1" s="65"/>
    <row r="544" ht="21" customHeight="1" s="65"/>
    <row r="545" ht="21" customHeight="1" s="65"/>
    <row r="546" ht="21" customHeight="1" s="65"/>
    <row r="547" ht="21" customHeight="1" s="65"/>
    <row r="548" ht="21" customHeight="1" s="65"/>
    <row r="549" ht="21" customHeight="1" s="65"/>
    <row r="550" ht="21" customHeight="1" s="65"/>
    <row r="551" ht="21" customHeight="1" s="65"/>
    <row r="552" ht="21" customHeight="1" s="65"/>
    <row r="553" ht="21" customHeight="1" s="65"/>
    <row r="554" ht="21" customHeight="1" s="65"/>
    <row r="555" ht="21" customHeight="1" s="65"/>
    <row r="556" ht="21" customHeight="1" s="65"/>
    <row r="557" ht="21" customHeight="1" s="65"/>
    <row r="558" ht="21" customHeight="1" s="65"/>
    <row r="559" ht="21" customHeight="1" s="65"/>
    <row r="560" ht="21" customHeight="1" s="65"/>
    <row r="561" ht="21" customHeight="1" s="65"/>
    <row r="562" ht="21" customHeight="1" s="65"/>
    <row r="563" ht="21" customHeight="1" s="65"/>
    <row r="564" ht="21" customHeight="1" s="65"/>
    <row r="565" ht="21" customHeight="1" s="65"/>
    <row r="566" ht="21" customHeight="1" s="65"/>
    <row r="567" ht="21" customHeight="1" s="65"/>
    <row r="568" ht="21" customHeight="1" s="65"/>
    <row r="569" ht="21" customHeight="1" s="65"/>
    <row r="570" ht="21" customHeight="1" s="65"/>
    <row r="571" ht="21" customHeight="1" s="65"/>
    <row r="572" ht="21" customHeight="1" s="65"/>
    <row r="573" ht="21" customHeight="1" s="65"/>
    <row r="574" ht="21" customHeight="1" s="65"/>
    <row r="575" ht="21" customHeight="1" s="65"/>
    <row r="576" ht="21" customHeight="1" s="65"/>
    <row r="577" ht="21" customHeight="1" s="65"/>
    <row r="578" ht="21" customHeight="1" s="65"/>
    <row r="579" ht="21" customHeight="1" s="65"/>
    <row r="580" ht="21" customHeight="1" s="65"/>
    <row r="581" ht="21" customHeight="1" s="65"/>
    <row r="582" ht="21" customHeight="1" s="65"/>
    <row r="583" ht="21" customHeight="1" s="65"/>
    <row r="584" ht="21" customHeight="1" s="65"/>
    <row r="585" ht="21" customHeight="1" s="65"/>
    <row r="586" ht="21" customHeight="1" s="65"/>
    <row r="587" ht="21" customHeight="1" s="65"/>
    <row r="588" ht="21" customHeight="1" s="65"/>
    <row r="589" ht="21" customHeight="1" s="65"/>
    <row r="590" ht="21" customHeight="1" s="65"/>
    <row r="591" ht="21" customHeight="1" s="65"/>
    <row r="592" ht="21" customHeight="1" s="65"/>
    <row r="593" ht="21" customHeight="1" s="65"/>
    <row r="594" ht="21" customHeight="1" s="65"/>
    <row r="595" ht="21" customHeight="1" s="65"/>
    <row r="596" ht="21" customHeight="1" s="65"/>
    <row r="597" ht="21" customHeight="1" s="65"/>
    <row r="598" ht="21" customHeight="1" s="65"/>
    <row r="599" ht="21" customHeight="1" s="65"/>
    <row r="600" ht="21" customHeight="1" s="65"/>
    <row r="601" ht="21" customHeight="1" s="65"/>
    <row r="602" ht="21" customHeight="1" s="65"/>
    <row r="603" ht="21" customHeight="1" s="65"/>
    <row r="604" ht="21" customHeight="1" s="65"/>
    <row r="605" ht="21" customHeight="1" s="65"/>
    <row r="606" ht="21" customHeight="1" s="65"/>
    <row r="607" ht="21" customHeight="1" s="65"/>
    <row r="608" ht="21" customHeight="1" s="65"/>
    <row r="609" ht="21" customHeight="1" s="65"/>
    <row r="610" ht="21" customHeight="1" s="65"/>
    <row r="611" ht="21" customHeight="1" s="65"/>
    <row r="612" ht="21" customHeight="1" s="65"/>
    <row r="613" ht="21" customHeight="1" s="65"/>
    <row r="614" ht="21" customHeight="1" s="65"/>
    <row r="615" ht="21" customHeight="1" s="65"/>
    <row r="616" ht="21" customHeight="1" s="65"/>
    <row r="617" ht="21" customHeight="1" s="65"/>
    <row r="618" ht="21" customHeight="1" s="65"/>
    <row r="619" ht="21" customHeight="1" s="65"/>
    <row r="620" ht="21" customHeight="1" s="65"/>
    <row r="621" ht="21" customHeight="1" s="65"/>
    <row r="622" ht="21" customHeight="1" s="65"/>
    <row r="623" ht="21" customHeight="1" s="65"/>
    <row r="624" ht="21" customHeight="1" s="65"/>
    <row r="625" ht="21" customHeight="1" s="65"/>
    <row r="626" ht="21" customHeight="1" s="65"/>
    <row r="627" ht="21" customHeight="1" s="65"/>
    <row r="628" ht="21" customHeight="1" s="65"/>
    <row r="629" ht="21" customHeight="1" s="65"/>
    <row r="630" ht="21" customHeight="1" s="65"/>
    <row r="631" ht="21" customHeight="1" s="65"/>
    <row r="632" ht="21" customHeight="1" s="65"/>
    <row r="633" ht="21" customHeight="1" s="65"/>
    <row r="634" ht="21" customHeight="1" s="65"/>
    <row r="635" ht="21" customHeight="1" s="65"/>
    <row r="636" ht="21" customHeight="1" s="65"/>
    <row r="637" ht="21" customHeight="1" s="65"/>
    <row r="638" ht="21" customHeight="1" s="65"/>
    <row r="639" ht="21" customHeight="1" s="65"/>
    <row r="640" ht="21" customHeight="1" s="65"/>
    <row r="641" ht="21" customHeight="1" s="65"/>
    <row r="642" ht="21" customHeight="1" s="65"/>
    <row r="643" ht="21" customHeight="1" s="65"/>
    <row r="644" ht="21" customHeight="1" s="65"/>
    <row r="645" ht="21" customHeight="1" s="65"/>
    <row r="646" ht="21" customHeight="1" s="65"/>
    <row r="647" ht="21" customHeight="1" s="65"/>
    <row r="648" ht="21" customHeight="1" s="65"/>
    <row r="649" ht="21" customHeight="1" s="65"/>
    <row r="650" ht="21" customHeight="1" s="65"/>
    <row r="651" ht="21" customHeight="1" s="65"/>
    <row r="652" ht="21" customHeight="1" s="65"/>
    <row r="653" ht="21" customHeight="1" s="65"/>
    <row r="654" ht="21" customHeight="1" s="65"/>
    <row r="655" ht="21" customHeight="1" s="65"/>
    <row r="656" ht="21" customHeight="1" s="65"/>
    <row r="657" ht="21" customHeight="1" s="65"/>
    <row r="658" ht="21" customHeight="1" s="65"/>
    <row r="659" ht="21" customHeight="1" s="65"/>
    <row r="660" ht="21" customHeight="1" s="65"/>
    <row r="661" ht="21" customHeight="1" s="65"/>
    <row r="662" ht="21" customHeight="1" s="65"/>
    <row r="663" ht="21" customHeight="1" s="65"/>
    <row r="664" ht="21" customHeight="1" s="65"/>
    <row r="665" ht="21" customHeight="1" s="65"/>
    <row r="666" ht="21" customHeight="1" s="65"/>
    <row r="667" ht="21" customHeight="1" s="65"/>
    <row r="668" ht="21" customHeight="1" s="65"/>
    <row r="669" ht="21" customHeight="1" s="65"/>
    <row r="670" ht="21" customHeight="1" s="65"/>
    <row r="671" ht="21" customHeight="1" s="65"/>
    <row r="672" ht="21" customHeight="1" s="65"/>
    <row r="673" ht="21" customHeight="1" s="65"/>
    <row r="674" ht="21" customHeight="1" s="65"/>
    <row r="675" ht="21" customHeight="1" s="65"/>
    <row r="676" ht="21" customHeight="1" s="65"/>
    <row r="677" ht="21" customHeight="1" s="65"/>
    <row r="678" ht="21" customHeight="1" s="65"/>
    <row r="679" ht="21" customHeight="1" s="65"/>
    <row r="680" ht="21" customHeight="1" s="65"/>
    <row r="681" ht="21" customHeight="1" s="65"/>
    <row r="682" ht="21" customHeight="1" s="65"/>
    <row r="683" ht="21" customHeight="1" s="65"/>
    <row r="684" ht="21" customHeight="1" s="65"/>
    <row r="685" ht="21" customHeight="1" s="65"/>
    <row r="686" ht="21" customHeight="1" s="65"/>
    <row r="687" ht="21" customHeight="1" s="65"/>
    <row r="688" ht="21" customHeight="1" s="65"/>
    <row r="689" ht="21" customHeight="1" s="65"/>
    <row r="690" ht="21" customHeight="1" s="65"/>
    <row r="691" ht="21" customHeight="1" s="65"/>
    <row r="692" ht="21" customHeight="1" s="65"/>
    <row r="693" ht="21" customHeight="1" s="65"/>
    <row r="694" ht="21" customHeight="1" s="65"/>
    <row r="695" ht="21" customHeight="1" s="65"/>
    <row r="696" ht="21" customHeight="1" s="65"/>
    <row r="697" ht="21" customHeight="1" s="65"/>
    <row r="698" ht="21" customHeight="1" s="65"/>
    <row r="699" ht="21" customHeight="1" s="65"/>
    <row r="700" ht="21" customHeight="1" s="65"/>
    <row r="701" ht="21" customHeight="1" s="65"/>
    <row r="702" ht="21" customHeight="1" s="65"/>
    <row r="703" ht="21" customHeight="1" s="65"/>
    <row r="704" ht="21" customHeight="1" s="65"/>
    <row r="705" ht="21" customHeight="1" s="65"/>
    <row r="706" ht="21" customHeight="1" s="65"/>
    <row r="707" ht="21" customHeight="1" s="65"/>
    <row r="708" ht="21" customHeight="1" s="65"/>
    <row r="709" ht="21" customHeight="1" s="65"/>
    <row r="710" ht="21" customHeight="1" s="65"/>
    <row r="711" ht="21" customHeight="1" s="65"/>
    <row r="712" ht="21" customHeight="1" s="65"/>
    <row r="713" ht="21" customHeight="1" s="65"/>
    <row r="714" ht="21" customHeight="1" s="65"/>
    <row r="715" ht="21" customHeight="1" s="65"/>
    <row r="716" ht="21" customHeight="1" s="65"/>
    <row r="717" ht="21" customHeight="1" s="65"/>
    <row r="718" ht="21" customHeight="1" s="65"/>
    <row r="719" ht="21" customHeight="1" s="65"/>
    <row r="720" ht="21" customHeight="1" s="65"/>
    <row r="721" ht="21" customHeight="1" s="65"/>
    <row r="722" ht="21" customHeight="1" s="65"/>
    <row r="723" ht="21" customHeight="1" s="65"/>
    <row r="724" ht="21" customHeight="1" s="65"/>
    <row r="725" ht="21" customHeight="1" s="65"/>
    <row r="726" ht="21" customHeight="1" s="65"/>
    <row r="727" ht="21" customHeight="1" s="65"/>
    <row r="728" ht="21" customHeight="1" s="65"/>
    <row r="729" ht="21" customHeight="1" s="65"/>
    <row r="730" ht="21" customHeight="1" s="65"/>
    <row r="731" ht="21" customHeight="1" s="65"/>
    <row r="732" ht="21" customHeight="1" s="65"/>
    <row r="733" ht="21" customHeight="1" s="65"/>
    <row r="734" ht="21" customHeight="1" s="65"/>
    <row r="735" ht="21" customHeight="1" s="65"/>
    <row r="736" ht="21" customHeight="1" s="65"/>
    <row r="737" ht="21" customHeight="1" s="65"/>
    <row r="738" ht="21" customHeight="1" s="65"/>
    <row r="739" ht="21" customHeight="1" s="65"/>
    <row r="740" ht="21" customHeight="1" s="65"/>
    <row r="741" ht="21" customHeight="1" s="65"/>
    <row r="742" ht="21" customHeight="1" s="65"/>
    <row r="743" ht="21" customHeight="1" s="65"/>
    <row r="744" ht="21" customHeight="1" s="65"/>
    <row r="745" ht="21" customHeight="1" s="65"/>
    <row r="746" ht="21" customHeight="1" s="65"/>
    <row r="747" ht="21" customHeight="1" s="65"/>
    <row r="748" ht="21" customHeight="1" s="65"/>
    <row r="749" ht="21" customHeight="1" s="65"/>
  </sheetData>
  <mergeCells count="5">
    <mergeCell ref="K5:N12"/>
    <mergeCell ref="K4:N4"/>
    <mergeCell ref="C2:I2"/>
    <mergeCell ref="C1:I1"/>
    <mergeCell ref="K14:N16"/>
  </mergeCells>
  <dataValidations count="1">
    <dataValidation sqref="C5:C504" showDropDown="0" showInputMessage="0" showErrorMessage="0" allowBlank="1" type="list">
      <formula1>"Activo corriente,Activo no corriente,Otros activos"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8B3333"/>
    <outlinePr summaryBelow="1" summaryRight="1"/>
    <pageSetUpPr/>
  </sheetPr>
  <dimension ref="C1:N576"/>
  <sheetViews>
    <sheetView workbookViewId="0">
      <selection activeCell="A1" sqref="A1"/>
    </sheetView>
  </sheetViews>
  <sheetFormatPr baseColWidth="10" defaultColWidth="9.140625" defaultRowHeight="15"/>
  <cols>
    <col width="9.140625" customWidth="1" style="39" min="1" max="2"/>
    <col width="24" customWidth="1" style="65" min="3" max="3"/>
    <col width="32" customWidth="1" style="65" min="4" max="4"/>
    <col width="40" customWidth="1" style="65" min="5" max="5"/>
    <col width="18" customWidth="1" style="65" min="6" max="6"/>
    <col width="14" customWidth="1" style="65" min="7" max="7"/>
    <col width="30" customWidth="1" style="65" min="8" max="8"/>
    <col hidden="1" width="28" customWidth="1" style="65" min="9" max="9"/>
    <col width="9.140625" customWidth="1" style="39" min="10" max="10"/>
    <col width="9.140625" customWidth="1" style="39" min="15" max="19"/>
  </cols>
  <sheetData>
    <row r="1" ht="21" customHeight="1" s="65">
      <c r="C1" s="66" t="inlineStr">
        <is>
          <t>PASIVOS</t>
        </is>
      </c>
      <c r="D1" s="98" t="n"/>
      <c r="E1" s="98" t="n"/>
      <c r="F1" s="98" t="n"/>
      <c r="G1" s="98" t="n"/>
      <c r="H1" s="98" t="n"/>
      <c r="I1" s="99" t="n"/>
      <c r="K1" s="39" t="n"/>
      <c r="L1" s="39" t="n"/>
      <c r="M1" s="39" t="n"/>
      <c r="N1" s="39" t="n"/>
    </row>
    <row r="2" ht="21" customHeight="1" s="65">
      <c r="C2" s="64" t="inlineStr">
        <is>
          <t>Registra todas las deudas y obligaciones de la empresa.</t>
        </is>
      </c>
      <c r="D2" s="100" t="n"/>
      <c r="E2" s="100" t="n"/>
      <c r="F2" s="100" t="n"/>
      <c r="G2" s="100" t="n"/>
      <c r="H2" s="100" t="n"/>
      <c r="I2" s="101" t="n"/>
      <c r="K2" s="39" t="n"/>
      <c r="L2" s="39" t="n"/>
      <c r="M2" s="39" t="n"/>
      <c r="N2" s="39" t="n"/>
    </row>
    <row r="3" ht="21" customFormat="1" customHeight="1" s="39"/>
    <row r="4" ht="21" customHeight="1" s="65">
      <c r="C4" s="8" t="inlineStr">
        <is>
          <t>Categoría</t>
        </is>
      </c>
      <c r="D4" s="8" t="inlineStr">
        <is>
          <t>Cuenta / Ítem</t>
        </is>
      </c>
      <c r="E4" s="8" t="inlineStr">
        <is>
          <t>Descripción</t>
        </is>
      </c>
      <c r="F4" s="8" t="inlineStr">
        <is>
          <t>Monto</t>
        </is>
      </c>
      <c r="G4" s="8" t="inlineStr">
        <is>
          <t>Orden</t>
        </is>
      </c>
      <c r="H4" s="8" t="inlineStr">
        <is>
          <t>Nota</t>
        </is>
      </c>
      <c r="I4" s="1" t="inlineStr">
        <is>
          <t>Clave automática</t>
        </is>
      </c>
      <c r="K4" s="71" t="inlineStr">
        <is>
          <t>Registro de pasivos</t>
        </is>
      </c>
      <c r="L4" s="89" t="n"/>
      <c r="M4" s="89" t="n"/>
      <c r="N4" s="90" t="n"/>
    </row>
    <row r="5" ht="21" customHeight="1" s="65">
      <c r="C5" s="26" t="inlineStr">
        <is>
          <t>Pasivo corriente</t>
        </is>
      </c>
      <c r="D5" s="26" t="inlineStr">
        <is>
          <t>Proveedores</t>
        </is>
      </c>
      <c r="E5" s="26" t="inlineStr">
        <is>
          <t>Deudas con proveedores</t>
        </is>
      </c>
      <c r="F5" s="104" t="n">
        <v>2500000</v>
      </c>
      <c r="G5" s="28" t="n">
        <v>1</v>
      </c>
      <c r="H5" s="26" t="n"/>
      <c r="I5" s="7">
        <f>IF(C5="","",C5&amp;"|"&amp;COUNTIF($C$5:C5,C5))</f>
        <v/>
      </c>
      <c r="K5" s="70" t="inlineStr">
        <is>
          <t>Ingrese aquí todas las deudas y obligaciones de la empresa. Seleccione si corresponde a Pasivo corriente o Pasivo no corriente, escriba el nombre de la cuenta y luego ingrese el monto. Los totales se calculan automáticamente y se conectan con el Balance General.</t>
        </is>
      </c>
      <c r="L5" s="91" t="n"/>
      <c r="M5" s="91" t="n"/>
      <c r="N5" s="92" t="n"/>
    </row>
    <row r="6" ht="21" customHeight="1" s="65">
      <c r="C6" s="26" t="inlineStr">
        <is>
          <t>Pasivo corriente</t>
        </is>
      </c>
      <c r="D6" s="26" t="inlineStr">
        <is>
          <t>Impuestos por pagar</t>
        </is>
      </c>
      <c r="E6" s="26" t="inlineStr">
        <is>
          <t>Obligaciones tributarias pendientes</t>
        </is>
      </c>
      <c r="F6" s="104" t="n">
        <v>650000</v>
      </c>
      <c r="G6" s="28" t="n">
        <v>2</v>
      </c>
      <c r="H6" s="26" t="n"/>
      <c r="I6" s="7">
        <f>IF(C6="","",C6&amp;"|"&amp;COUNTIF($C$5:C6,C6))</f>
        <v/>
      </c>
      <c r="K6" s="96" t="n"/>
      <c r="N6" s="97" t="n"/>
    </row>
    <row r="7" ht="21" customHeight="1" s="65">
      <c r="C7" s="26" t="inlineStr">
        <is>
          <t>Pasivo corriente</t>
        </is>
      </c>
      <c r="D7" s="26" t="inlineStr">
        <is>
          <t>Sueldos por pagar</t>
        </is>
      </c>
      <c r="E7" s="26" t="inlineStr">
        <is>
          <t>Remuneraciones pendientes</t>
        </is>
      </c>
      <c r="F7" s="104" t="n">
        <v>900000</v>
      </c>
      <c r="G7" s="28" t="n">
        <v>3</v>
      </c>
      <c r="H7" s="26" t="n"/>
      <c r="I7" s="7">
        <f>IF(C7="","",C7&amp;"|"&amp;COUNTIF($C$5:C7,C7))</f>
        <v/>
      </c>
      <c r="K7" s="96" t="n"/>
      <c r="N7" s="97" t="n"/>
    </row>
    <row r="8" ht="21" customHeight="1" s="65">
      <c r="C8" s="26" t="inlineStr">
        <is>
          <t>Pasivo no corriente</t>
        </is>
      </c>
      <c r="D8" s="26" t="inlineStr">
        <is>
          <t>Préstamo bancario</t>
        </is>
      </c>
      <c r="E8" s="26" t="inlineStr">
        <is>
          <t>Deuda bancaria de largo plazo</t>
        </is>
      </c>
      <c r="F8" s="104" t="n">
        <v>4200000</v>
      </c>
      <c r="G8" s="28" t="n">
        <v>1</v>
      </c>
      <c r="H8" s="26" t="n"/>
      <c r="I8" s="7">
        <f>IF(C8="","",C8&amp;"|"&amp;COUNTIF($C$5:C8,C8))</f>
        <v/>
      </c>
      <c r="K8" s="96" t="n"/>
      <c r="N8" s="97" t="n"/>
    </row>
    <row r="9" ht="21" customHeight="1" s="65">
      <c r="C9" s="26" t="n"/>
      <c r="D9" s="26" t="n"/>
      <c r="E9" s="26" t="n"/>
      <c r="F9" s="104" t="n"/>
      <c r="G9" s="28" t="n"/>
      <c r="H9" s="26" t="n"/>
      <c r="I9" s="7">
        <f>IF(C9="","",C9&amp;"|"&amp;COUNTIF($C$5:C9,C9))</f>
        <v/>
      </c>
      <c r="K9" s="96" t="n"/>
      <c r="N9" s="97" t="n"/>
    </row>
    <row r="10" ht="21" customHeight="1" s="65">
      <c r="C10" s="26" t="n"/>
      <c r="D10" s="26" t="n"/>
      <c r="E10" s="26" t="n"/>
      <c r="F10" s="104" t="n"/>
      <c r="G10" s="28" t="n"/>
      <c r="H10" s="26" t="n"/>
      <c r="I10" s="7">
        <f>IF(C10="","",C10&amp;"|"&amp;COUNTIF($C$5:C10,C10))</f>
        <v/>
      </c>
      <c r="K10" s="96" t="n"/>
      <c r="N10" s="97" t="n"/>
    </row>
    <row r="11" ht="21" customHeight="1" s="65">
      <c r="C11" s="26" t="n"/>
      <c r="D11" s="26" t="n"/>
      <c r="E11" s="26" t="n"/>
      <c r="F11" s="104" t="n"/>
      <c r="G11" s="28" t="n"/>
      <c r="H11" s="26" t="n"/>
      <c r="I11" s="7">
        <f>IF(C11="","",C11&amp;"|"&amp;COUNTIF($C$5:C11,C11))</f>
        <v/>
      </c>
      <c r="K11" s="96" t="n"/>
      <c r="N11" s="97" t="n"/>
    </row>
    <row r="12" ht="21" customHeight="1" s="65">
      <c r="C12" s="26" t="n"/>
      <c r="D12" s="26" t="n"/>
      <c r="E12" s="26" t="n"/>
      <c r="F12" s="104" t="n"/>
      <c r="G12" s="28" t="n"/>
      <c r="H12" s="26" t="n"/>
      <c r="I12" s="7">
        <f>IF(C12="","",C12&amp;"|"&amp;COUNTIF($C$5:C12,C12))</f>
        <v/>
      </c>
      <c r="K12" s="93" t="n"/>
      <c r="L12" s="94" t="n"/>
      <c r="M12" s="94" t="n"/>
      <c r="N12" s="95" t="n"/>
    </row>
    <row r="13" ht="21" customHeight="1" s="65">
      <c r="C13" s="26" t="n"/>
      <c r="D13" s="26" t="n"/>
      <c r="E13" s="26" t="n"/>
      <c r="F13" s="104" t="n"/>
      <c r="G13" s="28" t="n"/>
      <c r="H13" s="26" t="n"/>
      <c r="I13" s="7">
        <f>IF(C13="","",C13&amp;"|"&amp;COUNTIF($C$5:C13,C13))</f>
        <v/>
      </c>
      <c r="K13" s="39" t="n"/>
      <c r="L13" s="39" t="n"/>
      <c r="M13" s="39" t="n"/>
      <c r="N13" s="39" t="n"/>
    </row>
    <row r="14" ht="21" customHeight="1" s="65">
      <c r="C14" s="26" t="n"/>
      <c r="D14" s="26" t="n"/>
      <c r="E14" s="26" t="n"/>
      <c r="F14" s="104" t="n"/>
      <c r="G14" s="28" t="n"/>
      <c r="H14" s="26" t="n"/>
      <c r="I14" s="7">
        <f>IF(C14="","",C14&amp;"|"&amp;COUNTIF($C$5:C14,C14))</f>
        <v/>
      </c>
      <c r="K14" s="70" t="inlineStr">
        <is>
          <t>Ejemplos: proveedores, préstamos bancarios, impuestos por pagar, sueldos por pagar, créditos de largo plazo.</t>
        </is>
      </c>
      <c r="L14" s="91" t="n"/>
      <c r="M14" s="91" t="n"/>
      <c r="N14" s="92" t="n"/>
    </row>
    <row r="15" ht="21" customHeight="1" s="65">
      <c r="C15" s="26" t="n"/>
      <c r="D15" s="26" t="n"/>
      <c r="E15" s="26" t="n"/>
      <c r="F15" s="104" t="n"/>
      <c r="G15" s="28" t="n"/>
      <c r="H15" s="26" t="n"/>
      <c r="I15" s="7">
        <f>IF(C15="","",C15&amp;"|"&amp;COUNTIF($C$5:C15,C15))</f>
        <v/>
      </c>
      <c r="K15" s="96" t="n"/>
      <c r="N15" s="97" t="n"/>
    </row>
    <row r="16" ht="21" customHeight="1" s="65">
      <c r="C16" s="26" t="n"/>
      <c r="D16" s="26" t="n"/>
      <c r="E16" s="26" t="n"/>
      <c r="F16" s="104" t="n"/>
      <c r="G16" s="28" t="n"/>
      <c r="H16" s="26" t="n"/>
      <c r="I16" s="7">
        <f>IF(C16="","",C16&amp;"|"&amp;COUNTIF($C$5:C16,C16))</f>
        <v/>
      </c>
      <c r="K16" s="93" t="n"/>
      <c r="L16" s="94" t="n"/>
      <c r="M16" s="94" t="n"/>
      <c r="N16" s="95" t="n"/>
    </row>
    <row r="17" ht="21" customHeight="1" s="65">
      <c r="C17" s="26" t="n"/>
      <c r="D17" s="26" t="n"/>
      <c r="E17" s="26" t="n"/>
      <c r="F17" s="104" t="n"/>
      <c r="G17" s="28" t="n"/>
      <c r="H17" s="26" t="n"/>
      <c r="I17" s="7">
        <f>IF(C17="","",C17&amp;"|"&amp;COUNTIF($C$5:C17,C17))</f>
        <v/>
      </c>
      <c r="K17" s="39" t="n"/>
      <c r="L17" s="39" t="n"/>
      <c r="M17" s="39" t="n"/>
      <c r="N17" s="39" t="n"/>
    </row>
    <row r="18" ht="21" customHeight="1" s="65">
      <c r="C18" s="26" t="n"/>
      <c r="D18" s="26" t="n"/>
      <c r="E18" s="26" t="n"/>
      <c r="F18" s="104" t="n"/>
      <c r="G18" s="28" t="n"/>
      <c r="H18" s="26" t="n"/>
      <c r="I18" s="7">
        <f>IF(C18="","",C18&amp;"|"&amp;COUNTIF($C$5:C18,C18))</f>
        <v/>
      </c>
      <c r="K18" s="39" t="n"/>
      <c r="L18" s="39" t="n"/>
      <c r="M18" s="39" t="n"/>
      <c r="N18" s="39" t="n"/>
    </row>
    <row r="19" ht="21" customHeight="1" s="65">
      <c r="C19" s="26" t="n"/>
      <c r="D19" s="26" t="n"/>
      <c r="E19" s="26" t="n"/>
      <c r="F19" s="104" t="n"/>
      <c r="G19" s="28" t="n"/>
      <c r="H19" s="26" t="n"/>
      <c r="I19" s="7">
        <f>IF(C19="","",C19&amp;"|"&amp;COUNTIF($C$5:C19,C19))</f>
        <v/>
      </c>
      <c r="K19" s="39" t="n"/>
      <c r="L19" s="39" t="n"/>
      <c r="M19" s="39" t="n"/>
      <c r="N19" s="39" t="n"/>
    </row>
    <row r="20" ht="21" customHeight="1" s="65">
      <c r="C20" s="26" t="n"/>
      <c r="D20" s="26" t="n"/>
      <c r="E20" s="26" t="n"/>
      <c r="F20" s="104" t="n"/>
      <c r="G20" s="28" t="n"/>
      <c r="H20" s="26" t="n"/>
      <c r="I20" s="7">
        <f>IF(C20="","",C20&amp;"|"&amp;COUNTIF($C$5:C20,C20))</f>
        <v/>
      </c>
      <c r="K20" s="39" t="n"/>
      <c r="L20" s="39" t="n"/>
      <c r="M20" s="39" t="n"/>
      <c r="N20" s="39" t="n"/>
    </row>
    <row r="21" ht="21" customHeight="1" s="65">
      <c r="C21" s="26" t="n"/>
      <c r="D21" s="26" t="n"/>
      <c r="E21" s="26" t="n"/>
      <c r="F21" s="104" t="n"/>
      <c r="G21" s="28" t="n"/>
      <c r="H21" s="26" t="n"/>
      <c r="I21" s="7">
        <f>IF(C21="","",C21&amp;"|"&amp;COUNTIF($C$5:C21,C21))</f>
        <v/>
      </c>
      <c r="K21" s="39" t="n"/>
      <c r="L21" s="39" t="n"/>
      <c r="M21" s="39" t="n"/>
      <c r="N21" s="39" t="n"/>
    </row>
    <row r="22" ht="21" customHeight="1" s="65">
      <c r="C22" s="26" t="n"/>
      <c r="D22" s="26" t="n"/>
      <c r="E22" s="26" t="n"/>
      <c r="F22" s="104" t="n"/>
      <c r="G22" s="28" t="n"/>
      <c r="H22" s="26" t="n"/>
      <c r="I22" s="7">
        <f>IF(C22="","",C22&amp;"|"&amp;COUNTIF($C$5:C22,C22))</f>
        <v/>
      </c>
      <c r="K22" s="39" t="n"/>
      <c r="L22" s="39" t="n"/>
      <c r="M22" s="39" t="n"/>
      <c r="N22" s="39" t="n"/>
    </row>
    <row r="23" ht="21" customHeight="1" s="65">
      <c r="C23" s="26" t="n"/>
      <c r="D23" s="26" t="n"/>
      <c r="E23" s="26" t="n"/>
      <c r="F23" s="104" t="n"/>
      <c r="G23" s="28" t="n"/>
      <c r="H23" s="26" t="n"/>
      <c r="I23" s="7">
        <f>IF(C23="","",C23&amp;"|"&amp;COUNTIF($C$5:C23,C23))</f>
        <v/>
      </c>
      <c r="K23" s="39" t="n"/>
      <c r="L23" s="39" t="n"/>
      <c r="M23" s="39" t="n"/>
      <c r="N23" s="39" t="n"/>
    </row>
    <row r="24" ht="21" customHeight="1" s="65">
      <c r="C24" s="26" t="n"/>
      <c r="D24" s="26" t="n"/>
      <c r="E24" s="26" t="n"/>
      <c r="F24" s="104" t="n"/>
      <c r="G24" s="28" t="n"/>
      <c r="H24" s="26" t="n"/>
      <c r="I24" s="7">
        <f>IF(C24="","",C24&amp;"|"&amp;COUNTIF($C$5:C24,C24))</f>
        <v/>
      </c>
      <c r="K24" s="39" t="n"/>
      <c r="L24" s="39" t="n"/>
      <c r="M24" s="39" t="n"/>
      <c r="N24" s="39" t="n"/>
    </row>
    <row r="25" ht="21" customHeight="1" s="65">
      <c r="C25" s="26" t="n"/>
      <c r="D25" s="26" t="n"/>
      <c r="E25" s="26" t="n"/>
      <c r="F25" s="104" t="n"/>
      <c r="G25" s="28" t="n"/>
      <c r="H25" s="26" t="n"/>
      <c r="I25" s="7">
        <f>IF(C25="","",C25&amp;"|"&amp;COUNTIF($C$5:C25,C25))</f>
        <v/>
      </c>
      <c r="K25" s="39" t="n"/>
      <c r="L25" s="39" t="n"/>
      <c r="M25" s="39" t="n"/>
      <c r="N25" s="39" t="n"/>
    </row>
    <row r="26" ht="21" customHeight="1" s="65">
      <c r="C26" s="26" t="n"/>
      <c r="D26" s="26" t="n"/>
      <c r="E26" s="26" t="n"/>
      <c r="F26" s="104" t="n"/>
      <c r="G26" s="28" t="n"/>
      <c r="H26" s="26" t="n"/>
      <c r="I26" s="7">
        <f>IF(C26="","",C26&amp;"|"&amp;COUNTIF($C$5:C26,C26))</f>
        <v/>
      </c>
      <c r="K26" s="39" t="n"/>
      <c r="L26" s="39" t="n"/>
      <c r="M26" s="39" t="n"/>
      <c r="N26" s="39" t="n"/>
    </row>
    <row r="27" ht="21" customHeight="1" s="65">
      <c r="C27" s="26" t="n"/>
      <c r="D27" s="26" t="n"/>
      <c r="E27" s="26" t="n"/>
      <c r="F27" s="104" t="n"/>
      <c r="G27" s="28" t="n"/>
      <c r="H27" s="26" t="n"/>
      <c r="I27" s="7">
        <f>IF(C27="","",C27&amp;"|"&amp;COUNTIF($C$5:C27,C27))</f>
        <v/>
      </c>
      <c r="K27" s="39" t="n"/>
      <c r="L27" s="39" t="n"/>
      <c r="M27" s="39" t="n"/>
      <c r="N27" s="39" t="n"/>
    </row>
    <row r="28" ht="21" customHeight="1" s="65">
      <c r="C28" s="26" t="n"/>
      <c r="D28" s="26" t="n"/>
      <c r="E28" s="26" t="n"/>
      <c r="F28" s="104" t="n"/>
      <c r="G28" s="28" t="n"/>
      <c r="H28" s="26" t="n"/>
      <c r="I28" s="7">
        <f>IF(C28="","",C28&amp;"|"&amp;COUNTIF($C$5:C28,C28))</f>
        <v/>
      </c>
      <c r="K28" s="39" t="n"/>
      <c r="L28" s="39" t="n"/>
      <c r="M28" s="39" t="n"/>
      <c r="N28" s="39" t="n"/>
    </row>
    <row r="29" ht="21" customHeight="1" s="65">
      <c r="C29" s="26" t="n"/>
      <c r="D29" s="26" t="n"/>
      <c r="E29" s="26" t="n"/>
      <c r="F29" s="104" t="n"/>
      <c r="G29" s="28" t="n"/>
      <c r="H29" s="26" t="n"/>
      <c r="I29" s="7">
        <f>IF(C29="","",C29&amp;"|"&amp;COUNTIF($C$5:C29,C29))</f>
        <v/>
      </c>
      <c r="K29" s="39" t="n"/>
      <c r="L29" s="39" t="n"/>
      <c r="M29" s="39" t="n"/>
      <c r="N29" s="39" t="n"/>
    </row>
    <row r="30" ht="21" customHeight="1" s="65">
      <c r="C30" s="26" t="n"/>
      <c r="D30" s="26" t="n"/>
      <c r="E30" s="26" t="n"/>
      <c r="F30" s="104" t="n"/>
      <c r="G30" s="28" t="n"/>
      <c r="H30" s="26" t="n"/>
      <c r="I30" s="7">
        <f>IF(C30="","",C30&amp;"|"&amp;COUNTIF($C$5:C30,C30))</f>
        <v/>
      </c>
      <c r="K30" s="39" t="n"/>
      <c r="L30" s="39" t="n"/>
      <c r="M30" s="39" t="n"/>
      <c r="N30" s="39" t="n"/>
    </row>
    <row r="31" ht="21" customHeight="1" s="65">
      <c r="C31" s="26" t="n"/>
      <c r="D31" s="26" t="n"/>
      <c r="E31" s="26" t="n"/>
      <c r="F31" s="104" t="n"/>
      <c r="G31" s="28" t="n"/>
      <c r="H31" s="26" t="n"/>
      <c r="I31" s="7">
        <f>IF(C31="","",C31&amp;"|"&amp;COUNTIF($C$5:C31,C31))</f>
        <v/>
      </c>
      <c r="K31" s="39" t="n"/>
      <c r="L31" s="39" t="n"/>
      <c r="M31" s="39" t="n"/>
      <c r="N31" s="39" t="n"/>
    </row>
    <row r="32" ht="21" customHeight="1" s="65">
      <c r="C32" s="26" t="n"/>
      <c r="D32" s="26" t="n"/>
      <c r="E32" s="26" t="n"/>
      <c r="F32" s="104" t="n"/>
      <c r="G32" s="28" t="n"/>
      <c r="H32" s="26" t="n"/>
      <c r="I32" s="7">
        <f>IF(C32="","",C32&amp;"|"&amp;COUNTIF($C$5:C32,C32))</f>
        <v/>
      </c>
      <c r="K32" s="39" t="n"/>
      <c r="L32" s="39" t="n"/>
      <c r="M32" s="39" t="n"/>
      <c r="N32" s="39" t="n"/>
    </row>
    <row r="33" ht="21" customHeight="1" s="65">
      <c r="C33" s="26" t="n"/>
      <c r="D33" s="26" t="n"/>
      <c r="E33" s="26" t="n"/>
      <c r="F33" s="104" t="n"/>
      <c r="G33" s="28" t="n"/>
      <c r="H33" s="26" t="n"/>
      <c r="I33" s="7">
        <f>IF(C33="","",C33&amp;"|"&amp;COUNTIF($C$5:C33,C33))</f>
        <v/>
      </c>
      <c r="K33" s="39" t="n"/>
      <c r="L33" s="39" t="n"/>
      <c r="M33" s="39" t="n"/>
      <c r="N33" s="39" t="n"/>
    </row>
    <row r="34" ht="21" customHeight="1" s="65">
      <c r="C34" s="26" t="n"/>
      <c r="D34" s="26" t="n"/>
      <c r="E34" s="26" t="n"/>
      <c r="F34" s="104" t="n"/>
      <c r="G34" s="28" t="n"/>
      <c r="H34" s="26" t="n"/>
      <c r="I34" s="7">
        <f>IF(C34="","",C34&amp;"|"&amp;COUNTIF($C$5:C34,C34))</f>
        <v/>
      </c>
      <c r="K34" s="39" t="n"/>
      <c r="L34" s="39" t="n"/>
      <c r="M34" s="39" t="n"/>
      <c r="N34" s="39" t="n"/>
    </row>
    <row r="35" ht="21" customHeight="1" s="65">
      <c r="C35" s="26" t="n"/>
      <c r="D35" s="26" t="n"/>
      <c r="E35" s="26" t="n"/>
      <c r="F35" s="104" t="n"/>
      <c r="G35" s="28" t="n"/>
      <c r="H35" s="26" t="n"/>
      <c r="I35" s="7">
        <f>IF(C35="","",C35&amp;"|"&amp;COUNTIF($C$5:C35,C35))</f>
        <v/>
      </c>
      <c r="K35" s="39" t="n"/>
      <c r="L35" s="39" t="n"/>
      <c r="M35" s="39" t="n"/>
      <c r="N35" s="39" t="n"/>
    </row>
    <row r="36" ht="21" customHeight="1" s="65">
      <c r="C36" s="26" t="n"/>
      <c r="D36" s="26" t="n"/>
      <c r="E36" s="26" t="n"/>
      <c r="F36" s="104" t="n"/>
      <c r="G36" s="28" t="n"/>
      <c r="H36" s="26" t="n"/>
      <c r="I36" s="7">
        <f>IF(C36="","",C36&amp;"|"&amp;COUNTIF($C$5:C36,C36))</f>
        <v/>
      </c>
      <c r="K36" s="39" t="n"/>
      <c r="L36" s="39" t="n"/>
      <c r="M36" s="39" t="n"/>
      <c r="N36" s="39" t="n"/>
    </row>
    <row r="37" ht="21" customHeight="1" s="65">
      <c r="C37" s="26" t="n"/>
      <c r="D37" s="26" t="n"/>
      <c r="E37" s="26" t="n"/>
      <c r="F37" s="104" t="n"/>
      <c r="G37" s="28" t="n"/>
      <c r="H37" s="26" t="n"/>
      <c r="I37" s="7">
        <f>IF(C37="","",C37&amp;"|"&amp;COUNTIF($C$5:C37,C37))</f>
        <v/>
      </c>
      <c r="K37" s="39" t="n"/>
      <c r="L37" s="39" t="n"/>
      <c r="M37" s="39" t="n"/>
      <c r="N37" s="39" t="n"/>
    </row>
    <row r="38" ht="21" customHeight="1" s="65">
      <c r="C38" s="26" t="n"/>
      <c r="D38" s="26" t="n"/>
      <c r="E38" s="26" t="n"/>
      <c r="F38" s="104" t="n"/>
      <c r="G38" s="28" t="n"/>
      <c r="H38" s="26" t="n"/>
      <c r="I38" s="7">
        <f>IF(C38="","",C38&amp;"|"&amp;COUNTIF($C$5:C38,C38))</f>
        <v/>
      </c>
      <c r="K38" s="39" t="n"/>
      <c r="L38" s="39" t="n"/>
      <c r="M38" s="39" t="n"/>
      <c r="N38" s="39" t="n"/>
    </row>
    <row r="39" ht="21" customHeight="1" s="65">
      <c r="C39" s="26" t="n"/>
      <c r="D39" s="26" t="n"/>
      <c r="E39" s="26" t="n"/>
      <c r="F39" s="104" t="n"/>
      <c r="G39" s="28" t="n"/>
      <c r="H39" s="26" t="n"/>
      <c r="I39" s="7">
        <f>IF(C39="","",C39&amp;"|"&amp;COUNTIF($C$5:C39,C39))</f>
        <v/>
      </c>
      <c r="K39" s="39" t="n"/>
      <c r="L39" s="39" t="n"/>
      <c r="M39" s="39" t="n"/>
      <c r="N39" s="39" t="n"/>
    </row>
    <row r="40" ht="21" customHeight="1" s="65">
      <c r="C40" s="26" t="n"/>
      <c r="D40" s="26" t="n"/>
      <c r="E40" s="26" t="n"/>
      <c r="F40" s="104" t="n"/>
      <c r="G40" s="28" t="n"/>
      <c r="H40" s="26" t="n"/>
      <c r="I40" s="7">
        <f>IF(C40="","",C40&amp;"|"&amp;COUNTIF($C$5:C40,C40))</f>
        <v/>
      </c>
      <c r="K40" s="39" t="n"/>
      <c r="L40" s="39" t="n"/>
      <c r="M40" s="39" t="n"/>
      <c r="N40" s="39" t="n"/>
    </row>
    <row r="41" ht="21" customHeight="1" s="65">
      <c r="C41" s="26" t="n"/>
      <c r="D41" s="26" t="n"/>
      <c r="E41" s="26" t="n"/>
      <c r="F41" s="104" t="n"/>
      <c r="G41" s="28" t="n"/>
      <c r="H41" s="26" t="n"/>
      <c r="I41" s="7">
        <f>IF(C41="","",C41&amp;"|"&amp;COUNTIF($C$5:C41,C41))</f>
        <v/>
      </c>
      <c r="K41" s="39" t="n"/>
      <c r="L41" s="39" t="n"/>
      <c r="M41" s="39" t="n"/>
      <c r="N41" s="39" t="n"/>
    </row>
    <row r="42" ht="21" customHeight="1" s="65">
      <c r="C42" s="26" t="n"/>
      <c r="D42" s="26" t="n"/>
      <c r="E42" s="26" t="n"/>
      <c r="F42" s="104" t="n"/>
      <c r="G42" s="28" t="n"/>
      <c r="H42" s="26" t="n"/>
      <c r="I42" s="7">
        <f>IF(C42="","",C42&amp;"|"&amp;COUNTIF($C$5:C42,C42))</f>
        <v/>
      </c>
      <c r="K42" s="39" t="n"/>
      <c r="L42" s="39" t="n"/>
      <c r="M42" s="39" t="n"/>
      <c r="N42" s="39" t="n"/>
    </row>
    <row r="43" ht="21" customHeight="1" s="65">
      <c r="C43" s="26" t="n"/>
      <c r="D43" s="26" t="n"/>
      <c r="E43" s="26" t="n"/>
      <c r="F43" s="104" t="n"/>
      <c r="G43" s="28" t="n"/>
      <c r="H43" s="26" t="n"/>
      <c r="I43" s="7">
        <f>IF(C43="","",C43&amp;"|"&amp;COUNTIF($C$5:C43,C43))</f>
        <v/>
      </c>
      <c r="K43" s="39" t="n"/>
      <c r="L43" s="39" t="n"/>
      <c r="M43" s="39" t="n"/>
      <c r="N43" s="39" t="n"/>
    </row>
    <row r="44" ht="21" customHeight="1" s="65">
      <c r="C44" s="26" t="n"/>
      <c r="D44" s="26" t="n"/>
      <c r="E44" s="26" t="n"/>
      <c r="F44" s="104" t="n"/>
      <c r="G44" s="28" t="n"/>
      <c r="H44" s="26" t="n"/>
      <c r="I44" s="7">
        <f>IF(C44="","",C44&amp;"|"&amp;COUNTIF($C$5:C44,C44))</f>
        <v/>
      </c>
      <c r="K44" s="39" t="n"/>
      <c r="L44" s="39" t="n"/>
      <c r="M44" s="39" t="n"/>
      <c r="N44" s="39" t="n"/>
    </row>
    <row r="45" ht="21" customHeight="1" s="65">
      <c r="C45" s="26" t="n"/>
      <c r="D45" s="26" t="n"/>
      <c r="E45" s="26" t="n"/>
      <c r="F45" s="104" t="n"/>
      <c r="G45" s="28" t="n"/>
      <c r="H45" s="26" t="n"/>
      <c r="I45" s="7">
        <f>IF(C45="","",C45&amp;"|"&amp;COUNTIF($C$5:C45,C45))</f>
        <v/>
      </c>
      <c r="K45" s="39" t="n"/>
      <c r="L45" s="39" t="n"/>
      <c r="M45" s="39" t="n"/>
      <c r="N45" s="39" t="n"/>
    </row>
    <row r="46" ht="21" customHeight="1" s="65">
      <c r="C46" s="26" t="n"/>
      <c r="D46" s="26" t="n"/>
      <c r="E46" s="26" t="n"/>
      <c r="F46" s="104" t="n"/>
      <c r="G46" s="28" t="n"/>
      <c r="H46" s="26" t="n"/>
      <c r="I46" s="7">
        <f>IF(C46="","",C46&amp;"|"&amp;COUNTIF($C$5:C46,C46))</f>
        <v/>
      </c>
      <c r="K46" s="39" t="n"/>
      <c r="L46" s="39" t="n"/>
      <c r="M46" s="39" t="n"/>
      <c r="N46" s="39" t="n"/>
    </row>
    <row r="47" ht="21" customHeight="1" s="65">
      <c r="C47" s="26" t="n"/>
      <c r="D47" s="26" t="n"/>
      <c r="E47" s="26" t="n"/>
      <c r="F47" s="104" t="n"/>
      <c r="G47" s="28" t="n"/>
      <c r="H47" s="26" t="n"/>
      <c r="I47" s="7">
        <f>IF(C47="","",C47&amp;"|"&amp;COUNTIF($C$5:C47,C47))</f>
        <v/>
      </c>
      <c r="K47" s="39" t="n"/>
      <c r="L47" s="39" t="n"/>
      <c r="M47" s="39" t="n"/>
      <c r="N47" s="39" t="n"/>
    </row>
    <row r="48" ht="21" customHeight="1" s="65">
      <c r="C48" s="26" t="n"/>
      <c r="D48" s="26" t="n"/>
      <c r="E48" s="26" t="n"/>
      <c r="F48" s="104" t="n"/>
      <c r="G48" s="28" t="n"/>
      <c r="H48" s="26" t="n"/>
      <c r="I48" s="7">
        <f>IF(C48="","",C48&amp;"|"&amp;COUNTIF($C$5:C48,C48))</f>
        <v/>
      </c>
      <c r="K48" s="39" t="n"/>
      <c r="L48" s="39" t="n"/>
      <c r="M48" s="39" t="n"/>
      <c r="N48" s="39" t="n"/>
    </row>
    <row r="49" ht="21" customHeight="1" s="65">
      <c r="C49" s="26" t="n"/>
      <c r="D49" s="26" t="n"/>
      <c r="E49" s="26" t="n"/>
      <c r="F49" s="104" t="n"/>
      <c r="G49" s="28" t="n"/>
      <c r="H49" s="26" t="n"/>
      <c r="I49" s="7">
        <f>IF(C49="","",C49&amp;"|"&amp;COUNTIF($C$5:C49,C49))</f>
        <v/>
      </c>
      <c r="K49" s="39" t="n"/>
      <c r="L49" s="39" t="n"/>
      <c r="M49" s="39" t="n"/>
      <c r="N49" s="39" t="n"/>
    </row>
    <row r="50" ht="21" customHeight="1" s="65">
      <c r="C50" s="26" t="n"/>
      <c r="D50" s="26" t="n"/>
      <c r="E50" s="26" t="n"/>
      <c r="F50" s="104" t="n"/>
      <c r="G50" s="28" t="n"/>
      <c r="H50" s="26" t="n"/>
      <c r="I50" s="7">
        <f>IF(C50="","",C50&amp;"|"&amp;COUNTIF($C$5:C50,C50))</f>
        <v/>
      </c>
      <c r="K50" s="39" t="n"/>
      <c r="L50" s="39" t="n"/>
      <c r="M50" s="39" t="n"/>
      <c r="N50" s="39" t="n"/>
    </row>
    <row r="51" ht="21" customHeight="1" s="65">
      <c r="C51" s="26" t="n"/>
      <c r="D51" s="26" t="n"/>
      <c r="E51" s="26" t="n"/>
      <c r="F51" s="104" t="n"/>
      <c r="G51" s="28" t="n"/>
      <c r="H51" s="26" t="n"/>
      <c r="I51" s="7">
        <f>IF(C51="","",C51&amp;"|"&amp;COUNTIF($C$5:C51,C51))</f>
        <v/>
      </c>
      <c r="K51" s="39" t="n"/>
      <c r="L51" s="39" t="n"/>
      <c r="M51" s="39" t="n"/>
      <c r="N51" s="39" t="n"/>
    </row>
    <row r="52" ht="21" customHeight="1" s="65">
      <c r="C52" s="26" t="n"/>
      <c r="D52" s="26" t="n"/>
      <c r="E52" s="26" t="n"/>
      <c r="F52" s="104" t="n"/>
      <c r="G52" s="28" t="n"/>
      <c r="H52" s="26" t="n"/>
      <c r="I52" s="7">
        <f>IF(C52="","",C52&amp;"|"&amp;COUNTIF($C$5:C52,C52))</f>
        <v/>
      </c>
      <c r="K52" s="39" t="n"/>
      <c r="L52" s="39" t="n"/>
      <c r="M52" s="39" t="n"/>
      <c r="N52" s="39" t="n"/>
    </row>
    <row r="53" ht="21" customHeight="1" s="65">
      <c r="C53" s="26" t="n"/>
      <c r="D53" s="26" t="n"/>
      <c r="E53" s="26" t="n"/>
      <c r="F53" s="104" t="n"/>
      <c r="G53" s="28" t="n"/>
      <c r="H53" s="26" t="n"/>
      <c r="I53" s="7">
        <f>IF(C53="","",C53&amp;"|"&amp;COUNTIF($C$5:C53,C53))</f>
        <v/>
      </c>
      <c r="K53" s="39" t="n"/>
      <c r="L53" s="39" t="n"/>
      <c r="M53" s="39" t="n"/>
      <c r="N53" s="39" t="n"/>
    </row>
    <row r="54" ht="21" customHeight="1" s="65">
      <c r="C54" s="26" t="n"/>
      <c r="D54" s="26" t="n"/>
      <c r="E54" s="26" t="n"/>
      <c r="F54" s="104" t="n"/>
      <c r="G54" s="28" t="n"/>
      <c r="H54" s="26" t="n"/>
      <c r="I54" s="7">
        <f>IF(C54="","",C54&amp;"|"&amp;COUNTIF($C$5:C54,C54))</f>
        <v/>
      </c>
      <c r="K54" s="39" t="n"/>
      <c r="L54" s="39" t="n"/>
      <c r="M54" s="39" t="n"/>
      <c r="N54" s="39" t="n"/>
    </row>
    <row r="55" ht="21" customHeight="1" s="65">
      <c r="C55" s="26" t="n"/>
      <c r="D55" s="26" t="n"/>
      <c r="E55" s="26" t="n"/>
      <c r="F55" s="104" t="n"/>
      <c r="G55" s="28" t="n"/>
      <c r="H55" s="26" t="n"/>
      <c r="I55" s="7">
        <f>IF(C55="","",C55&amp;"|"&amp;COUNTIF($C$5:C55,C55))</f>
        <v/>
      </c>
      <c r="K55" s="39" t="n"/>
      <c r="L55" s="39" t="n"/>
      <c r="M55" s="39" t="n"/>
      <c r="N55" s="39" t="n"/>
    </row>
    <row r="56" ht="21" customHeight="1" s="65">
      <c r="C56" s="26" t="n"/>
      <c r="D56" s="26" t="n"/>
      <c r="E56" s="26" t="n"/>
      <c r="F56" s="104" t="n"/>
      <c r="G56" s="28" t="n"/>
      <c r="H56" s="26" t="n"/>
      <c r="I56" s="7">
        <f>IF(C56="","",C56&amp;"|"&amp;COUNTIF($C$5:C56,C56))</f>
        <v/>
      </c>
      <c r="K56" s="39" t="n"/>
      <c r="L56" s="39" t="n"/>
      <c r="M56" s="39" t="n"/>
      <c r="N56" s="39" t="n"/>
    </row>
    <row r="57" ht="21" customHeight="1" s="65">
      <c r="C57" s="26" t="n"/>
      <c r="D57" s="26" t="n"/>
      <c r="E57" s="26" t="n"/>
      <c r="F57" s="104" t="n"/>
      <c r="G57" s="28" t="n"/>
      <c r="H57" s="26" t="n"/>
      <c r="I57" s="7">
        <f>IF(C57="","",C57&amp;"|"&amp;COUNTIF($C$5:C57,C57))</f>
        <v/>
      </c>
      <c r="K57" s="39" t="n"/>
      <c r="L57" s="39" t="n"/>
      <c r="M57" s="39" t="n"/>
      <c r="N57" s="39" t="n"/>
    </row>
    <row r="58" ht="21" customHeight="1" s="65">
      <c r="C58" s="26" t="n"/>
      <c r="D58" s="26" t="n"/>
      <c r="E58" s="26" t="n"/>
      <c r="F58" s="104" t="n"/>
      <c r="G58" s="28" t="n"/>
      <c r="H58" s="26" t="n"/>
      <c r="I58" s="7">
        <f>IF(C58="","",C58&amp;"|"&amp;COUNTIF($C$5:C58,C58))</f>
        <v/>
      </c>
      <c r="K58" s="39" t="n"/>
      <c r="L58" s="39" t="n"/>
      <c r="M58" s="39" t="n"/>
      <c r="N58" s="39" t="n"/>
    </row>
    <row r="59" ht="21" customHeight="1" s="65">
      <c r="C59" s="26" t="n"/>
      <c r="D59" s="26" t="n"/>
      <c r="E59" s="26" t="n"/>
      <c r="F59" s="104" t="n"/>
      <c r="G59" s="28" t="n"/>
      <c r="H59" s="26" t="n"/>
      <c r="I59" s="7">
        <f>IF(C59="","",C59&amp;"|"&amp;COUNTIF($C$5:C59,C59))</f>
        <v/>
      </c>
      <c r="K59" s="39" t="n"/>
      <c r="L59" s="39" t="n"/>
      <c r="M59" s="39" t="n"/>
      <c r="N59" s="39" t="n"/>
    </row>
    <row r="60" ht="21" customHeight="1" s="65">
      <c r="C60" s="26" t="n"/>
      <c r="D60" s="26" t="n"/>
      <c r="E60" s="26" t="n"/>
      <c r="F60" s="104" t="n"/>
      <c r="G60" s="28" t="n"/>
      <c r="H60" s="26" t="n"/>
      <c r="I60" s="7">
        <f>IF(C60="","",C60&amp;"|"&amp;COUNTIF($C$5:C60,C60))</f>
        <v/>
      </c>
      <c r="K60" s="39" t="n"/>
      <c r="L60" s="39" t="n"/>
      <c r="M60" s="39" t="n"/>
      <c r="N60" s="39" t="n"/>
    </row>
    <row r="61" ht="21" customHeight="1" s="65">
      <c r="C61" s="26" t="n"/>
      <c r="D61" s="26" t="n"/>
      <c r="E61" s="26" t="n"/>
      <c r="F61" s="104" t="n"/>
      <c r="G61" s="28" t="n"/>
      <c r="H61" s="26" t="n"/>
      <c r="I61" s="7">
        <f>IF(C61="","",C61&amp;"|"&amp;COUNTIF($C$5:C61,C61))</f>
        <v/>
      </c>
      <c r="K61" s="39" t="n"/>
      <c r="L61" s="39" t="n"/>
      <c r="M61" s="39" t="n"/>
      <c r="N61" s="39" t="n"/>
    </row>
    <row r="62" ht="21" customHeight="1" s="65">
      <c r="C62" s="26" t="n"/>
      <c r="D62" s="26" t="n"/>
      <c r="E62" s="26" t="n"/>
      <c r="F62" s="104" t="n"/>
      <c r="G62" s="28" t="n"/>
      <c r="H62" s="26" t="n"/>
      <c r="I62" s="7">
        <f>IF(C62="","",C62&amp;"|"&amp;COUNTIF($C$5:C62,C62))</f>
        <v/>
      </c>
      <c r="K62" s="39" t="n"/>
      <c r="L62" s="39" t="n"/>
      <c r="M62" s="39" t="n"/>
      <c r="N62" s="39" t="n"/>
    </row>
    <row r="63" ht="21" customHeight="1" s="65">
      <c r="C63" s="26" t="n"/>
      <c r="D63" s="26" t="n"/>
      <c r="E63" s="26" t="n"/>
      <c r="F63" s="104" t="n"/>
      <c r="G63" s="28" t="n"/>
      <c r="H63" s="26" t="n"/>
      <c r="I63" s="7">
        <f>IF(C63="","",C63&amp;"|"&amp;COUNTIF($C$5:C63,C63))</f>
        <v/>
      </c>
      <c r="K63" s="39" t="n"/>
      <c r="L63" s="39" t="n"/>
      <c r="M63" s="39" t="n"/>
      <c r="N63" s="39" t="n"/>
    </row>
    <row r="64" ht="21" customHeight="1" s="65">
      <c r="C64" s="26" t="n"/>
      <c r="D64" s="26" t="n"/>
      <c r="E64" s="26" t="n"/>
      <c r="F64" s="104" t="n"/>
      <c r="G64" s="28" t="n"/>
      <c r="H64" s="26" t="n"/>
      <c r="I64" s="7">
        <f>IF(C64="","",C64&amp;"|"&amp;COUNTIF($C$5:C64,C64))</f>
        <v/>
      </c>
      <c r="K64" s="39" t="n"/>
      <c r="L64" s="39" t="n"/>
      <c r="M64" s="39" t="n"/>
      <c r="N64" s="39" t="n"/>
    </row>
    <row r="65" ht="21" customHeight="1" s="65">
      <c r="C65" s="26" t="n"/>
      <c r="D65" s="26" t="n"/>
      <c r="E65" s="26" t="n"/>
      <c r="F65" s="104" t="n"/>
      <c r="G65" s="28" t="n"/>
      <c r="H65" s="26" t="n"/>
      <c r="I65" s="7">
        <f>IF(C65="","",C65&amp;"|"&amp;COUNTIF($C$5:C65,C65))</f>
        <v/>
      </c>
      <c r="K65" s="39" t="n"/>
      <c r="L65" s="39" t="n"/>
      <c r="M65" s="39" t="n"/>
      <c r="N65" s="39" t="n"/>
    </row>
    <row r="66" ht="21" customHeight="1" s="65">
      <c r="C66" s="26" t="n"/>
      <c r="D66" s="26" t="n"/>
      <c r="E66" s="26" t="n"/>
      <c r="F66" s="104" t="n"/>
      <c r="G66" s="28" t="n"/>
      <c r="H66" s="26" t="n"/>
      <c r="I66" s="7">
        <f>IF(C66="","",C66&amp;"|"&amp;COUNTIF($C$5:C66,C66))</f>
        <v/>
      </c>
      <c r="K66" s="39" t="n"/>
      <c r="L66" s="39" t="n"/>
      <c r="M66" s="39" t="n"/>
      <c r="N66" s="39" t="n"/>
    </row>
    <row r="67" ht="21" customHeight="1" s="65">
      <c r="C67" s="26" t="n"/>
      <c r="D67" s="26" t="n"/>
      <c r="E67" s="26" t="n"/>
      <c r="F67" s="104" t="n"/>
      <c r="G67" s="28" t="n"/>
      <c r="H67" s="26" t="n"/>
      <c r="I67" s="7">
        <f>IF(C67="","",C67&amp;"|"&amp;COUNTIF($C$5:C67,C67))</f>
        <v/>
      </c>
      <c r="K67" s="39" t="n"/>
      <c r="L67" s="39" t="n"/>
      <c r="M67" s="39" t="n"/>
      <c r="N67" s="39" t="n"/>
    </row>
    <row r="68" ht="21" customHeight="1" s="65">
      <c r="C68" s="26" t="n"/>
      <c r="D68" s="26" t="n"/>
      <c r="E68" s="26" t="n"/>
      <c r="F68" s="104" t="n"/>
      <c r="G68" s="28" t="n"/>
      <c r="H68" s="26" t="n"/>
      <c r="I68" s="7">
        <f>IF(C68="","",C68&amp;"|"&amp;COUNTIF($C$5:C68,C68))</f>
        <v/>
      </c>
      <c r="K68" s="39" t="n"/>
      <c r="L68" s="39" t="n"/>
      <c r="M68" s="39" t="n"/>
      <c r="N68" s="39" t="n"/>
    </row>
    <row r="69" ht="21" customHeight="1" s="65">
      <c r="C69" s="26" t="n"/>
      <c r="D69" s="26" t="n"/>
      <c r="E69" s="26" t="n"/>
      <c r="F69" s="104" t="n"/>
      <c r="G69" s="28" t="n"/>
      <c r="H69" s="26" t="n"/>
      <c r="I69" s="7">
        <f>IF(C69="","",C69&amp;"|"&amp;COUNTIF($C$5:C69,C69))</f>
        <v/>
      </c>
      <c r="K69" s="39" t="n"/>
      <c r="L69" s="39" t="n"/>
      <c r="M69" s="39" t="n"/>
      <c r="N69" s="39" t="n"/>
    </row>
    <row r="70" ht="21" customHeight="1" s="65">
      <c r="C70" s="26" t="n"/>
      <c r="D70" s="26" t="n"/>
      <c r="E70" s="26" t="n"/>
      <c r="F70" s="104" t="n"/>
      <c r="G70" s="28" t="n"/>
      <c r="H70" s="26" t="n"/>
      <c r="I70" s="7">
        <f>IF(C70="","",C70&amp;"|"&amp;COUNTIF($C$5:C70,C70))</f>
        <v/>
      </c>
      <c r="K70" s="39" t="n"/>
      <c r="L70" s="39" t="n"/>
      <c r="M70" s="39" t="n"/>
      <c r="N70" s="39" t="n"/>
    </row>
    <row r="71" ht="21" customHeight="1" s="65">
      <c r="C71" s="26" t="n"/>
      <c r="D71" s="26" t="n"/>
      <c r="E71" s="26" t="n"/>
      <c r="F71" s="104" t="n"/>
      <c r="G71" s="28" t="n"/>
      <c r="H71" s="26" t="n"/>
      <c r="I71" s="7">
        <f>IF(C71="","",C71&amp;"|"&amp;COUNTIF($C$5:C71,C71))</f>
        <v/>
      </c>
      <c r="K71" s="39" t="n"/>
      <c r="L71" s="39" t="n"/>
      <c r="M71" s="39" t="n"/>
      <c r="N71" s="39" t="n"/>
    </row>
    <row r="72" ht="21" customHeight="1" s="65">
      <c r="C72" s="26" t="n"/>
      <c r="D72" s="26" t="n"/>
      <c r="E72" s="26" t="n"/>
      <c r="F72" s="104" t="n"/>
      <c r="G72" s="28" t="n"/>
      <c r="H72" s="26" t="n"/>
      <c r="I72" s="7">
        <f>IF(C72="","",C72&amp;"|"&amp;COUNTIF($C$5:C72,C72))</f>
        <v/>
      </c>
      <c r="K72" s="39" t="n"/>
      <c r="L72" s="39" t="n"/>
      <c r="M72" s="39" t="n"/>
      <c r="N72" s="39" t="n"/>
    </row>
    <row r="73" ht="21" customHeight="1" s="65">
      <c r="C73" s="26" t="n"/>
      <c r="D73" s="26" t="n"/>
      <c r="E73" s="26" t="n"/>
      <c r="F73" s="104" t="n"/>
      <c r="G73" s="28" t="n"/>
      <c r="H73" s="26" t="n"/>
      <c r="I73" s="7">
        <f>IF(C73="","",C73&amp;"|"&amp;COUNTIF($C$5:C73,C73))</f>
        <v/>
      </c>
      <c r="K73" s="39" t="n"/>
      <c r="L73" s="39" t="n"/>
      <c r="M73" s="39" t="n"/>
      <c r="N73" s="39" t="n"/>
    </row>
    <row r="74" ht="21" customHeight="1" s="65">
      <c r="C74" s="26" t="n"/>
      <c r="D74" s="26" t="n"/>
      <c r="E74" s="26" t="n"/>
      <c r="F74" s="104" t="n"/>
      <c r="G74" s="28" t="n"/>
      <c r="H74" s="26" t="n"/>
      <c r="I74" s="7">
        <f>IF(C74="","",C74&amp;"|"&amp;COUNTIF($C$5:C74,C74))</f>
        <v/>
      </c>
      <c r="K74" s="39" t="n"/>
      <c r="L74" s="39" t="n"/>
      <c r="M74" s="39" t="n"/>
      <c r="N74" s="39" t="n"/>
    </row>
    <row r="75" ht="21" customHeight="1" s="65">
      <c r="C75" s="26" t="n"/>
      <c r="D75" s="26" t="n"/>
      <c r="E75" s="26" t="n"/>
      <c r="F75" s="104" t="n"/>
      <c r="G75" s="28" t="n"/>
      <c r="H75" s="26" t="n"/>
      <c r="I75" s="7">
        <f>IF(C75="","",C75&amp;"|"&amp;COUNTIF($C$5:C75,C75))</f>
        <v/>
      </c>
      <c r="K75" s="39" t="n"/>
      <c r="L75" s="39" t="n"/>
      <c r="M75" s="39" t="n"/>
      <c r="N75" s="39" t="n"/>
    </row>
    <row r="76" ht="21" customHeight="1" s="65">
      <c r="C76" s="26" t="n"/>
      <c r="D76" s="26" t="n"/>
      <c r="E76" s="26" t="n"/>
      <c r="F76" s="104" t="n"/>
      <c r="G76" s="28" t="n"/>
      <c r="H76" s="26" t="n"/>
      <c r="I76" s="7">
        <f>IF(C76="","",C76&amp;"|"&amp;COUNTIF($C$5:C76,C76))</f>
        <v/>
      </c>
      <c r="K76" s="39" t="n"/>
      <c r="L76" s="39" t="n"/>
      <c r="M76" s="39" t="n"/>
      <c r="N76" s="39" t="n"/>
    </row>
    <row r="77" ht="21" customHeight="1" s="65">
      <c r="C77" s="26" t="n"/>
      <c r="D77" s="26" t="n"/>
      <c r="E77" s="26" t="n"/>
      <c r="F77" s="104" t="n"/>
      <c r="G77" s="28" t="n"/>
      <c r="H77" s="26" t="n"/>
      <c r="I77" s="7">
        <f>IF(C77="","",C77&amp;"|"&amp;COUNTIF($C$5:C77,C77))</f>
        <v/>
      </c>
      <c r="K77" s="39" t="n"/>
      <c r="L77" s="39" t="n"/>
      <c r="M77" s="39" t="n"/>
      <c r="N77" s="39" t="n"/>
    </row>
    <row r="78" ht="21" customHeight="1" s="65">
      <c r="C78" s="26" t="n"/>
      <c r="D78" s="26" t="n"/>
      <c r="E78" s="26" t="n"/>
      <c r="F78" s="104" t="n"/>
      <c r="G78" s="28" t="n"/>
      <c r="H78" s="26" t="n"/>
      <c r="I78" s="7">
        <f>IF(C78="","",C78&amp;"|"&amp;COUNTIF($C$5:C78,C78))</f>
        <v/>
      </c>
      <c r="K78" s="39" t="n"/>
      <c r="L78" s="39" t="n"/>
      <c r="M78" s="39" t="n"/>
      <c r="N78" s="39" t="n"/>
    </row>
    <row r="79" ht="21" customHeight="1" s="65">
      <c r="C79" s="26" t="n"/>
      <c r="D79" s="26" t="n"/>
      <c r="E79" s="26" t="n"/>
      <c r="F79" s="104" t="n"/>
      <c r="G79" s="28" t="n"/>
      <c r="H79" s="26" t="n"/>
      <c r="I79" s="7">
        <f>IF(C79="","",C79&amp;"|"&amp;COUNTIF($C$5:C79,C79))</f>
        <v/>
      </c>
      <c r="K79" s="39" t="n"/>
      <c r="L79" s="39" t="n"/>
      <c r="M79" s="39" t="n"/>
      <c r="N79" s="39" t="n"/>
    </row>
    <row r="80" ht="21" customHeight="1" s="65">
      <c r="C80" s="26" t="n"/>
      <c r="D80" s="26" t="n"/>
      <c r="E80" s="26" t="n"/>
      <c r="F80" s="104" t="n"/>
      <c r="G80" s="28" t="n"/>
      <c r="H80" s="26" t="n"/>
      <c r="I80" s="7">
        <f>IF(C80="","",C80&amp;"|"&amp;COUNTIF($C$5:C80,C80))</f>
        <v/>
      </c>
      <c r="K80" s="39" t="n"/>
      <c r="L80" s="39" t="n"/>
      <c r="M80" s="39" t="n"/>
      <c r="N80" s="39" t="n"/>
    </row>
    <row r="81" ht="21" customHeight="1" s="65">
      <c r="C81" s="26" t="n"/>
      <c r="D81" s="26" t="n"/>
      <c r="E81" s="26" t="n"/>
      <c r="F81" s="104" t="n"/>
      <c r="G81" s="28" t="n"/>
      <c r="H81" s="26" t="n"/>
      <c r="I81" s="7">
        <f>IF(C81="","",C81&amp;"|"&amp;COUNTIF($C$5:C81,C81))</f>
        <v/>
      </c>
      <c r="K81" s="39" t="n"/>
      <c r="L81" s="39" t="n"/>
      <c r="M81" s="39" t="n"/>
      <c r="N81" s="39" t="n"/>
    </row>
    <row r="82" ht="21" customHeight="1" s="65">
      <c r="C82" s="26" t="n"/>
      <c r="D82" s="26" t="n"/>
      <c r="E82" s="26" t="n"/>
      <c r="F82" s="104" t="n"/>
      <c r="G82" s="28" t="n"/>
      <c r="H82" s="26" t="n"/>
      <c r="I82" s="7">
        <f>IF(C82="","",C82&amp;"|"&amp;COUNTIF($C$5:C82,C82))</f>
        <v/>
      </c>
      <c r="K82" s="39" t="n"/>
      <c r="L82" s="39" t="n"/>
      <c r="M82" s="39" t="n"/>
      <c r="N82" s="39" t="n"/>
    </row>
    <row r="83" ht="21" customHeight="1" s="65">
      <c r="C83" s="26" t="n"/>
      <c r="D83" s="26" t="n"/>
      <c r="E83" s="26" t="n"/>
      <c r="F83" s="104" t="n"/>
      <c r="G83" s="28" t="n"/>
      <c r="H83" s="26" t="n"/>
      <c r="I83" s="7">
        <f>IF(C83="","",C83&amp;"|"&amp;COUNTIF($C$5:C83,C83))</f>
        <v/>
      </c>
      <c r="K83" s="39" t="n"/>
      <c r="L83" s="39" t="n"/>
      <c r="M83" s="39" t="n"/>
      <c r="N83" s="39" t="n"/>
    </row>
    <row r="84" ht="21" customHeight="1" s="65">
      <c r="C84" s="26" t="n"/>
      <c r="D84" s="26" t="n"/>
      <c r="E84" s="26" t="n"/>
      <c r="F84" s="104" t="n"/>
      <c r="G84" s="28" t="n"/>
      <c r="H84" s="26" t="n"/>
      <c r="I84" s="7">
        <f>IF(C84="","",C84&amp;"|"&amp;COUNTIF($C$5:C84,C84))</f>
        <v/>
      </c>
      <c r="K84" s="39" t="n"/>
      <c r="L84" s="39" t="n"/>
      <c r="M84" s="39" t="n"/>
      <c r="N84" s="39" t="n"/>
    </row>
    <row r="85" ht="21" customHeight="1" s="65">
      <c r="C85" s="26" t="n"/>
      <c r="D85" s="26" t="n"/>
      <c r="E85" s="26" t="n"/>
      <c r="F85" s="104" t="n"/>
      <c r="G85" s="28" t="n"/>
      <c r="H85" s="26" t="n"/>
      <c r="I85" s="7">
        <f>IF(C85="","",C85&amp;"|"&amp;COUNTIF($C$5:C85,C85))</f>
        <v/>
      </c>
      <c r="K85" s="39" t="n"/>
      <c r="L85" s="39" t="n"/>
      <c r="M85" s="39" t="n"/>
      <c r="N85" s="39" t="n"/>
    </row>
    <row r="86" ht="21" customHeight="1" s="65">
      <c r="C86" s="26" t="n"/>
      <c r="D86" s="26" t="n"/>
      <c r="E86" s="26" t="n"/>
      <c r="F86" s="104" t="n"/>
      <c r="G86" s="28" t="n"/>
      <c r="H86" s="26" t="n"/>
      <c r="I86" s="7">
        <f>IF(C86="","",C86&amp;"|"&amp;COUNTIF($C$5:C86,C86))</f>
        <v/>
      </c>
      <c r="K86" s="39" t="n"/>
      <c r="L86" s="39" t="n"/>
      <c r="M86" s="39" t="n"/>
      <c r="N86" s="39" t="n"/>
    </row>
    <row r="87" ht="21" customHeight="1" s="65">
      <c r="C87" s="26" t="n"/>
      <c r="D87" s="26" t="n"/>
      <c r="E87" s="26" t="n"/>
      <c r="F87" s="104" t="n"/>
      <c r="G87" s="28" t="n"/>
      <c r="H87" s="26" t="n"/>
      <c r="I87" s="7">
        <f>IF(C87="","",C87&amp;"|"&amp;COUNTIF($C$5:C87,C87))</f>
        <v/>
      </c>
      <c r="K87" s="39" t="n"/>
      <c r="L87" s="39" t="n"/>
      <c r="M87" s="39" t="n"/>
      <c r="N87" s="39" t="n"/>
    </row>
    <row r="88" ht="21" customHeight="1" s="65">
      <c r="C88" s="26" t="n"/>
      <c r="D88" s="26" t="n"/>
      <c r="E88" s="26" t="n"/>
      <c r="F88" s="104" t="n"/>
      <c r="G88" s="28" t="n"/>
      <c r="H88" s="26" t="n"/>
      <c r="I88" s="7">
        <f>IF(C88="","",C88&amp;"|"&amp;COUNTIF($C$5:C88,C88))</f>
        <v/>
      </c>
      <c r="K88" s="39" t="n"/>
      <c r="L88" s="39" t="n"/>
      <c r="M88" s="39" t="n"/>
      <c r="N88" s="39" t="n"/>
    </row>
    <row r="89" ht="21" customHeight="1" s="65">
      <c r="C89" s="26" t="n"/>
      <c r="D89" s="26" t="n"/>
      <c r="E89" s="26" t="n"/>
      <c r="F89" s="104" t="n"/>
      <c r="G89" s="28" t="n"/>
      <c r="H89" s="26" t="n"/>
      <c r="I89" s="7">
        <f>IF(C89="","",C89&amp;"|"&amp;COUNTIF($C$5:C89,C89))</f>
        <v/>
      </c>
      <c r="K89" s="39" t="n"/>
      <c r="L89" s="39" t="n"/>
      <c r="M89" s="39" t="n"/>
      <c r="N89" s="39" t="n"/>
    </row>
    <row r="90" ht="21" customHeight="1" s="65">
      <c r="C90" s="26" t="n"/>
      <c r="D90" s="26" t="n"/>
      <c r="E90" s="26" t="n"/>
      <c r="F90" s="104" t="n"/>
      <c r="G90" s="28" t="n"/>
      <c r="H90" s="26" t="n"/>
      <c r="I90" s="7">
        <f>IF(C90="","",C90&amp;"|"&amp;COUNTIF($C$5:C90,C90))</f>
        <v/>
      </c>
      <c r="K90" s="39" t="n"/>
      <c r="L90" s="39" t="n"/>
      <c r="M90" s="39" t="n"/>
      <c r="N90" s="39" t="n"/>
    </row>
    <row r="91" ht="21" customHeight="1" s="65">
      <c r="C91" s="26" t="n"/>
      <c r="D91" s="26" t="n"/>
      <c r="E91" s="26" t="n"/>
      <c r="F91" s="104" t="n"/>
      <c r="G91" s="28" t="n"/>
      <c r="H91" s="26" t="n"/>
      <c r="I91" s="7">
        <f>IF(C91="","",C91&amp;"|"&amp;COUNTIF($C$5:C91,C91))</f>
        <v/>
      </c>
      <c r="K91" s="39" t="n"/>
      <c r="L91" s="39" t="n"/>
      <c r="M91" s="39" t="n"/>
      <c r="N91" s="39" t="n"/>
    </row>
    <row r="92" ht="21" customHeight="1" s="65">
      <c r="C92" s="26" t="n"/>
      <c r="D92" s="26" t="n"/>
      <c r="E92" s="26" t="n"/>
      <c r="F92" s="104" t="n"/>
      <c r="G92" s="28" t="n"/>
      <c r="H92" s="26" t="n"/>
      <c r="I92" s="7">
        <f>IF(C92="","",C92&amp;"|"&amp;COUNTIF($C$5:C92,C92))</f>
        <v/>
      </c>
      <c r="K92" s="39" t="n"/>
      <c r="L92" s="39" t="n"/>
      <c r="M92" s="39" t="n"/>
      <c r="N92" s="39" t="n"/>
    </row>
    <row r="93" ht="21" customHeight="1" s="65">
      <c r="C93" s="26" t="n"/>
      <c r="D93" s="26" t="n"/>
      <c r="E93" s="26" t="n"/>
      <c r="F93" s="104" t="n"/>
      <c r="G93" s="28" t="n"/>
      <c r="H93" s="26" t="n"/>
      <c r="I93" s="7">
        <f>IF(C93="","",C93&amp;"|"&amp;COUNTIF($C$5:C93,C93))</f>
        <v/>
      </c>
      <c r="K93" s="39" t="n"/>
      <c r="L93" s="39" t="n"/>
      <c r="M93" s="39" t="n"/>
      <c r="N93" s="39" t="n"/>
    </row>
    <row r="94" ht="21" customHeight="1" s="65">
      <c r="C94" s="26" t="n"/>
      <c r="D94" s="26" t="n"/>
      <c r="E94" s="26" t="n"/>
      <c r="F94" s="104" t="n"/>
      <c r="G94" s="28" t="n"/>
      <c r="H94" s="26" t="n"/>
      <c r="I94" s="7">
        <f>IF(C94="","",C94&amp;"|"&amp;COUNTIF($C$5:C94,C94))</f>
        <v/>
      </c>
      <c r="K94" s="39" t="n"/>
      <c r="L94" s="39" t="n"/>
      <c r="M94" s="39" t="n"/>
      <c r="N94" s="39" t="n"/>
    </row>
    <row r="95" ht="21" customHeight="1" s="65">
      <c r="C95" s="26" t="n"/>
      <c r="D95" s="26" t="n"/>
      <c r="E95" s="26" t="n"/>
      <c r="F95" s="104" t="n"/>
      <c r="G95" s="28" t="n"/>
      <c r="H95" s="26" t="n"/>
      <c r="I95" s="7">
        <f>IF(C95="","",C95&amp;"|"&amp;COUNTIF($C$5:C95,C95))</f>
        <v/>
      </c>
      <c r="K95" s="39" t="n"/>
      <c r="L95" s="39" t="n"/>
      <c r="M95" s="39" t="n"/>
      <c r="N95" s="39" t="n"/>
    </row>
    <row r="96" ht="21" customHeight="1" s="65">
      <c r="C96" s="26" t="n"/>
      <c r="D96" s="26" t="n"/>
      <c r="E96" s="26" t="n"/>
      <c r="F96" s="104" t="n"/>
      <c r="G96" s="28" t="n"/>
      <c r="H96" s="26" t="n"/>
      <c r="I96" s="7">
        <f>IF(C96="","",C96&amp;"|"&amp;COUNTIF($C$5:C96,C96))</f>
        <v/>
      </c>
      <c r="K96" s="39" t="n"/>
      <c r="L96" s="39" t="n"/>
      <c r="M96" s="39" t="n"/>
      <c r="N96" s="39" t="n"/>
    </row>
    <row r="97" ht="21" customHeight="1" s="65">
      <c r="C97" s="26" t="n"/>
      <c r="D97" s="26" t="n"/>
      <c r="E97" s="26" t="n"/>
      <c r="F97" s="104" t="n"/>
      <c r="G97" s="28" t="n"/>
      <c r="H97" s="26" t="n"/>
      <c r="I97" s="7">
        <f>IF(C97="","",C97&amp;"|"&amp;COUNTIF($C$5:C97,C97))</f>
        <v/>
      </c>
      <c r="K97" s="39" t="n"/>
      <c r="L97" s="39" t="n"/>
      <c r="M97" s="39" t="n"/>
      <c r="N97" s="39" t="n"/>
    </row>
    <row r="98" ht="21" customHeight="1" s="65">
      <c r="C98" s="26" t="n"/>
      <c r="D98" s="26" t="n"/>
      <c r="E98" s="26" t="n"/>
      <c r="F98" s="104" t="n"/>
      <c r="G98" s="28" t="n"/>
      <c r="H98" s="26" t="n"/>
      <c r="I98" s="7">
        <f>IF(C98="","",C98&amp;"|"&amp;COUNTIF($C$5:C98,C98))</f>
        <v/>
      </c>
      <c r="K98" s="39" t="n"/>
      <c r="L98" s="39" t="n"/>
      <c r="M98" s="39" t="n"/>
      <c r="N98" s="39" t="n"/>
    </row>
    <row r="99" ht="21" customHeight="1" s="65">
      <c r="C99" s="26" t="n"/>
      <c r="D99" s="26" t="n"/>
      <c r="E99" s="26" t="n"/>
      <c r="F99" s="104" t="n"/>
      <c r="G99" s="28" t="n"/>
      <c r="H99" s="26" t="n"/>
      <c r="I99" s="7">
        <f>IF(C99="","",C99&amp;"|"&amp;COUNTIF($C$5:C99,C99))</f>
        <v/>
      </c>
      <c r="K99" s="39" t="n"/>
      <c r="L99" s="39" t="n"/>
      <c r="M99" s="39" t="n"/>
      <c r="N99" s="39" t="n"/>
    </row>
    <row r="100" ht="21" customHeight="1" s="65">
      <c r="C100" s="26" t="n"/>
      <c r="D100" s="26" t="n"/>
      <c r="E100" s="26" t="n"/>
      <c r="F100" s="104" t="n"/>
      <c r="G100" s="28" t="n"/>
      <c r="H100" s="26" t="n"/>
      <c r="I100" s="7">
        <f>IF(C100="","",C100&amp;"|"&amp;COUNTIF($C$5:C100,C100))</f>
        <v/>
      </c>
      <c r="K100" s="39" t="n"/>
      <c r="L100" s="39" t="n"/>
      <c r="M100" s="39" t="n"/>
      <c r="N100" s="39" t="n"/>
    </row>
    <row r="101" ht="21" customHeight="1" s="65">
      <c r="C101" s="26" t="n"/>
      <c r="D101" s="26" t="n"/>
      <c r="E101" s="26" t="n"/>
      <c r="F101" s="104" t="n"/>
      <c r="G101" s="28" t="n"/>
      <c r="H101" s="26" t="n"/>
      <c r="I101" s="7">
        <f>IF(C101="","",C101&amp;"|"&amp;COUNTIF($C$5:C101,C101))</f>
        <v/>
      </c>
      <c r="K101" s="39" t="n"/>
      <c r="L101" s="39" t="n"/>
      <c r="M101" s="39" t="n"/>
      <c r="N101" s="39" t="n"/>
    </row>
    <row r="102" ht="21" customHeight="1" s="65">
      <c r="C102" s="26" t="n"/>
      <c r="D102" s="26" t="n"/>
      <c r="E102" s="26" t="n"/>
      <c r="F102" s="104" t="n"/>
      <c r="G102" s="28" t="n"/>
      <c r="H102" s="26" t="n"/>
      <c r="I102" s="7">
        <f>IF(C102="","",C102&amp;"|"&amp;COUNTIF($C$5:C102,C102))</f>
        <v/>
      </c>
      <c r="K102" s="39" t="n"/>
      <c r="L102" s="39" t="n"/>
      <c r="M102" s="39" t="n"/>
      <c r="N102" s="39" t="n"/>
    </row>
    <row r="103" ht="21" customHeight="1" s="65">
      <c r="C103" s="26" t="n"/>
      <c r="D103" s="26" t="n"/>
      <c r="E103" s="26" t="n"/>
      <c r="F103" s="104" t="n"/>
      <c r="G103" s="28" t="n"/>
      <c r="H103" s="26" t="n"/>
      <c r="I103" s="7">
        <f>IF(C103="","",C103&amp;"|"&amp;COUNTIF($C$5:C103,C103))</f>
        <v/>
      </c>
      <c r="K103" s="39" t="n"/>
      <c r="L103" s="39" t="n"/>
      <c r="M103" s="39" t="n"/>
      <c r="N103" s="39" t="n"/>
    </row>
    <row r="104" ht="21" customHeight="1" s="65">
      <c r="C104" s="26" t="n"/>
      <c r="D104" s="26" t="n"/>
      <c r="E104" s="26" t="n"/>
      <c r="F104" s="104" t="n"/>
      <c r="G104" s="28" t="n"/>
      <c r="H104" s="26" t="n"/>
      <c r="I104" s="7">
        <f>IF(C104="","",C104&amp;"|"&amp;COUNTIF($C$5:C104,C104))</f>
        <v/>
      </c>
      <c r="K104" s="39" t="n"/>
      <c r="L104" s="39" t="n"/>
      <c r="M104" s="39" t="n"/>
      <c r="N104" s="39" t="n"/>
    </row>
    <row r="105" ht="21" customHeight="1" s="65">
      <c r="C105" s="26" t="n"/>
      <c r="D105" s="26" t="n"/>
      <c r="E105" s="26" t="n"/>
      <c r="F105" s="104" t="n"/>
      <c r="G105" s="28" t="n"/>
      <c r="H105" s="26" t="n"/>
      <c r="I105" s="7">
        <f>IF(C105="","",C105&amp;"|"&amp;COUNTIF($C$5:C105,C105))</f>
        <v/>
      </c>
      <c r="K105" s="39" t="n"/>
      <c r="L105" s="39" t="n"/>
      <c r="M105" s="39" t="n"/>
      <c r="N105" s="39" t="n"/>
    </row>
    <row r="106" ht="21" customHeight="1" s="65">
      <c r="C106" s="26" t="n"/>
      <c r="D106" s="26" t="n"/>
      <c r="E106" s="26" t="n"/>
      <c r="F106" s="104" t="n"/>
      <c r="G106" s="28" t="n"/>
      <c r="H106" s="26" t="n"/>
      <c r="I106" s="7">
        <f>IF(C106="","",C106&amp;"|"&amp;COUNTIF($C$5:C106,C106))</f>
        <v/>
      </c>
      <c r="K106" s="39" t="n"/>
      <c r="L106" s="39" t="n"/>
      <c r="M106" s="39" t="n"/>
      <c r="N106" s="39" t="n"/>
    </row>
    <row r="107" ht="21" customHeight="1" s="65">
      <c r="C107" s="26" t="n"/>
      <c r="D107" s="26" t="n"/>
      <c r="E107" s="26" t="n"/>
      <c r="F107" s="104" t="n"/>
      <c r="G107" s="28" t="n"/>
      <c r="H107" s="26" t="n"/>
      <c r="I107" s="7">
        <f>IF(C107="","",C107&amp;"|"&amp;COUNTIF($C$5:C107,C107))</f>
        <v/>
      </c>
      <c r="K107" s="39" t="n"/>
      <c r="L107" s="39" t="n"/>
      <c r="M107" s="39" t="n"/>
      <c r="N107" s="39" t="n"/>
    </row>
    <row r="108" ht="21" customHeight="1" s="65">
      <c r="C108" s="26" t="n"/>
      <c r="D108" s="26" t="n"/>
      <c r="E108" s="26" t="n"/>
      <c r="F108" s="104" t="n"/>
      <c r="G108" s="28" t="n"/>
      <c r="H108" s="26" t="n"/>
      <c r="I108" s="7">
        <f>IF(C108="","",C108&amp;"|"&amp;COUNTIF($C$5:C108,C108))</f>
        <v/>
      </c>
      <c r="K108" s="39" t="n"/>
      <c r="L108" s="39" t="n"/>
      <c r="M108" s="39" t="n"/>
      <c r="N108" s="39" t="n"/>
    </row>
    <row r="109" ht="21" customHeight="1" s="65">
      <c r="C109" s="26" t="n"/>
      <c r="D109" s="26" t="n"/>
      <c r="E109" s="26" t="n"/>
      <c r="F109" s="104" t="n"/>
      <c r="G109" s="28" t="n"/>
      <c r="H109" s="26" t="n"/>
      <c r="I109" s="7">
        <f>IF(C109="","",C109&amp;"|"&amp;COUNTIF($C$5:C109,C109))</f>
        <v/>
      </c>
      <c r="K109" s="39" t="n"/>
      <c r="L109" s="39" t="n"/>
      <c r="M109" s="39" t="n"/>
      <c r="N109" s="39" t="n"/>
    </row>
    <row r="110" ht="21" customHeight="1" s="65">
      <c r="C110" s="26" t="n"/>
      <c r="D110" s="26" t="n"/>
      <c r="E110" s="26" t="n"/>
      <c r="F110" s="104" t="n"/>
      <c r="G110" s="28" t="n"/>
      <c r="H110" s="26" t="n"/>
      <c r="I110" s="7">
        <f>IF(C110="","",C110&amp;"|"&amp;COUNTIF($C$5:C110,C110))</f>
        <v/>
      </c>
      <c r="K110" s="39" t="n"/>
      <c r="L110" s="39" t="n"/>
      <c r="M110" s="39" t="n"/>
      <c r="N110" s="39" t="n"/>
    </row>
    <row r="111" ht="21" customHeight="1" s="65">
      <c r="C111" s="26" t="n"/>
      <c r="D111" s="26" t="n"/>
      <c r="E111" s="26" t="n"/>
      <c r="F111" s="104" t="n"/>
      <c r="G111" s="28" t="n"/>
      <c r="H111" s="26" t="n"/>
      <c r="I111" s="7">
        <f>IF(C111="","",C111&amp;"|"&amp;COUNTIF($C$5:C111,C111))</f>
        <v/>
      </c>
      <c r="K111" s="39" t="n"/>
      <c r="L111" s="39" t="n"/>
      <c r="M111" s="39" t="n"/>
      <c r="N111" s="39" t="n"/>
    </row>
    <row r="112" ht="21" customHeight="1" s="65">
      <c r="C112" s="26" t="n"/>
      <c r="D112" s="26" t="n"/>
      <c r="E112" s="26" t="n"/>
      <c r="F112" s="104" t="n"/>
      <c r="G112" s="28" t="n"/>
      <c r="H112" s="26" t="n"/>
      <c r="I112" s="7">
        <f>IF(C112="","",C112&amp;"|"&amp;COUNTIF($C$5:C112,C112))</f>
        <v/>
      </c>
      <c r="K112" s="39" t="n"/>
      <c r="L112" s="39" t="n"/>
      <c r="M112" s="39" t="n"/>
      <c r="N112" s="39" t="n"/>
    </row>
    <row r="113" ht="21" customHeight="1" s="65">
      <c r="C113" s="26" t="n"/>
      <c r="D113" s="26" t="n"/>
      <c r="E113" s="26" t="n"/>
      <c r="F113" s="104" t="n"/>
      <c r="G113" s="28" t="n"/>
      <c r="H113" s="26" t="n"/>
      <c r="I113" s="7">
        <f>IF(C113="","",C113&amp;"|"&amp;COUNTIF($C$5:C113,C113))</f>
        <v/>
      </c>
      <c r="K113" s="39" t="n"/>
      <c r="L113" s="39" t="n"/>
      <c r="M113" s="39" t="n"/>
      <c r="N113" s="39" t="n"/>
    </row>
    <row r="114" ht="21" customHeight="1" s="65">
      <c r="C114" s="26" t="n"/>
      <c r="D114" s="26" t="n"/>
      <c r="E114" s="26" t="n"/>
      <c r="F114" s="104" t="n"/>
      <c r="G114" s="28" t="n"/>
      <c r="H114" s="26" t="n"/>
      <c r="I114" s="7">
        <f>IF(C114="","",C114&amp;"|"&amp;COUNTIF($C$5:C114,C114))</f>
        <v/>
      </c>
      <c r="K114" s="39" t="n"/>
      <c r="L114" s="39" t="n"/>
      <c r="M114" s="39" t="n"/>
      <c r="N114" s="39" t="n"/>
    </row>
    <row r="115" ht="21" customHeight="1" s="65">
      <c r="C115" s="26" t="n"/>
      <c r="D115" s="26" t="n"/>
      <c r="E115" s="26" t="n"/>
      <c r="F115" s="104" t="n"/>
      <c r="G115" s="28" t="n"/>
      <c r="H115" s="26" t="n"/>
      <c r="I115" s="7">
        <f>IF(C115="","",C115&amp;"|"&amp;COUNTIF($C$5:C115,C115))</f>
        <v/>
      </c>
      <c r="K115" s="39" t="n"/>
      <c r="L115" s="39" t="n"/>
      <c r="M115" s="39" t="n"/>
      <c r="N115" s="39" t="n"/>
    </row>
    <row r="116" ht="21" customHeight="1" s="65">
      <c r="C116" s="26" t="n"/>
      <c r="D116" s="26" t="n"/>
      <c r="E116" s="26" t="n"/>
      <c r="F116" s="104" t="n"/>
      <c r="G116" s="28" t="n"/>
      <c r="H116" s="26" t="n"/>
      <c r="I116" s="7">
        <f>IF(C116="","",C116&amp;"|"&amp;COUNTIF($C$5:C116,C116))</f>
        <v/>
      </c>
      <c r="K116" s="39" t="n"/>
      <c r="L116" s="39" t="n"/>
      <c r="M116" s="39" t="n"/>
      <c r="N116" s="39" t="n"/>
    </row>
    <row r="117" ht="21" customHeight="1" s="65">
      <c r="C117" s="26" t="n"/>
      <c r="D117" s="26" t="n"/>
      <c r="E117" s="26" t="n"/>
      <c r="F117" s="104" t="n"/>
      <c r="G117" s="28" t="n"/>
      <c r="H117" s="26" t="n"/>
      <c r="I117" s="7">
        <f>IF(C117="","",C117&amp;"|"&amp;COUNTIF($C$5:C117,C117))</f>
        <v/>
      </c>
      <c r="K117" s="39" t="n"/>
      <c r="L117" s="39" t="n"/>
      <c r="M117" s="39" t="n"/>
      <c r="N117" s="39" t="n"/>
    </row>
    <row r="118" ht="21" customHeight="1" s="65">
      <c r="C118" s="26" t="n"/>
      <c r="D118" s="26" t="n"/>
      <c r="E118" s="26" t="n"/>
      <c r="F118" s="104" t="n"/>
      <c r="G118" s="28" t="n"/>
      <c r="H118" s="26" t="n"/>
      <c r="I118" s="7">
        <f>IF(C118="","",C118&amp;"|"&amp;COUNTIF($C$5:C118,C118))</f>
        <v/>
      </c>
      <c r="K118" s="39" t="n"/>
      <c r="L118" s="39" t="n"/>
      <c r="M118" s="39" t="n"/>
      <c r="N118" s="39" t="n"/>
    </row>
    <row r="119" ht="21" customHeight="1" s="65">
      <c r="C119" s="26" t="n"/>
      <c r="D119" s="26" t="n"/>
      <c r="E119" s="26" t="n"/>
      <c r="F119" s="104" t="n"/>
      <c r="G119" s="28" t="n"/>
      <c r="H119" s="26" t="n"/>
      <c r="I119" s="7">
        <f>IF(C119="","",C119&amp;"|"&amp;COUNTIF($C$5:C119,C119))</f>
        <v/>
      </c>
      <c r="K119" s="39" t="n"/>
      <c r="L119" s="39" t="n"/>
      <c r="M119" s="39" t="n"/>
      <c r="N119" s="39" t="n"/>
    </row>
    <row r="120" ht="21" customHeight="1" s="65">
      <c r="C120" s="26" t="n"/>
      <c r="D120" s="26" t="n"/>
      <c r="E120" s="26" t="n"/>
      <c r="F120" s="104" t="n"/>
      <c r="G120" s="28" t="n"/>
      <c r="H120" s="26" t="n"/>
      <c r="I120" s="7">
        <f>IF(C120="","",C120&amp;"|"&amp;COUNTIF($C$5:C120,C120))</f>
        <v/>
      </c>
      <c r="K120" s="39" t="n"/>
      <c r="L120" s="39" t="n"/>
      <c r="M120" s="39" t="n"/>
      <c r="N120" s="39" t="n"/>
    </row>
    <row r="121" ht="21" customHeight="1" s="65">
      <c r="C121" s="26" t="n"/>
      <c r="D121" s="26" t="n"/>
      <c r="E121" s="26" t="n"/>
      <c r="F121" s="104" t="n"/>
      <c r="G121" s="28" t="n"/>
      <c r="H121" s="26" t="n"/>
      <c r="I121" s="7">
        <f>IF(C121="","",C121&amp;"|"&amp;COUNTIF($C$5:C121,C121))</f>
        <v/>
      </c>
      <c r="K121" s="39" t="n"/>
      <c r="L121" s="39" t="n"/>
      <c r="M121" s="39" t="n"/>
      <c r="N121" s="39" t="n"/>
    </row>
    <row r="122" ht="21" customHeight="1" s="65">
      <c r="C122" s="26" t="n"/>
      <c r="D122" s="26" t="n"/>
      <c r="E122" s="26" t="n"/>
      <c r="F122" s="104" t="n"/>
      <c r="G122" s="28" t="n"/>
      <c r="H122" s="26" t="n"/>
      <c r="I122" s="7">
        <f>IF(C122="","",C122&amp;"|"&amp;COUNTIF($C$5:C122,C122))</f>
        <v/>
      </c>
      <c r="K122" s="39" t="n"/>
      <c r="L122" s="39" t="n"/>
      <c r="M122" s="39" t="n"/>
      <c r="N122" s="39" t="n"/>
    </row>
    <row r="123" ht="21" customHeight="1" s="65">
      <c r="C123" s="26" t="n"/>
      <c r="D123" s="26" t="n"/>
      <c r="E123" s="26" t="n"/>
      <c r="F123" s="104" t="n"/>
      <c r="G123" s="28" t="n"/>
      <c r="H123" s="26" t="n"/>
      <c r="I123" s="7">
        <f>IF(C123="","",C123&amp;"|"&amp;COUNTIF($C$5:C123,C123))</f>
        <v/>
      </c>
      <c r="K123" s="39" t="n"/>
      <c r="L123" s="39" t="n"/>
      <c r="M123" s="39" t="n"/>
      <c r="N123" s="39" t="n"/>
    </row>
    <row r="124" ht="21" customHeight="1" s="65">
      <c r="C124" s="26" t="n"/>
      <c r="D124" s="26" t="n"/>
      <c r="E124" s="26" t="n"/>
      <c r="F124" s="104" t="n"/>
      <c r="G124" s="28" t="n"/>
      <c r="H124" s="26" t="n"/>
      <c r="I124" s="7">
        <f>IF(C124="","",C124&amp;"|"&amp;COUNTIF($C$5:C124,C124))</f>
        <v/>
      </c>
      <c r="K124" s="39" t="n"/>
      <c r="L124" s="39" t="n"/>
      <c r="M124" s="39" t="n"/>
      <c r="N124" s="39" t="n"/>
    </row>
    <row r="125" ht="21" customHeight="1" s="65">
      <c r="C125" s="26" t="n"/>
      <c r="D125" s="26" t="n"/>
      <c r="E125" s="26" t="n"/>
      <c r="F125" s="104" t="n"/>
      <c r="G125" s="28" t="n"/>
      <c r="H125" s="26" t="n"/>
      <c r="I125" s="7">
        <f>IF(C125="","",C125&amp;"|"&amp;COUNTIF($C$5:C125,C125))</f>
        <v/>
      </c>
      <c r="K125" s="39" t="n"/>
      <c r="L125" s="39" t="n"/>
      <c r="M125" s="39" t="n"/>
      <c r="N125" s="39" t="n"/>
    </row>
    <row r="126" ht="21" customHeight="1" s="65">
      <c r="C126" s="26" t="n"/>
      <c r="D126" s="26" t="n"/>
      <c r="E126" s="26" t="n"/>
      <c r="F126" s="104" t="n"/>
      <c r="G126" s="28" t="n"/>
      <c r="H126" s="26" t="n"/>
      <c r="I126" s="7">
        <f>IF(C126="","",C126&amp;"|"&amp;COUNTIF($C$5:C126,C126))</f>
        <v/>
      </c>
      <c r="K126" s="39" t="n"/>
      <c r="L126" s="39" t="n"/>
      <c r="M126" s="39" t="n"/>
      <c r="N126" s="39" t="n"/>
    </row>
    <row r="127" ht="21" customHeight="1" s="65">
      <c r="C127" s="26" t="n"/>
      <c r="D127" s="26" t="n"/>
      <c r="E127" s="26" t="n"/>
      <c r="F127" s="104" t="n"/>
      <c r="G127" s="28" t="n"/>
      <c r="H127" s="26" t="n"/>
      <c r="I127" s="7">
        <f>IF(C127="","",C127&amp;"|"&amp;COUNTIF($C$5:C127,C127))</f>
        <v/>
      </c>
      <c r="K127" s="39" t="n"/>
      <c r="L127" s="39" t="n"/>
      <c r="M127" s="39" t="n"/>
      <c r="N127" s="39" t="n"/>
    </row>
    <row r="128" ht="21" customHeight="1" s="65">
      <c r="C128" s="26" t="n"/>
      <c r="D128" s="26" t="n"/>
      <c r="E128" s="26" t="n"/>
      <c r="F128" s="104" t="n"/>
      <c r="G128" s="28" t="n"/>
      <c r="H128" s="26" t="n"/>
      <c r="I128" s="7">
        <f>IF(C128="","",C128&amp;"|"&amp;COUNTIF($C$5:C128,C128))</f>
        <v/>
      </c>
      <c r="K128" s="39" t="n"/>
      <c r="L128" s="39" t="n"/>
      <c r="M128" s="39" t="n"/>
      <c r="N128" s="39" t="n"/>
    </row>
    <row r="129" ht="21" customHeight="1" s="65">
      <c r="C129" s="26" t="n"/>
      <c r="D129" s="26" t="n"/>
      <c r="E129" s="26" t="n"/>
      <c r="F129" s="104" t="n"/>
      <c r="G129" s="28" t="n"/>
      <c r="H129" s="26" t="n"/>
      <c r="I129" s="7">
        <f>IF(C129="","",C129&amp;"|"&amp;COUNTIF($C$5:C129,C129))</f>
        <v/>
      </c>
      <c r="K129" s="39" t="n"/>
      <c r="L129" s="39" t="n"/>
      <c r="M129" s="39" t="n"/>
      <c r="N129" s="39" t="n"/>
    </row>
    <row r="130" ht="21" customHeight="1" s="65">
      <c r="C130" s="26" t="n"/>
      <c r="D130" s="26" t="n"/>
      <c r="E130" s="26" t="n"/>
      <c r="F130" s="104" t="n"/>
      <c r="G130" s="28" t="n"/>
      <c r="H130" s="26" t="n"/>
      <c r="I130" s="7">
        <f>IF(C130="","",C130&amp;"|"&amp;COUNTIF($C$5:C130,C130))</f>
        <v/>
      </c>
      <c r="K130" s="39" t="n"/>
      <c r="L130" s="39" t="n"/>
      <c r="M130" s="39" t="n"/>
      <c r="N130" s="39" t="n"/>
    </row>
    <row r="131" ht="21" customHeight="1" s="65">
      <c r="C131" s="26" t="n"/>
      <c r="D131" s="26" t="n"/>
      <c r="E131" s="26" t="n"/>
      <c r="F131" s="104" t="n"/>
      <c r="G131" s="28" t="n"/>
      <c r="H131" s="26" t="n"/>
      <c r="I131" s="7">
        <f>IF(C131="","",C131&amp;"|"&amp;COUNTIF($C$5:C131,C131))</f>
        <v/>
      </c>
      <c r="K131" s="39" t="n"/>
      <c r="L131" s="39" t="n"/>
      <c r="M131" s="39" t="n"/>
      <c r="N131" s="39" t="n"/>
    </row>
    <row r="132" ht="21" customHeight="1" s="65">
      <c r="C132" s="26" t="n"/>
      <c r="D132" s="26" t="n"/>
      <c r="E132" s="26" t="n"/>
      <c r="F132" s="104" t="n"/>
      <c r="G132" s="28" t="n"/>
      <c r="H132" s="26" t="n"/>
      <c r="I132" s="7">
        <f>IF(C132="","",C132&amp;"|"&amp;COUNTIF($C$5:C132,C132))</f>
        <v/>
      </c>
      <c r="K132" s="39" t="n"/>
      <c r="L132" s="39" t="n"/>
      <c r="M132" s="39" t="n"/>
      <c r="N132" s="39" t="n"/>
    </row>
    <row r="133" ht="21" customHeight="1" s="65">
      <c r="C133" s="26" t="n"/>
      <c r="D133" s="26" t="n"/>
      <c r="E133" s="26" t="n"/>
      <c r="F133" s="104" t="n"/>
      <c r="G133" s="28" t="n"/>
      <c r="H133" s="26" t="n"/>
      <c r="I133" s="7">
        <f>IF(C133="","",C133&amp;"|"&amp;COUNTIF($C$5:C133,C133))</f>
        <v/>
      </c>
      <c r="K133" s="39" t="n"/>
      <c r="L133" s="39" t="n"/>
      <c r="M133" s="39" t="n"/>
      <c r="N133" s="39" t="n"/>
    </row>
    <row r="134" ht="21" customHeight="1" s="65">
      <c r="C134" s="26" t="n"/>
      <c r="D134" s="26" t="n"/>
      <c r="E134" s="26" t="n"/>
      <c r="F134" s="104" t="n"/>
      <c r="G134" s="28" t="n"/>
      <c r="H134" s="26" t="n"/>
      <c r="I134" s="7">
        <f>IF(C134="","",C134&amp;"|"&amp;COUNTIF($C$5:C134,C134))</f>
        <v/>
      </c>
      <c r="K134" s="39" t="n"/>
      <c r="L134" s="39" t="n"/>
      <c r="M134" s="39" t="n"/>
      <c r="N134" s="39" t="n"/>
    </row>
    <row r="135" ht="21" customHeight="1" s="65">
      <c r="C135" s="26" t="n"/>
      <c r="D135" s="26" t="n"/>
      <c r="E135" s="26" t="n"/>
      <c r="F135" s="104" t="n"/>
      <c r="G135" s="28" t="n"/>
      <c r="H135" s="26" t="n"/>
      <c r="I135" s="7">
        <f>IF(C135="","",C135&amp;"|"&amp;COUNTIF($C$5:C135,C135))</f>
        <v/>
      </c>
      <c r="K135" s="39" t="n"/>
      <c r="L135" s="39" t="n"/>
      <c r="M135" s="39" t="n"/>
      <c r="N135" s="39" t="n"/>
    </row>
    <row r="136" ht="21" customHeight="1" s="65">
      <c r="C136" s="26" t="n"/>
      <c r="D136" s="26" t="n"/>
      <c r="E136" s="26" t="n"/>
      <c r="F136" s="104" t="n"/>
      <c r="G136" s="28" t="n"/>
      <c r="H136" s="26" t="n"/>
      <c r="I136" s="7">
        <f>IF(C136="","",C136&amp;"|"&amp;COUNTIF($C$5:C136,C136))</f>
        <v/>
      </c>
      <c r="K136" s="39" t="n"/>
      <c r="L136" s="39" t="n"/>
      <c r="M136" s="39" t="n"/>
      <c r="N136" s="39" t="n"/>
    </row>
    <row r="137" ht="21" customHeight="1" s="65">
      <c r="C137" s="26" t="n"/>
      <c r="D137" s="26" t="n"/>
      <c r="E137" s="26" t="n"/>
      <c r="F137" s="104" t="n"/>
      <c r="G137" s="28" t="n"/>
      <c r="H137" s="26" t="n"/>
      <c r="I137" s="7">
        <f>IF(C137="","",C137&amp;"|"&amp;COUNTIF($C$5:C137,C137))</f>
        <v/>
      </c>
      <c r="K137" s="39" t="n"/>
      <c r="L137" s="39" t="n"/>
      <c r="M137" s="39" t="n"/>
      <c r="N137" s="39" t="n"/>
    </row>
    <row r="138" ht="21" customHeight="1" s="65">
      <c r="C138" s="26" t="n"/>
      <c r="D138" s="26" t="n"/>
      <c r="E138" s="26" t="n"/>
      <c r="F138" s="104" t="n"/>
      <c r="G138" s="28" t="n"/>
      <c r="H138" s="26" t="n"/>
      <c r="I138" s="7">
        <f>IF(C138="","",C138&amp;"|"&amp;COUNTIF($C$5:C138,C138))</f>
        <v/>
      </c>
      <c r="K138" s="39" t="n"/>
      <c r="L138" s="39" t="n"/>
      <c r="M138" s="39" t="n"/>
      <c r="N138" s="39" t="n"/>
    </row>
    <row r="139" ht="21" customHeight="1" s="65">
      <c r="C139" s="26" t="n"/>
      <c r="D139" s="26" t="n"/>
      <c r="E139" s="26" t="n"/>
      <c r="F139" s="104" t="n"/>
      <c r="G139" s="28" t="n"/>
      <c r="H139" s="26" t="n"/>
      <c r="I139" s="7">
        <f>IF(C139="","",C139&amp;"|"&amp;COUNTIF($C$5:C139,C139))</f>
        <v/>
      </c>
      <c r="K139" s="39" t="n"/>
      <c r="L139" s="39" t="n"/>
      <c r="M139" s="39" t="n"/>
      <c r="N139" s="39" t="n"/>
    </row>
    <row r="140" ht="21" customHeight="1" s="65">
      <c r="C140" s="26" t="n"/>
      <c r="D140" s="26" t="n"/>
      <c r="E140" s="26" t="n"/>
      <c r="F140" s="104" t="n"/>
      <c r="G140" s="28" t="n"/>
      <c r="H140" s="26" t="n"/>
      <c r="I140" s="7">
        <f>IF(C140="","",C140&amp;"|"&amp;COUNTIF($C$5:C140,C140))</f>
        <v/>
      </c>
      <c r="K140" s="39" t="n"/>
      <c r="L140" s="39" t="n"/>
      <c r="M140" s="39" t="n"/>
      <c r="N140" s="39" t="n"/>
    </row>
    <row r="141" ht="21" customHeight="1" s="65">
      <c r="C141" s="26" t="n"/>
      <c r="D141" s="26" t="n"/>
      <c r="E141" s="26" t="n"/>
      <c r="F141" s="104" t="n"/>
      <c r="G141" s="28" t="n"/>
      <c r="H141" s="26" t="n"/>
      <c r="I141" s="7">
        <f>IF(C141="","",C141&amp;"|"&amp;COUNTIF($C$5:C141,C141))</f>
        <v/>
      </c>
      <c r="K141" s="39" t="n"/>
      <c r="L141" s="39" t="n"/>
      <c r="M141" s="39" t="n"/>
      <c r="N141" s="39" t="n"/>
    </row>
    <row r="142" ht="21" customHeight="1" s="65">
      <c r="C142" s="26" t="n"/>
      <c r="D142" s="26" t="n"/>
      <c r="E142" s="26" t="n"/>
      <c r="F142" s="104" t="n"/>
      <c r="G142" s="28" t="n"/>
      <c r="H142" s="26" t="n"/>
      <c r="I142" s="7">
        <f>IF(C142="","",C142&amp;"|"&amp;COUNTIF($C$5:C142,C142))</f>
        <v/>
      </c>
      <c r="K142" s="39" t="n"/>
      <c r="L142" s="39" t="n"/>
      <c r="M142" s="39" t="n"/>
      <c r="N142" s="39" t="n"/>
    </row>
    <row r="143" ht="21" customHeight="1" s="65">
      <c r="C143" s="26" t="n"/>
      <c r="D143" s="26" t="n"/>
      <c r="E143" s="26" t="n"/>
      <c r="F143" s="104" t="n"/>
      <c r="G143" s="28" t="n"/>
      <c r="H143" s="26" t="n"/>
      <c r="I143" s="7">
        <f>IF(C143="","",C143&amp;"|"&amp;COUNTIF($C$5:C143,C143))</f>
        <v/>
      </c>
      <c r="K143" s="39" t="n"/>
      <c r="L143" s="39" t="n"/>
      <c r="M143" s="39" t="n"/>
      <c r="N143" s="39" t="n"/>
    </row>
    <row r="144" ht="21" customHeight="1" s="65">
      <c r="C144" s="26" t="n"/>
      <c r="D144" s="26" t="n"/>
      <c r="E144" s="26" t="n"/>
      <c r="F144" s="104" t="n"/>
      <c r="G144" s="28" t="n"/>
      <c r="H144" s="26" t="n"/>
      <c r="I144" s="7">
        <f>IF(C144="","",C144&amp;"|"&amp;COUNTIF($C$5:C144,C144))</f>
        <v/>
      </c>
      <c r="K144" s="39" t="n"/>
      <c r="L144" s="39" t="n"/>
      <c r="M144" s="39" t="n"/>
      <c r="N144" s="39" t="n"/>
    </row>
    <row r="145" ht="21" customHeight="1" s="65">
      <c r="C145" s="26" t="n"/>
      <c r="D145" s="26" t="n"/>
      <c r="E145" s="26" t="n"/>
      <c r="F145" s="104" t="n"/>
      <c r="G145" s="28" t="n"/>
      <c r="H145" s="26" t="n"/>
      <c r="I145" s="7">
        <f>IF(C145="","",C145&amp;"|"&amp;COUNTIF($C$5:C145,C145))</f>
        <v/>
      </c>
      <c r="K145" s="39" t="n"/>
      <c r="L145" s="39" t="n"/>
      <c r="M145" s="39" t="n"/>
      <c r="N145" s="39" t="n"/>
    </row>
    <row r="146" ht="21" customHeight="1" s="65">
      <c r="C146" s="26" t="n"/>
      <c r="D146" s="26" t="n"/>
      <c r="E146" s="26" t="n"/>
      <c r="F146" s="104" t="n"/>
      <c r="G146" s="28" t="n"/>
      <c r="H146" s="26" t="n"/>
      <c r="I146" s="7">
        <f>IF(C146="","",C146&amp;"|"&amp;COUNTIF($C$5:C146,C146))</f>
        <v/>
      </c>
      <c r="K146" s="39" t="n"/>
      <c r="L146" s="39" t="n"/>
      <c r="M146" s="39" t="n"/>
      <c r="N146" s="39" t="n"/>
    </row>
    <row r="147" ht="21" customHeight="1" s="65">
      <c r="C147" s="26" t="n"/>
      <c r="D147" s="26" t="n"/>
      <c r="E147" s="26" t="n"/>
      <c r="F147" s="104" t="n"/>
      <c r="G147" s="28" t="n"/>
      <c r="H147" s="26" t="n"/>
      <c r="I147" s="7">
        <f>IF(C147="","",C147&amp;"|"&amp;COUNTIF($C$5:C147,C147))</f>
        <v/>
      </c>
      <c r="K147" s="39" t="n"/>
      <c r="L147" s="39" t="n"/>
      <c r="M147" s="39" t="n"/>
      <c r="N147" s="39" t="n"/>
    </row>
    <row r="148" ht="21" customHeight="1" s="65">
      <c r="C148" s="26" t="n"/>
      <c r="D148" s="26" t="n"/>
      <c r="E148" s="26" t="n"/>
      <c r="F148" s="104" t="n"/>
      <c r="G148" s="28" t="n"/>
      <c r="H148" s="26" t="n"/>
      <c r="I148" s="7">
        <f>IF(C148="","",C148&amp;"|"&amp;COUNTIF($C$5:C148,C148))</f>
        <v/>
      </c>
      <c r="K148" s="39" t="n"/>
      <c r="L148" s="39" t="n"/>
      <c r="M148" s="39" t="n"/>
      <c r="N148" s="39" t="n"/>
    </row>
    <row r="149" ht="21" customHeight="1" s="65">
      <c r="C149" s="26" t="n"/>
      <c r="D149" s="26" t="n"/>
      <c r="E149" s="26" t="n"/>
      <c r="F149" s="104" t="n"/>
      <c r="G149" s="28" t="n"/>
      <c r="H149" s="26" t="n"/>
      <c r="I149" s="7">
        <f>IF(C149="","",C149&amp;"|"&amp;COUNTIF($C$5:C149,C149))</f>
        <v/>
      </c>
      <c r="K149" s="39" t="n"/>
      <c r="L149" s="39" t="n"/>
      <c r="M149" s="39" t="n"/>
      <c r="N149" s="39" t="n"/>
    </row>
    <row r="150" ht="21" customHeight="1" s="65">
      <c r="C150" s="26" t="n"/>
      <c r="D150" s="26" t="n"/>
      <c r="E150" s="26" t="n"/>
      <c r="F150" s="104" t="n"/>
      <c r="G150" s="28" t="n"/>
      <c r="H150" s="26" t="n"/>
      <c r="I150" s="7">
        <f>IF(C150="","",C150&amp;"|"&amp;COUNTIF($C$5:C150,C150))</f>
        <v/>
      </c>
      <c r="K150" s="39" t="n"/>
      <c r="L150" s="39" t="n"/>
      <c r="M150" s="39" t="n"/>
      <c r="N150" s="39" t="n"/>
    </row>
    <row r="151" ht="21" customHeight="1" s="65">
      <c r="C151" s="26" t="n"/>
      <c r="D151" s="26" t="n"/>
      <c r="E151" s="26" t="n"/>
      <c r="F151" s="104" t="n"/>
      <c r="G151" s="28" t="n"/>
      <c r="H151" s="26" t="n"/>
      <c r="I151" s="7">
        <f>IF(C151="","",C151&amp;"|"&amp;COUNTIF($C$5:C151,C151))</f>
        <v/>
      </c>
      <c r="K151" s="39" t="n"/>
      <c r="L151" s="39" t="n"/>
      <c r="M151" s="39" t="n"/>
      <c r="N151" s="39" t="n"/>
    </row>
    <row r="152" ht="21" customHeight="1" s="65">
      <c r="C152" s="26" t="n"/>
      <c r="D152" s="26" t="n"/>
      <c r="E152" s="26" t="n"/>
      <c r="F152" s="104" t="n"/>
      <c r="G152" s="28" t="n"/>
      <c r="H152" s="26" t="n"/>
      <c r="I152" s="7">
        <f>IF(C152="","",C152&amp;"|"&amp;COUNTIF($C$5:C152,C152))</f>
        <v/>
      </c>
      <c r="K152" s="39" t="n"/>
      <c r="L152" s="39" t="n"/>
      <c r="M152" s="39" t="n"/>
      <c r="N152" s="39" t="n"/>
    </row>
    <row r="153" ht="21" customHeight="1" s="65">
      <c r="C153" s="26" t="n"/>
      <c r="D153" s="26" t="n"/>
      <c r="E153" s="26" t="n"/>
      <c r="F153" s="104" t="n"/>
      <c r="G153" s="28" t="n"/>
      <c r="H153" s="26" t="n"/>
      <c r="I153" s="7">
        <f>IF(C153="","",C153&amp;"|"&amp;COUNTIF($C$5:C153,C153))</f>
        <v/>
      </c>
      <c r="K153" s="39" t="n"/>
      <c r="L153" s="39" t="n"/>
      <c r="M153" s="39" t="n"/>
      <c r="N153" s="39" t="n"/>
    </row>
    <row r="154" ht="21" customHeight="1" s="65">
      <c r="C154" s="26" t="n"/>
      <c r="D154" s="26" t="n"/>
      <c r="E154" s="26" t="n"/>
      <c r="F154" s="104" t="n"/>
      <c r="G154" s="28" t="n"/>
      <c r="H154" s="26" t="n"/>
      <c r="I154" s="7">
        <f>IF(C154="","",C154&amp;"|"&amp;COUNTIF($C$5:C154,C154))</f>
        <v/>
      </c>
      <c r="K154" s="39" t="n"/>
      <c r="L154" s="39" t="n"/>
      <c r="M154" s="39" t="n"/>
      <c r="N154" s="39" t="n"/>
    </row>
    <row r="155" ht="21" customHeight="1" s="65">
      <c r="C155" s="26" t="n"/>
      <c r="D155" s="26" t="n"/>
      <c r="E155" s="26" t="n"/>
      <c r="F155" s="104" t="n"/>
      <c r="G155" s="28" t="n"/>
      <c r="H155" s="26" t="n"/>
      <c r="I155" s="7">
        <f>IF(C155="","",C155&amp;"|"&amp;COUNTIF($C$5:C155,C155))</f>
        <v/>
      </c>
      <c r="K155" s="39" t="n"/>
      <c r="L155" s="39" t="n"/>
      <c r="M155" s="39" t="n"/>
      <c r="N155" s="39" t="n"/>
    </row>
    <row r="156" ht="21" customHeight="1" s="65">
      <c r="C156" s="26" t="n"/>
      <c r="D156" s="26" t="n"/>
      <c r="E156" s="26" t="n"/>
      <c r="F156" s="104" t="n"/>
      <c r="G156" s="28" t="n"/>
      <c r="H156" s="26" t="n"/>
      <c r="I156" s="7">
        <f>IF(C156="","",C156&amp;"|"&amp;COUNTIF($C$5:C156,C156))</f>
        <v/>
      </c>
      <c r="K156" s="39" t="n"/>
      <c r="L156" s="39" t="n"/>
      <c r="M156" s="39" t="n"/>
      <c r="N156" s="39" t="n"/>
    </row>
    <row r="157" ht="21" customHeight="1" s="65">
      <c r="C157" s="26" t="n"/>
      <c r="D157" s="26" t="n"/>
      <c r="E157" s="26" t="n"/>
      <c r="F157" s="104" t="n"/>
      <c r="G157" s="28" t="n"/>
      <c r="H157" s="26" t="n"/>
      <c r="I157" s="7">
        <f>IF(C157="","",C157&amp;"|"&amp;COUNTIF($C$5:C157,C157))</f>
        <v/>
      </c>
      <c r="K157" s="39" t="n"/>
      <c r="L157" s="39" t="n"/>
      <c r="M157" s="39" t="n"/>
      <c r="N157" s="39" t="n"/>
    </row>
    <row r="158" ht="21" customHeight="1" s="65">
      <c r="C158" s="26" t="n"/>
      <c r="D158" s="26" t="n"/>
      <c r="E158" s="26" t="n"/>
      <c r="F158" s="104" t="n"/>
      <c r="G158" s="28" t="n"/>
      <c r="H158" s="26" t="n"/>
      <c r="I158" s="7">
        <f>IF(C158="","",C158&amp;"|"&amp;COUNTIF($C$5:C158,C158))</f>
        <v/>
      </c>
      <c r="K158" s="39" t="n"/>
      <c r="L158" s="39" t="n"/>
      <c r="M158" s="39" t="n"/>
      <c r="N158" s="39" t="n"/>
    </row>
    <row r="159" ht="21" customHeight="1" s="65">
      <c r="C159" s="26" t="n"/>
      <c r="D159" s="26" t="n"/>
      <c r="E159" s="26" t="n"/>
      <c r="F159" s="104" t="n"/>
      <c r="G159" s="28" t="n"/>
      <c r="H159" s="26" t="n"/>
      <c r="I159" s="7">
        <f>IF(C159="","",C159&amp;"|"&amp;COUNTIF($C$5:C159,C159))</f>
        <v/>
      </c>
      <c r="K159" s="39" t="n"/>
      <c r="L159" s="39" t="n"/>
      <c r="M159" s="39" t="n"/>
      <c r="N159" s="39" t="n"/>
    </row>
    <row r="160" ht="21" customHeight="1" s="65">
      <c r="C160" s="26" t="n"/>
      <c r="D160" s="26" t="n"/>
      <c r="E160" s="26" t="n"/>
      <c r="F160" s="104" t="n"/>
      <c r="G160" s="28" t="n"/>
      <c r="H160" s="26" t="n"/>
      <c r="I160" s="7">
        <f>IF(C160="","",C160&amp;"|"&amp;COUNTIF($C$5:C160,C160))</f>
        <v/>
      </c>
      <c r="K160" s="39" t="n"/>
      <c r="L160" s="39" t="n"/>
      <c r="M160" s="39" t="n"/>
      <c r="N160" s="39" t="n"/>
    </row>
    <row r="161" ht="21" customHeight="1" s="65">
      <c r="C161" s="26" t="n"/>
      <c r="D161" s="26" t="n"/>
      <c r="E161" s="26" t="n"/>
      <c r="F161" s="104" t="n"/>
      <c r="G161" s="28" t="n"/>
      <c r="H161" s="26" t="n"/>
      <c r="I161" s="7">
        <f>IF(C161="","",C161&amp;"|"&amp;COUNTIF($C$5:C161,C161))</f>
        <v/>
      </c>
      <c r="K161" s="39" t="n"/>
      <c r="L161" s="39" t="n"/>
      <c r="M161" s="39" t="n"/>
      <c r="N161" s="39" t="n"/>
    </row>
    <row r="162" ht="21" customHeight="1" s="65">
      <c r="C162" s="26" t="n"/>
      <c r="D162" s="26" t="n"/>
      <c r="E162" s="26" t="n"/>
      <c r="F162" s="104" t="n"/>
      <c r="G162" s="28" t="n"/>
      <c r="H162" s="26" t="n"/>
      <c r="I162" s="7">
        <f>IF(C162="","",C162&amp;"|"&amp;COUNTIF($C$5:C162,C162))</f>
        <v/>
      </c>
      <c r="K162" s="39" t="n"/>
      <c r="L162" s="39" t="n"/>
      <c r="M162" s="39" t="n"/>
      <c r="N162" s="39" t="n"/>
    </row>
    <row r="163" ht="21" customHeight="1" s="65">
      <c r="C163" s="26" t="n"/>
      <c r="D163" s="26" t="n"/>
      <c r="E163" s="26" t="n"/>
      <c r="F163" s="104" t="n"/>
      <c r="G163" s="28" t="n"/>
      <c r="H163" s="26" t="n"/>
      <c r="I163" s="7">
        <f>IF(C163="","",C163&amp;"|"&amp;COUNTIF($C$5:C163,C163))</f>
        <v/>
      </c>
      <c r="K163" s="39" t="n"/>
      <c r="L163" s="39" t="n"/>
      <c r="M163" s="39" t="n"/>
      <c r="N163" s="39" t="n"/>
    </row>
    <row r="164" ht="21" customHeight="1" s="65">
      <c r="C164" s="26" t="n"/>
      <c r="D164" s="26" t="n"/>
      <c r="E164" s="26" t="n"/>
      <c r="F164" s="104" t="n"/>
      <c r="G164" s="28" t="n"/>
      <c r="H164" s="26" t="n"/>
      <c r="I164" s="7">
        <f>IF(C164="","",C164&amp;"|"&amp;COUNTIF($C$5:C164,C164))</f>
        <v/>
      </c>
      <c r="K164" s="39" t="n"/>
      <c r="L164" s="39" t="n"/>
      <c r="M164" s="39" t="n"/>
      <c r="N164" s="39" t="n"/>
    </row>
    <row r="165" ht="21" customHeight="1" s="65">
      <c r="C165" s="26" t="n"/>
      <c r="D165" s="26" t="n"/>
      <c r="E165" s="26" t="n"/>
      <c r="F165" s="104" t="n"/>
      <c r="G165" s="28" t="n"/>
      <c r="H165" s="26" t="n"/>
      <c r="I165" s="7">
        <f>IF(C165="","",C165&amp;"|"&amp;COUNTIF($C$5:C165,C165))</f>
        <v/>
      </c>
      <c r="K165" s="39" t="n"/>
      <c r="L165" s="39" t="n"/>
      <c r="M165" s="39" t="n"/>
      <c r="N165" s="39" t="n"/>
    </row>
    <row r="166" ht="21" customHeight="1" s="65">
      <c r="C166" s="26" t="n"/>
      <c r="D166" s="26" t="n"/>
      <c r="E166" s="26" t="n"/>
      <c r="F166" s="104" t="n"/>
      <c r="G166" s="28" t="n"/>
      <c r="H166" s="26" t="n"/>
      <c r="I166" s="7">
        <f>IF(C166="","",C166&amp;"|"&amp;COUNTIF($C$5:C166,C166))</f>
        <v/>
      </c>
      <c r="K166" s="39" t="n"/>
      <c r="L166" s="39" t="n"/>
      <c r="M166" s="39" t="n"/>
      <c r="N166" s="39" t="n"/>
    </row>
    <row r="167" ht="21" customHeight="1" s="65">
      <c r="C167" s="26" t="n"/>
      <c r="D167" s="26" t="n"/>
      <c r="E167" s="26" t="n"/>
      <c r="F167" s="104" t="n"/>
      <c r="G167" s="28" t="n"/>
      <c r="H167" s="26" t="n"/>
      <c r="I167" s="7">
        <f>IF(C167="","",C167&amp;"|"&amp;COUNTIF($C$5:C167,C167))</f>
        <v/>
      </c>
      <c r="K167" s="39" t="n"/>
      <c r="L167" s="39" t="n"/>
      <c r="M167" s="39" t="n"/>
      <c r="N167" s="39" t="n"/>
    </row>
    <row r="168" ht="21" customHeight="1" s="65">
      <c r="C168" s="26" t="n"/>
      <c r="D168" s="26" t="n"/>
      <c r="E168" s="26" t="n"/>
      <c r="F168" s="104" t="n"/>
      <c r="G168" s="28" t="n"/>
      <c r="H168" s="26" t="n"/>
      <c r="I168" s="7">
        <f>IF(C168="","",C168&amp;"|"&amp;COUNTIF($C$5:C168,C168))</f>
        <v/>
      </c>
      <c r="K168" s="39" t="n"/>
      <c r="L168" s="39" t="n"/>
      <c r="M168" s="39" t="n"/>
      <c r="N168" s="39" t="n"/>
    </row>
    <row r="169" ht="21" customHeight="1" s="65">
      <c r="C169" s="26" t="n"/>
      <c r="D169" s="26" t="n"/>
      <c r="E169" s="26" t="n"/>
      <c r="F169" s="104" t="n"/>
      <c r="G169" s="28" t="n"/>
      <c r="H169" s="26" t="n"/>
      <c r="I169" s="7">
        <f>IF(C169="","",C169&amp;"|"&amp;COUNTIF($C$5:C169,C169))</f>
        <v/>
      </c>
      <c r="K169" s="39" t="n"/>
      <c r="L169" s="39" t="n"/>
      <c r="M169" s="39" t="n"/>
      <c r="N169" s="39" t="n"/>
    </row>
    <row r="170" ht="21" customHeight="1" s="65">
      <c r="C170" s="26" t="n"/>
      <c r="D170" s="26" t="n"/>
      <c r="E170" s="26" t="n"/>
      <c r="F170" s="104" t="n"/>
      <c r="G170" s="28" t="n"/>
      <c r="H170" s="26" t="n"/>
      <c r="I170" s="7">
        <f>IF(C170="","",C170&amp;"|"&amp;COUNTIF($C$5:C170,C170))</f>
        <v/>
      </c>
      <c r="K170" s="39" t="n"/>
      <c r="L170" s="39" t="n"/>
      <c r="M170" s="39" t="n"/>
      <c r="N170" s="39" t="n"/>
    </row>
    <row r="171" ht="21" customHeight="1" s="65">
      <c r="C171" s="26" t="n"/>
      <c r="D171" s="26" t="n"/>
      <c r="E171" s="26" t="n"/>
      <c r="F171" s="104" t="n"/>
      <c r="G171" s="28" t="n"/>
      <c r="H171" s="26" t="n"/>
      <c r="I171" s="7">
        <f>IF(C171="","",C171&amp;"|"&amp;COUNTIF($C$5:C171,C171))</f>
        <v/>
      </c>
      <c r="K171" s="39" t="n"/>
      <c r="L171" s="39" t="n"/>
      <c r="M171" s="39" t="n"/>
      <c r="N171" s="39" t="n"/>
    </row>
    <row r="172" ht="21" customHeight="1" s="65">
      <c r="C172" s="26" t="n"/>
      <c r="D172" s="26" t="n"/>
      <c r="E172" s="26" t="n"/>
      <c r="F172" s="104" t="n"/>
      <c r="G172" s="28" t="n"/>
      <c r="H172" s="26" t="n"/>
      <c r="I172" s="7">
        <f>IF(C172="","",C172&amp;"|"&amp;COUNTIF($C$5:C172,C172))</f>
        <v/>
      </c>
      <c r="K172" s="39" t="n"/>
      <c r="L172" s="39" t="n"/>
      <c r="M172" s="39" t="n"/>
      <c r="N172" s="39" t="n"/>
    </row>
    <row r="173" ht="21" customHeight="1" s="65">
      <c r="C173" s="26" t="n"/>
      <c r="D173" s="26" t="n"/>
      <c r="E173" s="26" t="n"/>
      <c r="F173" s="104" t="n"/>
      <c r="G173" s="28" t="n"/>
      <c r="H173" s="26" t="n"/>
      <c r="I173" s="7">
        <f>IF(C173="","",C173&amp;"|"&amp;COUNTIF($C$5:C173,C173))</f>
        <v/>
      </c>
      <c r="K173" s="39" t="n"/>
      <c r="L173" s="39" t="n"/>
      <c r="M173" s="39" t="n"/>
      <c r="N173" s="39" t="n"/>
    </row>
    <row r="174" ht="21" customHeight="1" s="65">
      <c r="C174" s="26" t="n"/>
      <c r="D174" s="26" t="n"/>
      <c r="E174" s="26" t="n"/>
      <c r="F174" s="104" t="n"/>
      <c r="G174" s="28" t="n"/>
      <c r="H174" s="26" t="n"/>
      <c r="I174" s="7">
        <f>IF(C174="","",C174&amp;"|"&amp;COUNTIF($C$5:C174,C174))</f>
        <v/>
      </c>
      <c r="K174" s="39" t="n"/>
      <c r="L174" s="39" t="n"/>
      <c r="M174" s="39" t="n"/>
      <c r="N174" s="39" t="n"/>
    </row>
    <row r="175" ht="21" customHeight="1" s="65">
      <c r="C175" s="26" t="n"/>
      <c r="D175" s="26" t="n"/>
      <c r="E175" s="26" t="n"/>
      <c r="F175" s="104" t="n"/>
      <c r="G175" s="28" t="n"/>
      <c r="H175" s="26" t="n"/>
      <c r="I175" s="7">
        <f>IF(C175="","",C175&amp;"|"&amp;COUNTIF($C$5:C175,C175))</f>
        <v/>
      </c>
      <c r="K175" s="39" t="n"/>
      <c r="L175" s="39" t="n"/>
      <c r="M175" s="39" t="n"/>
      <c r="N175" s="39" t="n"/>
    </row>
    <row r="176" ht="21" customHeight="1" s="65">
      <c r="C176" s="26" t="n"/>
      <c r="D176" s="26" t="n"/>
      <c r="E176" s="26" t="n"/>
      <c r="F176" s="104" t="n"/>
      <c r="G176" s="28" t="n"/>
      <c r="H176" s="26" t="n"/>
      <c r="I176" s="7">
        <f>IF(C176="","",C176&amp;"|"&amp;COUNTIF($C$5:C176,C176))</f>
        <v/>
      </c>
      <c r="K176" s="39" t="n"/>
      <c r="L176" s="39" t="n"/>
      <c r="M176" s="39" t="n"/>
      <c r="N176" s="39" t="n"/>
    </row>
    <row r="177" ht="21" customHeight="1" s="65">
      <c r="C177" s="26" t="n"/>
      <c r="D177" s="26" t="n"/>
      <c r="E177" s="26" t="n"/>
      <c r="F177" s="104" t="n"/>
      <c r="G177" s="28" t="n"/>
      <c r="H177" s="26" t="n"/>
      <c r="I177" s="7">
        <f>IF(C177="","",C177&amp;"|"&amp;COUNTIF($C$5:C177,C177))</f>
        <v/>
      </c>
      <c r="K177" s="39" t="n"/>
      <c r="L177" s="39" t="n"/>
      <c r="M177" s="39" t="n"/>
      <c r="N177" s="39" t="n"/>
    </row>
    <row r="178" ht="21" customHeight="1" s="65">
      <c r="C178" s="26" t="n"/>
      <c r="D178" s="26" t="n"/>
      <c r="E178" s="26" t="n"/>
      <c r="F178" s="104" t="n"/>
      <c r="G178" s="28" t="n"/>
      <c r="H178" s="26" t="n"/>
      <c r="I178" s="7">
        <f>IF(C178="","",C178&amp;"|"&amp;COUNTIF($C$5:C178,C178))</f>
        <v/>
      </c>
      <c r="K178" s="39" t="n"/>
      <c r="L178" s="39" t="n"/>
      <c r="M178" s="39" t="n"/>
      <c r="N178" s="39" t="n"/>
    </row>
    <row r="179" ht="21" customHeight="1" s="65">
      <c r="C179" s="26" t="n"/>
      <c r="D179" s="26" t="n"/>
      <c r="E179" s="26" t="n"/>
      <c r="F179" s="104" t="n"/>
      <c r="G179" s="28" t="n"/>
      <c r="H179" s="26" t="n"/>
      <c r="I179" s="7">
        <f>IF(C179="","",C179&amp;"|"&amp;COUNTIF($C$5:C179,C179))</f>
        <v/>
      </c>
      <c r="K179" s="39" t="n"/>
      <c r="L179" s="39" t="n"/>
      <c r="M179" s="39" t="n"/>
      <c r="N179" s="39" t="n"/>
    </row>
    <row r="180" ht="21" customHeight="1" s="65">
      <c r="C180" s="26" t="n"/>
      <c r="D180" s="26" t="n"/>
      <c r="E180" s="26" t="n"/>
      <c r="F180" s="104" t="n"/>
      <c r="G180" s="28" t="n"/>
      <c r="H180" s="26" t="n"/>
      <c r="I180" s="7">
        <f>IF(C180="","",C180&amp;"|"&amp;COUNTIF($C$5:C180,C180))</f>
        <v/>
      </c>
      <c r="K180" s="39" t="n"/>
      <c r="L180" s="39" t="n"/>
      <c r="M180" s="39" t="n"/>
      <c r="N180" s="39" t="n"/>
    </row>
    <row r="181" ht="21" customHeight="1" s="65">
      <c r="C181" s="26" t="n"/>
      <c r="D181" s="26" t="n"/>
      <c r="E181" s="26" t="n"/>
      <c r="F181" s="104" t="n"/>
      <c r="G181" s="28" t="n"/>
      <c r="H181" s="26" t="n"/>
      <c r="I181" s="7">
        <f>IF(C181="","",C181&amp;"|"&amp;COUNTIF($C$5:C181,C181))</f>
        <v/>
      </c>
      <c r="K181" s="39" t="n"/>
      <c r="L181" s="39" t="n"/>
      <c r="M181" s="39" t="n"/>
      <c r="N181" s="39" t="n"/>
    </row>
    <row r="182" ht="21" customHeight="1" s="65">
      <c r="C182" s="26" t="n"/>
      <c r="D182" s="26" t="n"/>
      <c r="E182" s="26" t="n"/>
      <c r="F182" s="104" t="n"/>
      <c r="G182" s="28" t="n"/>
      <c r="H182" s="26" t="n"/>
      <c r="I182" s="7">
        <f>IF(C182="","",C182&amp;"|"&amp;COUNTIF($C$5:C182,C182))</f>
        <v/>
      </c>
      <c r="K182" s="39" t="n"/>
      <c r="L182" s="39" t="n"/>
      <c r="M182" s="39" t="n"/>
      <c r="N182" s="39" t="n"/>
    </row>
    <row r="183" ht="21" customHeight="1" s="65">
      <c r="C183" s="26" t="n"/>
      <c r="D183" s="26" t="n"/>
      <c r="E183" s="26" t="n"/>
      <c r="F183" s="104" t="n"/>
      <c r="G183" s="28" t="n"/>
      <c r="H183" s="26" t="n"/>
      <c r="I183" s="7">
        <f>IF(C183="","",C183&amp;"|"&amp;COUNTIF($C$5:C183,C183))</f>
        <v/>
      </c>
      <c r="K183" s="39" t="n"/>
      <c r="L183" s="39" t="n"/>
      <c r="M183" s="39" t="n"/>
      <c r="N183" s="39" t="n"/>
    </row>
    <row r="184" ht="21" customHeight="1" s="65">
      <c r="C184" s="26" t="n"/>
      <c r="D184" s="26" t="n"/>
      <c r="E184" s="26" t="n"/>
      <c r="F184" s="104" t="n"/>
      <c r="G184" s="28" t="n"/>
      <c r="H184" s="26" t="n"/>
      <c r="I184" s="7">
        <f>IF(C184="","",C184&amp;"|"&amp;COUNTIF($C$5:C184,C184))</f>
        <v/>
      </c>
      <c r="K184" s="39" t="n"/>
      <c r="L184" s="39" t="n"/>
      <c r="M184" s="39" t="n"/>
      <c r="N184" s="39" t="n"/>
    </row>
    <row r="185" ht="21" customHeight="1" s="65">
      <c r="C185" s="26" t="n"/>
      <c r="D185" s="26" t="n"/>
      <c r="E185" s="26" t="n"/>
      <c r="F185" s="104" t="n"/>
      <c r="G185" s="28" t="n"/>
      <c r="H185" s="26" t="n"/>
      <c r="I185" s="7">
        <f>IF(C185="","",C185&amp;"|"&amp;COUNTIF($C$5:C185,C185))</f>
        <v/>
      </c>
      <c r="K185" s="39" t="n"/>
      <c r="L185" s="39" t="n"/>
      <c r="M185" s="39" t="n"/>
      <c r="N185" s="39" t="n"/>
    </row>
    <row r="186" ht="21" customHeight="1" s="65">
      <c r="C186" s="26" t="n"/>
      <c r="D186" s="26" t="n"/>
      <c r="E186" s="26" t="n"/>
      <c r="F186" s="104" t="n"/>
      <c r="G186" s="28" t="n"/>
      <c r="H186" s="26" t="n"/>
      <c r="I186" s="7">
        <f>IF(C186="","",C186&amp;"|"&amp;COUNTIF($C$5:C186,C186))</f>
        <v/>
      </c>
      <c r="K186" s="39" t="n"/>
      <c r="L186" s="39" t="n"/>
      <c r="M186" s="39" t="n"/>
      <c r="N186" s="39" t="n"/>
    </row>
    <row r="187" ht="21" customHeight="1" s="65">
      <c r="C187" s="26" t="n"/>
      <c r="D187" s="26" t="n"/>
      <c r="E187" s="26" t="n"/>
      <c r="F187" s="104" t="n"/>
      <c r="G187" s="28" t="n"/>
      <c r="H187" s="26" t="n"/>
      <c r="I187" s="7">
        <f>IF(C187="","",C187&amp;"|"&amp;COUNTIF($C$5:C187,C187))</f>
        <v/>
      </c>
      <c r="K187" s="39" t="n"/>
      <c r="L187" s="39" t="n"/>
      <c r="M187" s="39" t="n"/>
      <c r="N187" s="39" t="n"/>
    </row>
    <row r="188" ht="21" customHeight="1" s="65">
      <c r="C188" s="26" t="n"/>
      <c r="D188" s="26" t="n"/>
      <c r="E188" s="26" t="n"/>
      <c r="F188" s="104" t="n"/>
      <c r="G188" s="28" t="n"/>
      <c r="H188" s="26" t="n"/>
      <c r="I188" s="7">
        <f>IF(C188="","",C188&amp;"|"&amp;COUNTIF($C$5:C188,C188))</f>
        <v/>
      </c>
      <c r="K188" s="39" t="n"/>
      <c r="L188" s="39" t="n"/>
      <c r="M188" s="39" t="n"/>
      <c r="N188" s="39" t="n"/>
    </row>
    <row r="189" ht="21" customHeight="1" s="65">
      <c r="C189" s="26" t="n"/>
      <c r="D189" s="26" t="n"/>
      <c r="E189" s="26" t="n"/>
      <c r="F189" s="104" t="n"/>
      <c r="G189" s="28" t="n"/>
      <c r="H189" s="26" t="n"/>
      <c r="I189" s="7">
        <f>IF(C189="","",C189&amp;"|"&amp;COUNTIF($C$5:C189,C189))</f>
        <v/>
      </c>
      <c r="K189" s="39" t="n"/>
      <c r="L189" s="39" t="n"/>
      <c r="M189" s="39" t="n"/>
      <c r="N189" s="39" t="n"/>
    </row>
    <row r="190" ht="21" customHeight="1" s="65">
      <c r="C190" s="26" t="n"/>
      <c r="D190" s="26" t="n"/>
      <c r="E190" s="26" t="n"/>
      <c r="F190" s="104" t="n"/>
      <c r="G190" s="28" t="n"/>
      <c r="H190" s="26" t="n"/>
      <c r="I190" s="7">
        <f>IF(C190="","",C190&amp;"|"&amp;COUNTIF($C$5:C190,C190))</f>
        <v/>
      </c>
      <c r="K190" s="39" t="n"/>
      <c r="L190" s="39" t="n"/>
      <c r="M190" s="39" t="n"/>
      <c r="N190" s="39" t="n"/>
    </row>
    <row r="191" ht="21" customHeight="1" s="65">
      <c r="C191" s="26" t="n"/>
      <c r="D191" s="26" t="n"/>
      <c r="E191" s="26" t="n"/>
      <c r="F191" s="104" t="n"/>
      <c r="G191" s="28" t="n"/>
      <c r="H191" s="26" t="n"/>
      <c r="I191" s="7">
        <f>IF(C191="","",C191&amp;"|"&amp;COUNTIF($C$5:C191,C191))</f>
        <v/>
      </c>
      <c r="K191" s="39" t="n"/>
      <c r="L191" s="39" t="n"/>
      <c r="M191" s="39" t="n"/>
      <c r="N191" s="39" t="n"/>
    </row>
    <row r="192" ht="21" customHeight="1" s="65">
      <c r="C192" s="26" t="n"/>
      <c r="D192" s="26" t="n"/>
      <c r="E192" s="26" t="n"/>
      <c r="F192" s="104" t="n"/>
      <c r="G192" s="28" t="n"/>
      <c r="H192" s="26" t="n"/>
      <c r="I192" s="7">
        <f>IF(C192="","",C192&amp;"|"&amp;COUNTIF($C$5:C192,C192))</f>
        <v/>
      </c>
      <c r="K192" s="39" t="n"/>
      <c r="L192" s="39" t="n"/>
      <c r="M192" s="39" t="n"/>
      <c r="N192" s="39" t="n"/>
    </row>
    <row r="193" ht="21" customHeight="1" s="65">
      <c r="C193" s="26" t="n"/>
      <c r="D193" s="26" t="n"/>
      <c r="E193" s="26" t="n"/>
      <c r="F193" s="104" t="n"/>
      <c r="G193" s="28" t="n"/>
      <c r="H193" s="26" t="n"/>
      <c r="I193" s="7">
        <f>IF(C193="","",C193&amp;"|"&amp;COUNTIF($C$5:C193,C193))</f>
        <v/>
      </c>
      <c r="K193" s="39" t="n"/>
      <c r="L193" s="39" t="n"/>
      <c r="M193" s="39" t="n"/>
      <c r="N193" s="39" t="n"/>
    </row>
    <row r="194" ht="21" customHeight="1" s="65">
      <c r="C194" s="26" t="n"/>
      <c r="D194" s="26" t="n"/>
      <c r="E194" s="26" t="n"/>
      <c r="F194" s="104" t="n"/>
      <c r="G194" s="28" t="n"/>
      <c r="H194" s="26" t="n"/>
      <c r="I194" s="7">
        <f>IF(C194="","",C194&amp;"|"&amp;COUNTIF($C$5:C194,C194))</f>
        <v/>
      </c>
      <c r="K194" s="39" t="n"/>
      <c r="L194" s="39" t="n"/>
      <c r="M194" s="39" t="n"/>
      <c r="N194" s="39" t="n"/>
    </row>
    <row r="195" ht="21" customHeight="1" s="65">
      <c r="C195" s="26" t="n"/>
      <c r="D195" s="26" t="n"/>
      <c r="E195" s="26" t="n"/>
      <c r="F195" s="104" t="n"/>
      <c r="G195" s="28" t="n"/>
      <c r="H195" s="26" t="n"/>
      <c r="I195" s="7">
        <f>IF(C195="","",C195&amp;"|"&amp;COUNTIF($C$5:C195,C195))</f>
        <v/>
      </c>
      <c r="K195" s="39" t="n"/>
      <c r="L195" s="39" t="n"/>
      <c r="M195" s="39" t="n"/>
      <c r="N195" s="39" t="n"/>
    </row>
    <row r="196" ht="21" customHeight="1" s="65">
      <c r="C196" s="26" t="n"/>
      <c r="D196" s="26" t="n"/>
      <c r="E196" s="26" t="n"/>
      <c r="F196" s="104" t="n"/>
      <c r="G196" s="28" t="n"/>
      <c r="H196" s="26" t="n"/>
      <c r="I196" s="7">
        <f>IF(C196="","",C196&amp;"|"&amp;COUNTIF($C$5:C196,C196))</f>
        <v/>
      </c>
      <c r="K196" s="39" t="n"/>
      <c r="L196" s="39" t="n"/>
      <c r="M196" s="39" t="n"/>
      <c r="N196" s="39" t="n"/>
    </row>
    <row r="197" ht="21" customHeight="1" s="65">
      <c r="C197" s="26" t="n"/>
      <c r="D197" s="26" t="n"/>
      <c r="E197" s="26" t="n"/>
      <c r="F197" s="104" t="n"/>
      <c r="G197" s="28" t="n"/>
      <c r="H197" s="26" t="n"/>
      <c r="I197" s="7">
        <f>IF(C197="","",C197&amp;"|"&amp;COUNTIF($C$5:C197,C197))</f>
        <v/>
      </c>
      <c r="K197" s="39" t="n"/>
      <c r="L197" s="39" t="n"/>
      <c r="M197" s="39" t="n"/>
      <c r="N197" s="39" t="n"/>
    </row>
    <row r="198" ht="21" customHeight="1" s="65">
      <c r="C198" s="26" t="n"/>
      <c r="D198" s="26" t="n"/>
      <c r="E198" s="26" t="n"/>
      <c r="F198" s="104" t="n"/>
      <c r="G198" s="28" t="n"/>
      <c r="H198" s="26" t="n"/>
      <c r="I198" s="7">
        <f>IF(C198="","",C198&amp;"|"&amp;COUNTIF($C$5:C198,C198))</f>
        <v/>
      </c>
      <c r="K198" s="39" t="n"/>
      <c r="L198" s="39" t="n"/>
      <c r="M198" s="39" t="n"/>
      <c r="N198" s="39" t="n"/>
    </row>
    <row r="199" ht="21" customHeight="1" s="65">
      <c r="C199" s="26" t="n"/>
      <c r="D199" s="26" t="n"/>
      <c r="E199" s="26" t="n"/>
      <c r="F199" s="104" t="n"/>
      <c r="G199" s="28" t="n"/>
      <c r="H199" s="26" t="n"/>
      <c r="I199" s="7">
        <f>IF(C199="","",C199&amp;"|"&amp;COUNTIF($C$5:C199,C199))</f>
        <v/>
      </c>
      <c r="K199" s="39" t="n"/>
      <c r="L199" s="39" t="n"/>
      <c r="M199" s="39" t="n"/>
      <c r="N199" s="39" t="n"/>
    </row>
    <row r="200" ht="21" customHeight="1" s="65">
      <c r="C200" s="26" t="n"/>
      <c r="D200" s="26" t="n"/>
      <c r="E200" s="26" t="n"/>
      <c r="F200" s="104" t="n"/>
      <c r="G200" s="28" t="n"/>
      <c r="H200" s="26" t="n"/>
      <c r="I200" s="7">
        <f>IF(C200="","",C200&amp;"|"&amp;COUNTIF($C$5:C200,C200))</f>
        <v/>
      </c>
      <c r="K200" s="39" t="n"/>
      <c r="L200" s="39" t="n"/>
      <c r="M200" s="39" t="n"/>
      <c r="N200" s="39" t="n"/>
    </row>
    <row r="201" ht="21" customHeight="1" s="65">
      <c r="C201" s="26" t="n"/>
      <c r="D201" s="26" t="n"/>
      <c r="E201" s="26" t="n"/>
      <c r="F201" s="104" t="n"/>
      <c r="G201" s="28" t="n"/>
      <c r="H201" s="26" t="n"/>
      <c r="I201" s="7">
        <f>IF(C201="","",C201&amp;"|"&amp;COUNTIF($C$5:C201,C201))</f>
        <v/>
      </c>
      <c r="K201" s="39" t="n"/>
      <c r="L201" s="39" t="n"/>
      <c r="M201" s="39" t="n"/>
      <c r="N201" s="39" t="n"/>
    </row>
    <row r="202" ht="21" customHeight="1" s="65">
      <c r="C202" s="26" t="n"/>
      <c r="D202" s="26" t="n"/>
      <c r="E202" s="26" t="n"/>
      <c r="F202" s="104" t="n"/>
      <c r="G202" s="28" t="n"/>
      <c r="H202" s="26" t="n"/>
      <c r="I202" s="7">
        <f>IF(C202="","",C202&amp;"|"&amp;COUNTIF($C$5:C202,C202))</f>
        <v/>
      </c>
      <c r="K202" s="39" t="n"/>
      <c r="L202" s="39" t="n"/>
      <c r="M202" s="39" t="n"/>
      <c r="N202" s="39" t="n"/>
    </row>
    <row r="203" ht="21" customHeight="1" s="65">
      <c r="C203" s="26" t="n"/>
      <c r="D203" s="26" t="n"/>
      <c r="E203" s="26" t="n"/>
      <c r="F203" s="104" t="n"/>
      <c r="G203" s="28" t="n"/>
      <c r="H203" s="26" t="n"/>
      <c r="I203" s="7">
        <f>IF(C203="","",C203&amp;"|"&amp;COUNTIF($C$5:C203,C203))</f>
        <v/>
      </c>
      <c r="K203" s="39" t="n"/>
      <c r="L203" s="39" t="n"/>
      <c r="M203" s="39" t="n"/>
      <c r="N203" s="39" t="n"/>
    </row>
    <row r="204" ht="21" customHeight="1" s="65">
      <c r="C204" s="26" t="n"/>
      <c r="D204" s="26" t="n"/>
      <c r="E204" s="26" t="n"/>
      <c r="F204" s="104" t="n"/>
      <c r="G204" s="28" t="n"/>
      <c r="H204" s="26" t="n"/>
      <c r="I204" s="7">
        <f>IF(C204="","",C204&amp;"|"&amp;COUNTIF($C$5:C204,C204))</f>
        <v/>
      </c>
      <c r="K204" s="39" t="n"/>
      <c r="L204" s="39" t="n"/>
      <c r="M204" s="39" t="n"/>
      <c r="N204" s="39" t="n"/>
    </row>
    <row r="205" ht="21" customHeight="1" s="65">
      <c r="C205" s="26" t="n"/>
      <c r="D205" s="26" t="n"/>
      <c r="E205" s="26" t="n"/>
      <c r="F205" s="104" t="n"/>
      <c r="G205" s="28" t="n"/>
      <c r="H205" s="26" t="n"/>
      <c r="I205" s="7">
        <f>IF(C205="","",C205&amp;"|"&amp;COUNTIF($C$5:C205,C205))</f>
        <v/>
      </c>
      <c r="K205" s="39" t="n"/>
      <c r="L205" s="39" t="n"/>
      <c r="M205" s="39" t="n"/>
      <c r="N205" s="39" t="n"/>
    </row>
    <row r="206" ht="21" customHeight="1" s="65">
      <c r="C206" s="26" t="n"/>
      <c r="D206" s="26" t="n"/>
      <c r="E206" s="26" t="n"/>
      <c r="F206" s="104" t="n"/>
      <c r="G206" s="28" t="n"/>
      <c r="H206" s="26" t="n"/>
      <c r="I206" s="7">
        <f>IF(C206="","",C206&amp;"|"&amp;COUNTIF($C$5:C206,C206))</f>
        <v/>
      </c>
      <c r="K206" s="39" t="n"/>
      <c r="L206" s="39" t="n"/>
      <c r="M206" s="39" t="n"/>
      <c r="N206" s="39" t="n"/>
    </row>
    <row r="207" ht="21" customHeight="1" s="65">
      <c r="C207" s="26" t="n"/>
      <c r="D207" s="26" t="n"/>
      <c r="E207" s="26" t="n"/>
      <c r="F207" s="104" t="n"/>
      <c r="G207" s="28" t="n"/>
      <c r="H207" s="26" t="n"/>
      <c r="I207" s="7">
        <f>IF(C207="","",C207&amp;"|"&amp;COUNTIF($C$5:C207,C207))</f>
        <v/>
      </c>
      <c r="K207" s="39" t="n"/>
      <c r="L207" s="39" t="n"/>
      <c r="M207" s="39" t="n"/>
      <c r="N207" s="39" t="n"/>
    </row>
    <row r="208" ht="21" customHeight="1" s="65">
      <c r="C208" s="26" t="n"/>
      <c r="D208" s="26" t="n"/>
      <c r="E208" s="26" t="n"/>
      <c r="F208" s="104" t="n"/>
      <c r="G208" s="28" t="n"/>
      <c r="H208" s="26" t="n"/>
      <c r="I208" s="7">
        <f>IF(C208="","",C208&amp;"|"&amp;COUNTIF($C$5:C208,C208))</f>
        <v/>
      </c>
      <c r="K208" s="39" t="n"/>
      <c r="L208" s="39" t="n"/>
      <c r="M208" s="39" t="n"/>
      <c r="N208" s="39" t="n"/>
    </row>
    <row r="209" ht="21" customHeight="1" s="65">
      <c r="C209" s="26" t="n"/>
      <c r="D209" s="26" t="n"/>
      <c r="E209" s="26" t="n"/>
      <c r="F209" s="104" t="n"/>
      <c r="G209" s="28" t="n"/>
      <c r="H209" s="26" t="n"/>
      <c r="I209" s="7">
        <f>IF(C209="","",C209&amp;"|"&amp;COUNTIF($C$5:C209,C209))</f>
        <v/>
      </c>
      <c r="K209" s="39" t="n"/>
      <c r="L209" s="39" t="n"/>
      <c r="M209" s="39" t="n"/>
      <c r="N209" s="39" t="n"/>
    </row>
    <row r="210" ht="21" customHeight="1" s="65">
      <c r="C210" s="26" t="n"/>
      <c r="D210" s="26" t="n"/>
      <c r="E210" s="26" t="n"/>
      <c r="F210" s="104" t="n"/>
      <c r="G210" s="28" t="n"/>
      <c r="H210" s="26" t="n"/>
      <c r="I210" s="7">
        <f>IF(C210="","",C210&amp;"|"&amp;COUNTIF($C$5:C210,C210))</f>
        <v/>
      </c>
      <c r="K210" s="39" t="n"/>
      <c r="L210" s="39" t="n"/>
      <c r="M210" s="39" t="n"/>
      <c r="N210" s="39" t="n"/>
    </row>
    <row r="211" ht="21" customHeight="1" s="65">
      <c r="C211" s="26" t="n"/>
      <c r="D211" s="26" t="n"/>
      <c r="E211" s="26" t="n"/>
      <c r="F211" s="104" t="n"/>
      <c r="G211" s="28" t="n"/>
      <c r="H211" s="26" t="n"/>
      <c r="I211" s="7">
        <f>IF(C211="","",C211&amp;"|"&amp;COUNTIF($C$5:C211,C211))</f>
        <v/>
      </c>
      <c r="K211" s="39" t="n"/>
      <c r="L211" s="39" t="n"/>
      <c r="M211" s="39" t="n"/>
      <c r="N211" s="39" t="n"/>
    </row>
    <row r="212" ht="21" customHeight="1" s="65">
      <c r="C212" s="26" t="n"/>
      <c r="D212" s="26" t="n"/>
      <c r="E212" s="26" t="n"/>
      <c r="F212" s="104" t="n"/>
      <c r="G212" s="28" t="n"/>
      <c r="H212" s="26" t="n"/>
      <c r="I212" s="7">
        <f>IF(C212="","",C212&amp;"|"&amp;COUNTIF($C$5:C212,C212))</f>
        <v/>
      </c>
      <c r="K212" s="39" t="n"/>
      <c r="L212" s="39" t="n"/>
      <c r="M212" s="39" t="n"/>
      <c r="N212" s="39" t="n"/>
    </row>
    <row r="213" ht="21" customHeight="1" s="65">
      <c r="C213" s="26" t="n"/>
      <c r="D213" s="26" t="n"/>
      <c r="E213" s="26" t="n"/>
      <c r="F213" s="104" t="n"/>
      <c r="G213" s="28" t="n"/>
      <c r="H213" s="26" t="n"/>
      <c r="I213" s="7">
        <f>IF(C213="","",C213&amp;"|"&amp;COUNTIF($C$5:C213,C213))</f>
        <v/>
      </c>
      <c r="K213" s="39" t="n"/>
      <c r="L213" s="39" t="n"/>
      <c r="M213" s="39" t="n"/>
      <c r="N213" s="39" t="n"/>
    </row>
    <row r="214" ht="21" customHeight="1" s="65">
      <c r="C214" s="26" t="n"/>
      <c r="D214" s="26" t="n"/>
      <c r="E214" s="26" t="n"/>
      <c r="F214" s="104" t="n"/>
      <c r="G214" s="28" t="n"/>
      <c r="H214" s="26" t="n"/>
      <c r="I214" s="7">
        <f>IF(C214="","",C214&amp;"|"&amp;COUNTIF($C$5:C214,C214))</f>
        <v/>
      </c>
      <c r="K214" s="39" t="n"/>
      <c r="L214" s="39" t="n"/>
      <c r="M214" s="39" t="n"/>
      <c r="N214" s="39" t="n"/>
    </row>
    <row r="215" ht="21" customHeight="1" s="65">
      <c r="C215" s="26" t="n"/>
      <c r="D215" s="26" t="n"/>
      <c r="E215" s="26" t="n"/>
      <c r="F215" s="104" t="n"/>
      <c r="G215" s="28" t="n"/>
      <c r="H215" s="26" t="n"/>
      <c r="I215" s="7">
        <f>IF(C215="","",C215&amp;"|"&amp;COUNTIF($C$5:C215,C215))</f>
        <v/>
      </c>
      <c r="K215" s="39" t="n"/>
      <c r="L215" s="39" t="n"/>
      <c r="M215" s="39" t="n"/>
      <c r="N215" s="39" t="n"/>
    </row>
    <row r="216" ht="21" customHeight="1" s="65">
      <c r="C216" s="26" t="n"/>
      <c r="D216" s="26" t="n"/>
      <c r="E216" s="26" t="n"/>
      <c r="F216" s="104" t="n"/>
      <c r="G216" s="28" t="n"/>
      <c r="H216" s="26" t="n"/>
      <c r="I216" s="7">
        <f>IF(C216="","",C216&amp;"|"&amp;COUNTIF($C$5:C216,C216))</f>
        <v/>
      </c>
      <c r="K216" s="39" t="n"/>
      <c r="L216" s="39" t="n"/>
      <c r="M216" s="39" t="n"/>
      <c r="N216" s="39" t="n"/>
    </row>
    <row r="217" ht="21" customHeight="1" s="65">
      <c r="C217" s="26" t="n"/>
      <c r="D217" s="26" t="n"/>
      <c r="E217" s="26" t="n"/>
      <c r="F217" s="104" t="n"/>
      <c r="G217" s="28" t="n"/>
      <c r="H217" s="26" t="n"/>
      <c r="I217" s="7">
        <f>IF(C217="","",C217&amp;"|"&amp;COUNTIF($C$5:C217,C217))</f>
        <v/>
      </c>
      <c r="K217" s="39" t="n"/>
      <c r="L217" s="39" t="n"/>
      <c r="M217" s="39" t="n"/>
      <c r="N217" s="39" t="n"/>
    </row>
    <row r="218" ht="21" customHeight="1" s="65">
      <c r="C218" s="26" t="n"/>
      <c r="D218" s="26" t="n"/>
      <c r="E218" s="26" t="n"/>
      <c r="F218" s="104" t="n"/>
      <c r="G218" s="28" t="n"/>
      <c r="H218" s="26" t="n"/>
      <c r="I218" s="7">
        <f>IF(C218="","",C218&amp;"|"&amp;COUNTIF($C$5:C218,C218))</f>
        <v/>
      </c>
      <c r="K218" s="39" t="n"/>
      <c r="L218" s="39" t="n"/>
      <c r="M218" s="39" t="n"/>
      <c r="N218" s="39" t="n"/>
    </row>
    <row r="219" ht="21" customHeight="1" s="65">
      <c r="C219" s="26" t="n"/>
      <c r="D219" s="26" t="n"/>
      <c r="E219" s="26" t="n"/>
      <c r="F219" s="104" t="n"/>
      <c r="G219" s="28" t="n"/>
      <c r="H219" s="26" t="n"/>
      <c r="I219" s="7">
        <f>IF(C219="","",C219&amp;"|"&amp;COUNTIF($C$5:C219,C219))</f>
        <v/>
      </c>
      <c r="K219" s="39" t="n"/>
      <c r="L219" s="39" t="n"/>
      <c r="M219" s="39" t="n"/>
      <c r="N219" s="39" t="n"/>
    </row>
    <row r="220" ht="21" customHeight="1" s="65">
      <c r="C220" s="26" t="n"/>
      <c r="D220" s="26" t="n"/>
      <c r="E220" s="26" t="n"/>
      <c r="F220" s="104" t="n"/>
      <c r="G220" s="28" t="n"/>
      <c r="H220" s="26" t="n"/>
      <c r="I220" s="7">
        <f>IF(C220="","",C220&amp;"|"&amp;COUNTIF($C$5:C220,C220))</f>
        <v/>
      </c>
      <c r="K220" s="39" t="n"/>
      <c r="L220" s="39" t="n"/>
      <c r="M220" s="39" t="n"/>
      <c r="N220" s="39" t="n"/>
    </row>
    <row r="221" ht="21" customHeight="1" s="65">
      <c r="C221" s="26" t="n"/>
      <c r="D221" s="26" t="n"/>
      <c r="E221" s="26" t="n"/>
      <c r="F221" s="104" t="n"/>
      <c r="G221" s="28" t="n"/>
      <c r="H221" s="26" t="n"/>
      <c r="I221" s="7">
        <f>IF(C221="","",C221&amp;"|"&amp;COUNTIF($C$5:C221,C221))</f>
        <v/>
      </c>
      <c r="K221" s="39" t="n"/>
      <c r="L221" s="39" t="n"/>
      <c r="M221" s="39" t="n"/>
      <c r="N221" s="39" t="n"/>
    </row>
    <row r="222" ht="21" customHeight="1" s="65">
      <c r="C222" s="26" t="n"/>
      <c r="D222" s="26" t="n"/>
      <c r="E222" s="26" t="n"/>
      <c r="F222" s="104" t="n"/>
      <c r="G222" s="28" t="n"/>
      <c r="H222" s="26" t="n"/>
      <c r="I222" s="7">
        <f>IF(C222="","",C222&amp;"|"&amp;COUNTIF($C$5:C222,C222))</f>
        <v/>
      </c>
      <c r="K222" s="39" t="n"/>
      <c r="L222" s="39" t="n"/>
      <c r="M222" s="39" t="n"/>
      <c r="N222" s="39" t="n"/>
    </row>
    <row r="223" ht="21" customHeight="1" s="65">
      <c r="C223" s="26" t="n"/>
      <c r="D223" s="26" t="n"/>
      <c r="E223" s="26" t="n"/>
      <c r="F223" s="104" t="n"/>
      <c r="G223" s="28" t="n"/>
      <c r="H223" s="26" t="n"/>
      <c r="I223" s="7">
        <f>IF(C223="","",C223&amp;"|"&amp;COUNTIF($C$5:C223,C223))</f>
        <v/>
      </c>
      <c r="K223" s="39" t="n"/>
      <c r="L223" s="39" t="n"/>
      <c r="M223" s="39" t="n"/>
      <c r="N223" s="39" t="n"/>
    </row>
    <row r="224" ht="21" customHeight="1" s="65">
      <c r="C224" s="26" t="n"/>
      <c r="D224" s="26" t="n"/>
      <c r="E224" s="26" t="n"/>
      <c r="F224" s="104" t="n"/>
      <c r="G224" s="28" t="n"/>
      <c r="H224" s="26" t="n"/>
      <c r="I224" s="7">
        <f>IF(C224="","",C224&amp;"|"&amp;COUNTIF($C$5:C224,C224))</f>
        <v/>
      </c>
      <c r="K224" s="39" t="n"/>
      <c r="L224" s="39" t="n"/>
      <c r="M224" s="39" t="n"/>
      <c r="N224" s="39" t="n"/>
    </row>
    <row r="225" ht="21" customHeight="1" s="65">
      <c r="C225" s="26" t="n"/>
      <c r="D225" s="26" t="n"/>
      <c r="E225" s="26" t="n"/>
      <c r="F225" s="104" t="n"/>
      <c r="G225" s="28" t="n"/>
      <c r="H225" s="26" t="n"/>
      <c r="I225" s="7">
        <f>IF(C225="","",C225&amp;"|"&amp;COUNTIF($C$5:C225,C225))</f>
        <v/>
      </c>
      <c r="K225" s="39" t="n"/>
      <c r="L225" s="39" t="n"/>
      <c r="M225" s="39" t="n"/>
      <c r="N225" s="39" t="n"/>
    </row>
    <row r="226" ht="21" customHeight="1" s="65">
      <c r="C226" s="26" t="n"/>
      <c r="D226" s="26" t="n"/>
      <c r="E226" s="26" t="n"/>
      <c r="F226" s="104" t="n"/>
      <c r="G226" s="28" t="n"/>
      <c r="H226" s="26" t="n"/>
      <c r="I226" s="7">
        <f>IF(C226="","",C226&amp;"|"&amp;COUNTIF($C$5:C226,C226))</f>
        <v/>
      </c>
      <c r="K226" s="39" t="n"/>
      <c r="L226" s="39" t="n"/>
      <c r="M226" s="39" t="n"/>
      <c r="N226" s="39" t="n"/>
    </row>
    <row r="227" ht="21" customHeight="1" s="65">
      <c r="C227" s="26" t="n"/>
      <c r="D227" s="26" t="n"/>
      <c r="E227" s="26" t="n"/>
      <c r="F227" s="104" t="n"/>
      <c r="G227" s="28" t="n"/>
      <c r="H227" s="26" t="n"/>
      <c r="I227" s="7">
        <f>IF(C227="","",C227&amp;"|"&amp;COUNTIF($C$5:C227,C227))</f>
        <v/>
      </c>
      <c r="K227" s="39" t="n"/>
      <c r="L227" s="39" t="n"/>
      <c r="M227" s="39" t="n"/>
      <c r="N227" s="39" t="n"/>
    </row>
    <row r="228" ht="21" customHeight="1" s="65">
      <c r="C228" s="26" t="n"/>
      <c r="D228" s="26" t="n"/>
      <c r="E228" s="26" t="n"/>
      <c r="F228" s="104" t="n"/>
      <c r="G228" s="28" t="n"/>
      <c r="H228" s="26" t="n"/>
      <c r="I228" s="7">
        <f>IF(C228="","",C228&amp;"|"&amp;COUNTIF($C$5:C228,C228))</f>
        <v/>
      </c>
      <c r="K228" s="39" t="n"/>
      <c r="L228" s="39" t="n"/>
      <c r="M228" s="39" t="n"/>
      <c r="N228" s="39" t="n"/>
    </row>
    <row r="229" ht="21" customHeight="1" s="65">
      <c r="C229" s="26" t="n"/>
      <c r="D229" s="26" t="n"/>
      <c r="E229" s="26" t="n"/>
      <c r="F229" s="104" t="n"/>
      <c r="G229" s="28" t="n"/>
      <c r="H229" s="26" t="n"/>
      <c r="I229" s="7">
        <f>IF(C229="","",C229&amp;"|"&amp;COUNTIF($C$5:C229,C229))</f>
        <v/>
      </c>
      <c r="K229" s="39" t="n"/>
      <c r="L229" s="39" t="n"/>
      <c r="M229" s="39" t="n"/>
      <c r="N229" s="39" t="n"/>
    </row>
    <row r="230" ht="21" customHeight="1" s="65">
      <c r="C230" s="26" t="n"/>
      <c r="D230" s="26" t="n"/>
      <c r="E230" s="26" t="n"/>
      <c r="F230" s="104" t="n"/>
      <c r="G230" s="28" t="n"/>
      <c r="H230" s="26" t="n"/>
      <c r="I230" s="7">
        <f>IF(C230="","",C230&amp;"|"&amp;COUNTIF($C$5:C230,C230))</f>
        <v/>
      </c>
      <c r="K230" s="39" t="n"/>
      <c r="L230" s="39" t="n"/>
      <c r="M230" s="39" t="n"/>
      <c r="N230" s="39" t="n"/>
    </row>
    <row r="231" ht="21" customHeight="1" s="65">
      <c r="C231" s="26" t="n"/>
      <c r="D231" s="26" t="n"/>
      <c r="E231" s="26" t="n"/>
      <c r="F231" s="104" t="n"/>
      <c r="G231" s="28" t="n"/>
      <c r="H231" s="26" t="n"/>
      <c r="I231" s="7">
        <f>IF(C231="","",C231&amp;"|"&amp;COUNTIF($C$5:C231,C231))</f>
        <v/>
      </c>
      <c r="K231" s="39" t="n"/>
      <c r="L231" s="39" t="n"/>
      <c r="M231" s="39" t="n"/>
      <c r="N231" s="39" t="n"/>
    </row>
    <row r="232" ht="21" customHeight="1" s="65">
      <c r="C232" s="26" t="n"/>
      <c r="D232" s="26" t="n"/>
      <c r="E232" s="26" t="n"/>
      <c r="F232" s="104" t="n"/>
      <c r="G232" s="28" t="n"/>
      <c r="H232" s="26" t="n"/>
      <c r="I232" s="7">
        <f>IF(C232="","",C232&amp;"|"&amp;COUNTIF($C$5:C232,C232))</f>
        <v/>
      </c>
      <c r="K232" s="39" t="n"/>
      <c r="L232" s="39" t="n"/>
      <c r="M232" s="39" t="n"/>
      <c r="N232" s="39" t="n"/>
    </row>
    <row r="233" ht="21" customHeight="1" s="65">
      <c r="C233" s="26" t="n"/>
      <c r="D233" s="26" t="n"/>
      <c r="E233" s="26" t="n"/>
      <c r="F233" s="104" t="n"/>
      <c r="G233" s="28" t="n"/>
      <c r="H233" s="26" t="n"/>
      <c r="I233" s="7">
        <f>IF(C233="","",C233&amp;"|"&amp;COUNTIF($C$5:C233,C233))</f>
        <v/>
      </c>
      <c r="K233" s="39" t="n"/>
      <c r="L233" s="39" t="n"/>
      <c r="M233" s="39" t="n"/>
      <c r="N233" s="39" t="n"/>
    </row>
    <row r="234" ht="21" customHeight="1" s="65">
      <c r="C234" s="26" t="n"/>
      <c r="D234" s="26" t="n"/>
      <c r="E234" s="26" t="n"/>
      <c r="F234" s="104" t="n"/>
      <c r="G234" s="28" t="n"/>
      <c r="H234" s="26" t="n"/>
      <c r="I234" s="7">
        <f>IF(C234="","",C234&amp;"|"&amp;COUNTIF($C$5:C234,C234))</f>
        <v/>
      </c>
      <c r="K234" s="39" t="n"/>
      <c r="L234" s="39" t="n"/>
      <c r="M234" s="39" t="n"/>
      <c r="N234" s="39" t="n"/>
    </row>
    <row r="235" ht="21" customHeight="1" s="65">
      <c r="C235" s="26" t="n"/>
      <c r="D235" s="26" t="n"/>
      <c r="E235" s="26" t="n"/>
      <c r="F235" s="104" t="n"/>
      <c r="G235" s="28" t="n"/>
      <c r="H235" s="26" t="n"/>
      <c r="I235" s="7">
        <f>IF(C235="","",C235&amp;"|"&amp;COUNTIF($C$5:C235,C235))</f>
        <v/>
      </c>
      <c r="K235" s="39" t="n"/>
      <c r="L235" s="39" t="n"/>
      <c r="M235" s="39" t="n"/>
      <c r="N235" s="39" t="n"/>
    </row>
    <row r="236" ht="21" customHeight="1" s="65">
      <c r="C236" s="26" t="n"/>
      <c r="D236" s="26" t="n"/>
      <c r="E236" s="26" t="n"/>
      <c r="F236" s="104" t="n"/>
      <c r="G236" s="28" t="n"/>
      <c r="H236" s="26" t="n"/>
      <c r="I236" s="7">
        <f>IF(C236="","",C236&amp;"|"&amp;COUNTIF($C$5:C236,C236))</f>
        <v/>
      </c>
      <c r="K236" s="39" t="n"/>
      <c r="L236" s="39" t="n"/>
      <c r="M236" s="39" t="n"/>
      <c r="N236" s="39" t="n"/>
    </row>
    <row r="237" ht="21" customHeight="1" s="65">
      <c r="C237" s="26" t="n"/>
      <c r="D237" s="26" t="n"/>
      <c r="E237" s="26" t="n"/>
      <c r="F237" s="104" t="n"/>
      <c r="G237" s="28" t="n"/>
      <c r="H237" s="26" t="n"/>
      <c r="I237" s="7">
        <f>IF(C237="","",C237&amp;"|"&amp;COUNTIF($C$5:C237,C237))</f>
        <v/>
      </c>
      <c r="K237" s="39" t="n"/>
      <c r="L237" s="39" t="n"/>
      <c r="M237" s="39" t="n"/>
      <c r="N237" s="39" t="n"/>
    </row>
    <row r="238" ht="21" customHeight="1" s="65">
      <c r="C238" s="26" t="n"/>
      <c r="D238" s="26" t="n"/>
      <c r="E238" s="26" t="n"/>
      <c r="F238" s="104" t="n"/>
      <c r="G238" s="28" t="n"/>
      <c r="H238" s="26" t="n"/>
      <c r="I238" s="7">
        <f>IF(C238="","",C238&amp;"|"&amp;COUNTIF($C$5:C238,C238))</f>
        <v/>
      </c>
      <c r="K238" s="39" t="n"/>
      <c r="L238" s="39" t="n"/>
      <c r="M238" s="39" t="n"/>
      <c r="N238" s="39" t="n"/>
    </row>
    <row r="239" ht="21" customHeight="1" s="65">
      <c r="C239" s="26" t="n"/>
      <c r="D239" s="26" t="n"/>
      <c r="E239" s="26" t="n"/>
      <c r="F239" s="104" t="n"/>
      <c r="G239" s="28" t="n"/>
      <c r="H239" s="26" t="n"/>
      <c r="I239" s="7">
        <f>IF(C239="","",C239&amp;"|"&amp;COUNTIF($C$5:C239,C239))</f>
        <v/>
      </c>
      <c r="K239" s="39" t="n"/>
      <c r="L239" s="39" t="n"/>
      <c r="M239" s="39" t="n"/>
      <c r="N239" s="39" t="n"/>
    </row>
    <row r="240" ht="21" customHeight="1" s="65">
      <c r="C240" s="26" t="n"/>
      <c r="D240" s="26" t="n"/>
      <c r="E240" s="26" t="n"/>
      <c r="F240" s="104" t="n"/>
      <c r="G240" s="28" t="n"/>
      <c r="H240" s="26" t="n"/>
      <c r="I240" s="7">
        <f>IF(C240="","",C240&amp;"|"&amp;COUNTIF($C$5:C240,C240))</f>
        <v/>
      </c>
      <c r="K240" s="39" t="n"/>
      <c r="L240" s="39" t="n"/>
      <c r="M240" s="39" t="n"/>
      <c r="N240" s="39" t="n"/>
    </row>
    <row r="241" ht="21" customHeight="1" s="65">
      <c r="C241" s="26" t="n"/>
      <c r="D241" s="26" t="n"/>
      <c r="E241" s="26" t="n"/>
      <c r="F241" s="104" t="n"/>
      <c r="G241" s="28" t="n"/>
      <c r="H241" s="26" t="n"/>
      <c r="I241" s="7">
        <f>IF(C241="","",C241&amp;"|"&amp;COUNTIF($C$5:C241,C241))</f>
        <v/>
      </c>
      <c r="K241" s="39" t="n"/>
      <c r="L241" s="39" t="n"/>
      <c r="M241" s="39" t="n"/>
      <c r="N241" s="39" t="n"/>
    </row>
    <row r="242" ht="21" customHeight="1" s="65">
      <c r="C242" s="26" t="n"/>
      <c r="D242" s="26" t="n"/>
      <c r="E242" s="26" t="n"/>
      <c r="F242" s="104" t="n"/>
      <c r="G242" s="28" t="n"/>
      <c r="H242" s="26" t="n"/>
      <c r="I242" s="7">
        <f>IF(C242="","",C242&amp;"|"&amp;COUNTIF($C$5:C242,C242))</f>
        <v/>
      </c>
      <c r="K242" s="39" t="n"/>
      <c r="L242" s="39" t="n"/>
      <c r="M242" s="39" t="n"/>
      <c r="N242" s="39" t="n"/>
    </row>
    <row r="243" ht="21" customHeight="1" s="65">
      <c r="C243" s="26" t="n"/>
      <c r="D243" s="26" t="n"/>
      <c r="E243" s="26" t="n"/>
      <c r="F243" s="104" t="n"/>
      <c r="G243" s="28" t="n"/>
      <c r="H243" s="26" t="n"/>
      <c r="I243" s="7">
        <f>IF(C243="","",C243&amp;"|"&amp;COUNTIF($C$5:C243,C243))</f>
        <v/>
      </c>
      <c r="K243" s="39" t="n"/>
      <c r="L243" s="39" t="n"/>
      <c r="M243" s="39" t="n"/>
      <c r="N243" s="39" t="n"/>
    </row>
    <row r="244" ht="21" customHeight="1" s="65">
      <c r="C244" s="26" t="n"/>
      <c r="D244" s="26" t="n"/>
      <c r="E244" s="26" t="n"/>
      <c r="F244" s="104" t="n"/>
      <c r="G244" s="28" t="n"/>
      <c r="H244" s="26" t="n"/>
      <c r="I244" s="7">
        <f>IF(C244="","",C244&amp;"|"&amp;COUNTIF($C$5:C244,C244))</f>
        <v/>
      </c>
      <c r="K244" s="39" t="n"/>
      <c r="L244" s="39" t="n"/>
      <c r="M244" s="39" t="n"/>
      <c r="N244" s="39" t="n"/>
    </row>
    <row r="245" ht="21" customHeight="1" s="65">
      <c r="C245" s="26" t="n"/>
      <c r="D245" s="26" t="n"/>
      <c r="E245" s="26" t="n"/>
      <c r="F245" s="104" t="n"/>
      <c r="G245" s="28" t="n"/>
      <c r="H245" s="26" t="n"/>
      <c r="I245" s="7">
        <f>IF(C245="","",C245&amp;"|"&amp;COUNTIF($C$5:C245,C245))</f>
        <v/>
      </c>
      <c r="K245" s="39" t="n"/>
      <c r="L245" s="39" t="n"/>
      <c r="M245" s="39" t="n"/>
      <c r="N245" s="39" t="n"/>
    </row>
    <row r="246" ht="21" customHeight="1" s="65">
      <c r="C246" s="26" t="n"/>
      <c r="D246" s="26" t="n"/>
      <c r="E246" s="26" t="n"/>
      <c r="F246" s="104" t="n"/>
      <c r="G246" s="28" t="n"/>
      <c r="H246" s="26" t="n"/>
      <c r="I246" s="7">
        <f>IF(C246="","",C246&amp;"|"&amp;COUNTIF($C$5:C246,C246))</f>
        <v/>
      </c>
      <c r="K246" s="39" t="n"/>
      <c r="L246" s="39" t="n"/>
      <c r="M246" s="39" t="n"/>
      <c r="N246" s="39" t="n"/>
    </row>
    <row r="247" ht="21" customHeight="1" s="65">
      <c r="C247" s="26" t="n"/>
      <c r="D247" s="26" t="n"/>
      <c r="E247" s="26" t="n"/>
      <c r="F247" s="104" t="n"/>
      <c r="G247" s="28" t="n"/>
      <c r="H247" s="26" t="n"/>
      <c r="I247" s="7">
        <f>IF(C247="","",C247&amp;"|"&amp;COUNTIF($C$5:C247,C247))</f>
        <v/>
      </c>
      <c r="K247" s="39" t="n"/>
      <c r="L247" s="39" t="n"/>
      <c r="M247" s="39" t="n"/>
      <c r="N247" s="39" t="n"/>
    </row>
    <row r="248" ht="21" customHeight="1" s="65">
      <c r="C248" s="26" t="n"/>
      <c r="D248" s="26" t="n"/>
      <c r="E248" s="26" t="n"/>
      <c r="F248" s="104" t="n"/>
      <c r="G248" s="28" t="n"/>
      <c r="H248" s="26" t="n"/>
      <c r="I248" s="7">
        <f>IF(C248="","",C248&amp;"|"&amp;COUNTIF($C$5:C248,C248))</f>
        <v/>
      </c>
      <c r="K248" s="39" t="n"/>
      <c r="L248" s="39" t="n"/>
      <c r="M248" s="39" t="n"/>
      <c r="N248" s="39" t="n"/>
    </row>
    <row r="249" ht="21" customHeight="1" s="65">
      <c r="C249" s="26" t="n"/>
      <c r="D249" s="26" t="n"/>
      <c r="E249" s="26" t="n"/>
      <c r="F249" s="104" t="n"/>
      <c r="G249" s="28" t="n"/>
      <c r="H249" s="26" t="n"/>
      <c r="I249" s="7">
        <f>IF(C249="","",C249&amp;"|"&amp;COUNTIF($C$5:C249,C249))</f>
        <v/>
      </c>
      <c r="K249" s="39" t="n"/>
      <c r="L249" s="39" t="n"/>
      <c r="M249" s="39" t="n"/>
      <c r="N249" s="39" t="n"/>
    </row>
    <row r="250" ht="21" customHeight="1" s="65">
      <c r="C250" s="26" t="n"/>
      <c r="D250" s="26" t="n"/>
      <c r="E250" s="26" t="n"/>
      <c r="F250" s="104" t="n"/>
      <c r="G250" s="28" t="n"/>
      <c r="H250" s="26" t="n"/>
      <c r="I250" s="7">
        <f>IF(C250="","",C250&amp;"|"&amp;COUNTIF($C$5:C250,C250))</f>
        <v/>
      </c>
      <c r="K250" s="39" t="n"/>
      <c r="L250" s="39" t="n"/>
      <c r="M250" s="39" t="n"/>
      <c r="N250" s="39" t="n"/>
    </row>
    <row r="251" ht="21" customHeight="1" s="65">
      <c r="C251" s="26" t="n"/>
      <c r="D251" s="26" t="n"/>
      <c r="E251" s="26" t="n"/>
      <c r="F251" s="104" t="n"/>
      <c r="G251" s="28" t="n"/>
      <c r="H251" s="26" t="n"/>
      <c r="I251" s="7">
        <f>IF(C251="","",C251&amp;"|"&amp;COUNTIF($C$5:C251,C251))</f>
        <v/>
      </c>
      <c r="K251" s="39" t="n"/>
      <c r="L251" s="39" t="n"/>
      <c r="M251" s="39" t="n"/>
      <c r="N251" s="39" t="n"/>
    </row>
    <row r="252" ht="21" customHeight="1" s="65">
      <c r="C252" s="26" t="n"/>
      <c r="D252" s="26" t="n"/>
      <c r="E252" s="26" t="n"/>
      <c r="F252" s="104" t="n"/>
      <c r="G252" s="28" t="n"/>
      <c r="H252" s="26" t="n"/>
      <c r="I252" s="7">
        <f>IF(C252="","",C252&amp;"|"&amp;COUNTIF($C$5:C252,C252))</f>
        <v/>
      </c>
      <c r="K252" s="39" t="n"/>
      <c r="L252" s="39" t="n"/>
      <c r="M252" s="39" t="n"/>
      <c r="N252" s="39" t="n"/>
    </row>
    <row r="253" ht="21" customHeight="1" s="65">
      <c r="C253" s="26" t="n"/>
      <c r="D253" s="26" t="n"/>
      <c r="E253" s="26" t="n"/>
      <c r="F253" s="104" t="n"/>
      <c r="G253" s="28" t="n"/>
      <c r="H253" s="26" t="n"/>
      <c r="I253" s="7">
        <f>IF(C253="","",C253&amp;"|"&amp;COUNTIF($C$5:C253,C253))</f>
        <v/>
      </c>
      <c r="K253" s="39" t="n"/>
      <c r="L253" s="39" t="n"/>
      <c r="M253" s="39" t="n"/>
      <c r="N253" s="39" t="n"/>
    </row>
    <row r="254" ht="21" customHeight="1" s="65">
      <c r="C254" s="26" t="n"/>
      <c r="D254" s="26" t="n"/>
      <c r="E254" s="26" t="n"/>
      <c r="F254" s="104" t="n"/>
      <c r="G254" s="28" t="n"/>
      <c r="H254" s="26" t="n"/>
      <c r="I254" s="7">
        <f>IF(C254="","",C254&amp;"|"&amp;COUNTIF($C$5:C254,C254))</f>
        <v/>
      </c>
      <c r="K254" s="39" t="n"/>
      <c r="L254" s="39" t="n"/>
      <c r="M254" s="39" t="n"/>
      <c r="N254" s="39" t="n"/>
    </row>
    <row r="255" ht="21" customHeight="1" s="65">
      <c r="C255" s="26" t="n"/>
      <c r="D255" s="26" t="n"/>
      <c r="E255" s="26" t="n"/>
      <c r="F255" s="104" t="n"/>
      <c r="G255" s="28" t="n"/>
      <c r="H255" s="26" t="n"/>
      <c r="I255" s="7">
        <f>IF(C255="","",C255&amp;"|"&amp;COUNTIF($C$5:C255,C255))</f>
        <v/>
      </c>
      <c r="K255" s="39" t="n"/>
      <c r="L255" s="39" t="n"/>
      <c r="M255" s="39" t="n"/>
      <c r="N255" s="39" t="n"/>
    </row>
    <row r="256" ht="21" customHeight="1" s="65">
      <c r="C256" s="26" t="n"/>
      <c r="D256" s="26" t="n"/>
      <c r="E256" s="26" t="n"/>
      <c r="F256" s="104" t="n"/>
      <c r="G256" s="28" t="n"/>
      <c r="H256" s="26" t="n"/>
      <c r="I256" s="7">
        <f>IF(C256="","",C256&amp;"|"&amp;COUNTIF($C$5:C256,C256))</f>
        <v/>
      </c>
      <c r="K256" s="39" t="n"/>
      <c r="L256" s="39" t="n"/>
      <c r="M256" s="39" t="n"/>
      <c r="N256" s="39" t="n"/>
    </row>
    <row r="257" ht="21" customHeight="1" s="65">
      <c r="C257" s="26" t="n"/>
      <c r="D257" s="26" t="n"/>
      <c r="E257" s="26" t="n"/>
      <c r="F257" s="104" t="n"/>
      <c r="G257" s="28" t="n"/>
      <c r="H257" s="26" t="n"/>
      <c r="I257" s="7">
        <f>IF(C257="","",C257&amp;"|"&amp;COUNTIF($C$5:C257,C257))</f>
        <v/>
      </c>
      <c r="K257" s="39" t="n"/>
      <c r="L257" s="39" t="n"/>
      <c r="M257" s="39" t="n"/>
      <c r="N257" s="39" t="n"/>
    </row>
    <row r="258" ht="21" customHeight="1" s="65">
      <c r="C258" s="26" t="n"/>
      <c r="D258" s="26" t="n"/>
      <c r="E258" s="26" t="n"/>
      <c r="F258" s="104" t="n"/>
      <c r="G258" s="28" t="n"/>
      <c r="H258" s="26" t="n"/>
      <c r="I258" s="7">
        <f>IF(C258="","",C258&amp;"|"&amp;COUNTIF($C$5:C258,C258))</f>
        <v/>
      </c>
      <c r="K258" s="39" t="n"/>
      <c r="L258" s="39" t="n"/>
      <c r="M258" s="39" t="n"/>
      <c r="N258" s="39" t="n"/>
    </row>
    <row r="259" ht="21" customHeight="1" s="65">
      <c r="C259" s="26" t="n"/>
      <c r="D259" s="26" t="n"/>
      <c r="E259" s="26" t="n"/>
      <c r="F259" s="104" t="n"/>
      <c r="G259" s="28" t="n"/>
      <c r="H259" s="26" t="n"/>
      <c r="I259" s="7">
        <f>IF(C259="","",C259&amp;"|"&amp;COUNTIF($C$5:C259,C259))</f>
        <v/>
      </c>
      <c r="K259" s="39" t="n"/>
      <c r="L259" s="39" t="n"/>
      <c r="M259" s="39" t="n"/>
      <c r="N259" s="39" t="n"/>
    </row>
    <row r="260" ht="21" customHeight="1" s="65">
      <c r="C260" s="26" t="n"/>
      <c r="D260" s="26" t="n"/>
      <c r="E260" s="26" t="n"/>
      <c r="F260" s="104" t="n"/>
      <c r="G260" s="28" t="n"/>
      <c r="H260" s="26" t="n"/>
      <c r="I260" s="7">
        <f>IF(C260="","",C260&amp;"|"&amp;COUNTIF($C$5:C260,C260))</f>
        <v/>
      </c>
      <c r="K260" s="39" t="n"/>
      <c r="L260" s="39" t="n"/>
      <c r="M260" s="39" t="n"/>
      <c r="N260" s="39" t="n"/>
    </row>
    <row r="261" ht="21" customHeight="1" s="65">
      <c r="C261" s="26" t="n"/>
      <c r="D261" s="26" t="n"/>
      <c r="E261" s="26" t="n"/>
      <c r="F261" s="104" t="n"/>
      <c r="G261" s="28" t="n"/>
      <c r="H261" s="26" t="n"/>
      <c r="I261" s="7">
        <f>IF(C261="","",C261&amp;"|"&amp;COUNTIF($C$5:C261,C261))</f>
        <v/>
      </c>
      <c r="K261" s="39" t="n"/>
      <c r="L261" s="39" t="n"/>
      <c r="M261" s="39" t="n"/>
      <c r="N261" s="39" t="n"/>
    </row>
    <row r="262" ht="21" customHeight="1" s="65">
      <c r="C262" s="26" t="n"/>
      <c r="D262" s="26" t="n"/>
      <c r="E262" s="26" t="n"/>
      <c r="F262" s="104" t="n"/>
      <c r="G262" s="28" t="n"/>
      <c r="H262" s="26" t="n"/>
      <c r="I262" s="7">
        <f>IF(C262="","",C262&amp;"|"&amp;COUNTIF($C$5:C262,C262))</f>
        <v/>
      </c>
      <c r="K262" s="39" t="n"/>
      <c r="L262" s="39" t="n"/>
      <c r="M262" s="39" t="n"/>
      <c r="N262" s="39" t="n"/>
    </row>
    <row r="263" ht="21" customHeight="1" s="65">
      <c r="C263" s="26" t="n"/>
      <c r="D263" s="26" t="n"/>
      <c r="E263" s="26" t="n"/>
      <c r="F263" s="104" t="n"/>
      <c r="G263" s="28" t="n"/>
      <c r="H263" s="26" t="n"/>
      <c r="I263" s="7">
        <f>IF(C263="","",C263&amp;"|"&amp;COUNTIF($C$5:C263,C263))</f>
        <v/>
      </c>
      <c r="K263" s="39" t="n"/>
      <c r="L263" s="39" t="n"/>
      <c r="M263" s="39" t="n"/>
      <c r="N263" s="39" t="n"/>
    </row>
    <row r="264" ht="21" customHeight="1" s="65">
      <c r="C264" s="26" t="n"/>
      <c r="D264" s="26" t="n"/>
      <c r="E264" s="26" t="n"/>
      <c r="F264" s="104" t="n"/>
      <c r="G264" s="28" t="n"/>
      <c r="H264" s="26" t="n"/>
      <c r="I264" s="7">
        <f>IF(C264="","",C264&amp;"|"&amp;COUNTIF($C$5:C264,C264))</f>
        <v/>
      </c>
      <c r="K264" s="39" t="n"/>
      <c r="L264" s="39" t="n"/>
      <c r="M264" s="39" t="n"/>
      <c r="N264" s="39" t="n"/>
    </row>
    <row r="265" ht="21" customHeight="1" s="65">
      <c r="C265" s="26" t="n"/>
      <c r="D265" s="26" t="n"/>
      <c r="E265" s="26" t="n"/>
      <c r="F265" s="104" t="n"/>
      <c r="G265" s="28" t="n"/>
      <c r="H265" s="26" t="n"/>
      <c r="I265" s="7">
        <f>IF(C265="","",C265&amp;"|"&amp;COUNTIF($C$5:C265,C265))</f>
        <v/>
      </c>
      <c r="K265" s="39" t="n"/>
      <c r="L265" s="39" t="n"/>
      <c r="M265" s="39" t="n"/>
      <c r="N265" s="39" t="n"/>
    </row>
    <row r="266" ht="21" customHeight="1" s="65">
      <c r="C266" s="26" t="n"/>
      <c r="D266" s="26" t="n"/>
      <c r="E266" s="26" t="n"/>
      <c r="F266" s="104" t="n"/>
      <c r="G266" s="28" t="n"/>
      <c r="H266" s="26" t="n"/>
      <c r="I266" s="7">
        <f>IF(C266="","",C266&amp;"|"&amp;COUNTIF($C$5:C266,C266))</f>
        <v/>
      </c>
      <c r="K266" s="39" t="n"/>
      <c r="L266" s="39" t="n"/>
      <c r="M266" s="39" t="n"/>
      <c r="N266" s="39" t="n"/>
    </row>
    <row r="267" ht="21" customHeight="1" s="65">
      <c r="C267" s="26" t="n"/>
      <c r="D267" s="26" t="n"/>
      <c r="E267" s="26" t="n"/>
      <c r="F267" s="104" t="n"/>
      <c r="G267" s="28" t="n"/>
      <c r="H267" s="26" t="n"/>
      <c r="I267" s="7">
        <f>IF(C267="","",C267&amp;"|"&amp;COUNTIF($C$5:C267,C267))</f>
        <v/>
      </c>
      <c r="K267" s="39" t="n"/>
      <c r="L267" s="39" t="n"/>
      <c r="M267" s="39" t="n"/>
      <c r="N267" s="39" t="n"/>
    </row>
    <row r="268" ht="21" customHeight="1" s="65">
      <c r="C268" s="26" t="n"/>
      <c r="D268" s="26" t="n"/>
      <c r="E268" s="26" t="n"/>
      <c r="F268" s="104" t="n"/>
      <c r="G268" s="28" t="n"/>
      <c r="H268" s="26" t="n"/>
      <c r="I268" s="7">
        <f>IF(C268="","",C268&amp;"|"&amp;COUNTIF($C$5:C268,C268))</f>
        <v/>
      </c>
      <c r="K268" s="39" t="n"/>
      <c r="L268" s="39" t="n"/>
      <c r="M268" s="39" t="n"/>
      <c r="N268" s="39" t="n"/>
    </row>
    <row r="269" ht="21" customHeight="1" s="65">
      <c r="C269" s="26" t="n"/>
      <c r="D269" s="26" t="n"/>
      <c r="E269" s="26" t="n"/>
      <c r="F269" s="104" t="n"/>
      <c r="G269" s="28" t="n"/>
      <c r="H269" s="26" t="n"/>
      <c r="I269" s="7">
        <f>IF(C269="","",C269&amp;"|"&amp;COUNTIF($C$5:C269,C269))</f>
        <v/>
      </c>
      <c r="K269" s="39" t="n"/>
      <c r="L269" s="39" t="n"/>
      <c r="M269" s="39" t="n"/>
      <c r="N269" s="39" t="n"/>
    </row>
    <row r="270" ht="21" customHeight="1" s="65">
      <c r="C270" s="26" t="n"/>
      <c r="D270" s="26" t="n"/>
      <c r="E270" s="26" t="n"/>
      <c r="F270" s="104" t="n"/>
      <c r="G270" s="28" t="n"/>
      <c r="H270" s="26" t="n"/>
      <c r="I270" s="7">
        <f>IF(C270="","",C270&amp;"|"&amp;COUNTIF($C$5:C270,C270))</f>
        <v/>
      </c>
      <c r="K270" s="39" t="n"/>
      <c r="L270" s="39" t="n"/>
      <c r="M270" s="39" t="n"/>
      <c r="N270" s="39" t="n"/>
    </row>
    <row r="271" ht="21" customHeight="1" s="65">
      <c r="C271" s="26" t="n"/>
      <c r="D271" s="26" t="n"/>
      <c r="E271" s="26" t="n"/>
      <c r="F271" s="104" t="n"/>
      <c r="G271" s="28" t="n"/>
      <c r="H271" s="26" t="n"/>
      <c r="I271" s="7">
        <f>IF(C271="","",C271&amp;"|"&amp;COUNTIF($C$5:C271,C271))</f>
        <v/>
      </c>
      <c r="K271" s="39" t="n"/>
      <c r="L271" s="39" t="n"/>
      <c r="M271" s="39" t="n"/>
      <c r="N271" s="39" t="n"/>
    </row>
    <row r="272" ht="21" customHeight="1" s="65">
      <c r="C272" s="26" t="n"/>
      <c r="D272" s="26" t="n"/>
      <c r="E272" s="26" t="n"/>
      <c r="F272" s="104" t="n"/>
      <c r="G272" s="28" t="n"/>
      <c r="H272" s="26" t="n"/>
      <c r="I272" s="7">
        <f>IF(C272="","",C272&amp;"|"&amp;COUNTIF($C$5:C272,C272))</f>
        <v/>
      </c>
      <c r="K272" s="39" t="n"/>
      <c r="L272" s="39" t="n"/>
      <c r="M272" s="39" t="n"/>
      <c r="N272" s="39" t="n"/>
    </row>
    <row r="273" ht="21" customHeight="1" s="65">
      <c r="C273" s="26" t="n"/>
      <c r="D273" s="26" t="n"/>
      <c r="E273" s="26" t="n"/>
      <c r="F273" s="104" t="n"/>
      <c r="G273" s="28" t="n"/>
      <c r="H273" s="26" t="n"/>
      <c r="I273" s="7">
        <f>IF(C273="","",C273&amp;"|"&amp;COUNTIF($C$5:C273,C273))</f>
        <v/>
      </c>
      <c r="K273" s="39" t="n"/>
      <c r="L273" s="39" t="n"/>
      <c r="M273" s="39" t="n"/>
      <c r="N273" s="39" t="n"/>
    </row>
    <row r="274" ht="21" customHeight="1" s="65">
      <c r="C274" s="26" t="n"/>
      <c r="D274" s="26" t="n"/>
      <c r="E274" s="26" t="n"/>
      <c r="F274" s="104" t="n"/>
      <c r="G274" s="28" t="n"/>
      <c r="H274" s="26" t="n"/>
      <c r="I274" s="7">
        <f>IF(C274="","",C274&amp;"|"&amp;COUNTIF($C$5:C274,C274))</f>
        <v/>
      </c>
      <c r="K274" s="39" t="n"/>
      <c r="L274" s="39" t="n"/>
      <c r="M274" s="39" t="n"/>
      <c r="N274" s="39" t="n"/>
    </row>
    <row r="275" ht="21" customHeight="1" s="65">
      <c r="C275" s="26" t="n"/>
      <c r="D275" s="26" t="n"/>
      <c r="E275" s="26" t="n"/>
      <c r="F275" s="104" t="n"/>
      <c r="G275" s="28" t="n"/>
      <c r="H275" s="26" t="n"/>
      <c r="I275" s="7">
        <f>IF(C275="","",C275&amp;"|"&amp;COUNTIF($C$5:C275,C275))</f>
        <v/>
      </c>
      <c r="K275" s="39" t="n"/>
      <c r="L275" s="39" t="n"/>
      <c r="M275" s="39" t="n"/>
      <c r="N275" s="39" t="n"/>
    </row>
    <row r="276" ht="21" customHeight="1" s="65">
      <c r="C276" s="26" t="n"/>
      <c r="D276" s="26" t="n"/>
      <c r="E276" s="26" t="n"/>
      <c r="F276" s="104" t="n"/>
      <c r="G276" s="28" t="n"/>
      <c r="H276" s="26" t="n"/>
      <c r="I276" s="7">
        <f>IF(C276="","",C276&amp;"|"&amp;COUNTIF($C$5:C276,C276))</f>
        <v/>
      </c>
      <c r="K276" s="39" t="n"/>
      <c r="L276" s="39" t="n"/>
      <c r="M276" s="39" t="n"/>
      <c r="N276" s="39" t="n"/>
    </row>
    <row r="277" ht="21" customHeight="1" s="65">
      <c r="C277" s="26" t="n"/>
      <c r="D277" s="26" t="n"/>
      <c r="E277" s="26" t="n"/>
      <c r="F277" s="104" t="n"/>
      <c r="G277" s="28" t="n"/>
      <c r="H277" s="26" t="n"/>
      <c r="I277" s="7">
        <f>IF(C277="","",C277&amp;"|"&amp;COUNTIF($C$5:C277,C277))</f>
        <v/>
      </c>
      <c r="K277" s="39" t="n"/>
      <c r="L277" s="39" t="n"/>
      <c r="M277" s="39" t="n"/>
      <c r="N277" s="39" t="n"/>
    </row>
    <row r="278" ht="21" customHeight="1" s="65">
      <c r="C278" s="26" t="n"/>
      <c r="D278" s="26" t="n"/>
      <c r="E278" s="26" t="n"/>
      <c r="F278" s="104" t="n"/>
      <c r="G278" s="28" t="n"/>
      <c r="H278" s="26" t="n"/>
      <c r="I278" s="7">
        <f>IF(C278="","",C278&amp;"|"&amp;COUNTIF($C$5:C278,C278))</f>
        <v/>
      </c>
      <c r="K278" s="39" t="n"/>
      <c r="L278" s="39" t="n"/>
      <c r="M278" s="39" t="n"/>
      <c r="N278" s="39" t="n"/>
    </row>
    <row r="279" ht="21" customHeight="1" s="65">
      <c r="C279" s="26" t="n"/>
      <c r="D279" s="26" t="n"/>
      <c r="E279" s="26" t="n"/>
      <c r="F279" s="104" t="n"/>
      <c r="G279" s="28" t="n"/>
      <c r="H279" s="26" t="n"/>
      <c r="I279" s="7">
        <f>IF(C279="","",C279&amp;"|"&amp;COUNTIF($C$5:C279,C279))</f>
        <v/>
      </c>
      <c r="K279" s="39" t="n"/>
      <c r="L279" s="39" t="n"/>
      <c r="M279" s="39" t="n"/>
      <c r="N279" s="39" t="n"/>
    </row>
    <row r="280" ht="21" customHeight="1" s="65">
      <c r="C280" s="26" t="n"/>
      <c r="D280" s="26" t="n"/>
      <c r="E280" s="26" t="n"/>
      <c r="F280" s="104" t="n"/>
      <c r="G280" s="28" t="n"/>
      <c r="H280" s="26" t="n"/>
      <c r="I280" s="7">
        <f>IF(C280="","",C280&amp;"|"&amp;COUNTIF($C$5:C280,C280))</f>
        <v/>
      </c>
      <c r="K280" s="39" t="n"/>
      <c r="L280" s="39" t="n"/>
      <c r="M280" s="39" t="n"/>
      <c r="N280" s="39" t="n"/>
    </row>
    <row r="281" ht="21" customHeight="1" s="65">
      <c r="C281" s="26" t="n"/>
      <c r="D281" s="26" t="n"/>
      <c r="E281" s="26" t="n"/>
      <c r="F281" s="104" t="n"/>
      <c r="G281" s="28" t="n"/>
      <c r="H281" s="26" t="n"/>
      <c r="I281" s="7">
        <f>IF(C281="","",C281&amp;"|"&amp;COUNTIF($C$5:C281,C281))</f>
        <v/>
      </c>
      <c r="K281" s="39" t="n"/>
      <c r="L281" s="39" t="n"/>
      <c r="M281" s="39" t="n"/>
      <c r="N281" s="39" t="n"/>
    </row>
    <row r="282" ht="21" customHeight="1" s="65">
      <c r="C282" s="26" t="n"/>
      <c r="D282" s="26" t="n"/>
      <c r="E282" s="26" t="n"/>
      <c r="F282" s="104" t="n"/>
      <c r="G282" s="28" t="n"/>
      <c r="H282" s="26" t="n"/>
      <c r="I282" s="7">
        <f>IF(C282="","",C282&amp;"|"&amp;COUNTIF($C$5:C282,C282))</f>
        <v/>
      </c>
      <c r="K282" s="39" t="n"/>
      <c r="L282" s="39" t="n"/>
      <c r="M282" s="39" t="n"/>
      <c r="N282" s="39" t="n"/>
    </row>
    <row r="283" ht="21" customHeight="1" s="65">
      <c r="C283" s="26" t="n"/>
      <c r="D283" s="26" t="n"/>
      <c r="E283" s="26" t="n"/>
      <c r="F283" s="104" t="n"/>
      <c r="G283" s="28" t="n"/>
      <c r="H283" s="26" t="n"/>
      <c r="I283" s="7">
        <f>IF(C283="","",C283&amp;"|"&amp;COUNTIF($C$5:C283,C283))</f>
        <v/>
      </c>
      <c r="K283" s="39" t="n"/>
      <c r="L283" s="39" t="n"/>
      <c r="M283" s="39" t="n"/>
      <c r="N283" s="39" t="n"/>
    </row>
    <row r="284" ht="21" customHeight="1" s="65">
      <c r="C284" s="26" t="n"/>
      <c r="D284" s="26" t="n"/>
      <c r="E284" s="26" t="n"/>
      <c r="F284" s="104" t="n"/>
      <c r="G284" s="28" t="n"/>
      <c r="H284" s="26" t="n"/>
      <c r="I284" s="7">
        <f>IF(C284="","",C284&amp;"|"&amp;COUNTIF($C$5:C284,C284))</f>
        <v/>
      </c>
      <c r="K284" s="39" t="n"/>
      <c r="L284" s="39" t="n"/>
      <c r="M284" s="39" t="n"/>
      <c r="N284" s="39" t="n"/>
    </row>
    <row r="285" ht="21" customHeight="1" s="65">
      <c r="C285" s="26" t="n"/>
      <c r="D285" s="26" t="n"/>
      <c r="E285" s="26" t="n"/>
      <c r="F285" s="104" t="n"/>
      <c r="G285" s="28" t="n"/>
      <c r="H285" s="26" t="n"/>
      <c r="I285" s="7">
        <f>IF(C285="","",C285&amp;"|"&amp;COUNTIF($C$5:C285,C285))</f>
        <v/>
      </c>
      <c r="K285" s="39" t="n"/>
      <c r="L285" s="39" t="n"/>
      <c r="M285" s="39" t="n"/>
      <c r="N285" s="39" t="n"/>
    </row>
    <row r="286" ht="21" customHeight="1" s="65">
      <c r="C286" s="26" t="n"/>
      <c r="D286" s="26" t="n"/>
      <c r="E286" s="26" t="n"/>
      <c r="F286" s="104" t="n"/>
      <c r="G286" s="28" t="n"/>
      <c r="H286" s="26" t="n"/>
      <c r="I286" s="7">
        <f>IF(C286="","",C286&amp;"|"&amp;COUNTIF($C$5:C286,C286))</f>
        <v/>
      </c>
      <c r="K286" s="39" t="n"/>
      <c r="L286" s="39" t="n"/>
      <c r="M286" s="39" t="n"/>
      <c r="N286" s="39" t="n"/>
    </row>
    <row r="287" ht="21" customHeight="1" s="65">
      <c r="C287" s="26" t="n"/>
      <c r="D287" s="26" t="n"/>
      <c r="E287" s="26" t="n"/>
      <c r="F287" s="104" t="n"/>
      <c r="G287" s="28" t="n"/>
      <c r="H287" s="26" t="n"/>
      <c r="I287" s="7">
        <f>IF(C287="","",C287&amp;"|"&amp;COUNTIF($C$5:C287,C287))</f>
        <v/>
      </c>
      <c r="K287" s="39" t="n"/>
      <c r="L287" s="39" t="n"/>
      <c r="M287" s="39" t="n"/>
      <c r="N287" s="39" t="n"/>
    </row>
    <row r="288" ht="21" customHeight="1" s="65">
      <c r="C288" s="26" t="n"/>
      <c r="D288" s="26" t="n"/>
      <c r="E288" s="26" t="n"/>
      <c r="F288" s="104" t="n"/>
      <c r="G288" s="28" t="n"/>
      <c r="H288" s="26" t="n"/>
      <c r="I288" s="7">
        <f>IF(C288="","",C288&amp;"|"&amp;COUNTIF($C$5:C288,C288))</f>
        <v/>
      </c>
      <c r="K288" s="39" t="n"/>
      <c r="L288" s="39" t="n"/>
      <c r="M288" s="39" t="n"/>
      <c r="N288" s="39" t="n"/>
    </row>
    <row r="289" ht="21" customHeight="1" s="65">
      <c r="C289" s="26" t="n"/>
      <c r="D289" s="26" t="n"/>
      <c r="E289" s="26" t="n"/>
      <c r="F289" s="104" t="n"/>
      <c r="G289" s="28" t="n"/>
      <c r="H289" s="26" t="n"/>
      <c r="I289" s="7">
        <f>IF(C289="","",C289&amp;"|"&amp;COUNTIF($C$5:C289,C289))</f>
        <v/>
      </c>
      <c r="K289" s="39" t="n"/>
      <c r="L289" s="39" t="n"/>
      <c r="M289" s="39" t="n"/>
      <c r="N289" s="39" t="n"/>
    </row>
    <row r="290" ht="21" customHeight="1" s="65">
      <c r="C290" s="26" t="n"/>
      <c r="D290" s="26" t="n"/>
      <c r="E290" s="26" t="n"/>
      <c r="F290" s="104" t="n"/>
      <c r="G290" s="28" t="n"/>
      <c r="H290" s="26" t="n"/>
      <c r="I290" s="7">
        <f>IF(C290="","",C290&amp;"|"&amp;COUNTIF($C$5:C290,C290))</f>
        <v/>
      </c>
      <c r="K290" s="39" t="n"/>
      <c r="L290" s="39" t="n"/>
      <c r="M290" s="39" t="n"/>
      <c r="N290" s="39" t="n"/>
    </row>
    <row r="291" ht="21" customHeight="1" s="65">
      <c r="C291" s="26" t="n"/>
      <c r="D291" s="26" t="n"/>
      <c r="E291" s="26" t="n"/>
      <c r="F291" s="104" t="n"/>
      <c r="G291" s="28" t="n"/>
      <c r="H291" s="26" t="n"/>
      <c r="I291" s="7">
        <f>IF(C291="","",C291&amp;"|"&amp;COUNTIF($C$5:C291,C291))</f>
        <v/>
      </c>
      <c r="K291" s="39" t="n"/>
      <c r="L291" s="39" t="n"/>
      <c r="M291" s="39" t="n"/>
      <c r="N291" s="39" t="n"/>
    </row>
    <row r="292" ht="21" customHeight="1" s="65">
      <c r="C292" s="26" t="n"/>
      <c r="D292" s="26" t="n"/>
      <c r="E292" s="26" t="n"/>
      <c r="F292" s="104" t="n"/>
      <c r="G292" s="28" t="n"/>
      <c r="H292" s="26" t="n"/>
      <c r="I292" s="7">
        <f>IF(C292="","",C292&amp;"|"&amp;COUNTIF($C$5:C292,C292))</f>
        <v/>
      </c>
      <c r="K292" s="39" t="n"/>
      <c r="L292" s="39" t="n"/>
      <c r="M292" s="39" t="n"/>
      <c r="N292" s="39" t="n"/>
    </row>
    <row r="293" ht="21" customHeight="1" s="65">
      <c r="C293" s="26" t="n"/>
      <c r="D293" s="26" t="n"/>
      <c r="E293" s="26" t="n"/>
      <c r="F293" s="104" t="n"/>
      <c r="G293" s="28" t="n"/>
      <c r="H293" s="26" t="n"/>
      <c r="I293" s="7">
        <f>IF(C293="","",C293&amp;"|"&amp;COUNTIF($C$5:C293,C293))</f>
        <v/>
      </c>
      <c r="K293" s="39" t="n"/>
      <c r="L293" s="39" t="n"/>
      <c r="M293" s="39" t="n"/>
      <c r="N293" s="39" t="n"/>
    </row>
    <row r="294" ht="21" customHeight="1" s="65">
      <c r="C294" s="26" t="n"/>
      <c r="D294" s="26" t="n"/>
      <c r="E294" s="26" t="n"/>
      <c r="F294" s="104" t="n"/>
      <c r="G294" s="28" t="n"/>
      <c r="H294" s="26" t="n"/>
      <c r="I294" s="7">
        <f>IF(C294="","",C294&amp;"|"&amp;COUNTIF($C$5:C294,C294))</f>
        <v/>
      </c>
      <c r="K294" s="39" t="n"/>
      <c r="L294" s="39" t="n"/>
      <c r="M294" s="39" t="n"/>
      <c r="N294" s="39" t="n"/>
    </row>
    <row r="295" ht="21" customHeight="1" s="65">
      <c r="C295" s="26" t="n"/>
      <c r="D295" s="26" t="n"/>
      <c r="E295" s="26" t="n"/>
      <c r="F295" s="104" t="n"/>
      <c r="G295" s="28" t="n"/>
      <c r="H295" s="26" t="n"/>
      <c r="I295" s="7">
        <f>IF(C295="","",C295&amp;"|"&amp;COUNTIF($C$5:C295,C295))</f>
        <v/>
      </c>
      <c r="K295" s="39" t="n"/>
      <c r="L295" s="39" t="n"/>
      <c r="M295" s="39" t="n"/>
      <c r="N295" s="39" t="n"/>
    </row>
    <row r="296" ht="21" customHeight="1" s="65">
      <c r="C296" s="26" t="n"/>
      <c r="D296" s="26" t="n"/>
      <c r="E296" s="26" t="n"/>
      <c r="F296" s="104" t="n"/>
      <c r="G296" s="28" t="n"/>
      <c r="H296" s="26" t="n"/>
      <c r="I296" s="7">
        <f>IF(C296="","",C296&amp;"|"&amp;COUNTIF($C$5:C296,C296))</f>
        <v/>
      </c>
      <c r="K296" s="39" t="n"/>
      <c r="L296" s="39" t="n"/>
      <c r="M296" s="39" t="n"/>
      <c r="N296" s="39" t="n"/>
    </row>
    <row r="297" ht="21" customHeight="1" s="65">
      <c r="C297" s="26" t="n"/>
      <c r="D297" s="26" t="n"/>
      <c r="E297" s="26" t="n"/>
      <c r="F297" s="104" t="n"/>
      <c r="G297" s="28" t="n"/>
      <c r="H297" s="26" t="n"/>
      <c r="I297" s="7">
        <f>IF(C297="","",C297&amp;"|"&amp;COUNTIF($C$5:C297,C297))</f>
        <v/>
      </c>
      <c r="K297" s="39" t="n"/>
      <c r="L297" s="39" t="n"/>
      <c r="M297" s="39" t="n"/>
      <c r="N297" s="39" t="n"/>
    </row>
    <row r="298" ht="21" customHeight="1" s="65">
      <c r="C298" s="26" t="n"/>
      <c r="D298" s="26" t="n"/>
      <c r="E298" s="26" t="n"/>
      <c r="F298" s="104" t="n"/>
      <c r="G298" s="28" t="n"/>
      <c r="H298" s="26" t="n"/>
      <c r="I298" s="7">
        <f>IF(C298="","",C298&amp;"|"&amp;COUNTIF($C$5:C298,C298))</f>
        <v/>
      </c>
      <c r="K298" s="39" t="n"/>
      <c r="L298" s="39" t="n"/>
      <c r="M298" s="39" t="n"/>
      <c r="N298" s="39" t="n"/>
    </row>
    <row r="299" ht="21" customHeight="1" s="65">
      <c r="C299" s="26" t="n"/>
      <c r="D299" s="26" t="n"/>
      <c r="E299" s="26" t="n"/>
      <c r="F299" s="104" t="n"/>
      <c r="G299" s="28" t="n"/>
      <c r="H299" s="26" t="n"/>
      <c r="I299" s="7">
        <f>IF(C299="","",C299&amp;"|"&amp;COUNTIF($C$5:C299,C299))</f>
        <v/>
      </c>
      <c r="K299" s="39" t="n"/>
      <c r="L299" s="39" t="n"/>
      <c r="M299" s="39" t="n"/>
      <c r="N299" s="39" t="n"/>
    </row>
    <row r="300" ht="21" customHeight="1" s="65">
      <c r="C300" s="26" t="n"/>
      <c r="D300" s="26" t="n"/>
      <c r="E300" s="26" t="n"/>
      <c r="F300" s="104" t="n"/>
      <c r="G300" s="28" t="n"/>
      <c r="H300" s="26" t="n"/>
      <c r="I300" s="7">
        <f>IF(C300="","",C300&amp;"|"&amp;COUNTIF($C$5:C300,C300))</f>
        <v/>
      </c>
      <c r="K300" s="39" t="n"/>
      <c r="L300" s="39" t="n"/>
      <c r="M300" s="39" t="n"/>
      <c r="N300" s="39" t="n"/>
    </row>
    <row r="301" ht="21" customHeight="1" s="65">
      <c r="C301" s="26" t="n"/>
      <c r="D301" s="26" t="n"/>
      <c r="E301" s="26" t="n"/>
      <c r="F301" s="104" t="n"/>
      <c r="G301" s="28" t="n"/>
      <c r="H301" s="26" t="n"/>
      <c r="I301" s="7">
        <f>IF(C301="","",C301&amp;"|"&amp;COUNTIF($C$5:C301,C301))</f>
        <v/>
      </c>
      <c r="K301" s="39" t="n"/>
      <c r="L301" s="39" t="n"/>
      <c r="M301" s="39" t="n"/>
      <c r="N301" s="39" t="n"/>
    </row>
    <row r="302" ht="21" customHeight="1" s="65">
      <c r="C302" s="26" t="n"/>
      <c r="D302" s="26" t="n"/>
      <c r="E302" s="26" t="n"/>
      <c r="F302" s="104" t="n"/>
      <c r="G302" s="28" t="n"/>
      <c r="H302" s="26" t="n"/>
      <c r="I302" s="7">
        <f>IF(C302="","",C302&amp;"|"&amp;COUNTIF($C$5:C302,C302))</f>
        <v/>
      </c>
      <c r="K302" s="39" t="n"/>
      <c r="L302" s="39" t="n"/>
      <c r="M302" s="39" t="n"/>
      <c r="N302" s="39" t="n"/>
    </row>
    <row r="303" ht="21" customHeight="1" s="65">
      <c r="C303" s="26" t="n"/>
      <c r="D303" s="26" t="n"/>
      <c r="E303" s="26" t="n"/>
      <c r="F303" s="104" t="n"/>
      <c r="G303" s="28" t="n"/>
      <c r="H303" s="26" t="n"/>
      <c r="I303" s="7">
        <f>IF(C303="","",C303&amp;"|"&amp;COUNTIF($C$5:C303,C303))</f>
        <v/>
      </c>
      <c r="K303" s="39" t="n"/>
      <c r="L303" s="39" t="n"/>
      <c r="M303" s="39" t="n"/>
      <c r="N303" s="39" t="n"/>
    </row>
    <row r="304" ht="21" customHeight="1" s="65">
      <c r="C304" s="26" t="n"/>
      <c r="D304" s="26" t="n"/>
      <c r="E304" s="26" t="n"/>
      <c r="F304" s="104" t="n"/>
      <c r="G304" s="28" t="n"/>
      <c r="H304" s="26" t="n"/>
      <c r="I304" s="7">
        <f>IF(C304="","",C304&amp;"|"&amp;COUNTIF($C$5:C304,C304))</f>
        <v/>
      </c>
      <c r="K304" s="39" t="n"/>
      <c r="L304" s="39" t="n"/>
      <c r="M304" s="39" t="n"/>
      <c r="N304" s="39" t="n"/>
    </row>
    <row r="305" ht="21" customHeight="1" s="65">
      <c r="C305" s="26" t="n"/>
      <c r="D305" s="26" t="n"/>
      <c r="E305" s="26" t="n"/>
      <c r="F305" s="104" t="n"/>
      <c r="G305" s="28" t="n"/>
      <c r="H305" s="26" t="n"/>
      <c r="I305" s="7">
        <f>IF(C305="","",C305&amp;"|"&amp;COUNTIF($C$5:C305,C305))</f>
        <v/>
      </c>
      <c r="K305" s="39" t="n"/>
      <c r="L305" s="39" t="n"/>
      <c r="M305" s="39" t="n"/>
      <c r="N305" s="39" t="n"/>
    </row>
    <row r="306" ht="21" customHeight="1" s="65">
      <c r="C306" s="26" t="n"/>
      <c r="D306" s="26" t="n"/>
      <c r="E306" s="26" t="n"/>
      <c r="F306" s="104" t="n"/>
      <c r="G306" s="28" t="n"/>
      <c r="H306" s="26" t="n"/>
      <c r="I306" s="7">
        <f>IF(C306="","",C306&amp;"|"&amp;COUNTIF($C$5:C306,C306))</f>
        <v/>
      </c>
      <c r="K306" s="39" t="n"/>
      <c r="L306" s="39" t="n"/>
      <c r="M306" s="39" t="n"/>
      <c r="N306" s="39" t="n"/>
    </row>
    <row r="307" ht="21" customHeight="1" s="65">
      <c r="C307" s="26" t="n"/>
      <c r="D307" s="26" t="n"/>
      <c r="E307" s="26" t="n"/>
      <c r="F307" s="104" t="n"/>
      <c r="G307" s="28" t="n"/>
      <c r="H307" s="26" t="n"/>
      <c r="I307" s="7">
        <f>IF(C307="","",C307&amp;"|"&amp;COUNTIF($C$5:C307,C307))</f>
        <v/>
      </c>
      <c r="K307" s="39" t="n"/>
      <c r="L307" s="39" t="n"/>
      <c r="M307" s="39" t="n"/>
      <c r="N307" s="39" t="n"/>
    </row>
    <row r="308" ht="21" customHeight="1" s="65">
      <c r="C308" s="26" t="n"/>
      <c r="D308" s="26" t="n"/>
      <c r="E308" s="26" t="n"/>
      <c r="F308" s="104" t="n"/>
      <c r="G308" s="28" t="n"/>
      <c r="H308" s="26" t="n"/>
      <c r="I308" s="7">
        <f>IF(C308="","",C308&amp;"|"&amp;COUNTIF($C$5:C308,C308))</f>
        <v/>
      </c>
      <c r="K308" s="39" t="n"/>
      <c r="L308" s="39" t="n"/>
      <c r="M308" s="39" t="n"/>
      <c r="N308" s="39" t="n"/>
    </row>
    <row r="309" ht="21" customHeight="1" s="65">
      <c r="C309" s="26" t="n"/>
      <c r="D309" s="26" t="n"/>
      <c r="E309" s="26" t="n"/>
      <c r="F309" s="104" t="n"/>
      <c r="G309" s="28" t="n"/>
      <c r="H309" s="26" t="n"/>
      <c r="I309" s="7">
        <f>IF(C309="","",C309&amp;"|"&amp;COUNTIF($C$5:C309,C309))</f>
        <v/>
      </c>
      <c r="K309" s="39" t="n"/>
      <c r="L309" s="39" t="n"/>
      <c r="M309" s="39" t="n"/>
      <c r="N309" s="39" t="n"/>
    </row>
    <row r="310" ht="21" customHeight="1" s="65">
      <c r="C310" s="26" t="n"/>
      <c r="D310" s="26" t="n"/>
      <c r="E310" s="26" t="n"/>
      <c r="F310" s="104" t="n"/>
      <c r="G310" s="28" t="n"/>
      <c r="H310" s="26" t="n"/>
      <c r="I310" s="7">
        <f>IF(C310="","",C310&amp;"|"&amp;COUNTIF($C$5:C310,C310))</f>
        <v/>
      </c>
      <c r="K310" s="39" t="n"/>
      <c r="L310" s="39" t="n"/>
      <c r="M310" s="39" t="n"/>
      <c r="N310" s="39" t="n"/>
    </row>
    <row r="311" ht="21" customHeight="1" s="65">
      <c r="C311" s="26" t="n"/>
      <c r="D311" s="26" t="n"/>
      <c r="E311" s="26" t="n"/>
      <c r="F311" s="104" t="n"/>
      <c r="G311" s="28" t="n"/>
      <c r="H311" s="26" t="n"/>
      <c r="I311" s="7">
        <f>IF(C311="","",C311&amp;"|"&amp;COUNTIF($C$5:C311,C311))</f>
        <v/>
      </c>
      <c r="K311" s="39" t="n"/>
      <c r="L311" s="39" t="n"/>
      <c r="M311" s="39" t="n"/>
      <c r="N311" s="39" t="n"/>
    </row>
    <row r="312" ht="21" customHeight="1" s="65">
      <c r="C312" s="26" t="n"/>
      <c r="D312" s="26" t="n"/>
      <c r="E312" s="26" t="n"/>
      <c r="F312" s="104" t="n"/>
      <c r="G312" s="28" t="n"/>
      <c r="H312" s="26" t="n"/>
      <c r="I312" s="7">
        <f>IF(C312="","",C312&amp;"|"&amp;COUNTIF($C$5:C312,C312))</f>
        <v/>
      </c>
      <c r="K312" s="39" t="n"/>
      <c r="L312" s="39" t="n"/>
      <c r="M312" s="39" t="n"/>
      <c r="N312" s="39" t="n"/>
    </row>
    <row r="313" ht="21" customHeight="1" s="65">
      <c r="C313" s="26" t="n"/>
      <c r="D313" s="26" t="n"/>
      <c r="E313" s="26" t="n"/>
      <c r="F313" s="104" t="n"/>
      <c r="G313" s="28" t="n"/>
      <c r="H313" s="26" t="n"/>
      <c r="I313" s="7">
        <f>IF(C313="","",C313&amp;"|"&amp;COUNTIF($C$5:C313,C313))</f>
        <v/>
      </c>
      <c r="K313" s="39" t="n"/>
      <c r="L313" s="39" t="n"/>
      <c r="M313" s="39" t="n"/>
      <c r="N313" s="39" t="n"/>
    </row>
    <row r="314" ht="21" customHeight="1" s="65">
      <c r="C314" s="26" t="n"/>
      <c r="D314" s="26" t="n"/>
      <c r="E314" s="26" t="n"/>
      <c r="F314" s="104" t="n"/>
      <c r="G314" s="28" t="n"/>
      <c r="H314" s="26" t="n"/>
      <c r="I314" s="7">
        <f>IF(C314="","",C314&amp;"|"&amp;COUNTIF($C$5:C314,C314))</f>
        <v/>
      </c>
      <c r="K314" s="39" t="n"/>
      <c r="L314" s="39" t="n"/>
      <c r="M314" s="39" t="n"/>
      <c r="N314" s="39" t="n"/>
    </row>
    <row r="315" ht="21" customHeight="1" s="65">
      <c r="C315" s="26" t="n"/>
      <c r="D315" s="26" t="n"/>
      <c r="E315" s="26" t="n"/>
      <c r="F315" s="104" t="n"/>
      <c r="G315" s="28" t="n"/>
      <c r="H315" s="26" t="n"/>
      <c r="I315" s="7">
        <f>IF(C315="","",C315&amp;"|"&amp;COUNTIF($C$5:C315,C315))</f>
        <v/>
      </c>
      <c r="K315" s="39" t="n"/>
      <c r="L315" s="39" t="n"/>
      <c r="M315" s="39" t="n"/>
      <c r="N315" s="39" t="n"/>
    </row>
    <row r="316" ht="21" customHeight="1" s="65">
      <c r="C316" s="26" t="n"/>
      <c r="D316" s="26" t="n"/>
      <c r="E316" s="26" t="n"/>
      <c r="F316" s="104" t="n"/>
      <c r="G316" s="28" t="n"/>
      <c r="H316" s="26" t="n"/>
      <c r="I316" s="7">
        <f>IF(C316="","",C316&amp;"|"&amp;COUNTIF($C$5:C316,C316))</f>
        <v/>
      </c>
      <c r="K316" s="39" t="n"/>
      <c r="L316" s="39" t="n"/>
      <c r="M316" s="39" t="n"/>
      <c r="N316" s="39" t="n"/>
    </row>
    <row r="317" ht="21" customHeight="1" s="65">
      <c r="C317" s="26" t="n"/>
      <c r="D317" s="26" t="n"/>
      <c r="E317" s="26" t="n"/>
      <c r="F317" s="104" t="n"/>
      <c r="G317" s="28" t="n"/>
      <c r="H317" s="26" t="n"/>
      <c r="I317" s="7">
        <f>IF(C317="","",C317&amp;"|"&amp;COUNTIF($C$5:C317,C317))</f>
        <v/>
      </c>
      <c r="K317" s="39" t="n"/>
      <c r="L317" s="39" t="n"/>
      <c r="M317" s="39" t="n"/>
      <c r="N317" s="39" t="n"/>
    </row>
    <row r="318" ht="21" customHeight="1" s="65">
      <c r="C318" s="26" t="n"/>
      <c r="D318" s="26" t="n"/>
      <c r="E318" s="26" t="n"/>
      <c r="F318" s="104" t="n"/>
      <c r="G318" s="28" t="n"/>
      <c r="H318" s="26" t="n"/>
      <c r="I318" s="7">
        <f>IF(C318="","",C318&amp;"|"&amp;COUNTIF($C$5:C318,C318))</f>
        <v/>
      </c>
      <c r="K318" s="39" t="n"/>
      <c r="L318" s="39" t="n"/>
      <c r="M318" s="39" t="n"/>
      <c r="N318" s="39" t="n"/>
    </row>
    <row r="319" ht="21" customHeight="1" s="65">
      <c r="C319" s="26" t="n"/>
      <c r="D319" s="26" t="n"/>
      <c r="E319" s="26" t="n"/>
      <c r="F319" s="104" t="n"/>
      <c r="G319" s="28" t="n"/>
      <c r="H319" s="26" t="n"/>
      <c r="I319" s="7">
        <f>IF(C319="","",C319&amp;"|"&amp;COUNTIF($C$5:C319,C319))</f>
        <v/>
      </c>
      <c r="K319" s="39" t="n"/>
      <c r="L319" s="39" t="n"/>
      <c r="M319" s="39" t="n"/>
      <c r="N319" s="39" t="n"/>
    </row>
    <row r="320" ht="21" customHeight="1" s="65">
      <c r="C320" s="26" t="n"/>
      <c r="D320" s="26" t="n"/>
      <c r="E320" s="26" t="n"/>
      <c r="F320" s="104" t="n"/>
      <c r="G320" s="28" t="n"/>
      <c r="H320" s="26" t="n"/>
      <c r="I320" s="7">
        <f>IF(C320="","",C320&amp;"|"&amp;COUNTIF($C$5:C320,C320))</f>
        <v/>
      </c>
      <c r="K320" s="39" t="n"/>
      <c r="L320" s="39" t="n"/>
      <c r="M320" s="39" t="n"/>
      <c r="N320" s="39" t="n"/>
    </row>
    <row r="321" ht="21" customHeight="1" s="65">
      <c r="C321" s="26" t="n"/>
      <c r="D321" s="26" t="n"/>
      <c r="E321" s="26" t="n"/>
      <c r="F321" s="104" t="n"/>
      <c r="G321" s="28" t="n"/>
      <c r="H321" s="26" t="n"/>
      <c r="I321" s="7">
        <f>IF(C321="","",C321&amp;"|"&amp;COUNTIF($C$5:C321,C321))</f>
        <v/>
      </c>
      <c r="K321" s="39" t="n"/>
      <c r="L321" s="39" t="n"/>
      <c r="M321" s="39" t="n"/>
      <c r="N321" s="39" t="n"/>
    </row>
    <row r="322" ht="21" customHeight="1" s="65">
      <c r="C322" s="26" t="n"/>
      <c r="D322" s="26" t="n"/>
      <c r="E322" s="26" t="n"/>
      <c r="F322" s="104" t="n"/>
      <c r="G322" s="28" t="n"/>
      <c r="H322" s="26" t="n"/>
      <c r="I322" s="7">
        <f>IF(C322="","",C322&amp;"|"&amp;COUNTIF($C$5:C322,C322))</f>
        <v/>
      </c>
      <c r="K322" s="39" t="n"/>
      <c r="L322" s="39" t="n"/>
      <c r="M322" s="39" t="n"/>
      <c r="N322" s="39" t="n"/>
    </row>
    <row r="323" ht="21" customHeight="1" s="65">
      <c r="C323" s="26" t="n"/>
      <c r="D323" s="26" t="n"/>
      <c r="E323" s="26" t="n"/>
      <c r="F323" s="104" t="n"/>
      <c r="G323" s="28" t="n"/>
      <c r="H323" s="26" t="n"/>
      <c r="I323" s="7">
        <f>IF(C323="","",C323&amp;"|"&amp;COUNTIF($C$5:C323,C323))</f>
        <v/>
      </c>
      <c r="K323" s="39" t="n"/>
      <c r="L323" s="39" t="n"/>
      <c r="M323" s="39" t="n"/>
      <c r="N323" s="39" t="n"/>
    </row>
    <row r="324" ht="21" customHeight="1" s="65">
      <c r="C324" s="26" t="n"/>
      <c r="D324" s="26" t="n"/>
      <c r="E324" s="26" t="n"/>
      <c r="F324" s="104" t="n"/>
      <c r="G324" s="28" t="n"/>
      <c r="H324" s="26" t="n"/>
      <c r="I324" s="7">
        <f>IF(C324="","",C324&amp;"|"&amp;COUNTIF($C$5:C324,C324))</f>
        <v/>
      </c>
      <c r="K324" s="39" t="n"/>
      <c r="L324" s="39" t="n"/>
      <c r="M324" s="39" t="n"/>
      <c r="N324" s="39" t="n"/>
    </row>
    <row r="325" ht="21" customHeight="1" s="65">
      <c r="C325" s="26" t="n"/>
      <c r="D325" s="26" t="n"/>
      <c r="E325" s="26" t="n"/>
      <c r="F325" s="104" t="n"/>
      <c r="G325" s="28" t="n"/>
      <c r="H325" s="26" t="n"/>
      <c r="I325" s="7">
        <f>IF(C325="","",C325&amp;"|"&amp;COUNTIF($C$5:C325,C325))</f>
        <v/>
      </c>
      <c r="K325" s="39" t="n"/>
      <c r="L325" s="39" t="n"/>
      <c r="M325" s="39" t="n"/>
      <c r="N325" s="39" t="n"/>
    </row>
    <row r="326" ht="21" customHeight="1" s="65">
      <c r="C326" s="26" t="n"/>
      <c r="D326" s="26" t="n"/>
      <c r="E326" s="26" t="n"/>
      <c r="F326" s="104" t="n"/>
      <c r="G326" s="28" t="n"/>
      <c r="H326" s="26" t="n"/>
      <c r="I326" s="7">
        <f>IF(C326="","",C326&amp;"|"&amp;COUNTIF($C$5:C326,C326))</f>
        <v/>
      </c>
      <c r="K326" s="39" t="n"/>
      <c r="L326" s="39" t="n"/>
      <c r="M326" s="39" t="n"/>
      <c r="N326" s="39" t="n"/>
    </row>
    <row r="327" ht="21" customHeight="1" s="65">
      <c r="C327" s="26" t="n"/>
      <c r="D327" s="26" t="n"/>
      <c r="E327" s="26" t="n"/>
      <c r="F327" s="104" t="n"/>
      <c r="G327" s="28" t="n"/>
      <c r="H327" s="26" t="n"/>
      <c r="I327" s="7">
        <f>IF(C327="","",C327&amp;"|"&amp;COUNTIF($C$5:C327,C327))</f>
        <v/>
      </c>
      <c r="K327" s="39" t="n"/>
      <c r="L327" s="39" t="n"/>
      <c r="M327" s="39" t="n"/>
      <c r="N327" s="39" t="n"/>
    </row>
    <row r="328" ht="21" customHeight="1" s="65">
      <c r="C328" s="26" t="n"/>
      <c r="D328" s="26" t="n"/>
      <c r="E328" s="26" t="n"/>
      <c r="F328" s="104" t="n"/>
      <c r="G328" s="28" t="n"/>
      <c r="H328" s="26" t="n"/>
      <c r="I328" s="7">
        <f>IF(C328="","",C328&amp;"|"&amp;COUNTIF($C$5:C328,C328))</f>
        <v/>
      </c>
      <c r="K328" s="39" t="n"/>
      <c r="L328" s="39" t="n"/>
      <c r="M328" s="39" t="n"/>
      <c r="N328" s="39" t="n"/>
    </row>
    <row r="329" ht="21" customHeight="1" s="65">
      <c r="C329" s="26" t="n"/>
      <c r="D329" s="26" t="n"/>
      <c r="E329" s="26" t="n"/>
      <c r="F329" s="104" t="n"/>
      <c r="G329" s="28" t="n"/>
      <c r="H329" s="26" t="n"/>
      <c r="I329" s="7">
        <f>IF(C329="","",C329&amp;"|"&amp;COUNTIF($C$5:C329,C329))</f>
        <v/>
      </c>
      <c r="K329" s="39" t="n"/>
      <c r="L329" s="39" t="n"/>
      <c r="M329" s="39" t="n"/>
      <c r="N329" s="39" t="n"/>
    </row>
    <row r="330" ht="21" customHeight="1" s="65">
      <c r="C330" s="26" t="n"/>
      <c r="D330" s="26" t="n"/>
      <c r="E330" s="26" t="n"/>
      <c r="F330" s="104" t="n"/>
      <c r="G330" s="28" t="n"/>
      <c r="H330" s="26" t="n"/>
      <c r="I330" s="7">
        <f>IF(C330="","",C330&amp;"|"&amp;COUNTIF($C$5:C330,C330))</f>
        <v/>
      </c>
      <c r="K330" s="39" t="n"/>
      <c r="L330" s="39" t="n"/>
      <c r="M330" s="39" t="n"/>
      <c r="N330" s="39" t="n"/>
    </row>
    <row r="331" ht="21" customHeight="1" s="65">
      <c r="C331" s="26" t="n"/>
      <c r="D331" s="26" t="n"/>
      <c r="E331" s="26" t="n"/>
      <c r="F331" s="104" t="n"/>
      <c r="G331" s="28" t="n"/>
      <c r="H331" s="26" t="n"/>
      <c r="I331" s="7">
        <f>IF(C331="","",C331&amp;"|"&amp;COUNTIF($C$5:C331,C331))</f>
        <v/>
      </c>
      <c r="K331" s="39" t="n"/>
      <c r="L331" s="39" t="n"/>
      <c r="M331" s="39" t="n"/>
      <c r="N331" s="39" t="n"/>
    </row>
    <row r="332" ht="21" customHeight="1" s="65">
      <c r="C332" s="26" t="n"/>
      <c r="D332" s="26" t="n"/>
      <c r="E332" s="26" t="n"/>
      <c r="F332" s="104" t="n"/>
      <c r="G332" s="28" t="n"/>
      <c r="H332" s="26" t="n"/>
      <c r="I332" s="7">
        <f>IF(C332="","",C332&amp;"|"&amp;COUNTIF($C$5:C332,C332))</f>
        <v/>
      </c>
      <c r="K332" s="39" t="n"/>
      <c r="L332" s="39" t="n"/>
      <c r="M332" s="39" t="n"/>
      <c r="N332" s="39" t="n"/>
    </row>
    <row r="333" ht="21" customHeight="1" s="65">
      <c r="C333" s="26" t="n"/>
      <c r="D333" s="26" t="n"/>
      <c r="E333" s="26" t="n"/>
      <c r="F333" s="104" t="n"/>
      <c r="G333" s="28" t="n"/>
      <c r="H333" s="26" t="n"/>
      <c r="I333" s="7">
        <f>IF(C333="","",C333&amp;"|"&amp;COUNTIF($C$5:C333,C333))</f>
        <v/>
      </c>
      <c r="K333" s="39" t="n"/>
      <c r="L333" s="39" t="n"/>
      <c r="M333" s="39" t="n"/>
      <c r="N333" s="39" t="n"/>
    </row>
    <row r="334" ht="21" customHeight="1" s="65">
      <c r="C334" s="26" t="n"/>
      <c r="D334" s="26" t="n"/>
      <c r="E334" s="26" t="n"/>
      <c r="F334" s="104" t="n"/>
      <c r="G334" s="28" t="n"/>
      <c r="H334" s="26" t="n"/>
      <c r="I334" s="7">
        <f>IF(C334="","",C334&amp;"|"&amp;COUNTIF($C$5:C334,C334))</f>
        <v/>
      </c>
      <c r="K334" s="39" t="n"/>
      <c r="L334" s="39" t="n"/>
      <c r="M334" s="39" t="n"/>
      <c r="N334" s="39" t="n"/>
    </row>
    <row r="335" ht="21" customHeight="1" s="65">
      <c r="C335" s="26" t="n"/>
      <c r="D335" s="26" t="n"/>
      <c r="E335" s="26" t="n"/>
      <c r="F335" s="104" t="n"/>
      <c r="G335" s="28" t="n"/>
      <c r="H335" s="26" t="n"/>
      <c r="I335" s="7">
        <f>IF(C335="","",C335&amp;"|"&amp;COUNTIF($C$5:C335,C335))</f>
        <v/>
      </c>
      <c r="K335" s="39" t="n"/>
      <c r="L335" s="39" t="n"/>
      <c r="M335" s="39" t="n"/>
      <c r="N335" s="39" t="n"/>
    </row>
    <row r="336" ht="21" customHeight="1" s="65">
      <c r="C336" s="26" t="n"/>
      <c r="D336" s="26" t="n"/>
      <c r="E336" s="26" t="n"/>
      <c r="F336" s="104" t="n"/>
      <c r="G336" s="28" t="n"/>
      <c r="H336" s="26" t="n"/>
      <c r="I336" s="7">
        <f>IF(C336="","",C336&amp;"|"&amp;COUNTIF($C$5:C336,C336))</f>
        <v/>
      </c>
      <c r="K336" s="39" t="n"/>
      <c r="L336" s="39" t="n"/>
      <c r="M336" s="39" t="n"/>
      <c r="N336" s="39" t="n"/>
    </row>
    <row r="337" ht="21" customHeight="1" s="65">
      <c r="C337" s="26" t="n"/>
      <c r="D337" s="26" t="n"/>
      <c r="E337" s="26" t="n"/>
      <c r="F337" s="104" t="n"/>
      <c r="G337" s="28" t="n"/>
      <c r="H337" s="26" t="n"/>
      <c r="I337" s="7">
        <f>IF(C337="","",C337&amp;"|"&amp;COUNTIF($C$5:C337,C337))</f>
        <v/>
      </c>
      <c r="K337" s="39" t="n"/>
      <c r="L337" s="39" t="n"/>
      <c r="M337" s="39" t="n"/>
      <c r="N337" s="39" t="n"/>
    </row>
    <row r="338" ht="21" customHeight="1" s="65">
      <c r="C338" s="26" t="n"/>
      <c r="D338" s="26" t="n"/>
      <c r="E338" s="26" t="n"/>
      <c r="F338" s="104" t="n"/>
      <c r="G338" s="28" t="n"/>
      <c r="H338" s="26" t="n"/>
      <c r="I338" s="7">
        <f>IF(C338="","",C338&amp;"|"&amp;COUNTIF($C$5:C338,C338))</f>
        <v/>
      </c>
      <c r="K338" s="39" t="n"/>
      <c r="L338" s="39" t="n"/>
      <c r="M338" s="39" t="n"/>
      <c r="N338" s="39" t="n"/>
    </row>
    <row r="339" ht="21" customHeight="1" s="65">
      <c r="C339" s="26" t="n"/>
      <c r="D339" s="26" t="n"/>
      <c r="E339" s="26" t="n"/>
      <c r="F339" s="104" t="n"/>
      <c r="G339" s="28" t="n"/>
      <c r="H339" s="26" t="n"/>
      <c r="I339" s="7">
        <f>IF(C339="","",C339&amp;"|"&amp;COUNTIF($C$5:C339,C339))</f>
        <v/>
      </c>
      <c r="K339" s="39" t="n"/>
      <c r="L339" s="39" t="n"/>
      <c r="M339" s="39" t="n"/>
      <c r="N339" s="39" t="n"/>
    </row>
    <row r="340" ht="21" customHeight="1" s="65">
      <c r="C340" s="26" t="n"/>
      <c r="D340" s="26" t="n"/>
      <c r="E340" s="26" t="n"/>
      <c r="F340" s="104" t="n"/>
      <c r="G340" s="28" t="n"/>
      <c r="H340" s="26" t="n"/>
      <c r="I340" s="7">
        <f>IF(C340="","",C340&amp;"|"&amp;COUNTIF($C$5:C340,C340))</f>
        <v/>
      </c>
      <c r="K340" s="39" t="n"/>
      <c r="L340" s="39" t="n"/>
      <c r="M340" s="39" t="n"/>
      <c r="N340" s="39" t="n"/>
    </row>
    <row r="341" ht="21" customHeight="1" s="65">
      <c r="C341" s="26" t="n"/>
      <c r="D341" s="26" t="n"/>
      <c r="E341" s="26" t="n"/>
      <c r="F341" s="104" t="n"/>
      <c r="G341" s="28" t="n"/>
      <c r="H341" s="26" t="n"/>
      <c r="I341" s="7">
        <f>IF(C341="","",C341&amp;"|"&amp;COUNTIF($C$5:C341,C341))</f>
        <v/>
      </c>
      <c r="K341" s="39" t="n"/>
      <c r="L341" s="39" t="n"/>
      <c r="M341" s="39" t="n"/>
      <c r="N341" s="39" t="n"/>
    </row>
    <row r="342" ht="21" customHeight="1" s="65">
      <c r="C342" s="26" t="n"/>
      <c r="D342" s="26" t="n"/>
      <c r="E342" s="26" t="n"/>
      <c r="F342" s="104" t="n"/>
      <c r="G342" s="28" t="n"/>
      <c r="H342" s="26" t="n"/>
      <c r="I342" s="7">
        <f>IF(C342="","",C342&amp;"|"&amp;COUNTIF($C$5:C342,C342))</f>
        <v/>
      </c>
      <c r="K342" s="39" t="n"/>
      <c r="L342" s="39" t="n"/>
      <c r="M342" s="39" t="n"/>
      <c r="N342" s="39" t="n"/>
    </row>
    <row r="343" ht="21" customHeight="1" s="65">
      <c r="C343" s="26" t="n"/>
      <c r="D343" s="26" t="n"/>
      <c r="E343" s="26" t="n"/>
      <c r="F343" s="104" t="n"/>
      <c r="G343" s="28" t="n"/>
      <c r="H343" s="26" t="n"/>
      <c r="I343" s="7">
        <f>IF(C343="","",C343&amp;"|"&amp;COUNTIF($C$5:C343,C343))</f>
        <v/>
      </c>
      <c r="K343" s="39" t="n"/>
      <c r="L343" s="39" t="n"/>
      <c r="M343" s="39" t="n"/>
      <c r="N343" s="39" t="n"/>
    </row>
    <row r="344" ht="21" customHeight="1" s="65">
      <c r="C344" s="26" t="n"/>
      <c r="D344" s="26" t="n"/>
      <c r="E344" s="26" t="n"/>
      <c r="F344" s="104" t="n"/>
      <c r="G344" s="28" t="n"/>
      <c r="H344" s="26" t="n"/>
      <c r="I344" s="7">
        <f>IF(C344="","",C344&amp;"|"&amp;COUNTIF($C$5:C344,C344))</f>
        <v/>
      </c>
      <c r="K344" s="39" t="n"/>
      <c r="L344" s="39" t="n"/>
      <c r="M344" s="39" t="n"/>
      <c r="N344" s="39" t="n"/>
    </row>
    <row r="345" ht="21" customHeight="1" s="65">
      <c r="C345" s="26" t="n"/>
      <c r="D345" s="26" t="n"/>
      <c r="E345" s="26" t="n"/>
      <c r="F345" s="104" t="n"/>
      <c r="G345" s="28" t="n"/>
      <c r="H345" s="26" t="n"/>
      <c r="I345" s="7">
        <f>IF(C345="","",C345&amp;"|"&amp;COUNTIF($C$5:C345,C345))</f>
        <v/>
      </c>
      <c r="K345" s="39" t="n"/>
      <c r="L345" s="39" t="n"/>
      <c r="M345" s="39" t="n"/>
      <c r="N345" s="39" t="n"/>
    </row>
    <row r="346" ht="21" customHeight="1" s="65">
      <c r="C346" s="26" t="n"/>
      <c r="D346" s="26" t="n"/>
      <c r="E346" s="26" t="n"/>
      <c r="F346" s="104" t="n"/>
      <c r="G346" s="28" t="n"/>
      <c r="H346" s="26" t="n"/>
      <c r="I346" s="7">
        <f>IF(C346="","",C346&amp;"|"&amp;COUNTIF($C$5:C346,C346))</f>
        <v/>
      </c>
      <c r="K346" s="39" t="n"/>
      <c r="L346" s="39" t="n"/>
      <c r="M346" s="39" t="n"/>
      <c r="N346" s="39" t="n"/>
    </row>
    <row r="347" ht="21" customHeight="1" s="65">
      <c r="C347" s="26" t="n"/>
      <c r="D347" s="26" t="n"/>
      <c r="E347" s="26" t="n"/>
      <c r="F347" s="104" t="n"/>
      <c r="G347" s="28" t="n"/>
      <c r="H347" s="26" t="n"/>
      <c r="I347" s="7">
        <f>IF(C347="","",C347&amp;"|"&amp;COUNTIF($C$5:C347,C347))</f>
        <v/>
      </c>
      <c r="K347" s="39" t="n"/>
      <c r="L347" s="39" t="n"/>
      <c r="M347" s="39" t="n"/>
      <c r="N347" s="39" t="n"/>
    </row>
    <row r="348" ht="21" customHeight="1" s="65">
      <c r="C348" s="26" t="n"/>
      <c r="D348" s="26" t="n"/>
      <c r="E348" s="26" t="n"/>
      <c r="F348" s="104" t="n"/>
      <c r="G348" s="28" t="n"/>
      <c r="H348" s="26" t="n"/>
      <c r="I348" s="7">
        <f>IF(C348="","",C348&amp;"|"&amp;COUNTIF($C$5:C348,C348))</f>
        <v/>
      </c>
      <c r="K348" s="39" t="n"/>
      <c r="L348" s="39" t="n"/>
      <c r="M348" s="39" t="n"/>
      <c r="N348" s="39" t="n"/>
    </row>
    <row r="349" ht="21" customHeight="1" s="65">
      <c r="C349" s="26" t="n"/>
      <c r="D349" s="26" t="n"/>
      <c r="E349" s="26" t="n"/>
      <c r="F349" s="104" t="n"/>
      <c r="G349" s="28" t="n"/>
      <c r="H349" s="26" t="n"/>
      <c r="I349" s="7">
        <f>IF(C349="","",C349&amp;"|"&amp;COUNTIF($C$5:C349,C349))</f>
        <v/>
      </c>
      <c r="K349" s="39" t="n"/>
      <c r="L349" s="39" t="n"/>
      <c r="M349" s="39" t="n"/>
      <c r="N349" s="39" t="n"/>
    </row>
    <row r="350" ht="21" customHeight="1" s="65">
      <c r="C350" s="26" t="n"/>
      <c r="D350" s="26" t="n"/>
      <c r="E350" s="26" t="n"/>
      <c r="F350" s="104" t="n"/>
      <c r="G350" s="28" t="n"/>
      <c r="H350" s="26" t="n"/>
      <c r="I350" s="7">
        <f>IF(C350="","",C350&amp;"|"&amp;COUNTIF($C$5:C350,C350))</f>
        <v/>
      </c>
      <c r="K350" s="39" t="n"/>
      <c r="L350" s="39" t="n"/>
      <c r="M350" s="39" t="n"/>
      <c r="N350" s="39" t="n"/>
    </row>
    <row r="351" ht="21" customHeight="1" s="65">
      <c r="C351" s="26" t="n"/>
      <c r="D351" s="26" t="n"/>
      <c r="E351" s="26" t="n"/>
      <c r="F351" s="104" t="n"/>
      <c r="G351" s="28" t="n"/>
      <c r="H351" s="26" t="n"/>
      <c r="I351" s="7">
        <f>IF(C351="","",C351&amp;"|"&amp;COUNTIF($C$5:C351,C351))</f>
        <v/>
      </c>
      <c r="K351" s="39" t="n"/>
      <c r="L351" s="39" t="n"/>
      <c r="M351" s="39" t="n"/>
      <c r="N351" s="39" t="n"/>
    </row>
    <row r="352" ht="21" customHeight="1" s="65">
      <c r="C352" s="26" t="n"/>
      <c r="D352" s="26" t="n"/>
      <c r="E352" s="26" t="n"/>
      <c r="F352" s="104" t="n"/>
      <c r="G352" s="28" t="n"/>
      <c r="H352" s="26" t="n"/>
      <c r="I352" s="7">
        <f>IF(C352="","",C352&amp;"|"&amp;COUNTIF($C$5:C352,C352))</f>
        <v/>
      </c>
      <c r="K352" s="39" t="n"/>
      <c r="L352" s="39" t="n"/>
      <c r="M352" s="39" t="n"/>
      <c r="N352" s="39" t="n"/>
    </row>
    <row r="353" ht="21" customHeight="1" s="65">
      <c r="C353" s="26" t="n"/>
      <c r="D353" s="26" t="n"/>
      <c r="E353" s="26" t="n"/>
      <c r="F353" s="104" t="n"/>
      <c r="G353" s="28" t="n"/>
      <c r="H353" s="26" t="n"/>
      <c r="I353" s="7">
        <f>IF(C353="","",C353&amp;"|"&amp;COUNTIF($C$5:C353,C353))</f>
        <v/>
      </c>
      <c r="K353" s="39" t="n"/>
      <c r="L353" s="39" t="n"/>
      <c r="M353" s="39" t="n"/>
      <c r="N353" s="39" t="n"/>
    </row>
    <row r="354" ht="21" customHeight="1" s="65">
      <c r="C354" s="26" t="n"/>
      <c r="D354" s="26" t="n"/>
      <c r="E354" s="26" t="n"/>
      <c r="F354" s="104" t="n"/>
      <c r="G354" s="28" t="n"/>
      <c r="H354" s="26" t="n"/>
      <c r="I354" s="7">
        <f>IF(C354="","",C354&amp;"|"&amp;COUNTIF($C$5:C354,C354))</f>
        <v/>
      </c>
      <c r="K354" s="39" t="n"/>
      <c r="L354" s="39" t="n"/>
      <c r="M354" s="39" t="n"/>
      <c r="N354" s="39" t="n"/>
    </row>
    <row r="355" ht="21" customHeight="1" s="65">
      <c r="C355" s="26" t="n"/>
      <c r="D355" s="26" t="n"/>
      <c r="E355" s="26" t="n"/>
      <c r="F355" s="104" t="n"/>
      <c r="G355" s="28" t="n"/>
      <c r="H355" s="26" t="n"/>
      <c r="I355" s="7">
        <f>IF(C355="","",C355&amp;"|"&amp;COUNTIF($C$5:C355,C355))</f>
        <v/>
      </c>
      <c r="K355" s="39" t="n"/>
      <c r="L355" s="39" t="n"/>
      <c r="M355" s="39" t="n"/>
      <c r="N355" s="39" t="n"/>
    </row>
    <row r="356" ht="21" customHeight="1" s="65">
      <c r="C356" s="26" t="n"/>
      <c r="D356" s="26" t="n"/>
      <c r="E356" s="26" t="n"/>
      <c r="F356" s="104" t="n"/>
      <c r="G356" s="28" t="n"/>
      <c r="H356" s="26" t="n"/>
      <c r="I356" s="7">
        <f>IF(C356="","",C356&amp;"|"&amp;COUNTIF($C$5:C356,C356))</f>
        <v/>
      </c>
      <c r="K356" s="39" t="n"/>
      <c r="L356" s="39" t="n"/>
      <c r="M356" s="39" t="n"/>
      <c r="N356" s="39" t="n"/>
    </row>
    <row r="357" ht="21" customHeight="1" s="65">
      <c r="C357" s="26" t="n"/>
      <c r="D357" s="26" t="n"/>
      <c r="E357" s="26" t="n"/>
      <c r="F357" s="104" t="n"/>
      <c r="G357" s="28" t="n"/>
      <c r="H357" s="26" t="n"/>
      <c r="I357" s="7">
        <f>IF(C357="","",C357&amp;"|"&amp;COUNTIF($C$5:C357,C357))</f>
        <v/>
      </c>
      <c r="K357" s="39" t="n"/>
      <c r="L357" s="39" t="n"/>
      <c r="M357" s="39" t="n"/>
      <c r="N357" s="39" t="n"/>
    </row>
    <row r="358" ht="21" customHeight="1" s="65">
      <c r="C358" s="26" t="n"/>
      <c r="D358" s="26" t="n"/>
      <c r="E358" s="26" t="n"/>
      <c r="F358" s="104" t="n"/>
      <c r="G358" s="28" t="n"/>
      <c r="H358" s="26" t="n"/>
      <c r="I358" s="7">
        <f>IF(C358="","",C358&amp;"|"&amp;COUNTIF($C$5:C358,C358))</f>
        <v/>
      </c>
      <c r="K358" s="39" t="n"/>
      <c r="L358" s="39" t="n"/>
      <c r="M358" s="39" t="n"/>
      <c r="N358" s="39" t="n"/>
    </row>
    <row r="359" ht="21" customHeight="1" s="65">
      <c r="C359" s="26" t="n"/>
      <c r="D359" s="26" t="n"/>
      <c r="E359" s="26" t="n"/>
      <c r="F359" s="104" t="n"/>
      <c r="G359" s="28" t="n"/>
      <c r="H359" s="26" t="n"/>
      <c r="I359" s="7">
        <f>IF(C359="","",C359&amp;"|"&amp;COUNTIF($C$5:C359,C359))</f>
        <v/>
      </c>
      <c r="K359" s="39" t="n"/>
      <c r="L359" s="39" t="n"/>
      <c r="M359" s="39" t="n"/>
      <c r="N359" s="39" t="n"/>
    </row>
    <row r="360" ht="21" customHeight="1" s="65">
      <c r="C360" s="26" t="n"/>
      <c r="D360" s="26" t="n"/>
      <c r="E360" s="26" t="n"/>
      <c r="F360" s="104" t="n"/>
      <c r="G360" s="28" t="n"/>
      <c r="H360" s="26" t="n"/>
      <c r="I360" s="7">
        <f>IF(C360="","",C360&amp;"|"&amp;COUNTIF($C$5:C360,C360))</f>
        <v/>
      </c>
      <c r="K360" s="39" t="n"/>
      <c r="L360" s="39" t="n"/>
      <c r="M360" s="39" t="n"/>
      <c r="N360" s="39" t="n"/>
    </row>
    <row r="361" ht="21" customHeight="1" s="65">
      <c r="C361" s="26" t="n"/>
      <c r="D361" s="26" t="n"/>
      <c r="E361" s="26" t="n"/>
      <c r="F361" s="104" t="n"/>
      <c r="G361" s="28" t="n"/>
      <c r="H361" s="26" t="n"/>
      <c r="I361" s="7">
        <f>IF(C361="","",C361&amp;"|"&amp;COUNTIF($C$5:C361,C361))</f>
        <v/>
      </c>
      <c r="K361" s="39" t="n"/>
      <c r="L361" s="39" t="n"/>
      <c r="M361" s="39" t="n"/>
      <c r="N361" s="39" t="n"/>
    </row>
    <row r="362" ht="21" customHeight="1" s="65">
      <c r="C362" s="26" t="n"/>
      <c r="D362" s="26" t="n"/>
      <c r="E362" s="26" t="n"/>
      <c r="F362" s="104" t="n"/>
      <c r="G362" s="28" t="n"/>
      <c r="H362" s="26" t="n"/>
      <c r="I362" s="7">
        <f>IF(C362="","",C362&amp;"|"&amp;COUNTIF($C$5:C362,C362))</f>
        <v/>
      </c>
      <c r="K362" s="39" t="n"/>
      <c r="L362" s="39" t="n"/>
      <c r="M362" s="39" t="n"/>
      <c r="N362" s="39" t="n"/>
    </row>
    <row r="363" ht="21" customHeight="1" s="65">
      <c r="C363" s="26" t="n"/>
      <c r="D363" s="26" t="n"/>
      <c r="E363" s="26" t="n"/>
      <c r="F363" s="104" t="n"/>
      <c r="G363" s="28" t="n"/>
      <c r="H363" s="26" t="n"/>
      <c r="I363" s="7">
        <f>IF(C363="","",C363&amp;"|"&amp;COUNTIF($C$5:C363,C363))</f>
        <v/>
      </c>
      <c r="K363" s="39" t="n"/>
      <c r="L363" s="39" t="n"/>
      <c r="M363" s="39" t="n"/>
      <c r="N363" s="39" t="n"/>
    </row>
    <row r="364" ht="21" customHeight="1" s="65">
      <c r="C364" s="26" t="n"/>
      <c r="D364" s="26" t="n"/>
      <c r="E364" s="26" t="n"/>
      <c r="F364" s="104" t="n"/>
      <c r="G364" s="28" t="n"/>
      <c r="H364" s="26" t="n"/>
      <c r="I364" s="7">
        <f>IF(C364="","",C364&amp;"|"&amp;COUNTIF($C$5:C364,C364))</f>
        <v/>
      </c>
      <c r="K364" s="39" t="n"/>
      <c r="L364" s="39" t="n"/>
      <c r="M364" s="39" t="n"/>
      <c r="N364" s="39" t="n"/>
    </row>
    <row r="365" ht="21" customHeight="1" s="65">
      <c r="C365" s="26" t="n"/>
      <c r="D365" s="26" t="n"/>
      <c r="E365" s="26" t="n"/>
      <c r="F365" s="104" t="n"/>
      <c r="G365" s="28" t="n"/>
      <c r="H365" s="26" t="n"/>
      <c r="I365" s="7">
        <f>IF(C365="","",C365&amp;"|"&amp;COUNTIF($C$5:C365,C365))</f>
        <v/>
      </c>
      <c r="K365" s="39" t="n"/>
      <c r="L365" s="39" t="n"/>
      <c r="M365" s="39" t="n"/>
      <c r="N365" s="39" t="n"/>
    </row>
    <row r="366" ht="21" customHeight="1" s="65">
      <c r="C366" s="26" t="n"/>
      <c r="D366" s="26" t="n"/>
      <c r="E366" s="26" t="n"/>
      <c r="F366" s="104" t="n"/>
      <c r="G366" s="28" t="n"/>
      <c r="H366" s="26" t="n"/>
      <c r="I366" s="7">
        <f>IF(C366="","",C366&amp;"|"&amp;COUNTIF($C$5:C366,C366))</f>
        <v/>
      </c>
      <c r="K366" s="39" t="n"/>
      <c r="L366" s="39" t="n"/>
      <c r="M366" s="39" t="n"/>
      <c r="N366" s="39" t="n"/>
    </row>
    <row r="367" ht="21" customHeight="1" s="65">
      <c r="C367" s="26" t="n"/>
      <c r="D367" s="26" t="n"/>
      <c r="E367" s="26" t="n"/>
      <c r="F367" s="104" t="n"/>
      <c r="G367" s="28" t="n"/>
      <c r="H367" s="26" t="n"/>
      <c r="I367" s="7">
        <f>IF(C367="","",C367&amp;"|"&amp;COUNTIF($C$5:C367,C367))</f>
        <v/>
      </c>
      <c r="K367" s="39" t="n"/>
      <c r="L367" s="39" t="n"/>
      <c r="M367" s="39" t="n"/>
      <c r="N367" s="39" t="n"/>
    </row>
    <row r="368" ht="21" customHeight="1" s="65">
      <c r="C368" s="26" t="n"/>
      <c r="D368" s="26" t="n"/>
      <c r="E368" s="26" t="n"/>
      <c r="F368" s="104" t="n"/>
      <c r="G368" s="28" t="n"/>
      <c r="H368" s="26" t="n"/>
      <c r="I368" s="7">
        <f>IF(C368="","",C368&amp;"|"&amp;COUNTIF($C$5:C368,C368))</f>
        <v/>
      </c>
      <c r="K368" s="39" t="n"/>
      <c r="L368" s="39" t="n"/>
      <c r="M368" s="39" t="n"/>
      <c r="N368" s="39" t="n"/>
    </row>
    <row r="369" ht="21" customHeight="1" s="65">
      <c r="C369" s="26" t="n"/>
      <c r="D369" s="26" t="n"/>
      <c r="E369" s="26" t="n"/>
      <c r="F369" s="104" t="n"/>
      <c r="G369" s="28" t="n"/>
      <c r="H369" s="26" t="n"/>
      <c r="I369" s="7">
        <f>IF(C369="","",C369&amp;"|"&amp;COUNTIF($C$5:C369,C369))</f>
        <v/>
      </c>
      <c r="K369" s="39" t="n"/>
      <c r="L369" s="39" t="n"/>
      <c r="M369" s="39" t="n"/>
      <c r="N369" s="39" t="n"/>
    </row>
    <row r="370" ht="21" customHeight="1" s="65">
      <c r="C370" s="26" t="n"/>
      <c r="D370" s="26" t="n"/>
      <c r="E370" s="26" t="n"/>
      <c r="F370" s="104" t="n"/>
      <c r="G370" s="28" t="n"/>
      <c r="H370" s="26" t="n"/>
      <c r="I370" s="7">
        <f>IF(C370="","",C370&amp;"|"&amp;COUNTIF($C$5:C370,C370))</f>
        <v/>
      </c>
      <c r="K370" s="39" t="n"/>
      <c r="L370" s="39" t="n"/>
      <c r="M370" s="39" t="n"/>
      <c r="N370" s="39" t="n"/>
    </row>
    <row r="371" ht="21" customHeight="1" s="65">
      <c r="C371" s="26" t="n"/>
      <c r="D371" s="26" t="n"/>
      <c r="E371" s="26" t="n"/>
      <c r="F371" s="104" t="n"/>
      <c r="G371" s="28" t="n"/>
      <c r="H371" s="26" t="n"/>
      <c r="I371" s="7">
        <f>IF(C371="","",C371&amp;"|"&amp;COUNTIF($C$5:C371,C371))</f>
        <v/>
      </c>
      <c r="K371" s="39" t="n"/>
      <c r="L371" s="39" t="n"/>
      <c r="M371" s="39" t="n"/>
      <c r="N371" s="39" t="n"/>
    </row>
    <row r="372" ht="21" customHeight="1" s="65">
      <c r="C372" s="26" t="n"/>
      <c r="D372" s="26" t="n"/>
      <c r="E372" s="26" t="n"/>
      <c r="F372" s="104" t="n"/>
      <c r="G372" s="28" t="n"/>
      <c r="H372" s="26" t="n"/>
      <c r="I372" s="7">
        <f>IF(C372="","",C372&amp;"|"&amp;COUNTIF($C$5:C372,C372))</f>
        <v/>
      </c>
      <c r="K372" s="39" t="n"/>
      <c r="L372" s="39" t="n"/>
      <c r="M372" s="39" t="n"/>
      <c r="N372" s="39" t="n"/>
    </row>
    <row r="373" ht="21" customHeight="1" s="65">
      <c r="C373" s="26" t="n"/>
      <c r="D373" s="26" t="n"/>
      <c r="E373" s="26" t="n"/>
      <c r="F373" s="104" t="n"/>
      <c r="G373" s="28" t="n"/>
      <c r="H373" s="26" t="n"/>
      <c r="I373" s="7">
        <f>IF(C373="","",C373&amp;"|"&amp;COUNTIF($C$5:C373,C373))</f>
        <v/>
      </c>
      <c r="K373" s="39" t="n"/>
      <c r="L373" s="39" t="n"/>
      <c r="M373" s="39" t="n"/>
      <c r="N373" s="39" t="n"/>
    </row>
    <row r="374" ht="21" customHeight="1" s="65">
      <c r="C374" s="26" t="n"/>
      <c r="D374" s="26" t="n"/>
      <c r="E374" s="26" t="n"/>
      <c r="F374" s="104" t="n"/>
      <c r="G374" s="28" t="n"/>
      <c r="H374" s="26" t="n"/>
      <c r="I374" s="7">
        <f>IF(C374="","",C374&amp;"|"&amp;COUNTIF($C$5:C374,C374))</f>
        <v/>
      </c>
      <c r="K374" s="39" t="n"/>
      <c r="L374" s="39" t="n"/>
      <c r="M374" s="39" t="n"/>
      <c r="N374" s="39" t="n"/>
    </row>
    <row r="375" ht="21" customHeight="1" s="65">
      <c r="C375" s="26" t="n"/>
      <c r="D375" s="26" t="n"/>
      <c r="E375" s="26" t="n"/>
      <c r="F375" s="104" t="n"/>
      <c r="G375" s="28" t="n"/>
      <c r="H375" s="26" t="n"/>
      <c r="I375" s="7">
        <f>IF(C375="","",C375&amp;"|"&amp;COUNTIF($C$5:C375,C375))</f>
        <v/>
      </c>
      <c r="K375" s="39" t="n"/>
      <c r="L375" s="39" t="n"/>
      <c r="M375" s="39" t="n"/>
      <c r="N375" s="39" t="n"/>
    </row>
    <row r="376" ht="21" customHeight="1" s="65">
      <c r="C376" s="26" t="n"/>
      <c r="D376" s="26" t="n"/>
      <c r="E376" s="26" t="n"/>
      <c r="F376" s="104" t="n"/>
      <c r="G376" s="28" t="n"/>
      <c r="H376" s="26" t="n"/>
      <c r="I376" s="7">
        <f>IF(C376="","",C376&amp;"|"&amp;COUNTIF($C$5:C376,C376))</f>
        <v/>
      </c>
      <c r="K376" s="39" t="n"/>
      <c r="L376" s="39" t="n"/>
      <c r="M376" s="39" t="n"/>
      <c r="N376" s="39" t="n"/>
    </row>
    <row r="377" ht="21" customHeight="1" s="65">
      <c r="C377" s="26" t="n"/>
      <c r="D377" s="26" t="n"/>
      <c r="E377" s="26" t="n"/>
      <c r="F377" s="104" t="n"/>
      <c r="G377" s="28" t="n"/>
      <c r="H377" s="26" t="n"/>
      <c r="I377" s="7">
        <f>IF(C377="","",C377&amp;"|"&amp;COUNTIF($C$5:C377,C377))</f>
        <v/>
      </c>
      <c r="K377" s="39" t="n"/>
      <c r="L377" s="39" t="n"/>
      <c r="M377" s="39" t="n"/>
      <c r="N377" s="39" t="n"/>
    </row>
    <row r="378" ht="21" customHeight="1" s="65">
      <c r="C378" s="26" t="n"/>
      <c r="D378" s="26" t="n"/>
      <c r="E378" s="26" t="n"/>
      <c r="F378" s="104" t="n"/>
      <c r="G378" s="28" t="n"/>
      <c r="H378" s="26" t="n"/>
      <c r="I378" s="7">
        <f>IF(C378="","",C378&amp;"|"&amp;COUNTIF($C$5:C378,C378))</f>
        <v/>
      </c>
      <c r="K378" s="39" t="n"/>
      <c r="L378" s="39" t="n"/>
      <c r="M378" s="39" t="n"/>
      <c r="N378" s="39" t="n"/>
    </row>
    <row r="379" ht="21" customHeight="1" s="65">
      <c r="C379" s="26" t="n"/>
      <c r="D379" s="26" t="n"/>
      <c r="E379" s="26" t="n"/>
      <c r="F379" s="104" t="n"/>
      <c r="G379" s="28" t="n"/>
      <c r="H379" s="26" t="n"/>
      <c r="I379" s="7">
        <f>IF(C379="","",C379&amp;"|"&amp;COUNTIF($C$5:C379,C379))</f>
        <v/>
      </c>
      <c r="K379" s="39" t="n"/>
      <c r="L379" s="39" t="n"/>
      <c r="M379" s="39" t="n"/>
      <c r="N379" s="39" t="n"/>
    </row>
    <row r="380" ht="21" customHeight="1" s="65">
      <c r="C380" s="26" t="n"/>
      <c r="D380" s="26" t="n"/>
      <c r="E380" s="26" t="n"/>
      <c r="F380" s="104" t="n"/>
      <c r="G380" s="28" t="n"/>
      <c r="H380" s="26" t="n"/>
      <c r="I380" s="7">
        <f>IF(C380="","",C380&amp;"|"&amp;COUNTIF($C$5:C380,C380))</f>
        <v/>
      </c>
      <c r="K380" s="39" t="n"/>
      <c r="L380" s="39" t="n"/>
      <c r="M380" s="39" t="n"/>
      <c r="N380" s="39" t="n"/>
    </row>
    <row r="381" ht="21" customHeight="1" s="65">
      <c r="C381" s="26" t="n"/>
      <c r="D381" s="26" t="n"/>
      <c r="E381" s="26" t="n"/>
      <c r="F381" s="104" t="n"/>
      <c r="G381" s="28" t="n"/>
      <c r="H381" s="26" t="n"/>
      <c r="I381" s="7">
        <f>IF(C381="","",C381&amp;"|"&amp;COUNTIF($C$5:C381,C381))</f>
        <v/>
      </c>
      <c r="K381" s="39" t="n"/>
      <c r="L381" s="39" t="n"/>
      <c r="M381" s="39" t="n"/>
      <c r="N381" s="39" t="n"/>
    </row>
    <row r="382" ht="21" customHeight="1" s="65">
      <c r="C382" s="26" t="n"/>
      <c r="D382" s="26" t="n"/>
      <c r="E382" s="26" t="n"/>
      <c r="F382" s="104" t="n"/>
      <c r="G382" s="28" t="n"/>
      <c r="H382" s="26" t="n"/>
      <c r="I382" s="7">
        <f>IF(C382="","",C382&amp;"|"&amp;COUNTIF($C$5:C382,C382))</f>
        <v/>
      </c>
      <c r="K382" s="39" t="n"/>
      <c r="L382" s="39" t="n"/>
      <c r="M382" s="39" t="n"/>
      <c r="N382" s="39" t="n"/>
    </row>
    <row r="383" ht="21" customHeight="1" s="65">
      <c r="C383" s="26" t="n"/>
      <c r="D383" s="26" t="n"/>
      <c r="E383" s="26" t="n"/>
      <c r="F383" s="104" t="n"/>
      <c r="G383" s="28" t="n"/>
      <c r="H383" s="26" t="n"/>
      <c r="I383" s="7">
        <f>IF(C383="","",C383&amp;"|"&amp;COUNTIF($C$5:C383,C383))</f>
        <v/>
      </c>
      <c r="K383" s="39" t="n"/>
      <c r="L383" s="39" t="n"/>
      <c r="M383" s="39" t="n"/>
      <c r="N383" s="39" t="n"/>
    </row>
    <row r="384" ht="21" customHeight="1" s="65">
      <c r="C384" s="26" t="n"/>
      <c r="D384" s="26" t="n"/>
      <c r="E384" s="26" t="n"/>
      <c r="F384" s="104" t="n"/>
      <c r="G384" s="28" t="n"/>
      <c r="H384" s="26" t="n"/>
      <c r="I384" s="7">
        <f>IF(C384="","",C384&amp;"|"&amp;COUNTIF($C$5:C384,C384))</f>
        <v/>
      </c>
      <c r="K384" s="39" t="n"/>
      <c r="L384" s="39" t="n"/>
      <c r="M384" s="39" t="n"/>
      <c r="N384" s="39" t="n"/>
    </row>
    <row r="385" ht="21" customHeight="1" s="65">
      <c r="C385" s="26" t="n"/>
      <c r="D385" s="26" t="n"/>
      <c r="E385" s="26" t="n"/>
      <c r="F385" s="104" t="n"/>
      <c r="G385" s="28" t="n"/>
      <c r="H385" s="26" t="n"/>
      <c r="I385" s="7">
        <f>IF(C385="","",C385&amp;"|"&amp;COUNTIF($C$5:C385,C385))</f>
        <v/>
      </c>
      <c r="K385" s="39" t="n"/>
      <c r="L385" s="39" t="n"/>
      <c r="M385" s="39" t="n"/>
      <c r="N385" s="39" t="n"/>
    </row>
    <row r="386" ht="21" customHeight="1" s="65">
      <c r="C386" s="26" t="n"/>
      <c r="D386" s="26" t="n"/>
      <c r="E386" s="26" t="n"/>
      <c r="F386" s="104" t="n"/>
      <c r="G386" s="28" t="n"/>
      <c r="H386" s="26" t="n"/>
      <c r="I386" s="7">
        <f>IF(C386="","",C386&amp;"|"&amp;COUNTIF($C$5:C386,C386))</f>
        <v/>
      </c>
      <c r="K386" s="39" t="n"/>
      <c r="L386" s="39" t="n"/>
      <c r="M386" s="39" t="n"/>
      <c r="N386" s="39" t="n"/>
    </row>
    <row r="387" ht="21" customHeight="1" s="65">
      <c r="C387" s="26" t="n"/>
      <c r="D387" s="26" t="n"/>
      <c r="E387" s="26" t="n"/>
      <c r="F387" s="104" t="n"/>
      <c r="G387" s="28" t="n"/>
      <c r="H387" s="26" t="n"/>
      <c r="I387" s="7">
        <f>IF(C387="","",C387&amp;"|"&amp;COUNTIF($C$5:C387,C387))</f>
        <v/>
      </c>
      <c r="K387" s="39" t="n"/>
      <c r="L387" s="39" t="n"/>
      <c r="M387" s="39" t="n"/>
      <c r="N387" s="39" t="n"/>
    </row>
    <row r="388" ht="21" customHeight="1" s="65">
      <c r="C388" s="26" t="n"/>
      <c r="D388" s="26" t="n"/>
      <c r="E388" s="26" t="n"/>
      <c r="F388" s="104" t="n"/>
      <c r="G388" s="28" t="n"/>
      <c r="H388" s="26" t="n"/>
      <c r="I388" s="7">
        <f>IF(C388="","",C388&amp;"|"&amp;COUNTIF($C$5:C388,C388))</f>
        <v/>
      </c>
      <c r="K388" s="39" t="n"/>
      <c r="L388" s="39" t="n"/>
      <c r="M388" s="39" t="n"/>
      <c r="N388" s="39" t="n"/>
    </row>
    <row r="389" ht="21" customHeight="1" s="65">
      <c r="C389" s="26" t="n"/>
      <c r="D389" s="26" t="n"/>
      <c r="E389" s="26" t="n"/>
      <c r="F389" s="104" t="n"/>
      <c r="G389" s="28" t="n"/>
      <c r="H389" s="26" t="n"/>
      <c r="I389" s="7">
        <f>IF(C389="","",C389&amp;"|"&amp;COUNTIF($C$5:C389,C389))</f>
        <v/>
      </c>
      <c r="K389" s="39" t="n"/>
      <c r="L389" s="39" t="n"/>
      <c r="M389" s="39" t="n"/>
      <c r="N389" s="39" t="n"/>
    </row>
    <row r="390" ht="21" customHeight="1" s="65">
      <c r="C390" s="26" t="n"/>
      <c r="D390" s="26" t="n"/>
      <c r="E390" s="26" t="n"/>
      <c r="F390" s="104" t="n"/>
      <c r="G390" s="28" t="n"/>
      <c r="H390" s="26" t="n"/>
      <c r="I390" s="7">
        <f>IF(C390="","",C390&amp;"|"&amp;COUNTIF($C$5:C390,C390))</f>
        <v/>
      </c>
      <c r="K390" s="39" t="n"/>
      <c r="L390" s="39" t="n"/>
      <c r="M390" s="39" t="n"/>
      <c r="N390" s="39" t="n"/>
    </row>
    <row r="391" ht="21" customHeight="1" s="65">
      <c r="C391" s="26" t="n"/>
      <c r="D391" s="26" t="n"/>
      <c r="E391" s="26" t="n"/>
      <c r="F391" s="104" t="n"/>
      <c r="G391" s="28" t="n"/>
      <c r="H391" s="26" t="n"/>
      <c r="I391" s="7">
        <f>IF(C391="","",C391&amp;"|"&amp;COUNTIF($C$5:C391,C391))</f>
        <v/>
      </c>
      <c r="K391" s="39" t="n"/>
      <c r="L391" s="39" t="n"/>
      <c r="M391" s="39" t="n"/>
      <c r="N391" s="39" t="n"/>
    </row>
    <row r="392" ht="21" customHeight="1" s="65">
      <c r="C392" s="26" t="n"/>
      <c r="D392" s="26" t="n"/>
      <c r="E392" s="26" t="n"/>
      <c r="F392" s="104" t="n"/>
      <c r="G392" s="28" t="n"/>
      <c r="H392" s="26" t="n"/>
      <c r="I392" s="7">
        <f>IF(C392="","",C392&amp;"|"&amp;COUNTIF($C$5:C392,C392))</f>
        <v/>
      </c>
      <c r="K392" s="39" t="n"/>
      <c r="L392" s="39" t="n"/>
      <c r="M392" s="39" t="n"/>
      <c r="N392" s="39" t="n"/>
    </row>
    <row r="393" ht="21" customHeight="1" s="65">
      <c r="C393" s="26" t="n"/>
      <c r="D393" s="26" t="n"/>
      <c r="E393" s="26" t="n"/>
      <c r="F393" s="104" t="n"/>
      <c r="G393" s="28" t="n"/>
      <c r="H393" s="26" t="n"/>
      <c r="I393" s="7">
        <f>IF(C393="","",C393&amp;"|"&amp;COUNTIF($C$5:C393,C393))</f>
        <v/>
      </c>
      <c r="K393" s="39" t="n"/>
      <c r="L393" s="39" t="n"/>
      <c r="M393" s="39" t="n"/>
      <c r="N393" s="39" t="n"/>
    </row>
    <row r="394" ht="21" customHeight="1" s="65">
      <c r="C394" s="26" t="n"/>
      <c r="D394" s="26" t="n"/>
      <c r="E394" s="26" t="n"/>
      <c r="F394" s="104" t="n"/>
      <c r="G394" s="28" t="n"/>
      <c r="H394" s="26" t="n"/>
      <c r="I394" s="7">
        <f>IF(C394="","",C394&amp;"|"&amp;COUNTIF($C$5:C394,C394))</f>
        <v/>
      </c>
      <c r="K394" s="39" t="n"/>
      <c r="L394" s="39" t="n"/>
      <c r="M394" s="39" t="n"/>
      <c r="N394" s="39" t="n"/>
    </row>
    <row r="395" ht="21" customHeight="1" s="65">
      <c r="C395" s="26" t="n"/>
      <c r="D395" s="26" t="n"/>
      <c r="E395" s="26" t="n"/>
      <c r="F395" s="104" t="n"/>
      <c r="G395" s="28" t="n"/>
      <c r="H395" s="26" t="n"/>
      <c r="I395" s="7">
        <f>IF(C395="","",C395&amp;"|"&amp;COUNTIF($C$5:C395,C395))</f>
        <v/>
      </c>
      <c r="K395" s="39" t="n"/>
      <c r="L395" s="39" t="n"/>
      <c r="M395" s="39" t="n"/>
      <c r="N395" s="39" t="n"/>
    </row>
    <row r="396" ht="21" customHeight="1" s="65">
      <c r="C396" s="26" t="n"/>
      <c r="D396" s="26" t="n"/>
      <c r="E396" s="26" t="n"/>
      <c r="F396" s="104" t="n"/>
      <c r="G396" s="28" t="n"/>
      <c r="H396" s="26" t="n"/>
      <c r="I396" s="7">
        <f>IF(C396="","",C396&amp;"|"&amp;COUNTIF($C$5:C396,C396))</f>
        <v/>
      </c>
      <c r="K396" s="39" t="n"/>
      <c r="L396" s="39" t="n"/>
      <c r="M396" s="39" t="n"/>
      <c r="N396" s="39" t="n"/>
    </row>
    <row r="397" ht="21" customHeight="1" s="65">
      <c r="C397" s="26" t="n"/>
      <c r="D397" s="26" t="n"/>
      <c r="E397" s="26" t="n"/>
      <c r="F397" s="104" t="n"/>
      <c r="G397" s="28" t="n"/>
      <c r="H397" s="26" t="n"/>
      <c r="I397" s="7">
        <f>IF(C397="","",C397&amp;"|"&amp;COUNTIF($C$5:C397,C397))</f>
        <v/>
      </c>
      <c r="K397" s="39" t="n"/>
      <c r="L397" s="39" t="n"/>
      <c r="M397" s="39" t="n"/>
      <c r="N397" s="39" t="n"/>
    </row>
    <row r="398" ht="21" customHeight="1" s="65">
      <c r="C398" s="26" t="n"/>
      <c r="D398" s="26" t="n"/>
      <c r="E398" s="26" t="n"/>
      <c r="F398" s="104" t="n"/>
      <c r="G398" s="28" t="n"/>
      <c r="H398" s="26" t="n"/>
      <c r="I398" s="7">
        <f>IF(C398="","",C398&amp;"|"&amp;COUNTIF($C$5:C398,C398))</f>
        <v/>
      </c>
      <c r="K398" s="39" t="n"/>
      <c r="L398" s="39" t="n"/>
      <c r="M398" s="39" t="n"/>
      <c r="N398" s="39" t="n"/>
    </row>
    <row r="399" ht="21" customHeight="1" s="65">
      <c r="C399" s="26" t="n"/>
      <c r="D399" s="26" t="n"/>
      <c r="E399" s="26" t="n"/>
      <c r="F399" s="104" t="n"/>
      <c r="G399" s="28" t="n"/>
      <c r="H399" s="26" t="n"/>
      <c r="I399" s="7">
        <f>IF(C399="","",C399&amp;"|"&amp;COUNTIF($C$5:C399,C399))</f>
        <v/>
      </c>
      <c r="K399" s="39" t="n"/>
      <c r="L399" s="39" t="n"/>
      <c r="M399" s="39" t="n"/>
      <c r="N399" s="39" t="n"/>
    </row>
    <row r="400" ht="21" customHeight="1" s="65">
      <c r="C400" s="26" t="n"/>
      <c r="D400" s="26" t="n"/>
      <c r="E400" s="26" t="n"/>
      <c r="F400" s="104" t="n"/>
      <c r="G400" s="28" t="n"/>
      <c r="H400" s="26" t="n"/>
      <c r="I400" s="7">
        <f>IF(C400="","",C400&amp;"|"&amp;COUNTIF($C$5:C400,C400))</f>
        <v/>
      </c>
      <c r="K400" s="39" t="n"/>
      <c r="L400" s="39" t="n"/>
      <c r="M400" s="39" t="n"/>
      <c r="N400" s="39" t="n"/>
    </row>
    <row r="401" ht="21" customHeight="1" s="65">
      <c r="C401" s="26" t="n"/>
      <c r="D401" s="26" t="n"/>
      <c r="E401" s="26" t="n"/>
      <c r="F401" s="104" t="n"/>
      <c r="G401" s="28" t="n"/>
      <c r="H401" s="26" t="n"/>
      <c r="I401" s="7">
        <f>IF(C401="","",C401&amp;"|"&amp;COUNTIF($C$5:C401,C401))</f>
        <v/>
      </c>
      <c r="K401" s="39" t="n"/>
      <c r="L401" s="39" t="n"/>
      <c r="M401" s="39" t="n"/>
      <c r="N401" s="39" t="n"/>
    </row>
    <row r="402" ht="21" customHeight="1" s="65">
      <c r="C402" s="26" t="n"/>
      <c r="D402" s="26" t="n"/>
      <c r="E402" s="26" t="n"/>
      <c r="F402" s="104" t="n"/>
      <c r="G402" s="28" t="n"/>
      <c r="H402" s="26" t="n"/>
      <c r="I402" s="7">
        <f>IF(C402="","",C402&amp;"|"&amp;COUNTIF($C$5:C402,C402))</f>
        <v/>
      </c>
      <c r="K402" s="39" t="n"/>
      <c r="L402" s="39" t="n"/>
      <c r="M402" s="39" t="n"/>
      <c r="N402" s="39" t="n"/>
    </row>
    <row r="403" ht="21" customHeight="1" s="65">
      <c r="C403" s="26" t="n"/>
      <c r="D403" s="26" t="n"/>
      <c r="E403" s="26" t="n"/>
      <c r="F403" s="104" t="n"/>
      <c r="G403" s="28" t="n"/>
      <c r="H403" s="26" t="n"/>
      <c r="I403" s="7">
        <f>IF(C403="","",C403&amp;"|"&amp;COUNTIF($C$5:C403,C403))</f>
        <v/>
      </c>
      <c r="K403" s="39" t="n"/>
      <c r="L403" s="39" t="n"/>
      <c r="M403" s="39" t="n"/>
      <c r="N403" s="39" t="n"/>
    </row>
    <row r="404" ht="21" customHeight="1" s="65">
      <c r="C404" s="26" t="n"/>
      <c r="D404" s="26" t="n"/>
      <c r="E404" s="26" t="n"/>
      <c r="F404" s="104" t="n"/>
      <c r="G404" s="28" t="n"/>
      <c r="H404" s="26" t="n"/>
      <c r="I404" s="7">
        <f>IF(C404="","",C404&amp;"|"&amp;COUNTIF($C$5:C404,C404))</f>
        <v/>
      </c>
      <c r="K404" s="39" t="n"/>
      <c r="L404" s="39" t="n"/>
      <c r="M404" s="39" t="n"/>
      <c r="N404" s="39" t="n"/>
    </row>
    <row r="405" ht="21" customHeight="1" s="65">
      <c r="C405" s="26" t="n"/>
      <c r="D405" s="26" t="n"/>
      <c r="E405" s="26" t="n"/>
      <c r="F405" s="104" t="n"/>
      <c r="G405" s="28" t="n"/>
      <c r="H405" s="26" t="n"/>
      <c r="I405" s="7">
        <f>IF(C405="","",C405&amp;"|"&amp;COUNTIF($C$5:C405,C405))</f>
        <v/>
      </c>
      <c r="K405" s="39" t="n"/>
      <c r="L405" s="39" t="n"/>
      <c r="M405" s="39" t="n"/>
      <c r="N405" s="39" t="n"/>
    </row>
    <row r="406" ht="21" customHeight="1" s="65">
      <c r="C406" s="26" t="n"/>
      <c r="D406" s="26" t="n"/>
      <c r="E406" s="26" t="n"/>
      <c r="F406" s="104" t="n"/>
      <c r="G406" s="28" t="n"/>
      <c r="H406" s="26" t="n"/>
      <c r="I406" s="7">
        <f>IF(C406="","",C406&amp;"|"&amp;COUNTIF($C$5:C406,C406))</f>
        <v/>
      </c>
      <c r="K406" s="39" t="n"/>
      <c r="L406" s="39" t="n"/>
      <c r="M406" s="39" t="n"/>
      <c r="N406" s="39" t="n"/>
    </row>
    <row r="407" ht="21" customHeight="1" s="65">
      <c r="C407" s="26" t="n"/>
      <c r="D407" s="26" t="n"/>
      <c r="E407" s="26" t="n"/>
      <c r="F407" s="104" t="n"/>
      <c r="G407" s="28" t="n"/>
      <c r="H407" s="26" t="n"/>
      <c r="I407" s="7">
        <f>IF(C407="","",C407&amp;"|"&amp;COUNTIF($C$5:C407,C407))</f>
        <v/>
      </c>
      <c r="K407" s="39" t="n"/>
      <c r="L407" s="39" t="n"/>
      <c r="M407" s="39" t="n"/>
      <c r="N407" s="39" t="n"/>
    </row>
    <row r="408" ht="21" customHeight="1" s="65">
      <c r="C408" s="26" t="n"/>
      <c r="D408" s="26" t="n"/>
      <c r="E408" s="26" t="n"/>
      <c r="F408" s="104" t="n"/>
      <c r="G408" s="28" t="n"/>
      <c r="H408" s="26" t="n"/>
      <c r="I408" s="7">
        <f>IF(C408="","",C408&amp;"|"&amp;COUNTIF($C$5:C408,C408))</f>
        <v/>
      </c>
      <c r="K408" s="39" t="n"/>
      <c r="L408" s="39" t="n"/>
      <c r="M408" s="39" t="n"/>
      <c r="N408" s="39" t="n"/>
    </row>
    <row r="409" ht="21" customHeight="1" s="65">
      <c r="C409" s="26" t="n"/>
      <c r="D409" s="26" t="n"/>
      <c r="E409" s="26" t="n"/>
      <c r="F409" s="104" t="n"/>
      <c r="G409" s="28" t="n"/>
      <c r="H409" s="26" t="n"/>
      <c r="I409" s="7">
        <f>IF(C409="","",C409&amp;"|"&amp;COUNTIF($C$5:C409,C409))</f>
        <v/>
      </c>
      <c r="K409" s="39" t="n"/>
      <c r="L409" s="39" t="n"/>
      <c r="M409" s="39" t="n"/>
      <c r="N409" s="39" t="n"/>
    </row>
    <row r="410" ht="21" customHeight="1" s="65">
      <c r="C410" s="26" t="n"/>
      <c r="D410" s="26" t="n"/>
      <c r="E410" s="26" t="n"/>
      <c r="F410" s="104" t="n"/>
      <c r="G410" s="28" t="n"/>
      <c r="H410" s="26" t="n"/>
      <c r="I410" s="7">
        <f>IF(C410="","",C410&amp;"|"&amp;COUNTIF($C$5:C410,C410))</f>
        <v/>
      </c>
      <c r="K410" s="39" t="n"/>
      <c r="L410" s="39" t="n"/>
      <c r="M410" s="39" t="n"/>
      <c r="N410" s="39" t="n"/>
    </row>
    <row r="411" ht="21" customHeight="1" s="65">
      <c r="C411" s="26" t="n"/>
      <c r="D411" s="26" t="n"/>
      <c r="E411" s="26" t="n"/>
      <c r="F411" s="104" t="n"/>
      <c r="G411" s="28" t="n"/>
      <c r="H411" s="26" t="n"/>
      <c r="I411" s="7">
        <f>IF(C411="","",C411&amp;"|"&amp;COUNTIF($C$5:C411,C411))</f>
        <v/>
      </c>
      <c r="K411" s="39" t="n"/>
      <c r="L411" s="39" t="n"/>
      <c r="M411" s="39" t="n"/>
      <c r="N411" s="39" t="n"/>
    </row>
    <row r="412" ht="21" customHeight="1" s="65">
      <c r="C412" s="26" t="n"/>
      <c r="D412" s="26" t="n"/>
      <c r="E412" s="26" t="n"/>
      <c r="F412" s="104" t="n"/>
      <c r="G412" s="28" t="n"/>
      <c r="H412" s="26" t="n"/>
      <c r="I412" s="7">
        <f>IF(C412="","",C412&amp;"|"&amp;COUNTIF($C$5:C412,C412))</f>
        <v/>
      </c>
      <c r="K412" s="39" t="n"/>
      <c r="L412" s="39" t="n"/>
      <c r="M412" s="39" t="n"/>
      <c r="N412" s="39" t="n"/>
    </row>
    <row r="413" ht="21" customHeight="1" s="65">
      <c r="C413" s="26" t="n"/>
      <c r="D413" s="26" t="n"/>
      <c r="E413" s="26" t="n"/>
      <c r="F413" s="104" t="n"/>
      <c r="G413" s="28" t="n"/>
      <c r="H413" s="26" t="n"/>
      <c r="I413" s="7">
        <f>IF(C413="","",C413&amp;"|"&amp;COUNTIF($C$5:C413,C413))</f>
        <v/>
      </c>
      <c r="K413" s="39" t="n"/>
      <c r="L413" s="39" t="n"/>
      <c r="M413" s="39" t="n"/>
      <c r="N413" s="39" t="n"/>
    </row>
    <row r="414" ht="21" customHeight="1" s="65">
      <c r="C414" s="26" t="n"/>
      <c r="D414" s="26" t="n"/>
      <c r="E414" s="26" t="n"/>
      <c r="F414" s="104" t="n"/>
      <c r="G414" s="28" t="n"/>
      <c r="H414" s="26" t="n"/>
      <c r="I414" s="7">
        <f>IF(C414="","",C414&amp;"|"&amp;COUNTIF($C$5:C414,C414))</f>
        <v/>
      </c>
      <c r="K414" s="39" t="n"/>
      <c r="L414" s="39" t="n"/>
      <c r="M414" s="39" t="n"/>
      <c r="N414" s="39" t="n"/>
    </row>
    <row r="415" ht="21" customHeight="1" s="65">
      <c r="C415" s="26" t="n"/>
      <c r="D415" s="26" t="n"/>
      <c r="E415" s="26" t="n"/>
      <c r="F415" s="104" t="n"/>
      <c r="G415" s="28" t="n"/>
      <c r="H415" s="26" t="n"/>
      <c r="I415" s="7">
        <f>IF(C415="","",C415&amp;"|"&amp;COUNTIF($C$5:C415,C415))</f>
        <v/>
      </c>
      <c r="K415" s="39" t="n"/>
      <c r="L415" s="39" t="n"/>
      <c r="M415" s="39" t="n"/>
      <c r="N415" s="39" t="n"/>
    </row>
    <row r="416" ht="21" customHeight="1" s="65">
      <c r="C416" s="26" t="n"/>
      <c r="D416" s="26" t="n"/>
      <c r="E416" s="26" t="n"/>
      <c r="F416" s="104" t="n"/>
      <c r="G416" s="28" t="n"/>
      <c r="H416" s="26" t="n"/>
      <c r="I416" s="7">
        <f>IF(C416="","",C416&amp;"|"&amp;COUNTIF($C$5:C416,C416))</f>
        <v/>
      </c>
      <c r="K416" s="39" t="n"/>
      <c r="L416" s="39" t="n"/>
      <c r="M416" s="39" t="n"/>
      <c r="N416" s="39" t="n"/>
    </row>
    <row r="417" ht="21" customHeight="1" s="65">
      <c r="C417" s="26" t="n"/>
      <c r="D417" s="26" t="n"/>
      <c r="E417" s="26" t="n"/>
      <c r="F417" s="104" t="n"/>
      <c r="G417" s="28" t="n"/>
      <c r="H417" s="26" t="n"/>
      <c r="I417" s="7">
        <f>IF(C417="","",C417&amp;"|"&amp;COUNTIF($C$5:C417,C417))</f>
        <v/>
      </c>
      <c r="K417" s="39" t="n"/>
      <c r="L417" s="39" t="n"/>
      <c r="M417" s="39" t="n"/>
      <c r="N417" s="39" t="n"/>
    </row>
    <row r="418" ht="21" customHeight="1" s="65">
      <c r="C418" s="26" t="n"/>
      <c r="D418" s="26" t="n"/>
      <c r="E418" s="26" t="n"/>
      <c r="F418" s="104" t="n"/>
      <c r="G418" s="28" t="n"/>
      <c r="H418" s="26" t="n"/>
      <c r="I418" s="7">
        <f>IF(C418="","",C418&amp;"|"&amp;COUNTIF($C$5:C418,C418))</f>
        <v/>
      </c>
      <c r="K418" s="39" t="n"/>
      <c r="L418" s="39" t="n"/>
      <c r="M418" s="39" t="n"/>
      <c r="N418" s="39" t="n"/>
    </row>
    <row r="419" ht="21" customHeight="1" s="65">
      <c r="C419" s="26" t="n"/>
      <c r="D419" s="26" t="n"/>
      <c r="E419" s="26" t="n"/>
      <c r="F419" s="104" t="n"/>
      <c r="G419" s="28" t="n"/>
      <c r="H419" s="26" t="n"/>
      <c r="I419" s="7">
        <f>IF(C419="","",C419&amp;"|"&amp;COUNTIF($C$5:C419,C419))</f>
        <v/>
      </c>
      <c r="K419" s="39" t="n"/>
      <c r="L419" s="39" t="n"/>
      <c r="M419" s="39" t="n"/>
      <c r="N419" s="39" t="n"/>
    </row>
    <row r="420" ht="21" customHeight="1" s="65">
      <c r="C420" s="26" t="n"/>
      <c r="D420" s="26" t="n"/>
      <c r="E420" s="26" t="n"/>
      <c r="F420" s="104" t="n"/>
      <c r="G420" s="28" t="n"/>
      <c r="H420" s="26" t="n"/>
      <c r="I420" s="7">
        <f>IF(C420="","",C420&amp;"|"&amp;COUNTIF($C$5:C420,C420))</f>
        <v/>
      </c>
      <c r="K420" s="39" t="n"/>
      <c r="L420" s="39" t="n"/>
      <c r="M420" s="39" t="n"/>
      <c r="N420" s="39" t="n"/>
    </row>
    <row r="421" ht="21" customHeight="1" s="65">
      <c r="C421" s="26" t="n"/>
      <c r="D421" s="26" t="n"/>
      <c r="E421" s="26" t="n"/>
      <c r="F421" s="104" t="n"/>
      <c r="G421" s="28" t="n"/>
      <c r="H421" s="26" t="n"/>
      <c r="I421" s="7">
        <f>IF(C421="","",C421&amp;"|"&amp;COUNTIF($C$5:C421,C421))</f>
        <v/>
      </c>
      <c r="K421" s="39" t="n"/>
      <c r="L421" s="39" t="n"/>
      <c r="M421" s="39" t="n"/>
      <c r="N421" s="39" t="n"/>
    </row>
    <row r="422" ht="21" customHeight="1" s="65">
      <c r="C422" s="26" t="n"/>
      <c r="D422" s="26" t="n"/>
      <c r="E422" s="26" t="n"/>
      <c r="F422" s="104" t="n"/>
      <c r="G422" s="28" t="n"/>
      <c r="H422" s="26" t="n"/>
      <c r="I422" s="7">
        <f>IF(C422="","",C422&amp;"|"&amp;COUNTIF($C$5:C422,C422))</f>
        <v/>
      </c>
      <c r="K422" s="39" t="n"/>
      <c r="L422" s="39" t="n"/>
      <c r="M422" s="39" t="n"/>
      <c r="N422" s="39" t="n"/>
    </row>
    <row r="423" ht="21" customHeight="1" s="65">
      <c r="C423" s="26" t="n"/>
      <c r="D423" s="26" t="n"/>
      <c r="E423" s="26" t="n"/>
      <c r="F423" s="104" t="n"/>
      <c r="G423" s="28" t="n"/>
      <c r="H423" s="26" t="n"/>
      <c r="I423" s="7">
        <f>IF(C423="","",C423&amp;"|"&amp;COUNTIF($C$5:C423,C423))</f>
        <v/>
      </c>
      <c r="K423" s="39" t="n"/>
      <c r="L423" s="39" t="n"/>
      <c r="M423" s="39" t="n"/>
      <c r="N423" s="39" t="n"/>
    </row>
    <row r="424" ht="21" customHeight="1" s="65">
      <c r="C424" s="26" t="n"/>
      <c r="D424" s="26" t="n"/>
      <c r="E424" s="26" t="n"/>
      <c r="F424" s="104" t="n"/>
      <c r="G424" s="28" t="n"/>
      <c r="H424" s="26" t="n"/>
      <c r="I424" s="7">
        <f>IF(C424="","",C424&amp;"|"&amp;COUNTIF($C$5:C424,C424))</f>
        <v/>
      </c>
      <c r="K424" s="39" t="n"/>
      <c r="L424" s="39" t="n"/>
      <c r="M424" s="39" t="n"/>
      <c r="N424" s="39" t="n"/>
    </row>
    <row r="425" ht="21" customHeight="1" s="65">
      <c r="C425" s="26" t="n"/>
      <c r="D425" s="26" t="n"/>
      <c r="E425" s="26" t="n"/>
      <c r="F425" s="104" t="n"/>
      <c r="G425" s="28" t="n"/>
      <c r="H425" s="26" t="n"/>
      <c r="I425" s="7">
        <f>IF(C425="","",C425&amp;"|"&amp;COUNTIF($C$5:C425,C425))</f>
        <v/>
      </c>
      <c r="K425" s="39" t="n"/>
      <c r="L425" s="39" t="n"/>
      <c r="M425" s="39" t="n"/>
      <c r="N425" s="39" t="n"/>
    </row>
    <row r="426" ht="21" customHeight="1" s="65">
      <c r="C426" s="26" t="n"/>
      <c r="D426" s="26" t="n"/>
      <c r="E426" s="26" t="n"/>
      <c r="F426" s="104" t="n"/>
      <c r="G426" s="28" t="n"/>
      <c r="H426" s="26" t="n"/>
      <c r="I426" s="7">
        <f>IF(C426="","",C426&amp;"|"&amp;COUNTIF($C$5:C426,C426))</f>
        <v/>
      </c>
      <c r="K426" s="39" t="n"/>
      <c r="L426" s="39" t="n"/>
      <c r="M426" s="39" t="n"/>
      <c r="N426" s="39" t="n"/>
    </row>
    <row r="427" ht="21" customHeight="1" s="65">
      <c r="C427" s="26" t="n"/>
      <c r="D427" s="26" t="n"/>
      <c r="E427" s="26" t="n"/>
      <c r="F427" s="104" t="n"/>
      <c r="G427" s="28" t="n"/>
      <c r="H427" s="26" t="n"/>
      <c r="I427" s="7">
        <f>IF(C427="","",C427&amp;"|"&amp;COUNTIF($C$5:C427,C427))</f>
        <v/>
      </c>
      <c r="K427" s="39" t="n"/>
      <c r="L427" s="39" t="n"/>
      <c r="M427" s="39" t="n"/>
      <c r="N427" s="39" t="n"/>
    </row>
    <row r="428" ht="21" customHeight="1" s="65">
      <c r="C428" s="26" t="n"/>
      <c r="D428" s="26" t="n"/>
      <c r="E428" s="26" t="n"/>
      <c r="F428" s="104" t="n"/>
      <c r="G428" s="28" t="n"/>
      <c r="H428" s="26" t="n"/>
      <c r="I428" s="7">
        <f>IF(C428="","",C428&amp;"|"&amp;COUNTIF($C$5:C428,C428))</f>
        <v/>
      </c>
      <c r="K428" s="39" t="n"/>
      <c r="L428" s="39" t="n"/>
      <c r="M428" s="39" t="n"/>
      <c r="N428" s="39" t="n"/>
    </row>
    <row r="429" ht="21" customHeight="1" s="65">
      <c r="C429" s="26" t="n"/>
      <c r="D429" s="26" t="n"/>
      <c r="E429" s="26" t="n"/>
      <c r="F429" s="104" t="n"/>
      <c r="G429" s="28" t="n"/>
      <c r="H429" s="26" t="n"/>
      <c r="I429" s="7">
        <f>IF(C429="","",C429&amp;"|"&amp;COUNTIF($C$5:C429,C429))</f>
        <v/>
      </c>
      <c r="K429" s="39" t="n"/>
      <c r="L429" s="39" t="n"/>
      <c r="M429" s="39" t="n"/>
      <c r="N429" s="39" t="n"/>
    </row>
    <row r="430" ht="21" customHeight="1" s="65">
      <c r="C430" s="26" t="n"/>
      <c r="D430" s="26" t="n"/>
      <c r="E430" s="26" t="n"/>
      <c r="F430" s="104" t="n"/>
      <c r="G430" s="28" t="n"/>
      <c r="H430" s="26" t="n"/>
      <c r="I430" s="7">
        <f>IF(C430="","",C430&amp;"|"&amp;COUNTIF($C$5:C430,C430))</f>
        <v/>
      </c>
      <c r="K430" s="39" t="n"/>
      <c r="L430" s="39" t="n"/>
      <c r="M430" s="39" t="n"/>
      <c r="N430" s="39" t="n"/>
    </row>
    <row r="431" ht="21" customHeight="1" s="65">
      <c r="C431" s="26" t="n"/>
      <c r="D431" s="26" t="n"/>
      <c r="E431" s="26" t="n"/>
      <c r="F431" s="104" t="n"/>
      <c r="G431" s="28" t="n"/>
      <c r="H431" s="26" t="n"/>
      <c r="I431" s="7">
        <f>IF(C431="","",C431&amp;"|"&amp;COUNTIF($C$5:C431,C431))</f>
        <v/>
      </c>
      <c r="K431" s="39" t="n"/>
      <c r="L431" s="39" t="n"/>
      <c r="M431" s="39" t="n"/>
      <c r="N431" s="39" t="n"/>
    </row>
    <row r="432" ht="21" customHeight="1" s="65">
      <c r="C432" s="26" t="n"/>
      <c r="D432" s="26" t="n"/>
      <c r="E432" s="26" t="n"/>
      <c r="F432" s="104" t="n"/>
      <c r="G432" s="28" t="n"/>
      <c r="H432" s="26" t="n"/>
      <c r="I432" s="7">
        <f>IF(C432="","",C432&amp;"|"&amp;COUNTIF($C$5:C432,C432))</f>
        <v/>
      </c>
      <c r="K432" s="39" t="n"/>
      <c r="L432" s="39" t="n"/>
      <c r="M432" s="39" t="n"/>
      <c r="N432" s="39" t="n"/>
    </row>
    <row r="433" ht="21" customHeight="1" s="65">
      <c r="C433" s="26" t="n"/>
      <c r="D433" s="26" t="n"/>
      <c r="E433" s="26" t="n"/>
      <c r="F433" s="104" t="n"/>
      <c r="G433" s="28" t="n"/>
      <c r="H433" s="26" t="n"/>
      <c r="I433" s="7">
        <f>IF(C433="","",C433&amp;"|"&amp;COUNTIF($C$5:C433,C433))</f>
        <v/>
      </c>
      <c r="K433" s="39" t="n"/>
      <c r="L433" s="39" t="n"/>
      <c r="M433" s="39" t="n"/>
      <c r="N433" s="39" t="n"/>
    </row>
    <row r="434" ht="21" customHeight="1" s="65">
      <c r="C434" s="26" t="n"/>
      <c r="D434" s="26" t="n"/>
      <c r="E434" s="26" t="n"/>
      <c r="F434" s="104" t="n"/>
      <c r="G434" s="28" t="n"/>
      <c r="H434" s="26" t="n"/>
      <c r="I434" s="7">
        <f>IF(C434="","",C434&amp;"|"&amp;COUNTIF($C$5:C434,C434))</f>
        <v/>
      </c>
      <c r="K434" s="39" t="n"/>
      <c r="L434" s="39" t="n"/>
      <c r="M434" s="39" t="n"/>
      <c r="N434" s="39" t="n"/>
    </row>
    <row r="435" ht="21" customHeight="1" s="65">
      <c r="C435" s="26" t="n"/>
      <c r="D435" s="26" t="n"/>
      <c r="E435" s="26" t="n"/>
      <c r="F435" s="104" t="n"/>
      <c r="G435" s="28" t="n"/>
      <c r="H435" s="26" t="n"/>
      <c r="I435" s="7">
        <f>IF(C435="","",C435&amp;"|"&amp;COUNTIF($C$5:C435,C435))</f>
        <v/>
      </c>
      <c r="K435" s="39" t="n"/>
      <c r="L435" s="39" t="n"/>
      <c r="M435" s="39" t="n"/>
      <c r="N435" s="39" t="n"/>
    </row>
    <row r="436" ht="21" customHeight="1" s="65">
      <c r="C436" s="26" t="n"/>
      <c r="D436" s="26" t="n"/>
      <c r="E436" s="26" t="n"/>
      <c r="F436" s="104" t="n"/>
      <c r="G436" s="28" t="n"/>
      <c r="H436" s="26" t="n"/>
      <c r="I436" s="7">
        <f>IF(C436="","",C436&amp;"|"&amp;COUNTIF($C$5:C436,C436))</f>
        <v/>
      </c>
      <c r="K436" s="39" t="n"/>
      <c r="L436" s="39" t="n"/>
      <c r="M436" s="39" t="n"/>
      <c r="N436" s="39" t="n"/>
    </row>
    <row r="437" ht="21" customHeight="1" s="65">
      <c r="C437" s="26" t="n"/>
      <c r="D437" s="26" t="n"/>
      <c r="E437" s="26" t="n"/>
      <c r="F437" s="104" t="n"/>
      <c r="G437" s="28" t="n"/>
      <c r="H437" s="26" t="n"/>
      <c r="I437" s="7">
        <f>IF(C437="","",C437&amp;"|"&amp;COUNTIF($C$5:C437,C437))</f>
        <v/>
      </c>
      <c r="K437" s="39" t="n"/>
      <c r="L437" s="39" t="n"/>
      <c r="M437" s="39" t="n"/>
      <c r="N437" s="39" t="n"/>
    </row>
    <row r="438" ht="21" customHeight="1" s="65">
      <c r="C438" s="26" t="n"/>
      <c r="D438" s="26" t="n"/>
      <c r="E438" s="26" t="n"/>
      <c r="F438" s="104" t="n"/>
      <c r="G438" s="28" t="n"/>
      <c r="H438" s="26" t="n"/>
      <c r="I438" s="7">
        <f>IF(C438="","",C438&amp;"|"&amp;COUNTIF($C$5:C438,C438))</f>
        <v/>
      </c>
      <c r="K438" s="39" t="n"/>
      <c r="L438" s="39" t="n"/>
      <c r="M438" s="39" t="n"/>
      <c r="N438" s="39" t="n"/>
    </row>
    <row r="439" ht="21" customHeight="1" s="65">
      <c r="C439" s="26" t="n"/>
      <c r="D439" s="26" t="n"/>
      <c r="E439" s="26" t="n"/>
      <c r="F439" s="104" t="n"/>
      <c r="G439" s="28" t="n"/>
      <c r="H439" s="26" t="n"/>
      <c r="I439" s="7">
        <f>IF(C439="","",C439&amp;"|"&amp;COUNTIF($C$5:C439,C439))</f>
        <v/>
      </c>
      <c r="K439" s="39" t="n"/>
      <c r="L439" s="39" t="n"/>
      <c r="M439" s="39" t="n"/>
      <c r="N439" s="39" t="n"/>
    </row>
    <row r="440" ht="21" customHeight="1" s="65">
      <c r="C440" s="26" t="n"/>
      <c r="D440" s="26" t="n"/>
      <c r="E440" s="26" t="n"/>
      <c r="F440" s="104" t="n"/>
      <c r="G440" s="28" t="n"/>
      <c r="H440" s="26" t="n"/>
      <c r="I440" s="7">
        <f>IF(C440="","",C440&amp;"|"&amp;COUNTIF($C$5:C440,C440))</f>
        <v/>
      </c>
      <c r="K440" s="39" t="n"/>
      <c r="L440" s="39" t="n"/>
      <c r="M440" s="39" t="n"/>
      <c r="N440" s="39" t="n"/>
    </row>
    <row r="441" ht="21" customHeight="1" s="65">
      <c r="C441" s="26" t="n"/>
      <c r="D441" s="26" t="n"/>
      <c r="E441" s="26" t="n"/>
      <c r="F441" s="104" t="n"/>
      <c r="G441" s="28" t="n"/>
      <c r="H441" s="26" t="n"/>
      <c r="I441" s="7">
        <f>IF(C441="","",C441&amp;"|"&amp;COUNTIF($C$5:C441,C441))</f>
        <v/>
      </c>
      <c r="K441" s="39" t="n"/>
      <c r="L441" s="39" t="n"/>
      <c r="M441" s="39" t="n"/>
      <c r="N441" s="39" t="n"/>
    </row>
    <row r="442" ht="21" customHeight="1" s="65">
      <c r="C442" s="26" t="n"/>
      <c r="D442" s="26" t="n"/>
      <c r="E442" s="26" t="n"/>
      <c r="F442" s="104" t="n"/>
      <c r="G442" s="28" t="n"/>
      <c r="H442" s="26" t="n"/>
      <c r="I442" s="7">
        <f>IF(C442="","",C442&amp;"|"&amp;COUNTIF($C$5:C442,C442))</f>
        <v/>
      </c>
      <c r="K442" s="39" t="n"/>
      <c r="L442" s="39" t="n"/>
      <c r="M442" s="39" t="n"/>
      <c r="N442" s="39" t="n"/>
    </row>
    <row r="443" ht="21" customHeight="1" s="65">
      <c r="C443" s="26" t="n"/>
      <c r="D443" s="26" t="n"/>
      <c r="E443" s="26" t="n"/>
      <c r="F443" s="104" t="n"/>
      <c r="G443" s="28" t="n"/>
      <c r="H443" s="26" t="n"/>
      <c r="I443" s="7">
        <f>IF(C443="","",C443&amp;"|"&amp;COUNTIF($C$5:C443,C443))</f>
        <v/>
      </c>
      <c r="K443" s="39" t="n"/>
      <c r="L443" s="39" t="n"/>
      <c r="M443" s="39" t="n"/>
      <c r="N443" s="39" t="n"/>
    </row>
    <row r="444" ht="21" customHeight="1" s="65">
      <c r="C444" s="26" t="n"/>
      <c r="D444" s="26" t="n"/>
      <c r="E444" s="26" t="n"/>
      <c r="F444" s="104" t="n"/>
      <c r="G444" s="28" t="n"/>
      <c r="H444" s="26" t="n"/>
      <c r="I444" s="7">
        <f>IF(C444="","",C444&amp;"|"&amp;COUNTIF($C$5:C444,C444))</f>
        <v/>
      </c>
      <c r="K444" s="39" t="n"/>
      <c r="L444" s="39" t="n"/>
      <c r="M444" s="39" t="n"/>
      <c r="N444" s="39" t="n"/>
    </row>
    <row r="445" ht="21" customHeight="1" s="65">
      <c r="C445" s="26" t="n"/>
      <c r="D445" s="26" t="n"/>
      <c r="E445" s="26" t="n"/>
      <c r="F445" s="104" t="n"/>
      <c r="G445" s="28" t="n"/>
      <c r="H445" s="26" t="n"/>
      <c r="I445" s="7">
        <f>IF(C445="","",C445&amp;"|"&amp;COUNTIF($C$5:C445,C445))</f>
        <v/>
      </c>
      <c r="K445" s="39" t="n"/>
      <c r="L445" s="39" t="n"/>
      <c r="M445" s="39" t="n"/>
      <c r="N445" s="39" t="n"/>
    </row>
    <row r="446" ht="21" customHeight="1" s="65">
      <c r="C446" s="26" t="n"/>
      <c r="D446" s="26" t="n"/>
      <c r="E446" s="26" t="n"/>
      <c r="F446" s="104" t="n"/>
      <c r="G446" s="28" t="n"/>
      <c r="H446" s="26" t="n"/>
      <c r="I446" s="7">
        <f>IF(C446="","",C446&amp;"|"&amp;COUNTIF($C$5:C446,C446))</f>
        <v/>
      </c>
      <c r="K446" s="39" t="n"/>
      <c r="L446" s="39" t="n"/>
      <c r="M446" s="39" t="n"/>
      <c r="N446" s="39" t="n"/>
    </row>
    <row r="447" ht="21" customHeight="1" s="65">
      <c r="C447" s="26" t="n"/>
      <c r="D447" s="26" t="n"/>
      <c r="E447" s="26" t="n"/>
      <c r="F447" s="104" t="n"/>
      <c r="G447" s="28" t="n"/>
      <c r="H447" s="26" t="n"/>
      <c r="I447" s="7">
        <f>IF(C447="","",C447&amp;"|"&amp;COUNTIF($C$5:C447,C447))</f>
        <v/>
      </c>
      <c r="K447" s="39" t="n"/>
      <c r="L447" s="39" t="n"/>
      <c r="M447" s="39" t="n"/>
      <c r="N447" s="39" t="n"/>
    </row>
    <row r="448" ht="21" customHeight="1" s="65">
      <c r="C448" s="26" t="n"/>
      <c r="D448" s="26" t="n"/>
      <c r="E448" s="26" t="n"/>
      <c r="F448" s="104" t="n"/>
      <c r="G448" s="28" t="n"/>
      <c r="H448" s="26" t="n"/>
      <c r="I448" s="7">
        <f>IF(C448="","",C448&amp;"|"&amp;COUNTIF($C$5:C448,C448))</f>
        <v/>
      </c>
      <c r="K448" s="39" t="n"/>
      <c r="L448" s="39" t="n"/>
      <c r="M448" s="39" t="n"/>
      <c r="N448" s="39" t="n"/>
    </row>
    <row r="449" ht="21" customHeight="1" s="65">
      <c r="C449" s="26" t="n"/>
      <c r="D449" s="26" t="n"/>
      <c r="E449" s="26" t="n"/>
      <c r="F449" s="104" t="n"/>
      <c r="G449" s="28" t="n"/>
      <c r="H449" s="26" t="n"/>
      <c r="I449" s="7">
        <f>IF(C449="","",C449&amp;"|"&amp;COUNTIF($C$5:C449,C449))</f>
        <v/>
      </c>
      <c r="K449" s="39" t="n"/>
      <c r="L449" s="39" t="n"/>
      <c r="M449" s="39" t="n"/>
      <c r="N449" s="39" t="n"/>
    </row>
    <row r="450" ht="21" customHeight="1" s="65">
      <c r="C450" s="26" t="n"/>
      <c r="D450" s="26" t="n"/>
      <c r="E450" s="26" t="n"/>
      <c r="F450" s="104" t="n"/>
      <c r="G450" s="28" t="n"/>
      <c r="H450" s="26" t="n"/>
      <c r="I450" s="7">
        <f>IF(C450="","",C450&amp;"|"&amp;COUNTIF($C$5:C450,C450))</f>
        <v/>
      </c>
      <c r="K450" s="39" t="n"/>
      <c r="L450" s="39" t="n"/>
      <c r="M450" s="39" t="n"/>
      <c r="N450" s="39" t="n"/>
    </row>
    <row r="451" ht="21" customHeight="1" s="65">
      <c r="C451" s="26" t="n"/>
      <c r="D451" s="26" t="n"/>
      <c r="E451" s="26" t="n"/>
      <c r="F451" s="104" t="n"/>
      <c r="G451" s="28" t="n"/>
      <c r="H451" s="26" t="n"/>
      <c r="I451" s="7">
        <f>IF(C451="","",C451&amp;"|"&amp;COUNTIF($C$5:C451,C451))</f>
        <v/>
      </c>
      <c r="K451" s="39" t="n"/>
      <c r="L451" s="39" t="n"/>
      <c r="M451" s="39" t="n"/>
      <c r="N451" s="39" t="n"/>
    </row>
    <row r="452" ht="21" customHeight="1" s="65">
      <c r="C452" s="26" t="n"/>
      <c r="D452" s="26" t="n"/>
      <c r="E452" s="26" t="n"/>
      <c r="F452" s="104" t="n"/>
      <c r="G452" s="28" t="n"/>
      <c r="H452" s="26" t="n"/>
      <c r="I452" s="7">
        <f>IF(C452="","",C452&amp;"|"&amp;COUNTIF($C$5:C452,C452))</f>
        <v/>
      </c>
      <c r="K452" s="39" t="n"/>
      <c r="L452" s="39" t="n"/>
      <c r="M452" s="39" t="n"/>
      <c r="N452" s="39" t="n"/>
    </row>
    <row r="453" ht="21" customHeight="1" s="65">
      <c r="C453" s="26" t="n"/>
      <c r="D453" s="26" t="n"/>
      <c r="E453" s="26" t="n"/>
      <c r="F453" s="104" t="n"/>
      <c r="G453" s="28" t="n"/>
      <c r="H453" s="26" t="n"/>
      <c r="I453" s="7">
        <f>IF(C453="","",C453&amp;"|"&amp;COUNTIF($C$5:C453,C453))</f>
        <v/>
      </c>
      <c r="K453" s="39" t="n"/>
      <c r="L453" s="39" t="n"/>
      <c r="M453" s="39" t="n"/>
      <c r="N453" s="39" t="n"/>
    </row>
    <row r="454" ht="21" customHeight="1" s="65">
      <c r="C454" s="26" t="n"/>
      <c r="D454" s="26" t="n"/>
      <c r="E454" s="26" t="n"/>
      <c r="F454" s="104" t="n"/>
      <c r="G454" s="28" t="n"/>
      <c r="H454" s="26" t="n"/>
      <c r="I454" s="7">
        <f>IF(C454="","",C454&amp;"|"&amp;COUNTIF($C$5:C454,C454))</f>
        <v/>
      </c>
      <c r="K454" s="39" t="n"/>
      <c r="L454" s="39" t="n"/>
      <c r="M454" s="39" t="n"/>
      <c r="N454" s="39" t="n"/>
    </row>
    <row r="455" ht="21" customHeight="1" s="65">
      <c r="C455" s="26" t="n"/>
      <c r="D455" s="26" t="n"/>
      <c r="E455" s="26" t="n"/>
      <c r="F455" s="104" t="n"/>
      <c r="G455" s="28" t="n"/>
      <c r="H455" s="26" t="n"/>
      <c r="I455" s="7">
        <f>IF(C455="","",C455&amp;"|"&amp;COUNTIF($C$5:C455,C455))</f>
        <v/>
      </c>
      <c r="K455" s="39" t="n"/>
      <c r="L455" s="39" t="n"/>
      <c r="M455" s="39" t="n"/>
      <c r="N455" s="39" t="n"/>
    </row>
    <row r="456" ht="21" customHeight="1" s="65">
      <c r="C456" s="26" t="n"/>
      <c r="D456" s="26" t="n"/>
      <c r="E456" s="26" t="n"/>
      <c r="F456" s="104" t="n"/>
      <c r="G456" s="28" t="n"/>
      <c r="H456" s="26" t="n"/>
      <c r="I456" s="7">
        <f>IF(C456="","",C456&amp;"|"&amp;COUNTIF($C$5:C456,C456))</f>
        <v/>
      </c>
      <c r="K456" s="39" t="n"/>
      <c r="L456" s="39" t="n"/>
      <c r="M456" s="39" t="n"/>
      <c r="N456" s="39" t="n"/>
    </row>
    <row r="457" ht="21" customHeight="1" s="65">
      <c r="C457" s="26" t="n"/>
      <c r="D457" s="26" t="n"/>
      <c r="E457" s="26" t="n"/>
      <c r="F457" s="104" t="n"/>
      <c r="G457" s="28" t="n"/>
      <c r="H457" s="26" t="n"/>
      <c r="I457" s="7">
        <f>IF(C457="","",C457&amp;"|"&amp;COUNTIF($C$5:C457,C457))</f>
        <v/>
      </c>
      <c r="K457" s="39" t="n"/>
      <c r="L457" s="39" t="n"/>
      <c r="M457" s="39" t="n"/>
      <c r="N457" s="39" t="n"/>
    </row>
    <row r="458" ht="21" customHeight="1" s="65">
      <c r="C458" s="26" t="n"/>
      <c r="D458" s="26" t="n"/>
      <c r="E458" s="26" t="n"/>
      <c r="F458" s="104" t="n"/>
      <c r="G458" s="28" t="n"/>
      <c r="H458" s="26" t="n"/>
      <c r="I458" s="7">
        <f>IF(C458="","",C458&amp;"|"&amp;COUNTIF($C$5:C458,C458))</f>
        <v/>
      </c>
      <c r="K458" s="39" t="n"/>
      <c r="L458" s="39" t="n"/>
      <c r="M458" s="39" t="n"/>
      <c r="N458" s="39" t="n"/>
    </row>
    <row r="459" ht="21" customHeight="1" s="65">
      <c r="C459" s="26" t="n"/>
      <c r="D459" s="26" t="n"/>
      <c r="E459" s="26" t="n"/>
      <c r="F459" s="104" t="n"/>
      <c r="G459" s="28" t="n"/>
      <c r="H459" s="26" t="n"/>
      <c r="I459" s="7">
        <f>IF(C459="","",C459&amp;"|"&amp;COUNTIF($C$5:C459,C459))</f>
        <v/>
      </c>
      <c r="K459" s="39" t="n"/>
      <c r="L459" s="39" t="n"/>
      <c r="M459" s="39" t="n"/>
      <c r="N459" s="39" t="n"/>
    </row>
    <row r="460" ht="21" customHeight="1" s="65">
      <c r="C460" s="26" t="n"/>
      <c r="D460" s="26" t="n"/>
      <c r="E460" s="26" t="n"/>
      <c r="F460" s="104" t="n"/>
      <c r="G460" s="28" t="n"/>
      <c r="H460" s="26" t="n"/>
      <c r="I460" s="7">
        <f>IF(C460="","",C460&amp;"|"&amp;COUNTIF($C$5:C460,C460))</f>
        <v/>
      </c>
      <c r="K460" s="39" t="n"/>
      <c r="L460" s="39" t="n"/>
      <c r="M460" s="39" t="n"/>
      <c r="N460" s="39" t="n"/>
    </row>
    <row r="461" ht="21" customHeight="1" s="65">
      <c r="C461" s="26" t="n"/>
      <c r="D461" s="26" t="n"/>
      <c r="E461" s="26" t="n"/>
      <c r="F461" s="104" t="n"/>
      <c r="G461" s="28" t="n"/>
      <c r="H461" s="26" t="n"/>
      <c r="I461" s="7">
        <f>IF(C461="","",C461&amp;"|"&amp;COUNTIF($C$5:C461,C461))</f>
        <v/>
      </c>
      <c r="K461" s="39" t="n"/>
      <c r="L461" s="39" t="n"/>
      <c r="M461" s="39" t="n"/>
      <c r="N461" s="39" t="n"/>
    </row>
    <row r="462" ht="21" customHeight="1" s="65">
      <c r="C462" s="26" t="n"/>
      <c r="D462" s="26" t="n"/>
      <c r="E462" s="26" t="n"/>
      <c r="F462" s="104" t="n"/>
      <c r="G462" s="28" t="n"/>
      <c r="H462" s="26" t="n"/>
      <c r="I462" s="7">
        <f>IF(C462="","",C462&amp;"|"&amp;COUNTIF($C$5:C462,C462))</f>
        <v/>
      </c>
      <c r="K462" s="39" t="n"/>
      <c r="L462" s="39" t="n"/>
      <c r="M462" s="39" t="n"/>
      <c r="N462" s="39" t="n"/>
    </row>
    <row r="463" ht="21" customHeight="1" s="65">
      <c r="C463" s="26" t="n"/>
      <c r="D463" s="26" t="n"/>
      <c r="E463" s="26" t="n"/>
      <c r="F463" s="104" t="n"/>
      <c r="G463" s="28" t="n"/>
      <c r="H463" s="26" t="n"/>
      <c r="I463" s="7">
        <f>IF(C463="","",C463&amp;"|"&amp;COUNTIF($C$5:C463,C463))</f>
        <v/>
      </c>
      <c r="K463" s="39" t="n"/>
      <c r="L463" s="39" t="n"/>
      <c r="M463" s="39" t="n"/>
      <c r="N463" s="39" t="n"/>
    </row>
    <row r="464" ht="21" customHeight="1" s="65">
      <c r="C464" s="26" t="n"/>
      <c r="D464" s="26" t="n"/>
      <c r="E464" s="26" t="n"/>
      <c r="F464" s="104" t="n"/>
      <c r="G464" s="28" t="n"/>
      <c r="H464" s="26" t="n"/>
      <c r="I464" s="7">
        <f>IF(C464="","",C464&amp;"|"&amp;COUNTIF($C$5:C464,C464))</f>
        <v/>
      </c>
      <c r="K464" s="39" t="n"/>
      <c r="L464" s="39" t="n"/>
      <c r="M464" s="39" t="n"/>
      <c r="N464" s="39" t="n"/>
    </row>
    <row r="465" ht="21" customHeight="1" s="65">
      <c r="C465" s="26" t="n"/>
      <c r="D465" s="26" t="n"/>
      <c r="E465" s="26" t="n"/>
      <c r="F465" s="104" t="n"/>
      <c r="G465" s="28" t="n"/>
      <c r="H465" s="26" t="n"/>
      <c r="I465" s="7">
        <f>IF(C465="","",C465&amp;"|"&amp;COUNTIF($C$5:C465,C465))</f>
        <v/>
      </c>
      <c r="K465" s="39" t="n"/>
      <c r="L465" s="39" t="n"/>
      <c r="M465" s="39" t="n"/>
      <c r="N465" s="39" t="n"/>
    </row>
    <row r="466" ht="21" customHeight="1" s="65">
      <c r="C466" s="26" t="n"/>
      <c r="D466" s="26" t="n"/>
      <c r="E466" s="26" t="n"/>
      <c r="F466" s="104" t="n"/>
      <c r="G466" s="28" t="n"/>
      <c r="H466" s="26" t="n"/>
      <c r="I466" s="7">
        <f>IF(C466="","",C466&amp;"|"&amp;COUNTIF($C$5:C466,C466))</f>
        <v/>
      </c>
      <c r="K466" s="39" t="n"/>
      <c r="L466" s="39" t="n"/>
      <c r="M466" s="39" t="n"/>
      <c r="N466" s="39" t="n"/>
    </row>
    <row r="467" ht="21" customHeight="1" s="65">
      <c r="C467" s="26" t="n"/>
      <c r="D467" s="26" t="n"/>
      <c r="E467" s="26" t="n"/>
      <c r="F467" s="104" t="n"/>
      <c r="G467" s="28" t="n"/>
      <c r="H467" s="26" t="n"/>
      <c r="I467" s="7">
        <f>IF(C467="","",C467&amp;"|"&amp;COUNTIF($C$5:C467,C467))</f>
        <v/>
      </c>
      <c r="K467" s="39" t="n"/>
      <c r="L467" s="39" t="n"/>
      <c r="M467" s="39" t="n"/>
      <c r="N467" s="39" t="n"/>
    </row>
    <row r="468" ht="21" customHeight="1" s="65">
      <c r="C468" s="26" t="n"/>
      <c r="D468" s="26" t="n"/>
      <c r="E468" s="26" t="n"/>
      <c r="F468" s="104" t="n"/>
      <c r="G468" s="28" t="n"/>
      <c r="H468" s="26" t="n"/>
      <c r="I468" s="7">
        <f>IF(C468="","",C468&amp;"|"&amp;COUNTIF($C$5:C468,C468))</f>
        <v/>
      </c>
      <c r="K468" s="39" t="n"/>
      <c r="L468" s="39" t="n"/>
      <c r="M468" s="39" t="n"/>
      <c r="N468" s="39" t="n"/>
    </row>
    <row r="469" ht="21" customHeight="1" s="65">
      <c r="C469" s="26" t="n"/>
      <c r="D469" s="26" t="n"/>
      <c r="E469" s="26" t="n"/>
      <c r="F469" s="104" t="n"/>
      <c r="G469" s="28" t="n"/>
      <c r="H469" s="26" t="n"/>
      <c r="I469" s="7">
        <f>IF(C469="","",C469&amp;"|"&amp;COUNTIF($C$5:C469,C469))</f>
        <v/>
      </c>
      <c r="K469" s="39" t="n"/>
      <c r="L469" s="39" t="n"/>
      <c r="M469" s="39" t="n"/>
      <c r="N469" s="39" t="n"/>
    </row>
    <row r="470" ht="21" customHeight="1" s="65">
      <c r="C470" s="26" t="n"/>
      <c r="D470" s="26" t="n"/>
      <c r="E470" s="26" t="n"/>
      <c r="F470" s="104" t="n"/>
      <c r="G470" s="28" t="n"/>
      <c r="H470" s="26" t="n"/>
      <c r="I470" s="7">
        <f>IF(C470="","",C470&amp;"|"&amp;COUNTIF($C$5:C470,C470))</f>
        <v/>
      </c>
      <c r="K470" s="39" t="n"/>
      <c r="L470" s="39" t="n"/>
      <c r="M470" s="39" t="n"/>
      <c r="N470" s="39" t="n"/>
    </row>
    <row r="471" ht="21" customHeight="1" s="65">
      <c r="C471" s="26" t="n"/>
      <c r="D471" s="26" t="n"/>
      <c r="E471" s="26" t="n"/>
      <c r="F471" s="104" t="n"/>
      <c r="G471" s="28" t="n"/>
      <c r="H471" s="26" t="n"/>
      <c r="I471" s="7">
        <f>IF(C471="","",C471&amp;"|"&amp;COUNTIF($C$5:C471,C471))</f>
        <v/>
      </c>
      <c r="K471" s="39" t="n"/>
      <c r="L471" s="39" t="n"/>
      <c r="M471" s="39" t="n"/>
      <c r="N471" s="39" t="n"/>
    </row>
    <row r="472" ht="21" customHeight="1" s="65">
      <c r="C472" s="26" t="n"/>
      <c r="D472" s="26" t="n"/>
      <c r="E472" s="26" t="n"/>
      <c r="F472" s="104" t="n"/>
      <c r="G472" s="28" t="n"/>
      <c r="H472" s="26" t="n"/>
      <c r="I472" s="7">
        <f>IF(C472="","",C472&amp;"|"&amp;COUNTIF($C$5:C472,C472))</f>
        <v/>
      </c>
      <c r="K472" s="39" t="n"/>
      <c r="L472" s="39" t="n"/>
      <c r="M472" s="39" t="n"/>
      <c r="N472" s="39" t="n"/>
    </row>
    <row r="473" ht="21" customHeight="1" s="65">
      <c r="C473" s="26" t="n"/>
      <c r="D473" s="26" t="n"/>
      <c r="E473" s="26" t="n"/>
      <c r="F473" s="104" t="n"/>
      <c r="G473" s="28" t="n"/>
      <c r="H473" s="26" t="n"/>
      <c r="I473" s="7">
        <f>IF(C473="","",C473&amp;"|"&amp;COUNTIF($C$5:C473,C473))</f>
        <v/>
      </c>
      <c r="K473" s="39" t="n"/>
      <c r="L473" s="39" t="n"/>
      <c r="M473" s="39" t="n"/>
      <c r="N473" s="39" t="n"/>
    </row>
    <row r="474" ht="21" customHeight="1" s="65">
      <c r="C474" s="26" t="n"/>
      <c r="D474" s="26" t="n"/>
      <c r="E474" s="26" t="n"/>
      <c r="F474" s="104" t="n"/>
      <c r="G474" s="28" t="n"/>
      <c r="H474" s="26" t="n"/>
      <c r="I474" s="7">
        <f>IF(C474="","",C474&amp;"|"&amp;COUNTIF($C$5:C474,C474))</f>
        <v/>
      </c>
      <c r="K474" s="39" t="n"/>
      <c r="L474" s="39" t="n"/>
      <c r="M474" s="39" t="n"/>
      <c r="N474" s="39" t="n"/>
    </row>
    <row r="475" ht="21" customHeight="1" s="65">
      <c r="C475" s="26" t="n"/>
      <c r="D475" s="26" t="n"/>
      <c r="E475" s="26" t="n"/>
      <c r="F475" s="104" t="n"/>
      <c r="G475" s="28" t="n"/>
      <c r="H475" s="26" t="n"/>
      <c r="I475" s="7">
        <f>IF(C475="","",C475&amp;"|"&amp;COUNTIF($C$5:C475,C475))</f>
        <v/>
      </c>
      <c r="K475" s="39" t="n"/>
      <c r="L475" s="39" t="n"/>
      <c r="M475" s="39" t="n"/>
      <c r="N475" s="39" t="n"/>
    </row>
    <row r="476" ht="21" customHeight="1" s="65">
      <c r="C476" s="26" t="n"/>
      <c r="D476" s="26" t="n"/>
      <c r="E476" s="26" t="n"/>
      <c r="F476" s="104" t="n"/>
      <c r="G476" s="28" t="n"/>
      <c r="H476" s="26" t="n"/>
      <c r="I476" s="7">
        <f>IF(C476="","",C476&amp;"|"&amp;COUNTIF($C$5:C476,C476))</f>
        <v/>
      </c>
      <c r="K476" s="39" t="n"/>
      <c r="L476" s="39" t="n"/>
      <c r="M476" s="39" t="n"/>
      <c r="N476" s="39" t="n"/>
    </row>
    <row r="477" ht="21" customHeight="1" s="65">
      <c r="C477" s="26" t="n"/>
      <c r="D477" s="26" t="n"/>
      <c r="E477" s="26" t="n"/>
      <c r="F477" s="104" t="n"/>
      <c r="G477" s="28" t="n"/>
      <c r="H477" s="26" t="n"/>
      <c r="I477" s="7">
        <f>IF(C477="","",C477&amp;"|"&amp;COUNTIF($C$5:C477,C477))</f>
        <v/>
      </c>
      <c r="K477" s="39" t="n"/>
      <c r="L477" s="39" t="n"/>
      <c r="M477" s="39" t="n"/>
      <c r="N477" s="39" t="n"/>
    </row>
    <row r="478" ht="21" customHeight="1" s="65">
      <c r="C478" s="26" t="n"/>
      <c r="D478" s="26" t="n"/>
      <c r="E478" s="26" t="n"/>
      <c r="F478" s="104" t="n"/>
      <c r="G478" s="28" t="n"/>
      <c r="H478" s="26" t="n"/>
      <c r="I478" s="7">
        <f>IF(C478="","",C478&amp;"|"&amp;COUNTIF($C$5:C478,C478))</f>
        <v/>
      </c>
      <c r="K478" s="39" t="n"/>
      <c r="L478" s="39" t="n"/>
      <c r="M478" s="39" t="n"/>
      <c r="N478" s="39" t="n"/>
    </row>
    <row r="479" ht="21" customHeight="1" s="65">
      <c r="C479" s="26" t="n"/>
      <c r="D479" s="26" t="n"/>
      <c r="E479" s="26" t="n"/>
      <c r="F479" s="104" t="n"/>
      <c r="G479" s="28" t="n"/>
      <c r="H479" s="26" t="n"/>
      <c r="I479" s="7">
        <f>IF(C479="","",C479&amp;"|"&amp;COUNTIF($C$5:C479,C479))</f>
        <v/>
      </c>
      <c r="K479" s="39" t="n"/>
      <c r="L479" s="39" t="n"/>
      <c r="M479" s="39" t="n"/>
      <c r="N479" s="39" t="n"/>
    </row>
    <row r="480" ht="21" customHeight="1" s="65">
      <c r="C480" s="26" t="n"/>
      <c r="D480" s="26" t="n"/>
      <c r="E480" s="26" t="n"/>
      <c r="F480" s="104" t="n"/>
      <c r="G480" s="28" t="n"/>
      <c r="H480" s="26" t="n"/>
      <c r="I480" s="7">
        <f>IF(C480="","",C480&amp;"|"&amp;COUNTIF($C$5:C480,C480))</f>
        <v/>
      </c>
      <c r="K480" s="39" t="n"/>
      <c r="L480" s="39" t="n"/>
      <c r="M480" s="39" t="n"/>
      <c r="N480" s="39" t="n"/>
    </row>
    <row r="481" ht="21" customHeight="1" s="65">
      <c r="C481" s="26" t="n"/>
      <c r="D481" s="26" t="n"/>
      <c r="E481" s="26" t="n"/>
      <c r="F481" s="104" t="n"/>
      <c r="G481" s="28" t="n"/>
      <c r="H481" s="26" t="n"/>
      <c r="I481" s="7">
        <f>IF(C481="","",C481&amp;"|"&amp;COUNTIF($C$5:C481,C481))</f>
        <v/>
      </c>
      <c r="K481" s="39" t="n"/>
      <c r="L481" s="39" t="n"/>
      <c r="M481" s="39" t="n"/>
      <c r="N481" s="39" t="n"/>
    </row>
    <row r="482" ht="21" customHeight="1" s="65">
      <c r="C482" s="26" t="n"/>
      <c r="D482" s="26" t="n"/>
      <c r="E482" s="26" t="n"/>
      <c r="F482" s="104" t="n"/>
      <c r="G482" s="28" t="n"/>
      <c r="H482" s="26" t="n"/>
      <c r="I482" s="7">
        <f>IF(C482="","",C482&amp;"|"&amp;COUNTIF($C$5:C482,C482))</f>
        <v/>
      </c>
      <c r="K482" s="39" t="n"/>
      <c r="L482" s="39" t="n"/>
      <c r="M482" s="39" t="n"/>
      <c r="N482" s="39" t="n"/>
    </row>
    <row r="483" ht="21" customHeight="1" s="65">
      <c r="C483" s="26" t="n"/>
      <c r="D483" s="26" t="n"/>
      <c r="E483" s="26" t="n"/>
      <c r="F483" s="104" t="n"/>
      <c r="G483" s="28" t="n"/>
      <c r="H483" s="26" t="n"/>
      <c r="I483" s="7">
        <f>IF(C483="","",C483&amp;"|"&amp;COUNTIF($C$5:C483,C483))</f>
        <v/>
      </c>
      <c r="K483" s="39" t="n"/>
      <c r="L483" s="39" t="n"/>
      <c r="M483" s="39" t="n"/>
      <c r="N483" s="39" t="n"/>
    </row>
    <row r="484" ht="21" customHeight="1" s="65">
      <c r="C484" s="26" t="n"/>
      <c r="D484" s="26" t="n"/>
      <c r="E484" s="26" t="n"/>
      <c r="F484" s="104" t="n"/>
      <c r="G484" s="28" t="n"/>
      <c r="H484" s="26" t="n"/>
      <c r="I484" s="7">
        <f>IF(C484="","",C484&amp;"|"&amp;COUNTIF($C$5:C484,C484))</f>
        <v/>
      </c>
      <c r="K484" s="39" t="n"/>
      <c r="L484" s="39" t="n"/>
      <c r="M484" s="39" t="n"/>
      <c r="N484" s="39" t="n"/>
    </row>
    <row r="485" ht="21" customHeight="1" s="65">
      <c r="C485" s="26" t="n"/>
      <c r="D485" s="26" t="n"/>
      <c r="E485" s="26" t="n"/>
      <c r="F485" s="104" t="n"/>
      <c r="G485" s="28" t="n"/>
      <c r="H485" s="26" t="n"/>
      <c r="I485" s="7">
        <f>IF(C485="","",C485&amp;"|"&amp;COUNTIF($C$5:C485,C485))</f>
        <v/>
      </c>
      <c r="K485" s="39" t="n"/>
      <c r="L485" s="39" t="n"/>
      <c r="M485" s="39" t="n"/>
      <c r="N485" s="39" t="n"/>
    </row>
    <row r="486" ht="21" customHeight="1" s="65">
      <c r="C486" s="26" t="n"/>
      <c r="D486" s="26" t="n"/>
      <c r="E486" s="26" t="n"/>
      <c r="F486" s="104" t="n"/>
      <c r="G486" s="28" t="n"/>
      <c r="H486" s="26" t="n"/>
      <c r="I486" s="7">
        <f>IF(C486="","",C486&amp;"|"&amp;COUNTIF($C$5:C486,C486))</f>
        <v/>
      </c>
      <c r="K486" s="39" t="n"/>
      <c r="L486" s="39" t="n"/>
      <c r="M486" s="39" t="n"/>
      <c r="N486" s="39" t="n"/>
    </row>
    <row r="487" ht="21" customHeight="1" s="65">
      <c r="C487" s="26" t="n"/>
      <c r="D487" s="26" t="n"/>
      <c r="E487" s="26" t="n"/>
      <c r="F487" s="104" t="n"/>
      <c r="G487" s="28" t="n"/>
      <c r="H487" s="26" t="n"/>
      <c r="I487" s="7">
        <f>IF(C487="","",C487&amp;"|"&amp;COUNTIF($C$5:C487,C487))</f>
        <v/>
      </c>
      <c r="K487" s="39" t="n"/>
      <c r="L487" s="39" t="n"/>
      <c r="M487" s="39" t="n"/>
      <c r="N487" s="39" t="n"/>
    </row>
    <row r="488" ht="21" customHeight="1" s="65">
      <c r="C488" s="26" t="n"/>
      <c r="D488" s="26" t="n"/>
      <c r="E488" s="26" t="n"/>
      <c r="F488" s="104" t="n"/>
      <c r="G488" s="28" t="n"/>
      <c r="H488" s="26" t="n"/>
      <c r="I488" s="7">
        <f>IF(C488="","",C488&amp;"|"&amp;COUNTIF($C$5:C488,C488))</f>
        <v/>
      </c>
      <c r="K488" s="39" t="n"/>
      <c r="L488" s="39" t="n"/>
      <c r="M488" s="39" t="n"/>
      <c r="N488" s="39" t="n"/>
    </row>
    <row r="489" ht="21" customHeight="1" s="65">
      <c r="C489" s="26" t="n"/>
      <c r="D489" s="26" t="n"/>
      <c r="E489" s="26" t="n"/>
      <c r="F489" s="104" t="n"/>
      <c r="G489" s="28" t="n"/>
      <c r="H489" s="26" t="n"/>
      <c r="I489" s="7">
        <f>IF(C489="","",C489&amp;"|"&amp;COUNTIF($C$5:C489,C489))</f>
        <v/>
      </c>
      <c r="K489" s="39" t="n"/>
      <c r="L489" s="39" t="n"/>
      <c r="M489" s="39" t="n"/>
      <c r="N489" s="39" t="n"/>
    </row>
    <row r="490" ht="21" customHeight="1" s="65">
      <c r="C490" s="26" t="n"/>
      <c r="D490" s="26" t="n"/>
      <c r="E490" s="26" t="n"/>
      <c r="F490" s="104" t="n"/>
      <c r="G490" s="28" t="n"/>
      <c r="H490" s="26" t="n"/>
      <c r="I490" s="7">
        <f>IF(C490="","",C490&amp;"|"&amp;COUNTIF($C$5:C490,C490))</f>
        <v/>
      </c>
      <c r="K490" s="39" t="n"/>
      <c r="L490" s="39" t="n"/>
      <c r="M490" s="39" t="n"/>
      <c r="N490" s="39" t="n"/>
    </row>
    <row r="491" ht="21" customHeight="1" s="65">
      <c r="C491" s="26" t="n"/>
      <c r="D491" s="26" t="n"/>
      <c r="E491" s="26" t="n"/>
      <c r="F491" s="104" t="n"/>
      <c r="G491" s="28" t="n"/>
      <c r="H491" s="26" t="n"/>
      <c r="I491" s="7">
        <f>IF(C491="","",C491&amp;"|"&amp;COUNTIF($C$5:C491,C491))</f>
        <v/>
      </c>
      <c r="K491" s="39" t="n"/>
      <c r="L491" s="39" t="n"/>
      <c r="M491" s="39" t="n"/>
      <c r="N491" s="39" t="n"/>
    </row>
    <row r="492" ht="21" customHeight="1" s="65">
      <c r="C492" s="26" t="n"/>
      <c r="D492" s="26" t="n"/>
      <c r="E492" s="26" t="n"/>
      <c r="F492" s="104" t="n"/>
      <c r="G492" s="28" t="n"/>
      <c r="H492" s="26" t="n"/>
      <c r="I492" s="7">
        <f>IF(C492="","",C492&amp;"|"&amp;COUNTIF($C$5:C492,C492))</f>
        <v/>
      </c>
      <c r="K492" s="39" t="n"/>
      <c r="L492" s="39" t="n"/>
      <c r="M492" s="39" t="n"/>
      <c r="N492" s="39" t="n"/>
    </row>
    <row r="493" ht="21" customHeight="1" s="65">
      <c r="C493" s="26" t="n"/>
      <c r="D493" s="26" t="n"/>
      <c r="E493" s="26" t="n"/>
      <c r="F493" s="104" t="n"/>
      <c r="G493" s="28" t="n"/>
      <c r="H493" s="26" t="n"/>
      <c r="I493" s="7">
        <f>IF(C493="","",C493&amp;"|"&amp;COUNTIF($C$5:C493,C493))</f>
        <v/>
      </c>
      <c r="K493" s="39" t="n"/>
      <c r="L493" s="39" t="n"/>
      <c r="M493" s="39" t="n"/>
      <c r="N493" s="39" t="n"/>
    </row>
    <row r="494" ht="21" customHeight="1" s="65">
      <c r="C494" s="26" t="n"/>
      <c r="D494" s="26" t="n"/>
      <c r="E494" s="26" t="n"/>
      <c r="F494" s="104" t="n"/>
      <c r="G494" s="28" t="n"/>
      <c r="H494" s="26" t="n"/>
      <c r="I494" s="7">
        <f>IF(C494="","",C494&amp;"|"&amp;COUNTIF($C$5:C494,C494))</f>
        <v/>
      </c>
      <c r="K494" s="39" t="n"/>
      <c r="L494" s="39" t="n"/>
      <c r="M494" s="39" t="n"/>
      <c r="N494" s="39" t="n"/>
    </row>
    <row r="495" ht="21" customHeight="1" s="65">
      <c r="C495" s="26" t="n"/>
      <c r="D495" s="26" t="n"/>
      <c r="E495" s="26" t="n"/>
      <c r="F495" s="104" t="n"/>
      <c r="G495" s="28" t="n"/>
      <c r="H495" s="26" t="n"/>
      <c r="I495" s="7">
        <f>IF(C495="","",C495&amp;"|"&amp;COUNTIF($C$5:C495,C495))</f>
        <v/>
      </c>
      <c r="K495" s="39" t="n"/>
      <c r="L495" s="39" t="n"/>
      <c r="M495" s="39" t="n"/>
      <c r="N495" s="39" t="n"/>
    </row>
    <row r="496" ht="21" customHeight="1" s="65">
      <c r="C496" s="26" t="n"/>
      <c r="D496" s="26" t="n"/>
      <c r="E496" s="26" t="n"/>
      <c r="F496" s="104" t="n"/>
      <c r="G496" s="28" t="n"/>
      <c r="H496" s="26" t="n"/>
      <c r="I496" s="7">
        <f>IF(C496="","",C496&amp;"|"&amp;COUNTIF($C$5:C496,C496))</f>
        <v/>
      </c>
      <c r="K496" s="39" t="n"/>
      <c r="L496" s="39" t="n"/>
      <c r="M496" s="39" t="n"/>
      <c r="N496" s="39" t="n"/>
    </row>
    <row r="497" ht="21" customHeight="1" s="65">
      <c r="C497" s="26" t="n"/>
      <c r="D497" s="26" t="n"/>
      <c r="E497" s="26" t="n"/>
      <c r="F497" s="104" t="n"/>
      <c r="G497" s="28" t="n"/>
      <c r="H497" s="26" t="n"/>
      <c r="I497" s="7">
        <f>IF(C497="","",C497&amp;"|"&amp;COUNTIF($C$5:C497,C497))</f>
        <v/>
      </c>
      <c r="K497" s="39" t="n"/>
      <c r="L497" s="39" t="n"/>
      <c r="M497" s="39" t="n"/>
      <c r="N497" s="39" t="n"/>
    </row>
    <row r="498" ht="21" customHeight="1" s="65">
      <c r="C498" s="26" t="n"/>
      <c r="D498" s="26" t="n"/>
      <c r="E498" s="26" t="n"/>
      <c r="F498" s="104" t="n"/>
      <c r="G498" s="28" t="n"/>
      <c r="H498" s="26" t="n"/>
      <c r="I498" s="7">
        <f>IF(C498="","",C498&amp;"|"&amp;COUNTIF($C$5:C498,C498))</f>
        <v/>
      </c>
      <c r="K498" s="39" t="n"/>
      <c r="L498" s="39" t="n"/>
      <c r="M498" s="39" t="n"/>
      <c r="N498" s="39" t="n"/>
    </row>
    <row r="499" ht="21" customHeight="1" s="65">
      <c r="C499" s="26" t="n"/>
      <c r="D499" s="26" t="n"/>
      <c r="E499" s="26" t="n"/>
      <c r="F499" s="104" t="n"/>
      <c r="G499" s="28" t="n"/>
      <c r="H499" s="26" t="n"/>
      <c r="I499" s="7">
        <f>IF(C499="","",C499&amp;"|"&amp;COUNTIF($C$5:C499,C499))</f>
        <v/>
      </c>
      <c r="K499" s="39" t="n"/>
      <c r="L499" s="39" t="n"/>
      <c r="M499" s="39" t="n"/>
      <c r="N499" s="39" t="n"/>
    </row>
    <row r="500" ht="21" customHeight="1" s="65">
      <c r="C500" s="26" t="n"/>
      <c r="D500" s="26" t="n"/>
      <c r="E500" s="26" t="n"/>
      <c r="F500" s="104" t="n"/>
      <c r="G500" s="28" t="n"/>
      <c r="H500" s="26" t="n"/>
      <c r="I500" s="7">
        <f>IF(C500="","",C500&amp;"|"&amp;COUNTIF($C$5:C500,C500))</f>
        <v/>
      </c>
      <c r="K500" s="39" t="n"/>
      <c r="L500" s="39" t="n"/>
      <c r="M500" s="39" t="n"/>
      <c r="N500" s="39" t="n"/>
    </row>
    <row r="501" ht="21" customHeight="1" s="65">
      <c r="C501" s="26" t="n"/>
      <c r="D501" s="26" t="n"/>
      <c r="E501" s="26" t="n"/>
      <c r="F501" s="104" t="n"/>
      <c r="G501" s="28" t="n"/>
      <c r="H501" s="26" t="n"/>
      <c r="I501" s="7">
        <f>IF(C501="","",C501&amp;"|"&amp;COUNTIF($C$5:C501,C501))</f>
        <v/>
      </c>
      <c r="K501" s="39" t="n"/>
      <c r="L501" s="39" t="n"/>
      <c r="M501" s="39" t="n"/>
      <c r="N501" s="39" t="n"/>
    </row>
    <row r="502" ht="21" customHeight="1" s="65">
      <c r="C502" s="26" t="n"/>
      <c r="D502" s="26" t="n"/>
      <c r="E502" s="26" t="n"/>
      <c r="F502" s="104" t="n"/>
      <c r="G502" s="28" t="n"/>
      <c r="H502" s="26" t="n"/>
      <c r="I502" s="7">
        <f>IF(C502="","",C502&amp;"|"&amp;COUNTIF($C$5:C502,C502))</f>
        <v/>
      </c>
      <c r="K502" s="39" t="n"/>
      <c r="L502" s="39" t="n"/>
      <c r="M502" s="39" t="n"/>
      <c r="N502" s="39" t="n"/>
    </row>
    <row r="503" ht="21" customHeight="1" s="65">
      <c r="C503" s="26" t="n"/>
      <c r="D503" s="26" t="n"/>
      <c r="E503" s="26" t="n"/>
      <c r="F503" s="104" t="n"/>
      <c r="G503" s="28" t="n"/>
      <c r="H503" s="26" t="n"/>
      <c r="I503" s="7">
        <f>IF(C503="","",C503&amp;"|"&amp;COUNTIF($C$5:C503,C503))</f>
        <v/>
      </c>
      <c r="K503" s="39" t="n"/>
      <c r="L503" s="39" t="n"/>
      <c r="M503" s="39" t="n"/>
      <c r="N503" s="39" t="n"/>
    </row>
    <row r="504" ht="21" customHeight="1" s="65">
      <c r="C504" s="26" t="n"/>
      <c r="D504" s="26" t="n"/>
      <c r="E504" s="26" t="n"/>
      <c r="F504" s="104" t="n"/>
      <c r="G504" s="28" t="n"/>
      <c r="H504" s="26" t="n"/>
      <c r="I504" s="7">
        <f>IF(C504="","",C504&amp;"|"&amp;COUNTIF($C$5:C504,C504))</f>
        <v/>
      </c>
      <c r="K504" s="39" t="n"/>
      <c r="L504" s="39" t="n"/>
      <c r="M504" s="39" t="n"/>
      <c r="N504" s="39" t="n"/>
    </row>
    <row r="505" ht="21" customHeight="1" s="65">
      <c r="C505" s="39" t="n"/>
      <c r="D505" s="39" t="n"/>
      <c r="E505" s="39" t="n"/>
      <c r="F505" s="39" t="n"/>
      <c r="G505" s="39" t="n"/>
      <c r="H505" s="39" t="n"/>
      <c r="I505" s="39" t="n"/>
      <c r="K505" s="39" t="n"/>
      <c r="L505" s="39" t="n"/>
      <c r="M505" s="39" t="n"/>
      <c r="N505" s="39" t="n"/>
    </row>
    <row r="506" ht="21" customHeight="1" s="65">
      <c r="C506" s="39" t="n"/>
      <c r="D506" s="39" t="n"/>
      <c r="E506" s="39" t="n"/>
      <c r="F506" s="39" t="n"/>
      <c r="G506" s="39" t="n"/>
      <c r="H506" s="39" t="n"/>
      <c r="I506" s="39" t="n"/>
      <c r="K506" s="39" t="n"/>
      <c r="L506" s="39" t="n"/>
      <c r="M506" s="39" t="n"/>
      <c r="N506" s="39" t="n"/>
    </row>
    <row r="507" ht="21" customHeight="1" s="65">
      <c r="C507" s="39" t="n"/>
      <c r="D507" s="39" t="n"/>
      <c r="E507" s="39" t="n"/>
      <c r="F507" s="39" t="n"/>
      <c r="G507" s="39" t="n"/>
      <c r="H507" s="39" t="n"/>
      <c r="I507" s="39" t="n"/>
      <c r="K507" s="39" t="n"/>
      <c r="L507" s="39" t="n"/>
      <c r="M507" s="39" t="n"/>
      <c r="N507" s="39" t="n"/>
    </row>
    <row r="508" ht="21" customHeight="1" s="65">
      <c r="C508" s="39" t="n"/>
      <c r="D508" s="39" t="n"/>
      <c r="E508" s="39" t="n"/>
      <c r="F508" s="39" t="n"/>
      <c r="G508" s="39" t="n"/>
      <c r="H508" s="39" t="n"/>
      <c r="I508" s="39" t="n"/>
      <c r="K508" s="39" t="n"/>
      <c r="L508" s="39" t="n"/>
      <c r="M508" s="39" t="n"/>
      <c r="N508" s="39" t="n"/>
    </row>
    <row r="509" ht="21" customHeight="1" s="65">
      <c r="C509" s="39" t="n"/>
      <c r="D509" s="39" t="n"/>
      <c r="E509" s="39" t="n"/>
      <c r="F509" s="39" t="n"/>
      <c r="G509" s="39" t="n"/>
      <c r="H509" s="39" t="n"/>
      <c r="I509" s="39" t="n"/>
      <c r="K509" s="39" t="n"/>
      <c r="L509" s="39" t="n"/>
      <c r="M509" s="39" t="n"/>
      <c r="N509" s="39" t="n"/>
    </row>
    <row r="510" ht="21" customHeight="1" s="65">
      <c r="C510" s="39" t="n"/>
      <c r="D510" s="39" t="n"/>
      <c r="E510" s="39" t="n"/>
      <c r="F510" s="39" t="n"/>
      <c r="G510" s="39" t="n"/>
      <c r="H510" s="39" t="n"/>
      <c r="I510" s="39" t="n"/>
      <c r="K510" s="39" t="n"/>
      <c r="L510" s="39" t="n"/>
      <c r="M510" s="39" t="n"/>
      <c r="N510" s="39" t="n"/>
    </row>
    <row r="511" ht="21" customHeight="1" s="65">
      <c r="C511" s="39" t="n"/>
      <c r="D511" s="39" t="n"/>
      <c r="E511" s="39" t="n"/>
      <c r="F511" s="39" t="n"/>
      <c r="G511" s="39" t="n"/>
      <c r="H511" s="39" t="n"/>
      <c r="I511" s="39" t="n"/>
      <c r="K511" s="39" t="n"/>
      <c r="L511" s="39" t="n"/>
      <c r="M511" s="39" t="n"/>
      <c r="N511" s="39" t="n"/>
    </row>
    <row r="512" ht="21" customHeight="1" s="65">
      <c r="C512" s="39" t="n"/>
      <c r="D512" s="39" t="n"/>
      <c r="E512" s="39" t="n"/>
      <c r="F512" s="39" t="n"/>
      <c r="G512" s="39" t="n"/>
      <c r="H512" s="39" t="n"/>
      <c r="I512" s="39" t="n"/>
      <c r="K512" s="39" t="n"/>
      <c r="L512" s="39" t="n"/>
      <c r="M512" s="39" t="n"/>
      <c r="N512" s="39" t="n"/>
    </row>
    <row r="513" ht="21" customHeight="1" s="65">
      <c r="C513" s="39" t="n"/>
      <c r="D513" s="39" t="n"/>
      <c r="E513" s="39" t="n"/>
      <c r="F513" s="39" t="n"/>
      <c r="G513" s="39" t="n"/>
      <c r="H513" s="39" t="n"/>
      <c r="I513" s="39" t="n"/>
      <c r="K513" s="39" t="n"/>
      <c r="L513" s="39" t="n"/>
      <c r="M513" s="39" t="n"/>
      <c r="N513" s="39" t="n"/>
    </row>
    <row r="514" ht="21" customHeight="1" s="65">
      <c r="C514" s="39" t="n"/>
      <c r="D514" s="39" t="n"/>
      <c r="E514" s="39" t="n"/>
      <c r="F514" s="39" t="n"/>
      <c r="G514" s="39" t="n"/>
      <c r="H514" s="39" t="n"/>
      <c r="I514" s="39" t="n"/>
      <c r="K514" s="39" t="n"/>
      <c r="L514" s="39" t="n"/>
      <c r="M514" s="39" t="n"/>
      <c r="N514" s="39" t="n"/>
    </row>
    <row r="515" ht="21" customHeight="1" s="65">
      <c r="C515" s="39" t="n"/>
      <c r="D515" s="39" t="n"/>
      <c r="E515" s="39" t="n"/>
      <c r="F515" s="39" t="n"/>
      <c r="G515" s="39" t="n"/>
      <c r="H515" s="39" t="n"/>
      <c r="I515" s="39" t="n"/>
      <c r="K515" s="39" t="n"/>
      <c r="L515" s="39" t="n"/>
      <c r="M515" s="39" t="n"/>
      <c r="N515" s="39" t="n"/>
    </row>
    <row r="516" ht="21" customHeight="1" s="65">
      <c r="C516" s="39" t="n"/>
      <c r="D516" s="39" t="n"/>
      <c r="E516" s="39" t="n"/>
      <c r="F516" s="39" t="n"/>
      <c r="G516" s="39" t="n"/>
      <c r="H516" s="39" t="n"/>
      <c r="I516" s="39" t="n"/>
      <c r="K516" s="39" t="n"/>
      <c r="L516" s="39" t="n"/>
      <c r="M516" s="39" t="n"/>
      <c r="N516" s="39" t="n"/>
    </row>
    <row r="517" ht="21" customHeight="1" s="65">
      <c r="C517" s="39" t="n"/>
      <c r="D517" s="39" t="n"/>
      <c r="E517" s="39" t="n"/>
      <c r="F517" s="39" t="n"/>
      <c r="G517" s="39" t="n"/>
      <c r="H517" s="39" t="n"/>
      <c r="I517" s="39" t="n"/>
      <c r="K517" s="39" t="n"/>
      <c r="L517" s="39" t="n"/>
      <c r="M517" s="39" t="n"/>
      <c r="N517" s="39" t="n"/>
    </row>
    <row r="518" ht="21" customHeight="1" s="65">
      <c r="C518" s="39" t="n"/>
      <c r="D518" s="39" t="n"/>
      <c r="E518" s="39" t="n"/>
      <c r="F518" s="39" t="n"/>
      <c r="G518" s="39" t="n"/>
      <c r="H518" s="39" t="n"/>
      <c r="I518" s="39" t="n"/>
      <c r="K518" s="39" t="n"/>
      <c r="L518" s="39" t="n"/>
      <c r="M518" s="39" t="n"/>
      <c r="N518" s="39" t="n"/>
    </row>
    <row r="519" ht="21" customHeight="1" s="65">
      <c r="C519" s="39" t="n"/>
      <c r="D519" s="39" t="n"/>
      <c r="E519" s="39" t="n"/>
      <c r="F519" s="39" t="n"/>
      <c r="G519" s="39" t="n"/>
      <c r="H519" s="39" t="n"/>
      <c r="I519" s="39" t="n"/>
      <c r="K519" s="39" t="n"/>
      <c r="L519" s="39" t="n"/>
      <c r="M519" s="39" t="n"/>
      <c r="N519" s="39" t="n"/>
    </row>
    <row r="520" ht="21" customHeight="1" s="65">
      <c r="C520" s="39" t="n"/>
      <c r="D520" s="39" t="n"/>
      <c r="E520" s="39" t="n"/>
      <c r="F520" s="39" t="n"/>
      <c r="G520" s="39" t="n"/>
      <c r="H520" s="39" t="n"/>
      <c r="I520" s="39" t="n"/>
      <c r="K520" s="39" t="n"/>
      <c r="L520" s="39" t="n"/>
      <c r="M520" s="39" t="n"/>
      <c r="N520" s="39" t="n"/>
    </row>
    <row r="521" ht="21" customHeight="1" s="65">
      <c r="C521" s="39" t="n"/>
      <c r="D521" s="39" t="n"/>
      <c r="E521" s="39" t="n"/>
      <c r="F521" s="39" t="n"/>
      <c r="G521" s="39" t="n"/>
      <c r="H521" s="39" t="n"/>
      <c r="I521" s="39" t="n"/>
      <c r="K521" s="39" t="n"/>
      <c r="L521" s="39" t="n"/>
      <c r="M521" s="39" t="n"/>
      <c r="N521" s="39" t="n"/>
    </row>
    <row r="522" ht="21" customHeight="1" s="65">
      <c r="C522" s="39" t="n"/>
      <c r="D522" s="39" t="n"/>
      <c r="E522" s="39" t="n"/>
      <c r="F522" s="39" t="n"/>
      <c r="G522" s="39" t="n"/>
      <c r="H522" s="39" t="n"/>
      <c r="I522" s="39" t="n"/>
      <c r="K522" s="39" t="n"/>
      <c r="L522" s="39" t="n"/>
      <c r="M522" s="39" t="n"/>
      <c r="N522" s="39" t="n"/>
    </row>
    <row r="523" ht="21" customHeight="1" s="65">
      <c r="C523" s="39" t="n"/>
      <c r="D523" s="39" t="n"/>
      <c r="E523" s="39" t="n"/>
      <c r="F523" s="39" t="n"/>
      <c r="G523" s="39" t="n"/>
      <c r="H523" s="39" t="n"/>
      <c r="I523" s="39" t="n"/>
      <c r="K523" s="39" t="n"/>
      <c r="L523" s="39" t="n"/>
      <c r="M523" s="39" t="n"/>
      <c r="N523" s="39" t="n"/>
    </row>
    <row r="524" ht="21" customHeight="1" s="65">
      <c r="C524" s="39" t="n"/>
      <c r="D524" s="39" t="n"/>
      <c r="E524" s="39" t="n"/>
      <c r="F524" s="39" t="n"/>
      <c r="G524" s="39" t="n"/>
      <c r="H524" s="39" t="n"/>
      <c r="I524" s="39" t="n"/>
      <c r="K524" s="39" t="n"/>
      <c r="L524" s="39" t="n"/>
      <c r="M524" s="39" t="n"/>
      <c r="N524" s="39" t="n"/>
    </row>
    <row r="525" ht="21" customHeight="1" s="65">
      <c r="C525" s="39" t="n"/>
      <c r="D525" s="39" t="n"/>
      <c r="E525" s="39" t="n"/>
      <c r="F525" s="39" t="n"/>
      <c r="G525" s="39" t="n"/>
      <c r="H525" s="39" t="n"/>
      <c r="I525" s="39" t="n"/>
    </row>
    <row r="526" ht="21" customHeight="1" s="65">
      <c r="C526" s="39" t="n"/>
      <c r="D526" s="39" t="n"/>
      <c r="E526" s="39" t="n"/>
      <c r="F526" s="39" t="n"/>
      <c r="G526" s="39" t="n"/>
      <c r="H526" s="39" t="n"/>
      <c r="I526" s="39" t="n"/>
    </row>
    <row r="527" ht="21" customHeight="1" s="65">
      <c r="C527" s="39" t="n"/>
      <c r="D527" s="39" t="n"/>
      <c r="E527" s="39" t="n"/>
      <c r="F527" s="39" t="n"/>
      <c r="G527" s="39" t="n"/>
      <c r="H527" s="39" t="n"/>
      <c r="I527" s="39" t="n"/>
    </row>
    <row r="528" ht="21" customHeight="1" s="65">
      <c r="C528" s="39" t="n"/>
      <c r="D528" s="39" t="n"/>
      <c r="E528" s="39" t="n"/>
      <c r="F528" s="39" t="n"/>
      <c r="G528" s="39" t="n"/>
      <c r="H528" s="39" t="n"/>
      <c r="I528" s="39" t="n"/>
    </row>
    <row r="529" ht="21" customHeight="1" s="65">
      <c r="C529" s="39" t="n"/>
      <c r="D529" s="39" t="n"/>
      <c r="E529" s="39" t="n"/>
      <c r="F529" s="39" t="n"/>
      <c r="G529" s="39" t="n"/>
      <c r="H529" s="39" t="n"/>
      <c r="I529" s="39" t="n"/>
    </row>
    <row r="530" ht="21" customHeight="1" s="65">
      <c r="C530" s="39" t="n"/>
      <c r="D530" s="39" t="n"/>
      <c r="E530" s="39" t="n"/>
      <c r="F530" s="39" t="n"/>
      <c r="G530" s="39" t="n"/>
      <c r="H530" s="39" t="n"/>
      <c r="I530" s="39" t="n"/>
    </row>
    <row r="531" ht="21" customHeight="1" s="65">
      <c r="C531" s="39" t="n"/>
      <c r="D531" s="39" t="n"/>
      <c r="E531" s="39" t="n"/>
      <c r="F531" s="39" t="n"/>
      <c r="G531" s="39" t="n"/>
      <c r="H531" s="39" t="n"/>
      <c r="I531" s="39" t="n"/>
    </row>
    <row r="532" ht="21" customHeight="1" s="65">
      <c r="C532" s="39" t="n"/>
      <c r="D532" s="39" t="n"/>
      <c r="E532" s="39" t="n"/>
      <c r="F532" s="39" t="n"/>
      <c r="G532" s="39" t="n"/>
      <c r="H532" s="39" t="n"/>
      <c r="I532" s="39" t="n"/>
    </row>
    <row r="533" ht="21" customHeight="1" s="65">
      <c r="C533" s="39" t="n"/>
      <c r="D533" s="39" t="n"/>
      <c r="E533" s="39" t="n"/>
      <c r="F533" s="39" t="n"/>
      <c r="G533" s="39" t="n"/>
      <c r="H533" s="39" t="n"/>
      <c r="I533" s="39" t="n"/>
    </row>
    <row r="534" ht="21" customHeight="1" s="65">
      <c r="C534" s="39" t="n"/>
      <c r="D534" s="39" t="n"/>
      <c r="E534" s="39" t="n"/>
      <c r="F534" s="39" t="n"/>
      <c r="G534" s="39" t="n"/>
      <c r="H534" s="39" t="n"/>
      <c r="I534" s="39" t="n"/>
    </row>
    <row r="535" ht="21" customHeight="1" s="65">
      <c r="C535" s="39" t="n"/>
      <c r="D535" s="39" t="n"/>
      <c r="E535" s="39" t="n"/>
      <c r="F535" s="39" t="n"/>
      <c r="G535" s="39" t="n"/>
      <c r="H535" s="39" t="n"/>
      <c r="I535" s="39" t="n"/>
    </row>
    <row r="536" ht="21" customHeight="1" s="65">
      <c r="C536" s="39" t="n"/>
      <c r="D536" s="39" t="n"/>
      <c r="E536" s="39" t="n"/>
      <c r="F536" s="39" t="n"/>
      <c r="G536" s="39" t="n"/>
      <c r="H536" s="39" t="n"/>
      <c r="I536" s="39" t="n"/>
    </row>
    <row r="537" ht="21" customHeight="1" s="65">
      <c r="C537" s="39" t="n"/>
      <c r="D537" s="39" t="n"/>
      <c r="E537" s="39" t="n"/>
      <c r="F537" s="39" t="n"/>
      <c r="G537" s="39" t="n"/>
      <c r="H537" s="39" t="n"/>
      <c r="I537" s="39" t="n"/>
    </row>
    <row r="538" ht="21" customHeight="1" s="65">
      <c r="C538" s="39" t="n"/>
      <c r="D538" s="39" t="n"/>
      <c r="E538" s="39" t="n"/>
      <c r="F538" s="39" t="n"/>
      <c r="G538" s="39" t="n"/>
      <c r="H538" s="39" t="n"/>
      <c r="I538" s="39" t="n"/>
    </row>
    <row r="539" ht="21" customHeight="1" s="65">
      <c r="C539" s="39" t="n"/>
      <c r="D539" s="39" t="n"/>
      <c r="E539" s="39" t="n"/>
      <c r="F539" s="39" t="n"/>
      <c r="G539" s="39" t="n"/>
      <c r="H539" s="39" t="n"/>
      <c r="I539" s="39" t="n"/>
    </row>
    <row r="540" ht="21" customHeight="1" s="65">
      <c r="C540" s="39" t="n"/>
      <c r="D540" s="39" t="n"/>
      <c r="E540" s="39" t="n"/>
      <c r="F540" s="39" t="n"/>
      <c r="G540" s="39" t="n"/>
      <c r="H540" s="39" t="n"/>
      <c r="I540" s="39" t="n"/>
    </row>
    <row r="541" ht="21" customHeight="1" s="65">
      <c r="C541" s="39" t="n"/>
      <c r="D541" s="39" t="n"/>
      <c r="E541" s="39" t="n"/>
      <c r="F541" s="39" t="n"/>
      <c r="G541" s="39" t="n"/>
      <c r="H541" s="39" t="n"/>
      <c r="I541" s="39" t="n"/>
    </row>
    <row r="542" ht="21" customHeight="1" s="65">
      <c r="C542" s="39" t="n"/>
      <c r="D542" s="39" t="n"/>
      <c r="E542" s="39" t="n"/>
      <c r="F542" s="39" t="n"/>
      <c r="G542" s="39" t="n"/>
      <c r="H542" s="39" t="n"/>
      <c r="I542" s="39" t="n"/>
    </row>
    <row r="543" ht="21" customHeight="1" s="65">
      <c r="C543" s="39" t="n"/>
      <c r="D543" s="39" t="n"/>
      <c r="E543" s="39" t="n"/>
      <c r="F543" s="39" t="n"/>
      <c r="G543" s="39" t="n"/>
      <c r="H543" s="39" t="n"/>
      <c r="I543" s="39" t="n"/>
    </row>
    <row r="544" ht="21" customHeight="1" s="65">
      <c r="C544" s="39" t="n"/>
      <c r="D544" s="39" t="n"/>
      <c r="E544" s="39" t="n"/>
      <c r="F544" s="39" t="n"/>
      <c r="G544" s="39" t="n"/>
      <c r="H544" s="39" t="n"/>
      <c r="I544" s="39" t="n"/>
    </row>
    <row r="545" ht="21" customHeight="1" s="65">
      <c r="C545" s="39" t="n"/>
      <c r="D545" s="39" t="n"/>
      <c r="E545" s="39" t="n"/>
      <c r="F545" s="39" t="n"/>
      <c r="G545" s="39" t="n"/>
      <c r="H545" s="39" t="n"/>
      <c r="I545" s="39" t="n"/>
    </row>
    <row r="546" ht="21" customHeight="1" s="65">
      <c r="C546" s="39" t="n"/>
      <c r="D546" s="39" t="n"/>
      <c r="E546" s="39" t="n"/>
      <c r="F546" s="39" t="n"/>
      <c r="G546" s="39" t="n"/>
      <c r="H546" s="39" t="n"/>
      <c r="I546" s="39" t="n"/>
    </row>
    <row r="547" ht="21" customHeight="1" s="65">
      <c r="C547" s="39" t="n"/>
      <c r="D547" s="39" t="n"/>
      <c r="E547" s="39" t="n"/>
      <c r="F547" s="39" t="n"/>
      <c r="G547" s="39" t="n"/>
      <c r="H547" s="39" t="n"/>
      <c r="I547" s="39" t="n"/>
    </row>
    <row r="548" ht="21" customHeight="1" s="65">
      <c r="C548" s="39" t="n"/>
      <c r="D548" s="39" t="n"/>
      <c r="E548" s="39" t="n"/>
      <c r="F548" s="39" t="n"/>
      <c r="G548" s="39" t="n"/>
      <c r="H548" s="39" t="n"/>
      <c r="I548" s="39" t="n"/>
    </row>
    <row r="549" ht="21" customHeight="1" s="65">
      <c r="C549" s="39" t="n"/>
      <c r="D549" s="39" t="n"/>
      <c r="E549" s="39" t="n"/>
      <c r="F549" s="39" t="n"/>
      <c r="G549" s="39" t="n"/>
      <c r="H549" s="39" t="n"/>
      <c r="I549" s="39" t="n"/>
    </row>
    <row r="550" ht="21" customHeight="1" s="65">
      <c r="C550" s="39" t="n"/>
      <c r="D550" s="39" t="n"/>
      <c r="E550" s="39" t="n"/>
      <c r="F550" s="39" t="n"/>
      <c r="G550" s="39" t="n"/>
      <c r="H550" s="39" t="n"/>
      <c r="I550" s="39" t="n"/>
    </row>
    <row r="551" ht="21" customHeight="1" s="65">
      <c r="C551" s="39" t="n"/>
      <c r="D551" s="39" t="n"/>
      <c r="E551" s="39" t="n"/>
      <c r="F551" s="39" t="n"/>
      <c r="G551" s="39" t="n"/>
      <c r="H551" s="39" t="n"/>
      <c r="I551" s="39" t="n"/>
    </row>
    <row r="552" ht="21" customHeight="1" s="65">
      <c r="C552" s="39" t="n"/>
      <c r="D552" s="39" t="n"/>
      <c r="E552" s="39" t="n"/>
      <c r="F552" s="39" t="n"/>
      <c r="G552" s="39" t="n"/>
      <c r="H552" s="39" t="n"/>
      <c r="I552" s="39" t="n"/>
    </row>
    <row r="553" ht="21" customHeight="1" s="65">
      <c r="C553" s="39" t="n"/>
      <c r="D553" s="39" t="n"/>
      <c r="E553" s="39" t="n"/>
      <c r="F553" s="39" t="n"/>
      <c r="G553" s="39" t="n"/>
      <c r="H553" s="39" t="n"/>
      <c r="I553" s="39" t="n"/>
    </row>
    <row r="554" ht="21" customHeight="1" s="65">
      <c r="C554" s="39" t="n"/>
      <c r="D554" s="39" t="n"/>
      <c r="E554" s="39" t="n"/>
      <c r="F554" s="39" t="n"/>
      <c r="G554" s="39" t="n"/>
      <c r="H554" s="39" t="n"/>
      <c r="I554" s="39" t="n"/>
    </row>
    <row r="555" ht="21" customHeight="1" s="65">
      <c r="C555" s="39" t="n"/>
      <c r="D555" s="39" t="n"/>
      <c r="E555" s="39" t="n"/>
      <c r="F555" s="39" t="n"/>
      <c r="G555" s="39" t="n"/>
      <c r="H555" s="39" t="n"/>
      <c r="I555" s="39" t="n"/>
    </row>
    <row r="556" ht="21" customHeight="1" s="65">
      <c r="C556" s="39" t="n"/>
      <c r="D556" s="39" t="n"/>
      <c r="E556" s="39" t="n"/>
      <c r="F556" s="39" t="n"/>
      <c r="G556" s="39" t="n"/>
      <c r="H556" s="39" t="n"/>
      <c r="I556" s="39" t="n"/>
    </row>
    <row r="557" ht="21" customHeight="1" s="65">
      <c r="C557" s="39" t="n"/>
      <c r="D557" s="39" t="n"/>
      <c r="E557" s="39" t="n"/>
      <c r="F557" s="39" t="n"/>
      <c r="G557" s="39" t="n"/>
      <c r="H557" s="39" t="n"/>
      <c r="I557" s="39" t="n"/>
    </row>
    <row r="558" ht="21" customHeight="1" s="65">
      <c r="C558" s="39" t="n"/>
      <c r="D558" s="39" t="n"/>
      <c r="E558" s="39" t="n"/>
      <c r="F558" s="39" t="n"/>
      <c r="G558" s="39" t="n"/>
      <c r="H558" s="39" t="n"/>
      <c r="I558" s="39" t="n"/>
    </row>
    <row r="559" ht="21" customHeight="1" s="65">
      <c r="C559" s="39" t="n"/>
      <c r="D559" s="39" t="n"/>
      <c r="E559" s="39" t="n"/>
      <c r="F559" s="39" t="n"/>
      <c r="G559" s="39" t="n"/>
      <c r="H559" s="39" t="n"/>
      <c r="I559" s="39" t="n"/>
    </row>
    <row r="560" ht="21" customHeight="1" s="65">
      <c r="C560" s="39" t="n"/>
      <c r="D560" s="39" t="n"/>
      <c r="E560" s="39" t="n"/>
      <c r="F560" s="39" t="n"/>
      <c r="G560" s="39" t="n"/>
      <c r="H560" s="39" t="n"/>
      <c r="I560" s="39" t="n"/>
    </row>
    <row r="561" ht="21" customHeight="1" s="65">
      <c r="C561" s="39" t="n"/>
      <c r="D561" s="39" t="n"/>
      <c r="E561" s="39" t="n"/>
      <c r="F561" s="39" t="n"/>
      <c r="G561" s="39" t="n"/>
      <c r="H561" s="39" t="n"/>
      <c r="I561" s="39" t="n"/>
    </row>
    <row r="562" ht="21" customHeight="1" s="65">
      <c r="C562" s="39" t="n"/>
      <c r="D562" s="39" t="n"/>
      <c r="E562" s="39" t="n"/>
      <c r="F562" s="39" t="n"/>
      <c r="G562" s="39" t="n"/>
      <c r="H562" s="39" t="n"/>
      <c r="I562" s="39" t="n"/>
    </row>
    <row r="563" ht="21" customHeight="1" s="65">
      <c r="C563" s="39" t="n"/>
      <c r="D563" s="39" t="n"/>
      <c r="E563" s="39" t="n"/>
      <c r="F563" s="39" t="n"/>
      <c r="G563" s="39" t="n"/>
      <c r="H563" s="39" t="n"/>
      <c r="I563" s="39" t="n"/>
    </row>
    <row r="564" ht="21" customHeight="1" s="65">
      <c r="C564" s="39" t="n"/>
      <c r="D564" s="39" t="n"/>
      <c r="E564" s="39" t="n"/>
      <c r="F564" s="39" t="n"/>
      <c r="G564" s="39" t="n"/>
      <c r="H564" s="39" t="n"/>
      <c r="I564" s="39" t="n"/>
    </row>
    <row r="565" ht="21" customHeight="1" s="65">
      <c r="C565" s="39" t="n"/>
      <c r="D565" s="39" t="n"/>
      <c r="E565" s="39" t="n"/>
      <c r="F565" s="39" t="n"/>
      <c r="G565" s="39" t="n"/>
      <c r="H565" s="39" t="n"/>
      <c r="I565" s="39" t="n"/>
    </row>
    <row r="566" ht="21" customHeight="1" s="65">
      <c r="C566" s="39" t="n"/>
      <c r="D566" s="39" t="n"/>
      <c r="E566" s="39" t="n"/>
      <c r="F566" s="39" t="n"/>
      <c r="G566" s="39" t="n"/>
      <c r="H566" s="39" t="n"/>
      <c r="I566" s="39" t="n"/>
    </row>
    <row r="567" ht="21" customHeight="1" s="65">
      <c r="C567" s="39" t="n"/>
      <c r="D567" s="39" t="n"/>
      <c r="E567" s="39" t="n"/>
      <c r="F567" s="39" t="n"/>
      <c r="G567" s="39" t="n"/>
      <c r="H567" s="39" t="n"/>
      <c r="I567" s="39" t="n"/>
    </row>
    <row r="568" ht="21" customHeight="1" s="65">
      <c r="C568" s="39" t="n"/>
      <c r="D568" s="39" t="n"/>
      <c r="E568" s="39" t="n"/>
      <c r="F568" s="39" t="n"/>
      <c r="G568" s="39" t="n"/>
      <c r="H568" s="39" t="n"/>
      <c r="I568" s="39" t="n"/>
    </row>
    <row r="569" ht="21" customHeight="1" s="65">
      <c r="C569" s="39" t="n"/>
      <c r="D569" s="39" t="n"/>
      <c r="E569" s="39" t="n"/>
      <c r="F569" s="39" t="n"/>
      <c r="G569" s="39" t="n"/>
      <c r="H569" s="39" t="n"/>
      <c r="I569" s="39" t="n"/>
    </row>
    <row r="570" ht="21" customHeight="1" s="65">
      <c r="C570" s="39" t="n"/>
      <c r="D570" s="39" t="n"/>
      <c r="E570" s="39" t="n"/>
      <c r="F570" s="39" t="n"/>
      <c r="G570" s="39" t="n"/>
      <c r="H570" s="39" t="n"/>
      <c r="I570" s="39" t="n"/>
    </row>
    <row r="571" ht="21" customHeight="1" s="65">
      <c r="C571" s="39" t="n"/>
      <c r="D571" s="39" t="n"/>
      <c r="E571" s="39" t="n"/>
      <c r="F571" s="39" t="n"/>
      <c r="G571" s="39" t="n"/>
      <c r="H571" s="39" t="n"/>
      <c r="I571" s="39" t="n"/>
    </row>
    <row r="572" ht="21" customHeight="1" s="65">
      <c r="C572" s="39" t="n"/>
      <c r="D572" s="39" t="n"/>
      <c r="E572" s="39" t="n"/>
      <c r="F572" s="39" t="n"/>
      <c r="G572" s="39" t="n"/>
      <c r="H572" s="39" t="n"/>
      <c r="I572" s="39" t="n"/>
    </row>
    <row r="573" ht="21" customHeight="1" s="65">
      <c r="C573" s="39" t="n"/>
      <c r="D573" s="39" t="n"/>
      <c r="E573" s="39" t="n"/>
      <c r="F573" s="39" t="n"/>
      <c r="G573" s="39" t="n"/>
      <c r="H573" s="39" t="n"/>
      <c r="I573" s="39" t="n"/>
    </row>
    <row r="574" ht="21" customHeight="1" s="65">
      <c r="C574" s="39" t="n"/>
      <c r="D574" s="39" t="n"/>
      <c r="E574" s="39" t="n"/>
      <c r="F574" s="39" t="n"/>
      <c r="G574" s="39" t="n"/>
      <c r="H574" s="39" t="n"/>
      <c r="I574" s="39" t="n"/>
    </row>
    <row r="575" ht="21" customHeight="1" s="65">
      <c r="C575" s="39" t="n"/>
      <c r="D575" s="39" t="n"/>
      <c r="E575" s="39" t="n"/>
      <c r="F575" s="39" t="n"/>
      <c r="G575" s="39" t="n"/>
      <c r="H575" s="39" t="n"/>
      <c r="I575" s="39" t="n"/>
    </row>
    <row r="576" ht="21" customHeight="1" s="65">
      <c r="C576" s="39" t="n"/>
      <c r="D576" s="39" t="n"/>
      <c r="E576" s="39" t="n"/>
      <c r="F576" s="39" t="n"/>
      <c r="G576" s="39" t="n"/>
      <c r="H576" s="39" t="n"/>
      <c r="I576" s="39" t="n"/>
    </row>
    <row r="577" ht="21" customHeight="1" s="65"/>
    <row r="578" ht="21" customHeight="1" s="65"/>
    <row r="579" ht="21" customHeight="1" s="65"/>
    <row r="580" ht="21" customHeight="1" s="65"/>
    <row r="581" ht="21" customHeight="1" s="65"/>
    <row r="582" ht="21" customHeight="1" s="65"/>
    <row r="583" ht="21" customHeight="1" s="65"/>
    <row r="584" ht="21" customHeight="1" s="65"/>
    <row r="585" ht="21" customHeight="1" s="65"/>
    <row r="586" ht="21" customHeight="1" s="65"/>
    <row r="587" ht="21" customHeight="1" s="65"/>
    <row r="588" ht="21" customHeight="1" s="65"/>
    <row r="589" ht="21" customHeight="1" s="65"/>
    <row r="590" ht="21" customHeight="1" s="65"/>
    <row r="591" ht="21" customHeight="1" s="65"/>
    <row r="592" ht="21" customHeight="1" s="65"/>
    <row r="593" ht="21" customHeight="1" s="65"/>
    <row r="594" ht="21" customHeight="1" s="65"/>
    <row r="595" ht="21" customHeight="1" s="65"/>
    <row r="596" ht="21" customHeight="1" s="65"/>
    <row r="597" ht="21" customHeight="1" s="65"/>
    <row r="598" ht="21" customHeight="1" s="65"/>
    <row r="599" ht="21" customHeight="1" s="65"/>
    <row r="600" ht="21" customHeight="1" s="65"/>
    <row r="601" ht="21" customHeight="1" s="65"/>
    <row r="602" ht="21" customHeight="1" s="65"/>
    <row r="603" ht="21" customHeight="1" s="65"/>
    <row r="604" ht="21" customHeight="1" s="65"/>
    <row r="605" ht="21" customHeight="1" s="65"/>
    <row r="606" ht="21" customHeight="1" s="65"/>
    <row r="607" ht="21" customHeight="1" s="65"/>
    <row r="608" ht="21" customHeight="1" s="65"/>
    <row r="609" ht="21" customHeight="1" s="65"/>
    <row r="610" ht="21" customHeight="1" s="65"/>
    <row r="611" ht="21" customHeight="1" s="65"/>
    <row r="612" ht="21" customHeight="1" s="65"/>
    <row r="613" ht="21" customHeight="1" s="65"/>
    <row r="614" ht="21" customHeight="1" s="65"/>
    <row r="615" ht="21" customHeight="1" s="65"/>
    <row r="616" ht="21" customHeight="1" s="65"/>
    <row r="617" ht="21" customHeight="1" s="65"/>
    <row r="618" ht="21" customHeight="1" s="65"/>
    <row r="619" ht="21" customHeight="1" s="65"/>
    <row r="620" ht="21" customHeight="1" s="65"/>
    <row r="621" ht="21" customHeight="1" s="65"/>
    <row r="622" ht="21" customHeight="1" s="65"/>
    <row r="623" ht="21" customHeight="1" s="65"/>
    <row r="624" ht="21" customHeight="1" s="65"/>
    <row r="625" ht="21" customHeight="1" s="65"/>
    <row r="626" ht="21" customHeight="1" s="65"/>
    <row r="627" ht="21" customHeight="1" s="65"/>
    <row r="628" ht="21" customHeight="1" s="65"/>
    <row r="629" ht="21" customHeight="1" s="65"/>
    <row r="630" ht="21" customHeight="1" s="65"/>
    <row r="631" ht="21" customHeight="1" s="65"/>
    <row r="632" ht="21" customHeight="1" s="65"/>
    <row r="633" ht="21" customHeight="1" s="65"/>
    <row r="634" ht="21" customHeight="1" s="65"/>
    <row r="635" ht="21" customHeight="1" s="65"/>
    <row r="636" ht="21" customHeight="1" s="65"/>
    <row r="637" ht="21" customHeight="1" s="65"/>
    <row r="638" ht="21" customHeight="1" s="65"/>
    <row r="639" ht="21" customHeight="1" s="65"/>
    <row r="640" ht="21" customHeight="1" s="65"/>
    <row r="641" ht="21" customHeight="1" s="65"/>
    <row r="642" ht="21" customHeight="1" s="65"/>
    <row r="643" ht="21" customHeight="1" s="65"/>
    <row r="644" ht="21" customHeight="1" s="65"/>
    <row r="645" ht="21" customHeight="1" s="65"/>
    <row r="646" ht="21" customHeight="1" s="65"/>
    <row r="647" ht="21" customHeight="1" s="65"/>
    <row r="648" ht="21" customHeight="1" s="65"/>
    <row r="649" ht="21" customHeight="1" s="65"/>
    <row r="650" ht="21" customHeight="1" s="65"/>
    <row r="651" ht="21" customHeight="1" s="65"/>
    <row r="652" ht="21" customHeight="1" s="65"/>
    <row r="653" ht="21" customHeight="1" s="65"/>
    <row r="654" ht="21" customHeight="1" s="65"/>
    <row r="655" ht="21" customHeight="1" s="65"/>
    <row r="656" ht="21" customHeight="1" s="65"/>
    <row r="657" ht="21" customHeight="1" s="65"/>
    <row r="658" ht="21" customHeight="1" s="65"/>
    <row r="659" ht="21" customHeight="1" s="65"/>
    <row r="660" ht="21" customHeight="1" s="65"/>
    <row r="661" ht="21" customHeight="1" s="65"/>
    <row r="662" ht="21" customHeight="1" s="65"/>
    <row r="663" ht="21" customHeight="1" s="65"/>
    <row r="664" ht="21" customHeight="1" s="65"/>
    <row r="665" ht="21" customHeight="1" s="65"/>
    <row r="666" ht="21" customHeight="1" s="65"/>
    <row r="667" ht="21" customHeight="1" s="65"/>
    <row r="668" ht="21" customHeight="1" s="65"/>
    <row r="669" ht="21" customHeight="1" s="65"/>
    <row r="670" ht="21" customHeight="1" s="65"/>
    <row r="671" ht="21" customHeight="1" s="65"/>
    <row r="672" ht="21" customHeight="1" s="65"/>
    <row r="673" ht="21" customHeight="1" s="65"/>
    <row r="674" ht="21" customHeight="1" s="65"/>
    <row r="675" ht="21" customHeight="1" s="65"/>
    <row r="676" ht="21" customHeight="1" s="65"/>
    <row r="677" ht="21" customHeight="1" s="65"/>
    <row r="678" ht="21" customHeight="1" s="65"/>
    <row r="679" ht="21" customHeight="1" s="65"/>
    <row r="680" ht="21" customHeight="1" s="65"/>
    <row r="681" ht="21" customHeight="1" s="65"/>
    <row r="682" ht="21" customHeight="1" s="65"/>
    <row r="683" ht="21" customHeight="1" s="65"/>
    <row r="684" ht="21" customHeight="1" s="65"/>
    <row r="685" ht="21" customHeight="1" s="65"/>
    <row r="686" ht="21" customHeight="1" s="65"/>
    <row r="687" ht="21" customHeight="1" s="65"/>
    <row r="688" ht="21" customHeight="1" s="65"/>
    <row r="689" ht="21" customHeight="1" s="65"/>
    <row r="690" ht="21" customHeight="1" s="65"/>
    <row r="691" ht="21" customHeight="1" s="65"/>
    <row r="692" ht="21" customHeight="1" s="65"/>
    <row r="693" ht="21" customHeight="1" s="65"/>
    <row r="694" ht="21" customHeight="1" s="65"/>
    <row r="695" ht="21" customHeight="1" s="65"/>
    <row r="696" ht="21" customHeight="1" s="65"/>
    <row r="697" ht="21" customHeight="1" s="65"/>
    <row r="698" ht="21" customHeight="1" s="65"/>
    <row r="699" ht="21" customHeight="1" s="65"/>
    <row r="700" ht="21" customHeight="1" s="65"/>
    <row r="701" ht="21" customHeight="1" s="65"/>
    <row r="702" ht="21" customHeight="1" s="65"/>
    <row r="703" ht="21" customHeight="1" s="65"/>
    <row r="704" ht="21" customHeight="1" s="65"/>
    <row r="705" ht="21" customHeight="1" s="65"/>
    <row r="706" ht="21" customHeight="1" s="65"/>
    <row r="707" ht="21" customHeight="1" s="65"/>
    <row r="708" ht="21" customHeight="1" s="65"/>
    <row r="709" ht="21" customHeight="1" s="65"/>
    <row r="710" ht="21" customHeight="1" s="65"/>
    <row r="711" ht="21" customHeight="1" s="65"/>
    <row r="712" ht="21" customHeight="1" s="65"/>
    <row r="713" ht="21" customHeight="1" s="65"/>
    <row r="714" ht="21" customHeight="1" s="65"/>
    <row r="715" ht="21" customHeight="1" s="65"/>
    <row r="716" ht="21" customHeight="1" s="65"/>
    <row r="717" ht="21" customHeight="1" s="65"/>
    <row r="718" ht="21" customHeight="1" s="65"/>
    <row r="719" ht="21" customHeight="1" s="65"/>
    <row r="720" ht="21" customHeight="1" s="65"/>
    <row r="721" ht="21" customHeight="1" s="65"/>
    <row r="722" ht="21" customHeight="1" s="65"/>
    <row r="723" ht="21" customHeight="1" s="65"/>
    <row r="724" ht="21" customHeight="1" s="65"/>
    <row r="725" ht="21" customHeight="1" s="65"/>
    <row r="726" ht="21" customHeight="1" s="65"/>
    <row r="727" ht="21" customHeight="1" s="65"/>
    <row r="728" ht="21" customHeight="1" s="65"/>
    <row r="729" ht="21" customHeight="1" s="65"/>
    <row r="730" ht="21" customHeight="1" s="65"/>
    <row r="731" ht="21" customHeight="1" s="65"/>
    <row r="732" ht="21" customHeight="1" s="65"/>
    <row r="733" ht="21" customHeight="1" s="65"/>
    <row r="734" ht="21" customHeight="1" s="65"/>
    <row r="735" ht="21" customHeight="1" s="65"/>
    <row r="736" ht="21" customHeight="1" s="65"/>
    <row r="737" ht="21" customHeight="1" s="65"/>
    <row r="738" ht="21" customHeight="1" s="65"/>
    <row r="739" ht="21" customHeight="1" s="65"/>
    <row r="740" ht="21" customHeight="1" s="65"/>
    <row r="741" ht="21" customHeight="1" s="65"/>
    <row r="742" ht="21" customHeight="1" s="65"/>
    <row r="743" ht="21" customHeight="1" s="65"/>
    <row r="744" ht="21" customHeight="1" s="65"/>
    <row r="745" ht="21" customHeight="1" s="65"/>
    <row r="746" ht="21" customHeight="1" s="65"/>
    <row r="747" ht="21" customHeight="1" s="65"/>
    <row r="748" ht="21" customHeight="1" s="65"/>
    <row r="749" ht="21" customHeight="1" s="65"/>
  </sheetData>
  <mergeCells count="5">
    <mergeCell ref="K5:N12"/>
    <mergeCell ref="K4:N4"/>
    <mergeCell ref="C2:I2"/>
    <mergeCell ref="C1:I1"/>
    <mergeCell ref="K14:N16"/>
  </mergeCells>
  <dataValidations count="1">
    <dataValidation sqref="C5:C504" showDropDown="0" showInputMessage="0" showErrorMessage="0" allowBlank="1" type="list">
      <formula1>"Pasivo corriente,Pasivo no corriente"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D4AF37"/>
    <outlinePr summaryBelow="1" summaryRight="1"/>
    <pageSetUpPr/>
  </sheetPr>
  <dimension ref="C1:M583"/>
  <sheetViews>
    <sheetView workbookViewId="0">
      <selection activeCell="A1" sqref="A1"/>
    </sheetView>
  </sheetViews>
  <sheetFormatPr baseColWidth="10" defaultColWidth="9.140625" defaultRowHeight="15"/>
  <cols>
    <col width="9.140625" customWidth="1" style="39" min="1" max="2"/>
    <col width="32" customWidth="1" style="65" min="3" max="3"/>
    <col width="40" customWidth="1" style="65" min="4" max="4"/>
    <col width="18" customWidth="1" style="65" min="5" max="5"/>
    <col width="14" customWidth="1" style="65" min="6" max="6"/>
    <col width="30" customWidth="1" style="65" min="7" max="7"/>
    <col hidden="1" width="28" customWidth="1" style="65" min="8" max="8"/>
    <col width="9.140625" customWidth="1" style="39" min="9" max="9"/>
    <col width="9.140625" customWidth="1" style="39" min="14" max="21"/>
  </cols>
  <sheetData>
    <row r="1" ht="21" customHeight="1" s="65">
      <c r="C1" s="58" t="inlineStr">
        <is>
          <t>PATRIMONIO</t>
        </is>
      </c>
      <c r="D1" s="89" t="n"/>
      <c r="E1" s="89" t="n"/>
      <c r="F1" s="89" t="n"/>
      <c r="G1" s="89" t="n"/>
      <c r="H1" s="90" t="n"/>
      <c r="J1" s="39" t="n"/>
      <c r="K1" s="39" t="n"/>
      <c r="L1" s="39" t="n"/>
      <c r="M1" s="39" t="n"/>
    </row>
    <row r="2" ht="21" customHeight="1" s="65">
      <c r="C2" s="59" t="inlineStr">
        <is>
          <t>Registra aportes, capital, reservas u otras cuentas propias de la empresa.</t>
        </is>
      </c>
      <c r="D2" s="89" t="n"/>
      <c r="E2" s="89" t="n"/>
      <c r="F2" s="89" t="n"/>
      <c r="G2" s="89" t="n"/>
      <c r="H2" s="90" t="n"/>
      <c r="J2" s="39" t="n"/>
      <c r="K2" s="39" t="n"/>
      <c r="L2" s="39" t="n"/>
      <c r="M2" s="39" t="n"/>
    </row>
    <row r="3" ht="32.1" customHeight="1" s="65">
      <c r="C3" s="72" t="inlineStr">
        <is>
          <t>Importante: no ingreses manualmente la utilidad o pérdida del ejercicio en esta hoja; se incorpora automáticamente desde Resultado Ejercicio.</t>
        </is>
      </c>
      <c r="D3" s="89" t="n"/>
      <c r="E3" s="89" t="n"/>
      <c r="F3" s="89" t="n"/>
      <c r="G3" s="89" t="n"/>
      <c r="H3" s="90" t="n"/>
      <c r="J3" s="39" t="n"/>
      <c r="K3" s="39" t="n"/>
      <c r="L3" s="39" t="n"/>
      <c r="M3" s="39" t="n"/>
    </row>
    <row r="4" ht="18" customFormat="1" customHeight="1" s="39">
      <c r="H4" s="40" t="n"/>
    </row>
    <row r="5" ht="21" customHeight="1" s="65">
      <c r="C5" s="42" t="inlineStr">
        <is>
          <t>Cuenta / Ítem</t>
        </is>
      </c>
      <c r="D5" s="42" t="inlineStr">
        <is>
          <t>Descripción</t>
        </is>
      </c>
      <c r="E5" s="42" t="inlineStr">
        <is>
          <t>Monto</t>
        </is>
      </c>
      <c r="F5" s="42" t="inlineStr">
        <is>
          <t>Orden</t>
        </is>
      </c>
      <c r="G5" s="42" t="inlineStr">
        <is>
          <t>Nota</t>
        </is>
      </c>
      <c r="H5" s="9" t="inlineStr">
        <is>
          <t>Clave automática</t>
        </is>
      </c>
      <c r="J5" s="69" t="inlineStr">
        <is>
          <t>Registro de patrimonio</t>
        </is>
      </c>
      <c r="K5" s="89" t="n"/>
      <c r="L5" s="89" t="n"/>
      <c r="M5" s="90" t="n"/>
    </row>
    <row r="6" ht="21" customHeight="1" s="65">
      <c r="C6" s="16" t="inlineStr">
        <is>
          <t>Capital / aportes</t>
        </is>
      </c>
      <c r="D6" s="16" t="inlineStr">
        <is>
          <t>Aportes realizados por dueños o socios</t>
        </is>
      </c>
      <c r="E6" s="103" t="n">
        <v>11650000</v>
      </c>
      <c r="F6" s="25" t="n">
        <v>1</v>
      </c>
      <c r="G6" s="16" t="n"/>
      <c r="H6" s="7">
        <f>IF(C6="","","Patrimonio|"&amp;COUNTIF($C$6:C6,"&lt;&gt;"))</f>
        <v/>
      </c>
      <c r="J6" s="70" t="inlineStr">
        <is>
          <t>Ingrese aquí los aportes de los dueños, capital, reservas u otros componentes del patrimonio de la empresa. No ingrese manualmente la utilidad o pérdida del ejercicio si ya está registrada en la hoja Resultado Ejercicio, porque el archivo la incorpora automáticamente al total de patrimonio.</t>
        </is>
      </c>
      <c r="K6" s="91" t="n"/>
      <c r="L6" s="91" t="n"/>
      <c r="M6" s="92" t="n"/>
    </row>
    <row r="7" ht="21" customHeight="1" s="65">
      <c r="C7" s="16" t="inlineStr">
        <is>
          <t>Reservas</t>
        </is>
      </c>
      <c r="D7" s="16" t="inlineStr">
        <is>
          <t>Fondos retenidos dentro de la empresa</t>
        </is>
      </c>
      <c r="E7" s="103" t="n">
        <v>1200000</v>
      </c>
      <c r="F7" s="25" t="n">
        <v>2</v>
      </c>
      <c r="G7" s="16" t="n"/>
      <c r="H7" s="7">
        <f>IF(C7="","","Patrimonio|"&amp;COUNTIF($C$6:C7,"&lt;&gt;"))</f>
        <v/>
      </c>
      <c r="J7" s="96" t="n"/>
      <c r="M7" s="97" t="n"/>
    </row>
    <row r="8" ht="21" customHeight="1" s="65">
      <c r="C8" s="16" t="n"/>
      <c r="D8" s="16" t="n"/>
      <c r="E8" s="103" t="n"/>
      <c r="F8" s="25" t="n"/>
      <c r="G8" s="16" t="n"/>
      <c r="H8" s="7">
        <f>IF(C8="","","Patrimonio|"&amp;COUNTIF($C$6:C8,"&lt;&gt;"))</f>
        <v/>
      </c>
      <c r="J8" s="96" t="n"/>
      <c r="M8" s="97" t="n"/>
    </row>
    <row r="9" ht="21" customHeight="1" s="65">
      <c r="C9" s="16" t="n"/>
      <c r="D9" s="16" t="n"/>
      <c r="E9" s="103" t="n"/>
      <c r="F9" s="25" t="n"/>
      <c r="G9" s="16" t="n"/>
      <c r="H9" s="7">
        <f>IF(C9="","","Patrimonio|"&amp;COUNTIF($C$6:C9,"&lt;&gt;"))</f>
        <v/>
      </c>
      <c r="J9" s="96" t="n"/>
      <c r="M9" s="97" t="n"/>
    </row>
    <row r="10" ht="21" customHeight="1" s="65">
      <c r="C10" s="16" t="n"/>
      <c r="D10" s="16" t="n"/>
      <c r="E10" s="103" t="n"/>
      <c r="F10" s="25" t="n"/>
      <c r="G10" s="16" t="n"/>
      <c r="H10" s="7">
        <f>IF(C10="","","Patrimonio|"&amp;COUNTIF($C$6:C10,"&lt;&gt;"))</f>
        <v/>
      </c>
      <c r="J10" s="96" t="n"/>
      <c r="M10" s="97" t="n"/>
    </row>
    <row r="11" ht="21" customHeight="1" s="65">
      <c r="C11" s="16" t="n"/>
      <c r="D11" s="16" t="n"/>
      <c r="E11" s="103" t="n"/>
      <c r="F11" s="25" t="n"/>
      <c r="G11" s="16" t="n"/>
      <c r="H11" s="7">
        <f>IF(C11="","","Patrimonio|"&amp;COUNTIF($C$6:C11,"&lt;&gt;"))</f>
        <v/>
      </c>
      <c r="J11" s="93" t="n"/>
      <c r="K11" s="94" t="n"/>
      <c r="L11" s="94" t="n"/>
      <c r="M11" s="95" t="n"/>
    </row>
    <row r="12" ht="21" customHeight="1" s="65">
      <c r="C12" s="16" t="n"/>
      <c r="D12" s="16" t="n"/>
      <c r="E12" s="103" t="n"/>
      <c r="F12" s="25" t="n"/>
      <c r="G12" s="16" t="n"/>
      <c r="H12" s="7">
        <f>IF(C12="","","Patrimonio|"&amp;COUNTIF($C$6:C12,"&lt;&gt;"))</f>
        <v/>
      </c>
      <c r="J12" s="39" t="n"/>
      <c r="K12" s="39" t="n"/>
      <c r="L12" s="39" t="n"/>
      <c r="M12" s="39" t="n"/>
    </row>
    <row r="13" ht="21" customHeight="1" s="65">
      <c r="C13" s="16" t="n"/>
      <c r="D13" s="16" t="n"/>
      <c r="E13" s="103" t="n"/>
      <c r="F13" s="25" t="n"/>
      <c r="G13" s="16" t="n"/>
      <c r="H13" s="7">
        <f>IF(C13="","","Patrimonio|"&amp;COUNTIF($C$6:C13,"&lt;&gt;"))</f>
        <v/>
      </c>
      <c r="J13" s="70" t="inlineStr">
        <is>
          <t>Ejemplos: capital social, aportes de socios, reservas, utilidades acumuladas.</t>
        </is>
      </c>
      <c r="K13" s="91" t="n"/>
      <c r="L13" s="91" t="n"/>
      <c r="M13" s="92" t="n"/>
    </row>
    <row r="14" ht="21" customHeight="1" s="65">
      <c r="C14" s="16" t="n"/>
      <c r="D14" s="16" t="n"/>
      <c r="E14" s="103" t="n"/>
      <c r="F14" s="25" t="n"/>
      <c r="G14" s="16" t="n"/>
      <c r="H14" s="7">
        <f>IF(C14="","","Patrimonio|"&amp;COUNTIF($C$6:C14,"&lt;&gt;"))</f>
        <v/>
      </c>
      <c r="J14" s="96" t="n"/>
      <c r="M14" s="97" t="n"/>
    </row>
    <row r="15" ht="21" customHeight="1" s="65">
      <c r="C15" s="16" t="n"/>
      <c r="D15" s="16" t="n"/>
      <c r="E15" s="103" t="n"/>
      <c r="F15" s="25" t="n"/>
      <c r="G15" s="16" t="n"/>
      <c r="H15" s="7">
        <f>IF(C15="","","Patrimonio|"&amp;COUNTIF($C$6:C15,"&lt;&gt;"))</f>
        <v/>
      </c>
      <c r="J15" s="93" t="n"/>
      <c r="K15" s="94" t="n"/>
      <c r="L15" s="94" t="n"/>
      <c r="M15" s="95" t="n"/>
    </row>
    <row r="16" ht="21" customHeight="1" s="65">
      <c r="C16" s="16" t="n"/>
      <c r="D16" s="16" t="n"/>
      <c r="E16" s="103" t="n"/>
      <c r="F16" s="25" t="n"/>
      <c r="G16" s="16" t="n"/>
      <c r="H16" s="7">
        <f>IF(C16="","","Patrimonio|"&amp;COUNTIF($C$6:C16,"&lt;&gt;"))</f>
        <v/>
      </c>
      <c r="J16" s="41" t="n"/>
      <c r="K16" s="41" t="n"/>
      <c r="L16" s="41" t="n"/>
      <c r="M16" s="41" t="n"/>
    </row>
    <row r="17" ht="21" customHeight="1" s="65">
      <c r="C17" s="16" t="n"/>
      <c r="D17" s="16" t="n"/>
      <c r="E17" s="103" t="n"/>
      <c r="F17" s="25" t="n"/>
      <c r="G17" s="16" t="n"/>
      <c r="H17" s="7">
        <f>IF(C17="","","Patrimonio|"&amp;COUNTIF($C$6:C17,"&lt;&gt;"))</f>
        <v/>
      </c>
      <c r="J17" s="39" t="n"/>
      <c r="K17" s="39" t="n"/>
      <c r="L17" s="39" t="n"/>
      <c r="M17" s="39" t="n"/>
    </row>
    <row r="18" ht="21" customHeight="1" s="65">
      <c r="C18" s="16" t="n"/>
      <c r="D18" s="16" t="n"/>
      <c r="E18" s="103" t="n"/>
      <c r="F18" s="25" t="n"/>
      <c r="G18" s="16" t="n"/>
      <c r="H18" s="7">
        <f>IF(C18="","","Patrimonio|"&amp;COUNTIF($C$6:C18,"&lt;&gt;"))</f>
        <v/>
      </c>
      <c r="J18" s="39" t="n"/>
      <c r="K18" s="39" t="n"/>
      <c r="L18" s="39" t="n"/>
      <c r="M18" s="39" t="n"/>
    </row>
    <row r="19" ht="21" customHeight="1" s="65">
      <c r="C19" s="16" t="n"/>
      <c r="D19" s="16" t="n"/>
      <c r="E19" s="103" t="n"/>
      <c r="F19" s="25" t="n"/>
      <c r="G19" s="16" t="n"/>
      <c r="H19" s="7">
        <f>IF(C19="","","Patrimonio|"&amp;COUNTIF($C$6:C19,"&lt;&gt;"))</f>
        <v/>
      </c>
      <c r="J19" s="39" t="n"/>
      <c r="K19" s="39" t="n"/>
      <c r="L19" s="39" t="n"/>
      <c r="M19" s="39" t="n"/>
    </row>
    <row r="20" ht="21" customHeight="1" s="65">
      <c r="C20" s="16" t="n"/>
      <c r="D20" s="16" t="n"/>
      <c r="E20" s="103" t="n"/>
      <c r="F20" s="25" t="n"/>
      <c r="G20" s="16" t="n"/>
      <c r="H20" s="7">
        <f>IF(C20="","","Patrimonio|"&amp;COUNTIF($C$6:C20,"&lt;&gt;"))</f>
        <v/>
      </c>
      <c r="J20" s="39" t="n"/>
      <c r="K20" s="39" t="n"/>
      <c r="L20" s="39" t="n"/>
      <c r="M20" s="39" t="n"/>
    </row>
    <row r="21" ht="21" customHeight="1" s="65">
      <c r="C21" s="16" t="n"/>
      <c r="D21" s="16" t="n"/>
      <c r="E21" s="103" t="n"/>
      <c r="F21" s="25" t="n"/>
      <c r="G21" s="16" t="n"/>
      <c r="H21" s="7">
        <f>IF(C21="","","Patrimonio|"&amp;COUNTIF($C$6:C21,"&lt;&gt;"))</f>
        <v/>
      </c>
      <c r="J21" s="39" t="n"/>
      <c r="K21" s="39" t="n"/>
      <c r="L21" s="39" t="n"/>
      <c r="M21" s="39" t="n"/>
    </row>
    <row r="22" ht="21" customHeight="1" s="65">
      <c r="C22" s="16" t="n"/>
      <c r="D22" s="16" t="n"/>
      <c r="E22" s="103" t="n"/>
      <c r="F22" s="25" t="n"/>
      <c r="G22" s="16" t="n"/>
      <c r="H22" s="7">
        <f>IF(C22="","","Patrimonio|"&amp;COUNTIF($C$6:C22,"&lt;&gt;"))</f>
        <v/>
      </c>
      <c r="J22" s="39" t="n"/>
      <c r="K22" s="39" t="n"/>
      <c r="L22" s="39" t="n"/>
      <c r="M22" s="39" t="n"/>
    </row>
    <row r="23" ht="21" customHeight="1" s="65">
      <c r="C23" s="16" t="n"/>
      <c r="D23" s="16" t="n"/>
      <c r="E23" s="103" t="n"/>
      <c r="F23" s="25" t="n"/>
      <c r="G23" s="16" t="n"/>
      <c r="H23" s="7">
        <f>IF(C23="","","Patrimonio|"&amp;COUNTIF($C$6:C23,"&lt;&gt;"))</f>
        <v/>
      </c>
      <c r="J23" s="39" t="n"/>
      <c r="K23" s="39" t="n"/>
      <c r="L23" s="39" t="n"/>
      <c r="M23" s="39" t="n"/>
    </row>
    <row r="24" ht="21" customHeight="1" s="65">
      <c r="C24" s="16" t="n"/>
      <c r="D24" s="16" t="n"/>
      <c r="E24" s="103" t="n"/>
      <c r="F24" s="25" t="n"/>
      <c r="G24" s="16" t="n"/>
      <c r="H24" s="7">
        <f>IF(C24="","","Patrimonio|"&amp;COUNTIF($C$6:C24,"&lt;&gt;"))</f>
        <v/>
      </c>
      <c r="J24" s="39" t="n"/>
      <c r="K24" s="39" t="n"/>
      <c r="L24" s="39" t="n"/>
      <c r="M24" s="39" t="n"/>
    </row>
    <row r="25" ht="21" customHeight="1" s="65">
      <c r="C25" s="16" t="n"/>
      <c r="D25" s="16" t="n"/>
      <c r="E25" s="103" t="n"/>
      <c r="F25" s="25" t="n"/>
      <c r="G25" s="16" t="n"/>
      <c r="H25" s="7">
        <f>IF(C25="","","Patrimonio|"&amp;COUNTIF($C$6:C25,"&lt;&gt;"))</f>
        <v/>
      </c>
      <c r="J25" s="39" t="n"/>
      <c r="K25" s="39" t="n"/>
      <c r="L25" s="39" t="n"/>
      <c r="M25" s="39" t="n"/>
    </row>
    <row r="26" ht="21" customHeight="1" s="65">
      <c r="C26" s="16" t="n"/>
      <c r="D26" s="16" t="n"/>
      <c r="E26" s="103" t="n"/>
      <c r="F26" s="25" t="n"/>
      <c r="G26" s="16" t="n"/>
      <c r="H26" s="7">
        <f>IF(C26="","","Patrimonio|"&amp;COUNTIF($C$6:C26,"&lt;&gt;"))</f>
        <v/>
      </c>
      <c r="J26" s="39" t="n"/>
      <c r="K26" s="39" t="n"/>
      <c r="L26" s="39" t="n"/>
      <c r="M26" s="39" t="n"/>
    </row>
    <row r="27" ht="21" customHeight="1" s="65">
      <c r="C27" s="16" t="n"/>
      <c r="D27" s="16" t="n"/>
      <c r="E27" s="103" t="n"/>
      <c r="F27" s="25" t="n"/>
      <c r="G27" s="16" t="n"/>
      <c r="H27" s="7">
        <f>IF(C27="","","Patrimonio|"&amp;COUNTIF($C$6:C27,"&lt;&gt;"))</f>
        <v/>
      </c>
      <c r="J27" s="39" t="n"/>
      <c r="K27" s="39" t="n"/>
      <c r="L27" s="39" t="n"/>
      <c r="M27" s="39" t="n"/>
    </row>
    <row r="28" ht="21" customHeight="1" s="65">
      <c r="C28" s="16" t="n"/>
      <c r="D28" s="16" t="n"/>
      <c r="E28" s="103" t="n"/>
      <c r="F28" s="25" t="n"/>
      <c r="G28" s="16" t="n"/>
      <c r="H28" s="7">
        <f>IF(C28="","","Patrimonio|"&amp;COUNTIF($C$6:C28,"&lt;&gt;"))</f>
        <v/>
      </c>
      <c r="J28" s="39" t="n"/>
      <c r="K28" s="39" t="n"/>
      <c r="L28" s="39" t="n"/>
      <c r="M28" s="39" t="n"/>
    </row>
    <row r="29" ht="21" customHeight="1" s="65">
      <c r="C29" s="16" t="n"/>
      <c r="D29" s="16" t="n"/>
      <c r="E29" s="103" t="n"/>
      <c r="F29" s="25" t="n"/>
      <c r="G29" s="16" t="n"/>
      <c r="H29" s="7">
        <f>IF(C29="","","Patrimonio|"&amp;COUNTIF($C$6:C29,"&lt;&gt;"))</f>
        <v/>
      </c>
      <c r="J29" s="39" t="n"/>
      <c r="K29" s="39" t="n"/>
      <c r="L29" s="39" t="n"/>
      <c r="M29" s="39" t="n"/>
    </row>
    <row r="30" ht="21" customHeight="1" s="65">
      <c r="C30" s="16" t="n"/>
      <c r="D30" s="16" t="n"/>
      <c r="E30" s="103" t="n"/>
      <c r="F30" s="25" t="n"/>
      <c r="G30" s="16" t="n"/>
      <c r="H30" s="7">
        <f>IF(C30="","","Patrimonio|"&amp;COUNTIF($C$6:C30,"&lt;&gt;"))</f>
        <v/>
      </c>
      <c r="J30" s="39" t="n"/>
      <c r="K30" s="39" t="n"/>
      <c r="L30" s="39" t="n"/>
      <c r="M30" s="39" t="n"/>
    </row>
    <row r="31" ht="21" customHeight="1" s="65">
      <c r="C31" s="16" t="n"/>
      <c r="D31" s="16" t="n"/>
      <c r="E31" s="103" t="n"/>
      <c r="F31" s="25" t="n"/>
      <c r="G31" s="16" t="n"/>
      <c r="H31" s="7">
        <f>IF(C31="","","Patrimonio|"&amp;COUNTIF($C$6:C31,"&lt;&gt;"))</f>
        <v/>
      </c>
      <c r="J31" s="39" t="n"/>
      <c r="K31" s="39" t="n"/>
      <c r="L31" s="39" t="n"/>
      <c r="M31" s="39" t="n"/>
    </row>
    <row r="32" ht="21" customHeight="1" s="65">
      <c r="C32" s="16" t="n"/>
      <c r="D32" s="16" t="n"/>
      <c r="E32" s="103" t="n"/>
      <c r="F32" s="25" t="n"/>
      <c r="G32" s="16" t="n"/>
      <c r="H32" s="7">
        <f>IF(C32="","","Patrimonio|"&amp;COUNTIF($C$6:C32,"&lt;&gt;"))</f>
        <v/>
      </c>
      <c r="J32" s="39" t="n"/>
      <c r="K32" s="39" t="n"/>
      <c r="L32" s="39" t="n"/>
      <c r="M32" s="39" t="n"/>
    </row>
    <row r="33" ht="21" customHeight="1" s="65">
      <c r="C33" s="16" t="n"/>
      <c r="D33" s="16" t="n"/>
      <c r="E33" s="103" t="n"/>
      <c r="F33" s="25" t="n"/>
      <c r="G33" s="16" t="n"/>
      <c r="H33" s="7">
        <f>IF(C33="","","Patrimonio|"&amp;COUNTIF($C$6:C33,"&lt;&gt;"))</f>
        <v/>
      </c>
      <c r="J33" s="39" t="n"/>
      <c r="K33" s="39" t="n"/>
      <c r="L33" s="39" t="n"/>
      <c r="M33" s="39" t="n"/>
    </row>
    <row r="34" ht="21" customHeight="1" s="65">
      <c r="C34" s="16" t="n"/>
      <c r="D34" s="16" t="n"/>
      <c r="E34" s="103" t="n"/>
      <c r="F34" s="25" t="n"/>
      <c r="G34" s="16" t="n"/>
      <c r="H34" s="7">
        <f>IF(C34="","","Patrimonio|"&amp;COUNTIF($C$6:C34,"&lt;&gt;"))</f>
        <v/>
      </c>
      <c r="J34" s="39" t="n"/>
      <c r="K34" s="39" t="n"/>
      <c r="L34" s="39" t="n"/>
      <c r="M34" s="39" t="n"/>
    </row>
    <row r="35" ht="21" customHeight="1" s="65">
      <c r="C35" s="16" t="n"/>
      <c r="D35" s="16" t="n"/>
      <c r="E35" s="103" t="n"/>
      <c r="F35" s="25" t="n"/>
      <c r="G35" s="16" t="n"/>
      <c r="H35" s="7">
        <f>IF(C35="","","Patrimonio|"&amp;COUNTIF($C$6:C35,"&lt;&gt;"))</f>
        <v/>
      </c>
      <c r="J35" s="39" t="n"/>
      <c r="K35" s="39" t="n"/>
      <c r="L35" s="39" t="n"/>
      <c r="M35" s="39" t="n"/>
    </row>
    <row r="36" ht="21" customHeight="1" s="65">
      <c r="C36" s="16" t="n"/>
      <c r="D36" s="16" t="n"/>
      <c r="E36" s="103" t="n"/>
      <c r="F36" s="25" t="n"/>
      <c r="G36" s="16" t="n"/>
      <c r="H36" s="7">
        <f>IF(C36="","","Patrimonio|"&amp;COUNTIF($C$6:C36,"&lt;&gt;"))</f>
        <v/>
      </c>
      <c r="J36" s="39" t="n"/>
      <c r="K36" s="39" t="n"/>
      <c r="L36" s="39" t="n"/>
      <c r="M36" s="39" t="n"/>
    </row>
    <row r="37" ht="21" customHeight="1" s="65">
      <c r="C37" s="16" t="n"/>
      <c r="D37" s="16" t="n"/>
      <c r="E37" s="103" t="n"/>
      <c r="F37" s="25" t="n"/>
      <c r="G37" s="16" t="n"/>
      <c r="H37" s="7">
        <f>IF(C37="","","Patrimonio|"&amp;COUNTIF($C$6:C37,"&lt;&gt;"))</f>
        <v/>
      </c>
      <c r="J37" s="39" t="n"/>
      <c r="K37" s="39" t="n"/>
      <c r="L37" s="39" t="n"/>
      <c r="M37" s="39" t="n"/>
    </row>
    <row r="38" ht="21" customHeight="1" s="65">
      <c r="C38" s="16" t="n"/>
      <c r="D38" s="16" t="n"/>
      <c r="E38" s="103" t="n"/>
      <c r="F38" s="25" t="n"/>
      <c r="G38" s="16" t="n"/>
      <c r="H38" s="7">
        <f>IF(C38="","","Patrimonio|"&amp;COUNTIF($C$6:C38,"&lt;&gt;"))</f>
        <v/>
      </c>
      <c r="J38" s="39" t="n"/>
      <c r="K38" s="39" t="n"/>
      <c r="L38" s="39" t="n"/>
      <c r="M38" s="39" t="n"/>
    </row>
    <row r="39" ht="21" customHeight="1" s="65">
      <c r="C39" s="16" t="n"/>
      <c r="D39" s="16" t="n"/>
      <c r="E39" s="103" t="n"/>
      <c r="F39" s="25" t="n"/>
      <c r="G39" s="16" t="n"/>
      <c r="H39" s="7">
        <f>IF(C39="","","Patrimonio|"&amp;COUNTIF($C$6:C39,"&lt;&gt;"))</f>
        <v/>
      </c>
      <c r="J39" s="39" t="n"/>
      <c r="K39" s="39" t="n"/>
      <c r="L39" s="39" t="n"/>
      <c r="M39" s="39" t="n"/>
    </row>
    <row r="40" ht="21" customHeight="1" s="65">
      <c r="C40" s="16" t="n"/>
      <c r="D40" s="16" t="n"/>
      <c r="E40" s="103" t="n"/>
      <c r="F40" s="25" t="n"/>
      <c r="G40" s="16" t="n"/>
      <c r="H40" s="7">
        <f>IF(C40="","","Patrimonio|"&amp;COUNTIF($C$6:C40,"&lt;&gt;"))</f>
        <v/>
      </c>
      <c r="J40" s="39" t="n"/>
      <c r="K40" s="39" t="n"/>
      <c r="L40" s="39" t="n"/>
      <c r="M40" s="39" t="n"/>
    </row>
    <row r="41" ht="21" customHeight="1" s="65">
      <c r="C41" s="16" t="n"/>
      <c r="D41" s="16" t="n"/>
      <c r="E41" s="103" t="n"/>
      <c r="F41" s="25" t="n"/>
      <c r="G41" s="16" t="n"/>
      <c r="H41" s="7">
        <f>IF(C41="","","Patrimonio|"&amp;COUNTIF($C$6:C41,"&lt;&gt;"))</f>
        <v/>
      </c>
      <c r="J41" s="39" t="n"/>
      <c r="K41" s="39" t="n"/>
      <c r="L41" s="39" t="n"/>
      <c r="M41" s="39" t="n"/>
    </row>
    <row r="42" ht="21" customHeight="1" s="65">
      <c r="C42" s="16" t="n"/>
      <c r="D42" s="16" t="n"/>
      <c r="E42" s="103" t="n"/>
      <c r="F42" s="25" t="n"/>
      <c r="G42" s="16" t="n"/>
      <c r="H42" s="7">
        <f>IF(C42="","","Patrimonio|"&amp;COUNTIF($C$6:C42,"&lt;&gt;"))</f>
        <v/>
      </c>
      <c r="J42" s="39" t="n"/>
      <c r="K42" s="39" t="n"/>
      <c r="L42" s="39" t="n"/>
      <c r="M42" s="39" t="n"/>
    </row>
    <row r="43" ht="21" customHeight="1" s="65">
      <c r="C43" s="16" t="n"/>
      <c r="D43" s="16" t="n"/>
      <c r="E43" s="103" t="n"/>
      <c r="F43" s="25" t="n"/>
      <c r="G43" s="16" t="n"/>
      <c r="H43" s="7">
        <f>IF(C43="","","Patrimonio|"&amp;COUNTIF($C$6:C43,"&lt;&gt;"))</f>
        <v/>
      </c>
      <c r="J43" s="39" t="n"/>
      <c r="K43" s="39" t="n"/>
      <c r="L43" s="39" t="n"/>
      <c r="M43" s="39" t="n"/>
    </row>
    <row r="44" ht="21" customHeight="1" s="65">
      <c r="C44" s="16" t="n"/>
      <c r="D44" s="16" t="n"/>
      <c r="E44" s="103" t="n"/>
      <c r="F44" s="25" t="n"/>
      <c r="G44" s="16" t="n"/>
      <c r="H44" s="7">
        <f>IF(C44="","","Patrimonio|"&amp;COUNTIF($C$6:C44,"&lt;&gt;"))</f>
        <v/>
      </c>
      <c r="J44" s="39" t="n"/>
      <c r="K44" s="39" t="n"/>
      <c r="L44" s="39" t="n"/>
      <c r="M44" s="39" t="n"/>
    </row>
    <row r="45" ht="21" customHeight="1" s="65">
      <c r="C45" s="16" t="n"/>
      <c r="D45" s="16" t="n"/>
      <c r="E45" s="103" t="n"/>
      <c r="F45" s="25" t="n"/>
      <c r="G45" s="16" t="n"/>
      <c r="H45" s="7">
        <f>IF(C45="","","Patrimonio|"&amp;COUNTIF($C$6:C45,"&lt;&gt;"))</f>
        <v/>
      </c>
      <c r="J45" s="39" t="n"/>
      <c r="K45" s="39" t="n"/>
      <c r="L45" s="39" t="n"/>
      <c r="M45" s="39" t="n"/>
    </row>
    <row r="46" ht="21" customHeight="1" s="65">
      <c r="C46" s="16" t="n"/>
      <c r="D46" s="16" t="n"/>
      <c r="E46" s="103" t="n"/>
      <c r="F46" s="25" t="n"/>
      <c r="G46" s="16" t="n"/>
      <c r="H46" s="7">
        <f>IF(C46="","","Patrimonio|"&amp;COUNTIF($C$6:C46,"&lt;&gt;"))</f>
        <v/>
      </c>
      <c r="J46" s="39" t="n"/>
      <c r="K46" s="39" t="n"/>
      <c r="L46" s="39" t="n"/>
      <c r="M46" s="39" t="n"/>
    </row>
    <row r="47" ht="21" customHeight="1" s="65">
      <c r="C47" s="16" t="n"/>
      <c r="D47" s="16" t="n"/>
      <c r="E47" s="103" t="n"/>
      <c r="F47" s="25" t="n"/>
      <c r="G47" s="16" t="n"/>
      <c r="H47" s="7">
        <f>IF(C47="","","Patrimonio|"&amp;COUNTIF($C$6:C47,"&lt;&gt;"))</f>
        <v/>
      </c>
      <c r="J47" s="39" t="n"/>
      <c r="K47" s="39" t="n"/>
      <c r="L47" s="39" t="n"/>
      <c r="M47" s="39" t="n"/>
    </row>
    <row r="48" ht="21" customHeight="1" s="65">
      <c r="C48" s="16" t="n"/>
      <c r="D48" s="16" t="n"/>
      <c r="E48" s="103" t="n"/>
      <c r="F48" s="25" t="n"/>
      <c r="G48" s="16" t="n"/>
      <c r="H48" s="7">
        <f>IF(C48="","","Patrimonio|"&amp;COUNTIF($C$6:C48,"&lt;&gt;"))</f>
        <v/>
      </c>
      <c r="J48" s="39" t="n"/>
      <c r="K48" s="39" t="n"/>
      <c r="L48" s="39" t="n"/>
      <c r="M48" s="39" t="n"/>
    </row>
    <row r="49" ht="21" customHeight="1" s="65">
      <c r="C49" s="16" t="n"/>
      <c r="D49" s="16" t="n"/>
      <c r="E49" s="103" t="n"/>
      <c r="F49" s="25" t="n"/>
      <c r="G49" s="16" t="n"/>
      <c r="H49" s="7">
        <f>IF(C49="","","Patrimonio|"&amp;COUNTIF($C$6:C49,"&lt;&gt;"))</f>
        <v/>
      </c>
      <c r="J49" s="39" t="n"/>
      <c r="K49" s="39" t="n"/>
      <c r="L49" s="39" t="n"/>
      <c r="M49" s="39" t="n"/>
    </row>
    <row r="50" ht="21" customHeight="1" s="65">
      <c r="C50" s="16" t="n"/>
      <c r="D50" s="16" t="n"/>
      <c r="E50" s="103" t="n"/>
      <c r="F50" s="25" t="n"/>
      <c r="G50" s="16" t="n"/>
      <c r="H50" s="7">
        <f>IF(C50="","","Patrimonio|"&amp;COUNTIF($C$6:C50,"&lt;&gt;"))</f>
        <v/>
      </c>
      <c r="J50" s="39" t="n"/>
      <c r="K50" s="39" t="n"/>
      <c r="L50" s="39" t="n"/>
      <c r="M50" s="39" t="n"/>
    </row>
    <row r="51" ht="21" customHeight="1" s="65">
      <c r="C51" s="16" t="n"/>
      <c r="D51" s="16" t="n"/>
      <c r="E51" s="103" t="n"/>
      <c r="F51" s="25" t="n"/>
      <c r="G51" s="16" t="n"/>
      <c r="H51" s="7">
        <f>IF(C51="","","Patrimonio|"&amp;COUNTIF($C$6:C51,"&lt;&gt;"))</f>
        <v/>
      </c>
      <c r="J51" s="39" t="n"/>
      <c r="K51" s="39" t="n"/>
      <c r="L51" s="39" t="n"/>
      <c r="M51" s="39" t="n"/>
    </row>
    <row r="52" ht="21" customHeight="1" s="65">
      <c r="C52" s="16" t="n"/>
      <c r="D52" s="16" t="n"/>
      <c r="E52" s="103" t="n"/>
      <c r="F52" s="25" t="n"/>
      <c r="G52" s="16" t="n"/>
      <c r="H52" s="7">
        <f>IF(C52="","","Patrimonio|"&amp;COUNTIF($C$6:C52,"&lt;&gt;"))</f>
        <v/>
      </c>
      <c r="J52" s="39" t="n"/>
      <c r="K52" s="39" t="n"/>
      <c r="L52" s="39" t="n"/>
      <c r="M52" s="39" t="n"/>
    </row>
    <row r="53" ht="21" customHeight="1" s="65">
      <c r="C53" s="16" t="n"/>
      <c r="D53" s="16" t="n"/>
      <c r="E53" s="103" t="n"/>
      <c r="F53" s="25" t="n"/>
      <c r="G53" s="16" t="n"/>
      <c r="H53" s="7">
        <f>IF(C53="","","Patrimonio|"&amp;COUNTIF($C$6:C53,"&lt;&gt;"))</f>
        <v/>
      </c>
      <c r="J53" s="39" t="n"/>
      <c r="K53" s="39" t="n"/>
      <c r="L53" s="39" t="n"/>
      <c r="M53" s="39" t="n"/>
    </row>
    <row r="54" ht="21" customHeight="1" s="65">
      <c r="C54" s="16" t="n"/>
      <c r="D54" s="16" t="n"/>
      <c r="E54" s="103" t="n"/>
      <c r="F54" s="25" t="n"/>
      <c r="G54" s="16" t="n"/>
      <c r="H54" s="7">
        <f>IF(C54="","","Patrimonio|"&amp;COUNTIF($C$6:C54,"&lt;&gt;"))</f>
        <v/>
      </c>
      <c r="J54" s="39" t="n"/>
      <c r="K54" s="39" t="n"/>
      <c r="L54" s="39" t="n"/>
      <c r="M54" s="39" t="n"/>
    </row>
    <row r="55" ht="21" customHeight="1" s="65">
      <c r="C55" s="16" t="n"/>
      <c r="D55" s="16" t="n"/>
      <c r="E55" s="103" t="n"/>
      <c r="F55" s="25" t="n"/>
      <c r="G55" s="16" t="n"/>
      <c r="H55" s="7">
        <f>IF(C55="","","Patrimonio|"&amp;COUNTIF($C$6:C55,"&lt;&gt;"))</f>
        <v/>
      </c>
      <c r="J55" s="39" t="n"/>
      <c r="K55" s="39" t="n"/>
      <c r="L55" s="39" t="n"/>
      <c r="M55" s="39" t="n"/>
    </row>
    <row r="56" ht="21" customHeight="1" s="65">
      <c r="C56" s="16" t="n"/>
      <c r="D56" s="16" t="n"/>
      <c r="E56" s="103" t="n"/>
      <c r="F56" s="25" t="n"/>
      <c r="G56" s="16" t="n"/>
      <c r="H56" s="7">
        <f>IF(C56="","","Patrimonio|"&amp;COUNTIF($C$6:C56,"&lt;&gt;"))</f>
        <v/>
      </c>
      <c r="J56" s="39" t="n"/>
      <c r="K56" s="39" t="n"/>
      <c r="L56" s="39" t="n"/>
      <c r="M56" s="39" t="n"/>
    </row>
    <row r="57" ht="21" customHeight="1" s="65">
      <c r="C57" s="16" t="n"/>
      <c r="D57" s="16" t="n"/>
      <c r="E57" s="103" t="n"/>
      <c r="F57" s="25" t="n"/>
      <c r="G57" s="16" t="n"/>
      <c r="H57" s="7">
        <f>IF(C57="","","Patrimonio|"&amp;COUNTIF($C$6:C57,"&lt;&gt;"))</f>
        <v/>
      </c>
      <c r="J57" s="39" t="n"/>
      <c r="K57" s="39" t="n"/>
      <c r="L57" s="39" t="n"/>
      <c r="M57" s="39" t="n"/>
    </row>
    <row r="58" ht="21" customHeight="1" s="65">
      <c r="C58" s="16" t="n"/>
      <c r="D58" s="16" t="n"/>
      <c r="E58" s="103" t="n"/>
      <c r="F58" s="25" t="n"/>
      <c r="G58" s="16" t="n"/>
      <c r="H58" s="7">
        <f>IF(C58="","","Patrimonio|"&amp;COUNTIF($C$6:C58,"&lt;&gt;"))</f>
        <v/>
      </c>
      <c r="J58" s="39" t="n"/>
      <c r="K58" s="39" t="n"/>
      <c r="L58" s="39" t="n"/>
      <c r="M58" s="39" t="n"/>
    </row>
    <row r="59" ht="21" customHeight="1" s="65">
      <c r="C59" s="16" t="n"/>
      <c r="D59" s="16" t="n"/>
      <c r="E59" s="103" t="n"/>
      <c r="F59" s="25" t="n"/>
      <c r="G59" s="16" t="n"/>
      <c r="H59" s="7">
        <f>IF(C59="","","Patrimonio|"&amp;COUNTIF($C$6:C59,"&lt;&gt;"))</f>
        <v/>
      </c>
      <c r="J59" s="39" t="n"/>
      <c r="K59" s="39" t="n"/>
      <c r="L59" s="39" t="n"/>
      <c r="M59" s="39" t="n"/>
    </row>
    <row r="60" ht="21" customHeight="1" s="65">
      <c r="C60" s="16" t="n"/>
      <c r="D60" s="16" t="n"/>
      <c r="E60" s="103" t="n"/>
      <c r="F60" s="25" t="n"/>
      <c r="G60" s="16" t="n"/>
      <c r="H60" s="7">
        <f>IF(C60="","","Patrimonio|"&amp;COUNTIF($C$6:C60,"&lt;&gt;"))</f>
        <v/>
      </c>
      <c r="J60" s="39" t="n"/>
      <c r="K60" s="39" t="n"/>
      <c r="L60" s="39" t="n"/>
      <c r="M60" s="39" t="n"/>
    </row>
    <row r="61" ht="21" customHeight="1" s="65">
      <c r="C61" s="16" t="n"/>
      <c r="D61" s="16" t="n"/>
      <c r="E61" s="103" t="n"/>
      <c r="F61" s="25" t="n"/>
      <c r="G61" s="16" t="n"/>
      <c r="H61" s="7">
        <f>IF(C61="","","Patrimonio|"&amp;COUNTIF($C$6:C61,"&lt;&gt;"))</f>
        <v/>
      </c>
      <c r="J61" s="39" t="n"/>
      <c r="K61" s="39" t="n"/>
      <c r="L61" s="39" t="n"/>
      <c r="M61" s="39" t="n"/>
    </row>
    <row r="62" ht="21" customHeight="1" s="65">
      <c r="C62" s="16" t="n"/>
      <c r="D62" s="16" t="n"/>
      <c r="E62" s="103" t="n"/>
      <c r="F62" s="25" t="n"/>
      <c r="G62" s="16" t="n"/>
      <c r="H62" s="7">
        <f>IF(C62="","","Patrimonio|"&amp;COUNTIF($C$6:C62,"&lt;&gt;"))</f>
        <v/>
      </c>
      <c r="J62" s="39" t="n"/>
      <c r="K62" s="39" t="n"/>
      <c r="L62" s="39" t="n"/>
      <c r="M62" s="39" t="n"/>
    </row>
    <row r="63" ht="21" customHeight="1" s="65">
      <c r="C63" s="16" t="n"/>
      <c r="D63" s="16" t="n"/>
      <c r="E63" s="103" t="n"/>
      <c r="F63" s="25" t="n"/>
      <c r="G63" s="16" t="n"/>
      <c r="H63" s="7">
        <f>IF(C63="","","Patrimonio|"&amp;COUNTIF($C$6:C63,"&lt;&gt;"))</f>
        <v/>
      </c>
      <c r="J63" s="39" t="n"/>
      <c r="K63" s="39" t="n"/>
      <c r="L63" s="39" t="n"/>
      <c r="M63" s="39" t="n"/>
    </row>
    <row r="64" ht="21" customHeight="1" s="65">
      <c r="C64" s="16" t="n"/>
      <c r="D64" s="16" t="n"/>
      <c r="E64" s="103" t="n"/>
      <c r="F64" s="25" t="n"/>
      <c r="G64" s="16" t="n"/>
      <c r="H64" s="7">
        <f>IF(C64="","","Patrimonio|"&amp;COUNTIF($C$6:C64,"&lt;&gt;"))</f>
        <v/>
      </c>
      <c r="J64" s="39" t="n"/>
      <c r="K64" s="39" t="n"/>
      <c r="L64" s="39" t="n"/>
      <c r="M64" s="39" t="n"/>
    </row>
    <row r="65" ht="21" customHeight="1" s="65">
      <c r="C65" s="16" t="n"/>
      <c r="D65" s="16" t="n"/>
      <c r="E65" s="103" t="n"/>
      <c r="F65" s="25" t="n"/>
      <c r="G65" s="16" t="n"/>
      <c r="H65" s="7">
        <f>IF(C65="","","Patrimonio|"&amp;COUNTIF($C$6:C65,"&lt;&gt;"))</f>
        <v/>
      </c>
      <c r="J65" s="39" t="n"/>
      <c r="K65" s="39" t="n"/>
      <c r="L65" s="39" t="n"/>
      <c r="M65" s="39" t="n"/>
    </row>
    <row r="66" ht="21" customHeight="1" s="65">
      <c r="C66" s="16" t="n"/>
      <c r="D66" s="16" t="n"/>
      <c r="E66" s="103" t="n"/>
      <c r="F66" s="25" t="n"/>
      <c r="G66" s="16" t="n"/>
      <c r="H66" s="7">
        <f>IF(C66="","","Patrimonio|"&amp;COUNTIF($C$6:C66,"&lt;&gt;"))</f>
        <v/>
      </c>
      <c r="J66" s="39" t="n"/>
      <c r="K66" s="39" t="n"/>
      <c r="L66" s="39" t="n"/>
      <c r="M66" s="39" t="n"/>
    </row>
    <row r="67" ht="21" customHeight="1" s="65">
      <c r="C67" s="16" t="n"/>
      <c r="D67" s="16" t="n"/>
      <c r="E67" s="103" t="n"/>
      <c r="F67" s="25" t="n"/>
      <c r="G67" s="16" t="n"/>
      <c r="H67" s="7">
        <f>IF(C67="","","Patrimonio|"&amp;COUNTIF($C$6:C67,"&lt;&gt;"))</f>
        <v/>
      </c>
      <c r="J67" s="39" t="n"/>
      <c r="K67" s="39" t="n"/>
      <c r="L67" s="39" t="n"/>
      <c r="M67" s="39" t="n"/>
    </row>
    <row r="68" ht="21" customHeight="1" s="65">
      <c r="C68" s="16" t="n"/>
      <c r="D68" s="16" t="n"/>
      <c r="E68" s="103" t="n"/>
      <c r="F68" s="25" t="n"/>
      <c r="G68" s="16" t="n"/>
      <c r="H68" s="7">
        <f>IF(C68="","","Patrimonio|"&amp;COUNTIF($C$6:C68,"&lt;&gt;"))</f>
        <v/>
      </c>
      <c r="J68" s="39" t="n"/>
      <c r="K68" s="39" t="n"/>
      <c r="L68" s="39" t="n"/>
      <c r="M68" s="39" t="n"/>
    </row>
    <row r="69" ht="21" customHeight="1" s="65">
      <c r="C69" s="16" t="n"/>
      <c r="D69" s="16" t="n"/>
      <c r="E69" s="103" t="n"/>
      <c r="F69" s="25" t="n"/>
      <c r="G69" s="16" t="n"/>
      <c r="H69" s="7">
        <f>IF(C69="","","Patrimonio|"&amp;COUNTIF($C$6:C69,"&lt;&gt;"))</f>
        <v/>
      </c>
      <c r="J69" s="39" t="n"/>
      <c r="K69" s="39" t="n"/>
      <c r="L69" s="39" t="n"/>
      <c r="M69" s="39" t="n"/>
    </row>
    <row r="70" ht="21" customHeight="1" s="65">
      <c r="C70" s="16" t="n"/>
      <c r="D70" s="16" t="n"/>
      <c r="E70" s="103" t="n"/>
      <c r="F70" s="25" t="n"/>
      <c r="G70" s="16" t="n"/>
      <c r="H70" s="7">
        <f>IF(C70="","","Patrimonio|"&amp;COUNTIF($C$6:C70,"&lt;&gt;"))</f>
        <v/>
      </c>
      <c r="J70" s="39" t="n"/>
      <c r="K70" s="39" t="n"/>
      <c r="L70" s="39" t="n"/>
      <c r="M70" s="39" t="n"/>
    </row>
    <row r="71" ht="21" customHeight="1" s="65">
      <c r="C71" s="16" t="n"/>
      <c r="D71" s="16" t="n"/>
      <c r="E71" s="103" t="n"/>
      <c r="F71" s="25" t="n"/>
      <c r="G71" s="16" t="n"/>
      <c r="H71" s="7">
        <f>IF(C71="","","Patrimonio|"&amp;COUNTIF($C$6:C71,"&lt;&gt;"))</f>
        <v/>
      </c>
      <c r="J71" s="39" t="n"/>
      <c r="K71" s="39" t="n"/>
      <c r="L71" s="39" t="n"/>
      <c r="M71" s="39" t="n"/>
    </row>
    <row r="72" ht="21" customHeight="1" s="65">
      <c r="C72" s="16" t="n"/>
      <c r="D72" s="16" t="n"/>
      <c r="E72" s="103" t="n"/>
      <c r="F72" s="25" t="n"/>
      <c r="G72" s="16" t="n"/>
      <c r="H72" s="7">
        <f>IF(C72="","","Patrimonio|"&amp;COUNTIF($C$6:C72,"&lt;&gt;"))</f>
        <v/>
      </c>
      <c r="J72" s="39" t="n"/>
      <c r="K72" s="39" t="n"/>
      <c r="L72" s="39" t="n"/>
      <c r="M72" s="39" t="n"/>
    </row>
    <row r="73" ht="21" customHeight="1" s="65">
      <c r="C73" s="16" t="n"/>
      <c r="D73" s="16" t="n"/>
      <c r="E73" s="103" t="n"/>
      <c r="F73" s="25" t="n"/>
      <c r="G73" s="16" t="n"/>
      <c r="H73" s="7">
        <f>IF(C73="","","Patrimonio|"&amp;COUNTIF($C$6:C73,"&lt;&gt;"))</f>
        <v/>
      </c>
      <c r="J73" s="39" t="n"/>
      <c r="K73" s="39" t="n"/>
      <c r="L73" s="39" t="n"/>
      <c r="M73" s="39" t="n"/>
    </row>
    <row r="74" ht="21" customHeight="1" s="65">
      <c r="C74" s="16" t="n"/>
      <c r="D74" s="16" t="n"/>
      <c r="E74" s="103" t="n"/>
      <c r="F74" s="25" t="n"/>
      <c r="G74" s="16" t="n"/>
      <c r="H74" s="7">
        <f>IF(C74="","","Patrimonio|"&amp;COUNTIF($C$6:C74,"&lt;&gt;"))</f>
        <v/>
      </c>
      <c r="J74" s="39" t="n"/>
      <c r="K74" s="39" t="n"/>
      <c r="L74" s="39" t="n"/>
      <c r="M74" s="39" t="n"/>
    </row>
    <row r="75" ht="21" customHeight="1" s="65">
      <c r="C75" s="16" t="n"/>
      <c r="D75" s="16" t="n"/>
      <c r="E75" s="103" t="n"/>
      <c r="F75" s="25" t="n"/>
      <c r="G75" s="16" t="n"/>
      <c r="H75" s="7">
        <f>IF(C75="","","Patrimonio|"&amp;COUNTIF($C$6:C75,"&lt;&gt;"))</f>
        <v/>
      </c>
      <c r="J75" s="39" t="n"/>
      <c r="K75" s="39" t="n"/>
      <c r="L75" s="39" t="n"/>
      <c r="M75" s="39" t="n"/>
    </row>
    <row r="76" ht="21" customHeight="1" s="65">
      <c r="C76" s="16" t="n"/>
      <c r="D76" s="16" t="n"/>
      <c r="E76" s="103" t="n"/>
      <c r="F76" s="25" t="n"/>
      <c r="G76" s="16" t="n"/>
      <c r="H76" s="7">
        <f>IF(C76="","","Patrimonio|"&amp;COUNTIF($C$6:C76,"&lt;&gt;"))</f>
        <v/>
      </c>
      <c r="J76" s="39" t="n"/>
      <c r="K76" s="39" t="n"/>
      <c r="L76" s="39" t="n"/>
      <c r="M76" s="39" t="n"/>
    </row>
    <row r="77" ht="21" customHeight="1" s="65">
      <c r="C77" s="16" t="n"/>
      <c r="D77" s="16" t="n"/>
      <c r="E77" s="103" t="n"/>
      <c r="F77" s="25" t="n"/>
      <c r="G77" s="16" t="n"/>
      <c r="H77" s="7">
        <f>IF(C77="","","Patrimonio|"&amp;COUNTIF($C$6:C77,"&lt;&gt;"))</f>
        <v/>
      </c>
      <c r="J77" s="39" t="n"/>
      <c r="K77" s="39" t="n"/>
      <c r="L77" s="39" t="n"/>
      <c r="M77" s="39" t="n"/>
    </row>
    <row r="78" ht="21" customHeight="1" s="65">
      <c r="C78" s="16" t="n"/>
      <c r="D78" s="16" t="n"/>
      <c r="E78" s="103" t="n"/>
      <c r="F78" s="25" t="n"/>
      <c r="G78" s="16" t="n"/>
      <c r="H78" s="7">
        <f>IF(C78="","","Patrimonio|"&amp;COUNTIF($C$6:C78,"&lt;&gt;"))</f>
        <v/>
      </c>
      <c r="J78" s="39" t="n"/>
      <c r="K78" s="39" t="n"/>
      <c r="L78" s="39" t="n"/>
      <c r="M78" s="39" t="n"/>
    </row>
    <row r="79" ht="21" customHeight="1" s="65">
      <c r="C79" s="16" t="n"/>
      <c r="D79" s="16" t="n"/>
      <c r="E79" s="103" t="n"/>
      <c r="F79" s="25" t="n"/>
      <c r="G79" s="16" t="n"/>
      <c r="H79" s="7">
        <f>IF(C79="","","Patrimonio|"&amp;COUNTIF($C$6:C79,"&lt;&gt;"))</f>
        <v/>
      </c>
      <c r="J79" s="39" t="n"/>
      <c r="K79" s="39" t="n"/>
      <c r="L79" s="39" t="n"/>
      <c r="M79" s="39" t="n"/>
    </row>
    <row r="80" ht="21" customHeight="1" s="65">
      <c r="C80" s="16" t="n"/>
      <c r="D80" s="16" t="n"/>
      <c r="E80" s="103" t="n"/>
      <c r="F80" s="25" t="n"/>
      <c r="G80" s="16" t="n"/>
      <c r="H80" s="7">
        <f>IF(C80="","","Patrimonio|"&amp;COUNTIF($C$6:C80,"&lt;&gt;"))</f>
        <v/>
      </c>
      <c r="J80" s="39" t="n"/>
      <c r="K80" s="39" t="n"/>
      <c r="L80" s="39" t="n"/>
      <c r="M80" s="39" t="n"/>
    </row>
    <row r="81" ht="21" customHeight="1" s="65">
      <c r="C81" s="16" t="n"/>
      <c r="D81" s="16" t="n"/>
      <c r="E81" s="103" t="n"/>
      <c r="F81" s="25" t="n"/>
      <c r="G81" s="16" t="n"/>
      <c r="H81" s="7">
        <f>IF(C81="","","Patrimonio|"&amp;COUNTIF($C$6:C81,"&lt;&gt;"))</f>
        <v/>
      </c>
      <c r="J81" s="39" t="n"/>
      <c r="K81" s="39" t="n"/>
      <c r="L81" s="39" t="n"/>
      <c r="M81" s="39" t="n"/>
    </row>
    <row r="82" ht="21" customHeight="1" s="65">
      <c r="C82" s="16" t="n"/>
      <c r="D82" s="16" t="n"/>
      <c r="E82" s="103" t="n"/>
      <c r="F82" s="25" t="n"/>
      <c r="G82" s="16" t="n"/>
      <c r="H82" s="7">
        <f>IF(C82="","","Patrimonio|"&amp;COUNTIF($C$6:C82,"&lt;&gt;"))</f>
        <v/>
      </c>
      <c r="J82" s="39" t="n"/>
      <c r="K82" s="39" t="n"/>
      <c r="L82" s="39" t="n"/>
      <c r="M82" s="39" t="n"/>
    </row>
    <row r="83" ht="21" customHeight="1" s="65">
      <c r="C83" s="16" t="n"/>
      <c r="D83" s="16" t="n"/>
      <c r="E83" s="103" t="n"/>
      <c r="F83" s="25" t="n"/>
      <c r="G83" s="16" t="n"/>
      <c r="H83" s="7">
        <f>IF(C83="","","Patrimonio|"&amp;COUNTIF($C$6:C83,"&lt;&gt;"))</f>
        <v/>
      </c>
      <c r="J83" s="39" t="n"/>
      <c r="K83" s="39" t="n"/>
      <c r="L83" s="39" t="n"/>
      <c r="M83" s="39" t="n"/>
    </row>
    <row r="84" ht="21" customHeight="1" s="65">
      <c r="C84" s="16" t="n"/>
      <c r="D84" s="16" t="n"/>
      <c r="E84" s="103" t="n"/>
      <c r="F84" s="25" t="n"/>
      <c r="G84" s="16" t="n"/>
      <c r="H84" s="7">
        <f>IF(C84="","","Patrimonio|"&amp;COUNTIF($C$6:C84,"&lt;&gt;"))</f>
        <v/>
      </c>
      <c r="J84" s="39" t="n"/>
      <c r="K84" s="39" t="n"/>
      <c r="L84" s="39" t="n"/>
      <c r="M84" s="39" t="n"/>
    </row>
    <row r="85" ht="21" customHeight="1" s="65">
      <c r="C85" s="16" t="n"/>
      <c r="D85" s="16" t="n"/>
      <c r="E85" s="103" t="n"/>
      <c r="F85" s="25" t="n"/>
      <c r="G85" s="16" t="n"/>
      <c r="H85" s="7">
        <f>IF(C85="","","Patrimonio|"&amp;COUNTIF($C$6:C85,"&lt;&gt;"))</f>
        <v/>
      </c>
      <c r="J85" s="39" t="n"/>
      <c r="K85" s="39" t="n"/>
      <c r="L85" s="39" t="n"/>
      <c r="M85" s="39" t="n"/>
    </row>
    <row r="86" ht="21" customHeight="1" s="65">
      <c r="C86" s="16" t="n"/>
      <c r="D86" s="16" t="n"/>
      <c r="E86" s="103" t="n"/>
      <c r="F86" s="25" t="n"/>
      <c r="G86" s="16" t="n"/>
      <c r="H86" s="7">
        <f>IF(C86="","","Patrimonio|"&amp;COUNTIF($C$6:C86,"&lt;&gt;"))</f>
        <v/>
      </c>
      <c r="J86" s="39" t="n"/>
      <c r="K86" s="39" t="n"/>
      <c r="L86" s="39" t="n"/>
      <c r="M86" s="39" t="n"/>
    </row>
    <row r="87" ht="21" customHeight="1" s="65">
      <c r="C87" s="16" t="n"/>
      <c r="D87" s="16" t="n"/>
      <c r="E87" s="103" t="n"/>
      <c r="F87" s="25" t="n"/>
      <c r="G87" s="16" t="n"/>
      <c r="H87" s="7">
        <f>IF(C87="","","Patrimonio|"&amp;COUNTIF($C$6:C87,"&lt;&gt;"))</f>
        <v/>
      </c>
      <c r="J87" s="39" t="n"/>
      <c r="K87" s="39" t="n"/>
      <c r="L87" s="39" t="n"/>
      <c r="M87" s="39" t="n"/>
    </row>
    <row r="88" ht="21" customHeight="1" s="65">
      <c r="C88" s="16" t="n"/>
      <c r="D88" s="16" t="n"/>
      <c r="E88" s="103" t="n"/>
      <c r="F88" s="25" t="n"/>
      <c r="G88" s="16" t="n"/>
      <c r="H88" s="7">
        <f>IF(C88="","","Patrimonio|"&amp;COUNTIF($C$6:C88,"&lt;&gt;"))</f>
        <v/>
      </c>
      <c r="J88" s="39" t="n"/>
      <c r="K88" s="39" t="n"/>
      <c r="L88" s="39" t="n"/>
      <c r="M88" s="39" t="n"/>
    </row>
    <row r="89" ht="21" customHeight="1" s="65">
      <c r="C89" s="16" t="n"/>
      <c r="D89" s="16" t="n"/>
      <c r="E89" s="103" t="n"/>
      <c r="F89" s="25" t="n"/>
      <c r="G89" s="16" t="n"/>
      <c r="H89" s="7">
        <f>IF(C89="","","Patrimonio|"&amp;COUNTIF($C$6:C89,"&lt;&gt;"))</f>
        <v/>
      </c>
      <c r="J89" s="39" t="n"/>
      <c r="K89" s="39" t="n"/>
      <c r="L89" s="39" t="n"/>
      <c r="M89" s="39" t="n"/>
    </row>
    <row r="90" ht="21" customHeight="1" s="65">
      <c r="C90" s="16" t="n"/>
      <c r="D90" s="16" t="n"/>
      <c r="E90" s="103" t="n"/>
      <c r="F90" s="25" t="n"/>
      <c r="G90" s="16" t="n"/>
      <c r="H90" s="7">
        <f>IF(C90="","","Patrimonio|"&amp;COUNTIF($C$6:C90,"&lt;&gt;"))</f>
        <v/>
      </c>
      <c r="J90" s="39" t="n"/>
      <c r="K90" s="39" t="n"/>
      <c r="L90" s="39" t="n"/>
      <c r="M90" s="39" t="n"/>
    </row>
    <row r="91" ht="21" customHeight="1" s="65">
      <c r="C91" s="16" t="n"/>
      <c r="D91" s="16" t="n"/>
      <c r="E91" s="103" t="n"/>
      <c r="F91" s="25" t="n"/>
      <c r="G91" s="16" t="n"/>
      <c r="H91" s="7">
        <f>IF(C91="","","Patrimonio|"&amp;COUNTIF($C$6:C91,"&lt;&gt;"))</f>
        <v/>
      </c>
      <c r="J91" s="39" t="n"/>
      <c r="K91" s="39" t="n"/>
      <c r="L91" s="39" t="n"/>
      <c r="M91" s="39" t="n"/>
    </row>
    <row r="92" ht="21" customHeight="1" s="65">
      <c r="C92" s="16" t="n"/>
      <c r="D92" s="16" t="n"/>
      <c r="E92" s="103" t="n"/>
      <c r="F92" s="25" t="n"/>
      <c r="G92" s="16" t="n"/>
      <c r="H92" s="7">
        <f>IF(C92="","","Patrimonio|"&amp;COUNTIF($C$6:C92,"&lt;&gt;"))</f>
        <v/>
      </c>
      <c r="J92" s="39" t="n"/>
      <c r="K92" s="39" t="n"/>
      <c r="L92" s="39" t="n"/>
      <c r="M92" s="39" t="n"/>
    </row>
    <row r="93" ht="21" customHeight="1" s="65">
      <c r="C93" s="16" t="n"/>
      <c r="D93" s="16" t="n"/>
      <c r="E93" s="103" t="n"/>
      <c r="F93" s="25" t="n"/>
      <c r="G93" s="16" t="n"/>
      <c r="H93" s="7">
        <f>IF(C93="","","Patrimonio|"&amp;COUNTIF($C$6:C93,"&lt;&gt;"))</f>
        <v/>
      </c>
      <c r="J93" s="39" t="n"/>
      <c r="K93" s="39" t="n"/>
      <c r="L93" s="39" t="n"/>
      <c r="M93" s="39" t="n"/>
    </row>
    <row r="94" ht="21" customHeight="1" s="65">
      <c r="C94" s="16" t="n"/>
      <c r="D94" s="16" t="n"/>
      <c r="E94" s="103" t="n"/>
      <c r="F94" s="25" t="n"/>
      <c r="G94" s="16" t="n"/>
      <c r="H94" s="7">
        <f>IF(C94="","","Patrimonio|"&amp;COUNTIF($C$6:C94,"&lt;&gt;"))</f>
        <v/>
      </c>
      <c r="J94" s="39" t="n"/>
      <c r="K94" s="39" t="n"/>
      <c r="L94" s="39" t="n"/>
      <c r="M94" s="39" t="n"/>
    </row>
    <row r="95" ht="21" customHeight="1" s="65">
      <c r="C95" s="16" t="n"/>
      <c r="D95" s="16" t="n"/>
      <c r="E95" s="103" t="n"/>
      <c r="F95" s="25" t="n"/>
      <c r="G95" s="16" t="n"/>
      <c r="H95" s="7">
        <f>IF(C95="","","Patrimonio|"&amp;COUNTIF($C$6:C95,"&lt;&gt;"))</f>
        <v/>
      </c>
      <c r="J95" s="39" t="n"/>
      <c r="K95" s="39" t="n"/>
      <c r="L95" s="39" t="n"/>
      <c r="M95" s="39" t="n"/>
    </row>
    <row r="96" ht="21" customHeight="1" s="65">
      <c r="C96" s="16" t="n"/>
      <c r="D96" s="16" t="n"/>
      <c r="E96" s="103" t="n"/>
      <c r="F96" s="25" t="n"/>
      <c r="G96" s="16" t="n"/>
      <c r="H96" s="7">
        <f>IF(C96="","","Patrimonio|"&amp;COUNTIF($C$6:C96,"&lt;&gt;"))</f>
        <v/>
      </c>
      <c r="J96" s="39" t="n"/>
      <c r="K96" s="39" t="n"/>
      <c r="L96" s="39" t="n"/>
      <c r="M96" s="39" t="n"/>
    </row>
    <row r="97" ht="21" customHeight="1" s="65">
      <c r="C97" s="16" t="n"/>
      <c r="D97" s="16" t="n"/>
      <c r="E97" s="103" t="n"/>
      <c r="F97" s="25" t="n"/>
      <c r="G97" s="16" t="n"/>
      <c r="H97" s="7">
        <f>IF(C97="","","Patrimonio|"&amp;COUNTIF($C$6:C97,"&lt;&gt;"))</f>
        <v/>
      </c>
      <c r="J97" s="39" t="n"/>
      <c r="K97" s="39" t="n"/>
      <c r="L97" s="39" t="n"/>
      <c r="M97" s="39" t="n"/>
    </row>
    <row r="98" ht="21" customHeight="1" s="65">
      <c r="C98" s="16" t="n"/>
      <c r="D98" s="16" t="n"/>
      <c r="E98" s="103" t="n"/>
      <c r="F98" s="25" t="n"/>
      <c r="G98" s="16" t="n"/>
      <c r="H98" s="7">
        <f>IF(C98="","","Patrimonio|"&amp;COUNTIF($C$6:C98,"&lt;&gt;"))</f>
        <v/>
      </c>
      <c r="J98" s="39" t="n"/>
      <c r="K98" s="39" t="n"/>
      <c r="L98" s="39" t="n"/>
      <c r="M98" s="39" t="n"/>
    </row>
    <row r="99" ht="21" customHeight="1" s="65">
      <c r="C99" s="16" t="n"/>
      <c r="D99" s="16" t="n"/>
      <c r="E99" s="103" t="n"/>
      <c r="F99" s="25" t="n"/>
      <c r="G99" s="16" t="n"/>
      <c r="H99" s="7">
        <f>IF(C99="","","Patrimonio|"&amp;COUNTIF($C$6:C99,"&lt;&gt;"))</f>
        <v/>
      </c>
      <c r="J99" s="39" t="n"/>
      <c r="K99" s="39" t="n"/>
      <c r="L99" s="39" t="n"/>
      <c r="M99" s="39" t="n"/>
    </row>
    <row r="100" ht="21" customHeight="1" s="65">
      <c r="C100" s="16" t="n"/>
      <c r="D100" s="16" t="n"/>
      <c r="E100" s="103" t="n"/>
      <c r="F100" s="25" t="n"/>
      <c r="G100" s="16" t="n"/>
      <c r="H100" s="7">
        <f>IF(C100="","","Patrimonio|"&amp;COUNTIF($C$6:C100,"&lt;&gt;"))</f>
        <v/>
      </c>
      <c r="J100" s="39" t="n"/>
      <c r="K100" s="39" t="n"/>
      <c r="L100" s="39" t="n"/>
      <c r="M100" s="39" t="n"/>
    </row>
    <row r="101" ht="21" customHeight="1" s="65">
      <c r="C101" s="16" t="n"/>
      <c r="D101" s="16" t="n"/>
      <c r="E101" s="103" t="n"/>
      <c r="F101" s="25" t="n"/>
      <c r="G101" s="16" t="n"/>
      <c r="H101" s="7">
        <f>IF(C101="","","Patrimonio|"&amp;COUNTIF($C$6:C101,"&lt;&gt;"))</f>
        <v/>
      </c>
      <c r="J101" s="39" t="n"/>
      <c r="K101" s="39" t="n"/>
      <c r="L101" s="39" t="n"/>
      <c r="M101" s="39" t="n"/>
    </row>
    <row r="102" ht="21" customHeight="1" s="65">
      <c r="C102" s="16" t="n"/>
      <c r="D102" s="16" t="n"/>
      <c r="E102" s="103" t="n"/>
      <c r="F102" s="25" t="n"/>
      <c r="G102" s="16" t="n"/>
      <c r="H102" s="7">
        <f>IF(C102="","","Patrimonio|"&amp;COUNTIF($C$6:C102,"&lt;&gt;"))</f>
        <v/>
      </c>
      <c r="J102" s="39" t="n"/>
      <c r="K102" s="39" t="n"/>
      <c r="L102" s="39" t="n"/>
      <c r="M102" s="39" t="n"/>
    </row>
    <row r="103" ht="21" customHeight="1" s="65">
      <c r="C103" s="16" t="n"/>
      <c r="D103" s="16" t="n"/>
      <c r="E103" s="103" t="n"/>
      <c r="F103" s="25" t="n"/>
      <c r="G103" s="16" t="n"/>
      <c r="H103" s="7">
        <f>IF(C103="","","Patrimonio|"&amp;COUNTIF($C$6:C103,"&lt;&gt;"))</f>
        <v/>
      </c>
      <c r="J103" s="39" t="n"/>
      <c r="K103" s="39" t="n"/>
      <c r="L103" s="39" t="n"/>
      <c r="M103" s="39" t="n"/>
    </row>
    <row r="104" ht="21" customHeight="1" s="65">
      <c r="C104" s="16" t="n"/>
      <c r="D104" s="16" t="n"/>
      <c r="E104" s="103" t="n"/>
      <c r="F104" s="25" t="n"/>
      <c r="G104" s="16" t="n"/>
      <c r="H104" s="7">
        <f>IF(C104="","","Patrimonio|"&amp;COUNTIF($C$6:C104,"&lt;&gt;"))</f>
        <v/>
      </c>
      <c r="J104" s="39" t="n"/>
      <c r="K104" s="39" t="n"/>
      <c r="L104" s="39" t="n"/>
      <c r="M104" s="39" t="n"/>
    </row>
    <row r="105" ht="21" customHeight="1" s="65">
      <c r="C105" s="16" t="n"/>
      <c r="D105" s="16" t="n"/>
      <c r="E105" s="103" t="n"/>
      <c r="F105" s="25" t="n"/>
      <c r="G105" s="16" t="n"/>
      <c r="H105" s="7">
        <f>IF(C105="","","Patrimonio|"&amp;COUNTIF($C$6:C105,"&lt;&gt;"))</f>
        <v/>
      </c>
      <c r="J105" s="39" t="n"/>
      <c r="K105" s="39" t="n"/>
      <c r="L105" s="39" t="n"/>
      <c r="M105" s="39" t="n"/>
    </row>
    <row r="106" ht="21" customHeight="1" s="65">
      <c r="C106" s="16" t="n"/>
      <c r="D106" s="16" t="n"/>
      <c r="E106" s="103" t="n"/>
      <c r="F106" s="25" t="n"/>
      <c r="G106" s="16" t="n"/>
      <c r="H106" s="7">
        <f>IF(C106="","","Patrimonio|"&amp;COUNTIF($C$6:C106,"&lt;&gt;"))</f>
        <v/>
      </c>
      <c r="J106" s="39" t="n"/>
      <c r="K106" s="39" t="n"/>
      <c r="L106" s="39" t="n"/>
      <c r="M106" s="39" t="n"/>
    </row>
    <row r="107" ht="21" customHeight="1" s="65">
      <c r="C107" s="16" t="n"/>
      <c r="D107" s="16" t="n"/>
      <c r="E107" s="103" t="n"/>
      <c r="F107" s="25" t="n"/>
      <c r="G107" s="16" t="n"/>
      <c r="H107" s="7">
        <f>IF(C107="","","Patrimonio|"&amp;COUNTIF($C$6:C107,"&lt;&gt;"))</f>
        <v/>
      </c>
      <c r="J107" s="39" t="n"/>
      <c r="K107" s="39" t="n"/>
      <c r="L107" s="39" t="n"/>
      <c r="M107" s="39" t="n"/>
    </row>
    <row r="108" ht="21" customHeight="1" s="65">
      <c r="C108" s="16" t="n"/>
      <c r="D108" s="16" t="n"/>
      <c r="E108" s="103" t="n"/>
      <c r="F108" s="25" t="n"/>
      <c r="G108" s="16" t="n"/>
      <c r="H108" s="7">
        <f>IF(C108="","","Patrimonio|"&amp;COUNTIF($C$6:C108,"&lt;&gt;"))</f>
        <v/>
      </c>
      <c r="J108" s="39" t="n"/>
      <c r="K108" s="39" t="n"/>
      <c r="L108" s="39" t="n"/>
      <c r="M108" s="39" t="n"/>
    </row>
    <row r="109" ht="21" customHeight="1" s="65">
      <c r="C109" s="16" t="n"/>
      <c r="D109" s="16" t="n"/>
      <c r="E109" s="103" t="n"/>
      <c r="F109" s="25" t="n"/>
      <c r="G109" s="16" t="n"/>
      <c r="H109" s="7">
        <f>IF(C109="","","Patrimonio|"&amp;COUNTIF($C$6:C109,"&lt;&gt;"))</f>
        <v/>
      </c>
      <c r="J109" s="39" t="n"/>
      <c r="K109" s="39" t="n"/>
      <c r="L109" s="39" t="n"/>
      <c r="M109" s="39" t="n"/>
    </row>
    <row r="110" ht="21" customHeight="1" s="65">
      <c r="C110" s="16" t="n"/>
      <c r="D110" s="16" t="n"/>
      <c r="E110" s="103" t="n"/>
      <c r="F110" s="25" t="n"/>
      <c r="G110" s="16" t="n"/>
      <c r="H110" s="7">
        <f>IF(C110="","","Patrimonio|"&amp;COUNTIF($C$6:C110,"&lt;&gt;"))</f>
        <v/>
      </c>
      <c r="J110" s="39" t="n"/>
      <c r="K110" s="39" t="n"/>
      <c r="L110" s="39" t="n"/>
      <c r="M110" s="39" t="n"/>
    </row>
    <row r="111" ht="21" customHeight="1" s="65">
      <c r="C111" s="16" t="n"/>
      <c r="D111" s="16" t="n"/>
      <c r="E111" s="103" t="n"/>
      <c r="F111" s="25" t="n"/>
      <c r="G111" s="16" t="n"/>
      <c r="H111" s="7">
        <f>IF(C111="","","Patrimonio|"&amp;COUNTIF($C$6:C111,"&lt;&gt;"))</f>
        <v/>
      </c>
      <c r="J111" s="39" t="n"/>
      <c r="K111" s="39" t="n"/>
      <c r="L111" s="39" t="n"/>
      <c r="M111" s="39" t="n"/>
    </row>
    <row r="112" ht="21" customHeight="1" s="65">
      <c r="C112" s="16" t="n"/>
      <c r="D112" s="16" t="n"/>
      <c r="E112" s="103" t="n"/>
      <c r="F112" s="25" t="n"/>
      <c r="G112" s="16" t="n"/>
      <c r="H112" s="7">
        <f>IF(C112="","","Patrimonio|"&amp;COUNTIF($C$6:C112,"&lt;&gt;"))</f>
        <v/>
      </c>
      <c r="J112" s="39" t="n"/>
      <c r="K112" s="39" t="n"/>
      <c r="L112" s="39" t="n"/>
      <c r="M112" s="39" t="n"/>
    </row>
    <row r="113" ht="21" customHeight="1" s="65">
      <c r="C113" s="16" t="n"/>
      <c r="D113" s="16" t="n"/>
      <c r="E113" s="103" t="n"/>
      <c r="F113" s="25" t="n"/>
      <c r="G113" s="16" t="n"/>
      <c r="H113" s="7">
        <f>IF(C113="","","Patrimonio|"&amp;COUNTIF($C$6:C113,"&lt;&gt;"))</f>
        <v/>
      </c>
      <c r="J113" s="39" t="n"/>
      <c r="K113" s="39" t="n"/>
      <c r="L113" s="39" t="n"/>
      <c r="M113" s="39" t="n"/>
    </row>
    <row r="114" ht="21" customHeight="1" s="65">
      <c r="C114" s="16" t="n"/>
      <c r="D114" s="16" t="n"/>
      <c r="E114" s="103" t="n"/>
      <c r="F114" s="25" t="n"/>
      <c r="G114" s="16" t="n"/>
      <c r="H114" s="7">
        <f>IF(C114="","","Patrimonio|"&amp;COUNTIF($C$6:C114,"&lt;&gt;"))</f>
        <v/>
      </c>
      <c r="J114" s="39" t="n"/>
      <c r="K114" s="39" t="n"/>
      <c r="L114" s="39" t="n"/>
      <c r="M114" s="39" t="n"/>
    </row>
    <row r="115" ht="21" customHeight="1" s="65">
      <c r="C115" s="16" t="n"/>
      <c r="D115" s="16" t="n"/>
      <c r="E115" s="103" t="n"/>
      <c r="F115" s="25" t="n"/>
      <c r="G115" s="16" t="n"/>
      <c r="H115" s="7">
        <f>IF(C115="","","Patrimonio|"&amp;COUNTIF($C$6:C115,"&lt;&gt;"))</f>
        <v/>
      </c>
      <c r="J115" s="39" t="n"/>
      <c r="K115" s="39" t="n"/>
      <c r="L115" s="39" t="n"/>
      <c r="M115" s="39" t="n"/>
    </row>
    <row r="116" ht="21" customHeight="1" s="65">
      <c r="C116" s="16" t="n"/>
      <c r="D116" s="16" t="n"/>
      <c r="E116" s="103" t="n"/>
      <c r="F116" s="25" t="n"/>
      <c r="G116" s="16" t="n"/>
      <c r="H116" s="7">
        <f>IF(C116="","","Patrimonio|"&amp;COUNTIF($C$6:C116,"&lt;&gt;"))</f>
        <v/>
      </c>
      <c r="J116" s="39" t="n"/>
      <c r="K116" s="39" t="n"/>
      <c r="L116" s="39" t="n"/>
      <c r="M116" s="39" t="n"/>
    </row>
    <row r="117" ht="21" customHeight="1" s="65">
      <c r="C117" s="16" t="n"/>
      <c r="D117" s="16" t="n"/>
      <c r="E117" s="103" t="n"/>
      <c r="F117" s="25" t="n"/>
      <c r="G117" s="16" t="n"/>
      <c r="H117" s="7">
        <f>IF(C117="","","Patrimonio|"&amp;COUNTIF($C$6:C117,"&lt;&gt;"))</f>
        <v/>
      </c>
      <c r="J117" s="39" t="n"/>
      <c r="K117" s="39" t="n"/>
      <c r="L117" s="39" t="n"/>
      <c r="M117" s="39" t="n"/>
    </row>
    <row r="118" ht="21" customHeight="1" s="65">
      <c r="C118" s="16" t="n"/>
      <c r="D118" s="16" t="n"/>
      <c r="E118" s="103" t="n"/>
      <c r="F118" s="25" t="n"/>
      <c r="G118" s="16" t="n"/>
      <c r="H118" s="7">
        <f>IF(C118="","","Patrimonio|"&amp;COUNTIF($C$6:C118,"&lt;&gt;"))</f>
        <v/>
      </c>
      <c r="J118" s="39" t="n"/>
      <c r="K118" s="39" t="n"/>
      <c r="L118" s="39" t="n"/>
      <c r="M118" s="39" t="n"/>
    </row>
    <row r="119" ht="21" customHeight="1" s="65">
      <c r="C119" s="16" t="n"/>
      <c r="D119" s="16" t="n"/>
      <c r="E119" s="103" t="n"/>
      <c r="F119" s="25" t="n"/>
      <c r="G119" s="16" t="n"/>
      <c r="H119" s="7">
        <f>IF(C119="","","Patrimonio|"&amp;COUNTIF($C$6:C119,"&lt;&gt;"))</f>
        <v/>
      </c>
      <c r="J119" s="39" t="n"/>
      <c r="K119" s="39" t="n"/>
      <c r="L119" s="39" t="n"/>
      <c r="M119" s="39" t="n"/>
    </row>
    <row r="120" ht="21" customHeight="1" s="65">
      <c r="C120" s="16" t="n"/>
      <c r="D120" s="16" t="n"/>
      <c r="E120" s="103" t="n"/>
      <c r="F120" s="25" t="n"/>
      <c r="G120" s="16" t="n"/>
      <c r="H120" s="7">
        <f>IF(C120="","","Patrimonio|"&amp;COUNTIF($C$6:C120,"&lt;&gt;"))</f>
        <v/>
      </c>
      <c r="J120" s="39" t="n"/>
      <c r="K120" s="39" t="n"/>
      <c r="L120" s="39" t="n"/>
      <c r="M120" s="39" t="n"/>
    </row>
    <row r="121" ht="21" customHeight="1" s="65">
      <c r="C121" s="16" t="n"/>
      <c r="D121" s="16" t="n"/>
      <c r="E121" s="103" t="n"/>
      <c r="F121" s="25" t="n"/>
      <c r="G121" s="16" t="n"/>
      <c r="H121" s="7">
        <f>IF(C121="","","Patrimonio|"&amp;COUNTIF($C$6:C121,"&lt;&gt;"))</f>
        <v/>
      </c>
      <c r="J121" s="39" t="n"/>
      <c r="K121" s="39" t="n"/>
      <c r="L121" s="39" t="n"/>
      <c r="M121" s="39" t="n"/>
    </row>
    <row r="122" ht="21" customHeight="1" s="65">
      <c r="C122" s="16" t="n"/>
      <c r="D122" s="16" t="n"/>
      <c r="E122" s="103" t="n"/>
      <c r="F122" s="25" t="n"/>
      <c r="G122" s="16" t="n"/>
      <c r="H122" s="7">
        <f>IF(C122="","","Patrimonio|"&amp;COUNTIF($C$6:C122,"&lt;&gt;"))</f>
        <v/>
      </c>
      <c r="J122" s="39" t="n"/>
      <c r="K122" s="39" t="n"/>
      <c r="L122" s="39" t="n"/>
      <c r="M122" s="39" t="n"/>
    </row>
    <row r="123" ht="21" customHeight="1" s="65">
      <c r="C123" s="16" t="n"/>
      <c r="D123" s="16" t="n"/>
      <c r="E123" s="103" t="n"/>
      <c r="F123" s="25" t="n"/>
      <c r="G123" s="16" t="n"/>
      <c r="H123" s="7">
        <f>IF(C123="","","Patrimonio|"&amp;COUNTIF($C$6:C123,"&lt;&gt;"))</f>
        <v/>
      </c>
      <c r="J123" s="39" t="n"/>
      <c r="K123" s="39" t="n"/>
      <c r="L123" s="39" t="n"/>
      <c r="M123" s="39" t="n"/>
    </row>
    <row r="124" ht="21" customHeight="1" s="65">
      <c r="C124" s="16" t="n"/>
      <c r="D124" s="16" t="n"/>
      <c r="E124" s="103" t="n"/>
      <c r="F124" s="25" t="n"/>
      <c r="G124" s="16" t="n"/>
      <c r="H124" s="7">
        <f>IF(C124="","","Patrimonio|"&amp;COUNTIF($C$6:C124,"&lt;&gt;"))</f>
        <v/>
      </c>
      <c r="J124" s="39" t="n"/>
      <c r="K124" s="39" t="n"/>
      <c r="L124" s="39" t="n"/>
      <c r="M124" s="39" t="n"/>
    </row>
    <row r="125" ht="21" customHeight="1" s="65">
      <c r="C125" s="16" t="n"/>
      <c r="D125" s="16" t="n"/>
      <c r="E125" s="103" t="n"/>
      <c r="F125" s="25" t="n"/>
      <c r="G125" s="16" t="n"/>
      <c r="H125" s="7">
        <f>IF(C125="","","Patrimonio|"&amp;COUNTIF($C$6:C125,"&lt;&gt;"))</f>
        <v/>
      </c>
      <c r="J125" s="39" t="n"/>
      <c r="K125" s="39" t="n"/>
      <c r="L125" s="39" t="n"/>
      <c r="M125" s="39" t="n"/>
    </row>
    <row r="126" ht="21" customHeight="1" s="65">
      <c r="C126" s="16" t="n"/>
      <c r="D126" s="16" t="n"/>
      <c r="E126" s="103" t="n"/>
      <c r="F126" s="25" t="n"/>
      <c r="G126" s="16" t="n"/>
      <c r="H126" s="7">
        <f>IF(C126="","","Patrimonio|"&amp;COUNTIF($C$6:C126,"&lt;&gt;"))</f>
        <v/>
      </c>
      <c r="J126" s="39" t="n"/>
      <c r="K126" s="39" t="n"/>
      <c r="L126" s="39" t="n"/>
      <c r="M126" s="39" t="n"/>
    </row>
    <row r="127" ht="21" customHeight="1" s="65">
      <c r="C127" s="16" t="n"/>
      <c r="D127" s="16" t="n"/>
      <c r="E127" s="103" t="n"/>
      <c r="F127" s="25" t="n"/>
      <c r="G127" s="16" t="n"/>
      <c r="H127" s="7">
        <f>IF(C127="","","Patrimonio|"&amp;COUNTIF($C$6:C127,"&lt;&gt;"))</f>
        <v/>
      </c>
      <c r="J127" s="39" t="n"/>
      <c r="K127" s="39" t="n"/>
      <c r="L127" s="39" t="n"/>
      <c r="M127" s="39" t="n"/>
    </row>
    <row r="128" ht="21" customHeight="1" s="65">
      <c r="C128" s="16" t="n"/>
      <c r="D128" s="16" t="n"/>
      <c r="E128" s="103" t="n"/>
      <c r="F128" s="25" t="n"/>
      <c r="G128" s="16" t="n"/>
      <c r="H128" s="7">
        <f>IF(C128="","","Patrimonio|"&amp;COUNTIF($C$6:C128,"&lt;&gt;"))</f>
        <v/>
      </c>
      <c r="J128" s="39" t="n"/>
      <c r="K128" s="39" t="n"/>
      <c r="L128" s="39" t="n"/>
      <c r="M128" s="39" t="n"/>
    </row>
    <row r="129" ht="21" customHeight="1" s="65">
      <c r="C129" s="16" t="n"/>
      <c r="D129" s="16" t="n"/>
      <c r="E129" s="103" t="n"/>
      <c r="F129" s="25" t="n"/>
      <c r="G129" s="16" t="n"/>
      <c r="H129" s="7">
        <f>IF(C129="","","Patrimonio|"&amp;COUNTIF($C$6:C129,"&lt;&gt;"))</f>
        <v/>
      </c>
      <c r="J129" s="39" t="n"/>
      <c r="K129" s="39" t="n"/>
      <c r="L129" s="39" t="n"/>
      <c r="M129" s="39" t="n"/>
    </row>
    <row r="130" ht="21" customHeight="1" s="65">
      <c r="C130" s="16" t="n"/>
      <c r="D130" s="16" t="n"/>
      <c r="E130" s="103" t="n"/>
      <c r="F130" s="25" t="n"/>
      <c r="G130" s="16" t="n"/>
      <c r="H130" s="7">
        <f>IF(C130="","","Patrimonio|"&amp;COUNTIF($C$6:C130,"&lt;&gt;"))</f>
        <v/>
      </c>
      <c r="J130" s="39" t="n"/>
      <c r="K130" s="39" t="n"/>
      <c r="L130" s="39" t="n"/>
      <c r="M130" s="39" t="n"/>
    </row>
    <row r="131" ht="21" customHeight="1" s="65">
      <c r="C131" s="16" t="n"/>
      <c r="D131" s="16" t="n"/>
      <c r="E131" s="103" t="n"/>
      <c r="F131" s="25" t="n"/>
      <c r="G131" s="16" t="n"/>
      <c r="H131" s="7">
        <f>IF(C131="","","Patrimonio|"&amp;COUNTIF($C$6:C131,"&lt;&gt;"))</f>
        <v/>
      </c>
      <c r="J131" s="39" t="n"/>
      <c r="K131" s="39" t="n"/>
      <c r="L131" s="39" t="n"/>
      <c r="M131" s="39" t="n"/>
    </row>
    <row r="132" ht="21" customHeight="1" s="65">
      <c r="C132" s="16" t="n"/>
      <c r="D132" s="16" t="n"/>
      <c r="E132" s="103" t="n"/>
      <c r="F132" s="25" t="n"/>
      <c r="G132" s="16" t="n"/>
      <c r="H132" s="7">
        <f>IF(C132="","","Patrimonio|"&amp;COUNTIF($C$6:C132,"&lt;&gt;"))</f>
        <v/>
      </c>
      <c r="J132" s="39" t="n"/>
      <c r="K132" s="39" t="n"/>
      <c r="L132" s="39" t="n"/>
      <c r="M132" s="39" t="n"/>
    </row>
    <row r="133" ht="21" customHeight="1" s="65">
      <c r="C133" s="16" t="n"/>
      <c r="D133" s="16" t="n"/>
      <c r="E133" s="103" t="n"/>
      <c r="F133" s="25" t="n"/>
      <c r="G133" s="16" t="n"/>
      <c r="H133" s="7">
        <f>IF(C133="","","Patrimonio|"&amp;COUNTIF($C$6:C133,"&lt;&gt;"))</f>
        <v/>
      </c>
      <c r="J133" s="39" t="n"/>
      <c r="K133" s="39" t="n"/>
      <c r="L133" s="39" t="n"/>
      <c r="M133" s="39" t="n"/>
    </row>
    <row r="134" ht="21" customHeight="1" s="65">
      <c r="C134" s="16" t="n"/>
      <c r="D134" s="16" t="n"/>
      <c r="E134" s="103" t="n"/>
      <c r="F134" s="25" t="n"/>
      <c r="G134" s="16" t="n"/>
      <c r="H134" s="7">
        <f>IF(C134="","","Patrimonio|"&amp;COUNTIF($C$6:C134,"&lt;&gt;"))</f>
        <v/>
      </c>
      <c r="J134" s="39" t="n"/>
      <c r="K134" s="39" t="n"/>
      <c r="L134" s="39" t="n"/>
      <c r="M134" s="39" t="n"/>
    </row>
    <row r="135" ht="21" customHeight="1" s="65">
      <c r="C135" s="16" t="n"/>
      <c r="D135" s="16" t="n"/>
      <c r="E135" s="103" t="n"/>
      <c r="F135" s="25" t="n"/>
      <c r="G135" s="16" t="n"/>
      <c r="H135" s="7">
        <f>IF(C135="","","Patrimonio|"&amp;COUNTIF($C$6:C135,"&lt;&gt;"))</f>
        <v/>
      </c>
      <c r="J135" s="39" t="n"/>
      <c r="K135" s="39" t="n"/>
      <c r="L135" s="39" t="n"/>
      <c r="M135" s="39" t="n"/>
    </row>
    <row r="136" ht="21" customHeight="1" s="65">
      <c r="C136" s="16" t="n"/>
      <c r="D136" s="16" t="n"/>
      <c r="E136" s="103" t="n"/>
      <c r="F136" s="25" t="n"/>
      <c r="G136" s="16" t="n"/>
      <c r="H136" s="7">
        <f>IF(C136="","","Patrimonio|"&amp;COUNTIF($C$6:C136,"&lt;&gt;"))</f>
        <v/>
      </c>
      <c r="J136" s="39" t="n"/>
      <c r="K136" s="39" t="n"/>
      <c r="L136" s="39" t="n"/>
      <c r="M136" s="39" t="n"/>
    </row>
    <row r="137" ht="21" customHeight="1" s="65">
      <c r="C137" s="16" t="n"/>
      <c r="D137" s="16" t="n"/>
      <c r="E137" s="103" t="n"/>
      <c r="F137" s="25" t="n"/>
      <c r="G137" s="16" t="n"/>
      <c r="H137" s="7">
        <f>IF(C137="","","Patrimonio|"&amp;COUNTIF($C$6:C137,"&lt;&gt;"))</f>
        <v/>
      </c>
      <c r="J137" s="39" t="n"/>
      <c r="K137" s="39" t="n"/>
      <c r="L137" s="39" t="n"/>
      <c r="M137" s="39" t="n"/>
    </row>
    <row r="138" ht="21" customHeight="1" s="65">
      <c r="C138" s="16" t="n"/>
      <c r="D138" s="16" t="n"/>
      <c r="E138" s="103" t="n"/>
      <c r="F138" s="25" t="n"/>
      <c r="G138" s="16" t="n"/>
      <c r="H138" s="7">
        <f>IF(C138="","","Patrimonio|"&amp;COUNTIF($C$6:C138,"&lt;&gt;"))</f>
        <v/>
      </c>
      <c r="J138" s="39" t="n"/>
      <c r="K138" s="39" t="n"/>
      <c r="L138" s="39" t="n"/>
      <c r="M138" s="39" t="n"/>
    </row>
    <row r="139" ht="21" customHeight="1" s="65">
      <c r="C139" s="16" t="n"/>
      <c r="D139" s="16" t="n"/>
      <c r="E139" s="103" t="n"/>
      <c r="F139" s="25" t="n"/>
      <c r="G139" s="16" t="n"/>
      <c r="H139" s="7">
        <f>IF(C139="","","Patrimonio|"&amp;COUNTIF($C$6:C139,"&lt;&gt;"))</f>
        <v/>
      </c>
      <c r="J139" s="39" t="n"/>
      <c r="K139" s="39" t="n"/>
      <c r="L139" s="39" t="n"/>
      <c r="M139" s="39" t="n"/>
    </row>
    <row r="140" ht="21" customHeight="1" s="65">
      <c r="C140" s="16" t="n"/>
      <c r="D140" s="16" t="n"/>
      <c r="E140" s="103" t="n"/>
      <c r="F140" s="25" t="n"/>
      <c r="G140" s="16" t="n"/>
      <c r="H140" s="7">
        <f>IF(C140="","","Patrimonio|"&amp;COUNTIF($C$6:C140,"&lt;&gt;"))</f>
        <v/>
      </c>
      <c r="J140" s="39" t="n"/>
      <c r="K140" s="39" t="n"/>
      <c r="L140" s="39" t="n"/>
      <c r="M140" s="39" t="n"/>
    </row>
    <row r="141" ht="21" customHeight="1" s="65">
      <c r="C141" s="16" t="n"/>
      <c r="D141" s="16" t="n"/>
      <c r="E141" s="103" t="n"/>
      <c r="F141" s="25" t="n"/>
      <c r="G141" s="16" t="n"/>
      <c r="H141" s="7">
        <f>IF(C141="","","Patrimonio|"&amp;COUNTIF($C$6:C141,"&lt;&gt;"))</f>
        <v/>
      </c>
      <c r="J141" s="39" t="n"/>
      <c r="K141" s="39" t="n"/>
      <c r="L141" s="39" t="n"/>
      <c r="M141" s="39" t="n"/>
    </row>
    <row r="142" ht="21" customHeight="1" s="65">
      <c r="C142" s="16" t="n"/>
      <c r="D142" s="16" t="n"/>
      <c r="E142" s="103" t="n"/>
      <c r="F142" s="25" t="n"/>
      <c r="G142" s="16" t="n"/>
      <c r="H142" s="7">
        <f>IF(C142="","","Patrimonio|"&amp;COUNTIF($C$6:C142,"&lt;&gt;"))</f>
        <v/>
      </c>
      <c r="J142" s="39" t="n"/>
      <c r="K142" s="39" t="n"/>
      <c r="L142" s="39" t="n"/>
      <c r="M142" s="39" t="n"/>
    </row>
    <row r="143" ht="21" customHeight="1" s="65">
      <c r="C143" s="16" t="n"/>
      <c r="D143" s="16" t="n"/>
      <c r="E143" s="103" t="n"/>
      <c r="F143" s="25" t="n"/>
      <c r="G143" s="16" t="n"/>
      <c r="H143" s="7">
        <f>IF(C143="","","Patrimonio|"&amp;COUNTIF($C$6:C143,"&lt;&gt;"))</f>
        <v/>
      </c>
      <c r="J143" s="39" t="n"/>
      <c r="K143" s="39" t="n"/>
      <c r="L143" s="39" t="n"/>
      <c r="M143" s="39" t="n"/>
    </row>
    <row r="144" ht="21" customHeight="1" s="65">
      <c r="C144" s="16" t="n"/>
      <c r="D144" s="16" t="n"/>
      <c r="E144" s="103" t="n"/>
      <c r="F144" s="25" t="n"/>
      <c r="G144" s="16" t="n"/>
      <c r="H144" s="7">
        <f>IF(C144="","","Patrimonio|"&amp;COUNTIF($C$6:C144,"&lt;&gt;"))</f>
        <v/>
      </c>
      <c r="J144" s="39" t="n"/>
      <c r="K144" s="39" t="n"/>
      <c r="L144" s="39" t="n"/>
      <c r="M144" s="39" t="n"/>
    </row>
    <row r="145" ht="21" customHeight="1" s="65">
      <c r="C145" s="16" t="n"/>
      <c r="D145" s="16" t="n"/>
      <c r="E145" s="103" t="n"/>
      <c r="F145" s="25" t="n"/>
      <c r="G145" s="16" t="n"/>
      <c r="H145" s="7">
        <f>IF(C145="","","Patrimonio|"&amp;COUNTIF($C$6:C145,"&lt;&gt;"))</f>
        <v/>
      </c>
      <c r="J145" s="39" t="n"/>
      <c r="K145" s="39" t="n"/>
      <c r="L145" s="39" t="n"/>
      <c r="M145" s="39" t="n"/>
    </row>
    <row r="146" ht="21" customHeight="1" s="65">
      <c r="C146" s="16" t="n"/>
      <c r="D146" s="16" t="n"/>
      <c r="E146" s="103" t="n"/>
      <c r="F146" s="25" t="n"/>
      <c r="G146" s="16" t="n"/>
      <c r="H146" s="7">
        <f>IF(C146="","","Patrimonio|"&amp;COUNTIF($C$6:C146,"&lt;&gt;"))</f>
        <v/>
      </c>
      <c r="J146" s="39" t="n"/>
      <c r="K146" s="39" t="n"/>
      <c r="L146" s="39" t="n"/>
      <c r="M146" s="39" t="n"/>
    </row>
    <row r="147" ht="21" customHeight="1" s="65">
      <c r="C147" s="16" t="n"/>
      <c r="D147" s="16" t="n"/>
      <c r="E147" s="103" t="n"/>
      <c r="F147" s="25" t="n"/>
      <c r="G147" s="16" t="n"/>
      <c r="H147" s="7">
        <f>IF(C147="","","Patrimonio|"&amp;COUNTIF($C$6:C147,"&lt;&gt;"))</f>
        <v/>
      </c>
      <c r="J147" s="39" t="n"/>
      <c r="K147" s="39" t="n"/>
      <c r="L147" s="39" t="n"/>
      <c r="M147" s="39" t="n"/>
    </row>
    <row r="148" ht="21" customHeight="1" s="65">
      <c r="C148" s="16" t="n"/>
      <c r="D148" s="16" t="n"/>
      <c r="E148" s="103" t="n"/>
      <c r="F148" s="25" t="n"/>
      <c r="G148" s="16" t="n"/>
      <c r="H148" s="7">
        <f>IF(C148="","","Patrimonio|"&amp;COUNTIF($C$6:C148,"&lt;&gt;"))</f>
        <v/>
      </c>
      <c r="J148" s="39" t="n"/>
      <c r="K148" s="39" t="n"/>
      <c r="L148" s="39" t="n"/>
      <c r="M148" s="39" t="n"/>
    </row>
    <row r="149" ht="21" customHeight="1" s="65">
      <c r="C149" s="16" t="n"/>
      <c r="D149" s="16" t="n"/>
      <c r="E149" s="103" t="n"/>
      <c r="F149" s="25" t="n"/>
      <c r="G149" s="16" t="n"/>
      <c r="H149" s="7">
        <f>IF(C149="","","Patrimonio|"&amp;COUNTIF($C$6:C149,"&lt;&gt;"))</f>
        <v/>
      </c>
      <c r="J149" s="39" t="n"/>
      <c r="K149" s="39" t="n"/>
      <c r="L149" s="39" t="n"/>
      <c r="M149" s="39" t="n"/>
    </row>
    <row r="150" ht="21" customHeight="1" s="65">
      <c r="C150" s="16" t="n"/>
      <c r="D150" s="16" t="n"/>
      <c r="E150" s="103" t="n"/>
      <c r="F150" s="25" t="n"/>
      <c r="G150" s="16" t="n"/>
      <c r="H150" s="7">
        <f>IF(C150="","","Patrimonio|"&amp;COUNTIF($C$6:C150,"&lt;&gt;"))</f>
        <v/>
      </c>
      <c r="J150" s="39" t="n"/>
      <c r="K150" s="39" t="n"/>
      <c r="L150" s="39" t="n"/>
      <c r="M150" s="39" t="n"/>
    </row>
    <row r="151" ht="21" customHeight="1" s="65">
      <c r="C151" s="16" t="n"/>
      <c r="D151" s="16" t="n"/>
      <c r="E151" s="103" t="n"/>
      <c r="F151" s="25" t="n"/>
      <c r="G151" s="16" t="n"/>
      <c r="H151" s="7">
        <f>IF(C151="","","Patrimonio|"&amp;COUNTIF($C$6:C151,"&lt;&gt;"))</f>
        <v/>
      </c>
      <c r="J151" s="39" t="n"/>
      <c r="K151" s="39" t="n"/>
      <c r="L151" s="39" t="n"/>
      <c r="M151" s="39" t="n"/>
    </row>
    <row r="152" ht="21" customHeight="1" s="65">
      <c r="C152" s="16" t="n"/>
      <c r="D152" s="16" t="n"/>
      <c r="E152" s="103" t="n"/>
      <c r="F152" s="25" t="n"/>
      <c r="G152" s="16" t="n"/>
      <c r="H152" s="7">
        <f>IF(C152="","","Patrimonio|"&amp;COUNTIF($C$6:C152,"&lt;&gt;"))</f>
        <v/>
      </c>
      <c r="J152" s="39" t="n"/>
      <c r="K152" s="39" t="n"/>
      <c r="L152" s="39" t="n"/>
      <c r="M152" s="39" t="n"/>
    </row>
    <row r="153" ht="21" customHeight="1" s="65">
      <c r="C153" s="16" t="n"/>
      <c r="D153" s="16" t="n"/>
      <c r="E153" s="103" t="n"/>
      <c r="F153" s="25" t="n"/>
      <c r="G153" s="16" t="n"/>
      <c r="H153" s="7">
        <f>IF(C153="","","Patrimonio|"&amp;COUNTIF($C$6:C153,"&lt;&gt;"))</f>
        <v/>
      </c>
      <c r="J153" s="39" t="n"/>
      <c r="K153" s="39" t="n"/>
      <c r="L153" s="39" t="n"/>
      <c r="M153" s="39" t="n"/>
    </row>
    <row r="154" ht="21" customHeight="1" s="65">
      <c r="C154" s="16" t="n"/>
      <c r="D154" s="16" t="n"/>
      <c r="E154" s="103" t="n"/>
      <c r="F154" s="25" t="n"/>
      <c r="G154" s="16" t="n"/>
      <c r="H154" s="7">
        <f>IF(C154="","","Patrimonio|"&amp;COUNTIF($C$6:C154,"&lt;&gt;"))</f>
        <v/>
      </c>
      <c r="J154" s="39" t="n"/>
      <c r="K154" s="39" t="n"/>
      <c r="L154" s="39" t="n"/>
      <c r="M154" s="39" t="n"/>
    </row>
    <row r="155" ht="21" customHeight="1" s="65">
      <c r="C155" s="16" t="n"/>
      <c r="D155" s="16" t="n"/>
      <c r="E155" s="103" t="n"/>
      <c r="F155" s="25" t="n"/>
      <c r="G155" s="16" t="n"/>
      <c r="H155" s="7">
        <f>IF(C155="","","Patrimonio|"&amp;COUNTIF($C$6:C155,"&lt;&gt;"))</f>
        <v/>
      </c>
      <c r="J155" s="39" t="n"/>
      <c r="K155" s="39" t="n"/>
      <c r="L155" s="39" t="n"/>
      <c r="M155" s="39" t="n"/>
    </row>
    <row r="156" ht="21" customHeight="1" s="65">
      <c r="C156" s="16" t="n"/>
      <c r="D156" s="16" t="n"/>
      <c r="E156" s="103" t="n"/>
      <c r="F156" s="25" t="n"/>
      <c r="G156" s="16" t="n"/>
      <c r="H156" s="7">
        <f>IF(C156="","","Patrimonio|"&amp;COUNTIF($C$6:C156,"&lt;&gt;"))</f>
        <v/>
      </c>
      <c r="J156" s="39" t="n"/>
      <c r="K156" s="39" t="n"/>
      <c r="L156" s="39" t="n"/>
      <c r="M156" s="39" t="n"/>
    </row>
    <row r="157" ht="21" customHeight="1" s="65">
      <c r="C157" s="16" t="n"/>
      <c r="D157" s="16" t="n"/>
      <c r="E157" s="103" t="n"/>
      <c r="F157" s="25" t="n"/>
      <c r="G157" s="16" t="n"/>
      <c r="H157" s="7">
        <f>IF(C157="","","Patrimonio|"&amp;COUNTIF($C$6:C157,"&lt;&gt;"))</f>
        <v/>
      </c>
      <c r="J157" s="39" t="n"/>
      <c r="K157" s="39" t="n"/>
      <c r="L157" s="39" t="n"/>
      <c r="M157" s="39" t="n"/>
    </row>
    <row r="158" ht="21" customHeight="1" s="65">
      <c r="C158" s="16" t="n"/>
      <c r="D158" s="16" t="n"/>
      <c r="E158" s="103" t="n"/>
      <c r="F158" s="25" t="n"/>
      <c r="G158" s="16" t="n"/>
      <c r="H158" s="7">
        <f>IF(C158="","","Patrimonio|"&amp;COUNTIF($C$6:C158,"&lt;&gt;"))</f>
        <v/>
      </c>
      <c r="J158" s="39" t="n"/>
      <c r="K158" s="39" t="n"/>
      <c r="L158" s="39" t="n"/>
      <c r="M158" s="39" t="n"/>
    </row>
    <row r="159" ht="21" customHeight="1" s="65">
      <c r="C159" s="16" t="n"/>
      <c r="D159" s="16" t="n"/>
      <c r="E159" s="103" t="n"/>
      <c r="F159" s="25" t="n"/>
      <c r="G159" s="16" t="n"/>
      <c r="H159" s="7">
        <f>IF(C159="","","Patrimonio|"&amp;COUNTIF($C$6:C159,"&lt;&gt;"))</f>
        <v/>
      </c>
      <c r="J159" s="39" t="n"/>
      <c r="K159" s="39" t="n"/>
      <c r="L159" s="39" t="n"/>
      <c r="M159" s="39" t="n"/>
    </row>
    <row r="160" ht="21" customHeight="1" s="65">
      <c r="C160" s="16" t="n"/>
      <c r="D160" s="16" t="n"/>
      <c r="E160" s="103" t="n"/>
      <c r="F160" s="25" t="n"/>
      <c r="G160" s="16" t="n"/>
      <c r="H160" s="7">
        <f>IF(C160="","","Patrimonio|"&amp;COUNTIF($C$6:C160,"&lt;&gt;"))</f>
        <v/>
      </c>
      <c r="J160" s="39" t="n"/>
      <c r="K160" s="39" t="n"/>
      <c r="L160" s="39" t="n"/>
      <c r="M160" s="39" t="n"/>
    </row>
    <row r="161" ht="21" customHeight="1" s="65">
      <c r="C161" s="16" t="n"/>
      <c r="D161" s="16" t="n"/>
      <c r="E161" s="103" t="n"/>
      <c r="F161" s="25" t="n"/>
      <c r="G161" s="16" t="n"/>
      <c r="H161" s="7">
        <f>IF(C161="","","Patrimonio|"&amp;COUNTIF($C$6:C161,"&lt;&gt;"))</f>
        <v/>
      </c>
      <c r="J161" s="39" t="n"/>
      <c r="K161" s="39" t="n"/>
      <c r="L161" s="39" t="n"/>
      <c r="M161" s="39" t="n"/>
    </row>
    <row r="162" ht="21" customHeight="1" s="65">
      <c r="C162" s="16" t="n"/>
      <c r="D162" s="16" t="n"/>
      <c r="E162" s="103" t="n"/>
      <c r="F162" s="25" t="n"/>
      <c r="G162" s="16" t="n"/>
      <c r="H162" s="7">
        <f>IF(C162="","","Patrimonio|"&amp;COUNTIF($C$6:C162,"&lt;&gt;"))</f>
        <v/>
      </c>
      <c r="J162" s="39" t="n"/>
      <c r="K162" s="39" t="n"/>
      <c r="L162" s="39" t="n"/>
      <c r="M162" s="39" t="n"/>
    </row>
    <row r="163" ht="21" customHeight="1" s="65">
      <c r="C163" s="16" t="n"/>
      <c r="D163" s="16" t="n"/>
      <c r="E163" s="103" t="n"/>
      <c r="F163" s="25" t="n"/>
      <c r="G163" s="16" t="n"/>
      <c r="H163" s="7">
        <f>IF(C163="","","Patrimonio|"&amp;COUNTIF($C$6:C163,"&lt;&gt;"))</f>
        <v/>
      </c>
      <c r="J163" s="39" t="n"/>
      <c r="K163" s="39" t="n"/>
      <c r="L163" s="39" t="n"/>
      <c r="M163" s="39" t="n"/>
    </row>
    <row r="164" ht="21" customHeight="1" s="65">
      <c r="C164" s="16" t="n"/>
      <c r="D164" s="16" t="n"/>
      <c r="E164" s="103" t="n"/>
      <c r="F164" s="25" t="n"/>
      <c r="G164" s="16" t="n"/>
      <c r="H164" s="7">
        <f>IF(C164="","","Patrimonio|"&amp;COUNTIF($C$6:C164,"&lt;&gt;"))</f>
        <v/>
      </c>
      <c r="J164" s="39" t="n"/>
      <c r="K164" s="39" t="n"/>
      <c r="L164" s="39" t="n"/>
      <c r="M164" s="39" t="n"/>
    </row>
    <row r="165" ht="21" customHeight="1" s="65">
      <c r="C165" s="16" t="n"/>
      <c r="D165" s="16" t="n"/>
      <c r="E165" s="103" t="n"/>
      <c r="F165" s="25" t="n"/>
      <c r="G165" s="16" t="n"/>
      <c r="H165" s="7">
        <f>IF(C165="","","Patrimonio|"&amp;COUNTIF($C$6:C165,"&lt;&gt;"))</f>
        <v/>
      </c>
      <c r="J165" s="39" t="n"/>
      <c r="K165" s="39" t="n"/>
      <c r="L165" s="39" t="n"/>
      <c r="M165" s="39" t="n"/>
    </row>
    <row r="166" ht="21" customHeight="1" s="65">
      <c r="C166" s="16" t="n"/>
      <c r="D166" s="16" t="n"/>
      <c r="E166" s="103" t="n"/>
      <c r="F166" s="25" t="n"/>
      <c r="G166" s="16" t="n"/>
      <c r="H166" s="7">
        <f>IF(C166="","","Patrimonio|"&amp;COUNTIF($C$6:C166,"&lt;&gt;"))</f>
        <v/>
      </c>
      <c r="J166" s="39" t="n"/>
      <c r="K166" s="39" t="n"/>
      <c r="L166" s="39" t="n"/>
      <c r="M166" s="39" t="n"/>
    </row>
    <row r="167" ht="21" customHeight="1" s="65">
      <c r="C167" s="16" t="n"/>
      <c r="D167" s="16" t="n"/>
      <c r="E167" s="103" t="n"/>
      <c r="F167" s="25" t="n"/>
      <c r="G167" s="16" t="n"/>
      <c r="H167" s="7">
        <f>IF(C167="","","Patrimonio|"&amp;COUNTIF($C$6:C167,"&lt;&gt;"))</f>
        <v/>
      </c>
      <c r="J167" s="39" t="n"/>
      <c r="K167" s="39" t="n"/>
      <c r="L167" s="39" t="n"/>
      <c r="M167" s="39" t="n"/>
    </row>
    <row r="168" ht="21" customHeight="1" s="65">
      <c r="C168" s="16" t="n"/>
      <c r="D168" s="16" t="n"/>
      <c r="E168" s="103" t="n"/>
      <c r="F168" s="25" t="n"/>
      <c r="G168" s="16" t="n"/>
      <c r="H168" s="7">
        <f>IF(C168="","","Patrimonio|"&amp;COUNTIF($C$6:C168,"&lt;&gt;"))</f>
        <v/>
      </c>
      <c r="J168" s="39" t="n"/>
      <c r="K168" s="39" t="n"/>
      <c r="L168" s="39" t="n"/>
      <c r="M168" s="39" t="n"/>
    </row>
    <row r="169" ht="21" customHeight="1" s="65">
      <c r="C169" s="16" t="n"/>
      <c r="D169" s="16" t="n"/>
      <c r="E169" s="103" t="n"/>
      <c r="F169" s="25" t="n"/>
      <c r="G169" s="16" t="n"/>
      <c r="H169" s="7">
        <f>IF(C169="","","Patrimonio|"&amp;COUNTIF($C$6:C169,"&lt;&gt;"))</f>
        <v/>
      </c>
      <c r="J169" s="39" t="n"/>
      <c r="K169" s="39" t="n"/>
      <c r="L169" s="39" t="n"/>
      <c r="M169" s="39" t="n"/>
    </row>
    <row r="170" ht="21" customHeight="1" s="65">
      <c r="C170" s="16" t="n"/>
      <c r="D170" s="16" t="n"/>
      <c r="E170" s="103" t="n"/>
      <c r="F170" s="25" t="n"/>
      <c r="G170" s="16" t="n"/>
      <c r="H170" s="7">
        <f>IF(C170="","","Patrimonio|"&amp;COUNTIF($C$6:C170,"&lt;&gt;"))</f>
        <v/>
      </c>
      <c r="J170" s="39" t="n"/>
      <c r="K170" s="39" t="n"/>
      <c r="L170" s="39" t="n"/>
      <c r="M170" s="39" t="n"/>
    </row>
    <row r="171" ht="21" customHeight="1" s="65">
      <c r="C171" s="16" t="n"/>
      <c r="D171" s="16" t="n"/>
      <c r="E171" s="103" t="n"/>
      <c r="F171" s="25" t="n"/>
      <c r="G171" s="16" t="n"/>
      <c r="H171" s="7">
        <f>IF(C171="","","Patrimonio|"&amp;COUNTIF($C$6:C171,"&lt;&gt;"))</f>
        <v/>
      </c>
      <c r="J171" s="39" t="n"/>
      <c r="K171" s="39" t="n"/>
      <c r="L171" s="39" t="n"/>
      <c r="M171" s="39" t="n"/>
    </row>
    <row r="172" ht="21" customHeight="1" s="65">
      <c r="C172" s="16" t="n"/>
      <c r="D172" s="16" t="n"/>
      <c r="E172" s="103" t="n"/>
      <c r="F172" s="25" t="n"/>
      <c r="G172" s="16" t="n"/>
      <c r="H172" s="7">
        <f>IF(C172="","","Patrimonio|"&amp;COUNTIF($C$6:C172,"&lt;&gt;"))</f>
        <v/>
      </c>
      <c r="J172" s="39" t="n"/>
      <c r="K172" s="39" t="n"/>
      <c r="L172" s="39" t="n"/>
      <c r="M172" s="39" t="n"/>
    </row>
    <row r="173" ht="21" customHeight="1" s="65">
      <c r="C173" s="16" t="n"/>
      <c r="D173" s="16" t="n"/>
      <c r="E173" s="103" t="n"/>
      <c r="F173" s="25" t="n"/>
      <c r="G173" s="16" t="n"/>
      <c r="H173" s="7">
        <f>IF(C173="","","Patrimonio|"&amp;COUNTIF($C$6:C173,"&lt;&gt;"))</f>
        <v/>
      </c>
      <c r="J173" s="39" t="n"/>
      <c r="K173" s="39" t="n"/>
      <c r="L173" s="39" t="n"/>
      <c r="M173" s="39" t="n"/>
    </row>
    <row r="174" ht="21" customHeight="1" s="65">
      <c r="C174" s="16" t="n"/>
      <c r="D174" s="16" t="n"/>
      <c r="E174" s="103" t="n"/>
      <c r="F174" s="25" t="n"/>
      <c r="G174" s="16" t="n"/>
      <c r="H174" s="7">
        <f>IF(C174="","","Patrimonio|"&amp;COUNTIF($C$6:C174,"&lt;&gt;"))</f>
        <v/>
      </c>
      <c r="J174" s="39" t="n"/>
      <c r="K174" s="39" t="n"/>
      <c r="L174" s="39" t="n"/>
      <c r="M174" s="39" t="n"/>
    </row>
    <row r="175" ht="21" customHeight="1" s="65">
      <c r="C175" s="16" t="n"/>
      <c r="D175" s="16" t="n"/>
      <c r="E175" s="103" t="n"/>
      <c r="F175" s="25" t="n"/>
      <c r="G175" s="16" t="n"/>
      <c r="H175" s="7">
        <f>IF(C175="","","Patrimonio|"&amp;COUNTIF($C$6:C175,"&lt;&gt;"))</f>
        <v/>
      </c>
      <c r="J175" s="39" t="n"/>
      <c r="K175" s="39" t="n"/>
      <c r="L175" s="39" t="n"/>
      <c r="M175" s="39" t="n"/>
    </row>
    <row r="176" ht="21" customHeight="1" s="65">
      <c r="C176" s="16" t="n"/>
      <c r="D176" s="16" t="n"/>
      <c r="E176" s="103" t="n"/>
      <c r="F176" s="25" t="n"/>
      <c r="G176" s="16" t="n"/>
      <c r="H176" s="7">
        <f>IF(C176="","","Patrimonio|"&amp;COUNTIF($C$6:C176,"&lt;&gt;"))</f>
        <v/>
      </c>
      <c r="J176" s="39" t="n"/>
      <c r="K176" s="39" t="n"/>
      <c r="L176" s="39" t="n"/>
      <c r="M176" s="39" t="n"/>
    </row>
    <row r="177" ht="21" customHeight="1" s="65">
      <c r="C177" s="16" t="n"/>
      <c r="D177" s="16" t="n"/>
      <c r="E177" s="103" t="n"/>
      <c r="F177" s="25" t="n"/>
      <c r="G177" s="16" t="n"/>
      <c r="H177" s="7">
        <f>IF(C177="","","Patrimonio|"&amp;COUNTIF($C$6:C177,"&lt;&gt;"))</f>
        <v/>
      </c>
      <c r="J177" s="39" t="n"/>
      <c r="K177" s="39" t="n"/>
      <c r="L177" s="39" t="n"/>
      <c r="M177" s="39" t="n"/>
    </row>
    <row r="178" ht="21" customHeight="1" s="65">
      <c r="C178" s="16" t="n"/>
      <c r="D178" s="16" t="n"/>
      <c r="E178" s="103" t="n"/>
      <c r="F178" s="25" t="n"/>
      <c r="G178" s="16" t="n"/>
      <c r="H178" s="7">
        <f>IF(C178="","","Patrimonio|"&amp;COUNTIF($C$6:C178,"&lt;&gt;"))</f>
        <v/>
      </c>
      <c r="J178" s="39" t="n"/>
      <c r="K178" s="39" t="n"/>
      <c r="L178" s="39" t="n"/>
      <c r="M178" s="39" t="n"/>
    </row>
    <row r="179" ht="21" customHeight="1" s="65">
      <c r="C179" s="16" t="n"/>
      <c r="D179" s="16" t="n"/>
      <c r="E179" s="103" t="n"/>
      <c r="F179" s="25" t="n"/>
      <c r="G179" s="16" t="n"/>
      <c r="H179" s="7">
        <f>IF(C179="","","Patrimonio|"&amp;COUNTIF($C$6:C179,"&lt;&gt;"))</f>
        <v/>
      </c>
      <c r="J179" s="39" t="n"/>
      <c r="K179" s="39" t="n"/>
      <c r="L179" s="39" t="n"/>
      <c r="M179" s="39" t="n"/>
    </row>
    <row r="180" ht="21" customHeight="1" s="65">
      <c r="C180" s="16" t="n"/>
      <c r="D180" s="16" t="n"/>
      <c r="E180" s="103" t="n"/>
      <c r="F180" s="25" t="n"/>
      <c r="G180" s="16" t="n"/>
      <c r="H180" s="7">
        <f>IF(C180="","","Patrimonio|"&amp;COUNTIF($C$6:C180,"&lt;&gt;"))</f>
        <v/>
      </c>
      <c r="J180" s="39" t="n"/>
      <c r="K180" s="39" t="n"/>
      <c r="L180" s="39" t="n"/>
      <c r="M180" s="39" t="n"/>
    </row>
    <row r="181" ht="21" customHeight="1" s="65">
      <c r="C181" s="16" t="n"/>
      <c r="D181" s="16" t="n"/>
      <c r="E181" s="103" t="n"/>
      <c r="F181" s="25" t="n"/>
      <c r="G181" s="16" t="n"/>
      <c r="H181" s="7">
        <f>IF(C181="","","Patrimonio|"&amp;COUNTIF($C$6:C181,"&lt;&gt;"))</f>
        <v/>
      </c>
      <c r="J181" s="39" t="n"/>
      <c r="K181" s="39" t="n"/>
      <c r="L181" s="39" t="n"/>
      <c r="M181" s="39" t="n"/>
    </row>
    <row r="182" ht="21" customHeight="1" s="65">
      <c r="C182" s="16" t="n"/>
      <c r="D182" s="16" t="n"/>
      <c r="E182" s="103" t="n"/>
      <c r="F182" s="25" t="n"/>
      <c r="G182" s="16" t="n"/>
      <c r="H182" s="7">
        <f>IF(C182="","","Patrimonio|"&amp;COUNTIF($C$6:C182,"&lt;&gt;"))</f>
        <v/>
      </c>
      <c r="J182" s="39" t="n"/>
      <c r="K182" s="39" t="n"/>
      <c r="L182" s="39" t="n"/>
      <c r="M182" s="39" t="n"/>
    </row>
    <row r="183" ht="21" customHeight="1" s="65">
      <c r="C183" s="16" t="n"/>
      <c r="D183" s="16" t="n"/>
      <c r="E183" s="103" t="n"/>
      <c r="F183" s="25" t="n"/>
      <c r="G183" s="16" t="n"/>
      <c r="H183" s="7">
        <f>IF(C183="","","Patrimonio|"&amp;COUNTIF($C$6:C183,"&lt;&gt;"))</f>
        <v/>
      </c>
      <c r="J183" s="39" t="n"/>
      <c r="K183" s="39" t="n"/>
      <c r="L183" s="39" t="n"/>
      <c r="M183" s="39" t="n"/>
    </row>
    <row r="184" ht="21" customHeight="1" s="65">
      <c r="C184" s="16" t="n"/>
      <c r="D184" s="16" t="n"/>
      <c r="E184" s="103" t="n"/>
      <c r="F184" s="25" t="n"/>
      <c r="G184" s="16" t="n"/>
      <c r="H184" s="7">
        <f>IF(C184="","","Patrimonio|"&amp;COUNTIF($C$6:C184,"&lt;&gt;"))</f>
        <v/>
      </c>
      <c r="J184" s="39" t="n"/>
      <c r="K184" s="39" t="n"/>
      <c r="L184" s="39" t="n"/>
      <c r="M184" s="39" t="n"/>
    </row>
    <row r="185" ht="21" customHeight="1" s="65">
      <c r="C185" s="16" t="n"/>
      <c r="D185" s="16" t="n"/>
      <c r="E185" s="103" t="n"/>
      <c r="F185" s="25" t="n"/>
      <c r="G185" s="16" t="n"/>
      <c r="H185" s="7">
        <f>IF(C185="","","Patrimonio|"&amp;COUNTIF($C$6:C185,"&lt;&gt;"))</f>
        <v/>
      </c>
      <c r="J185" s="39" t="n"/>
      <c r="K185" s="39" t="n"/>
      <c r="L185" s="39" t="n"/>
      <c r="M185" s="39" t="n"/>
    </row>
    <row r="186" ht="21" customHeight="1" s="65">
      <c r="C186" s="16" t="n"/>
      <c r="D186" s="16" t="n"/>
      <c r="E186" s="103" t="n"/>
      <c r="F186" s="25" t="n"/>
      <c r="G186" s="16" t="n"/>
      <c r="H186" s="7">
        <f>IF(C186="","","Patrimonio|"&amp;COUNTIF($C$6:C186,"&lt;&gt;"))</f>
        <v/>
      </c>
      <c r="J186" s="39" t="n"/>
      <c r="K186" s="39" t="n"/>
      <c r="L186" s="39" t="n"/>
      <c r="M186" s="39" t="n"/>
    </row>
    <row r="187" ht="21" customHeight="1" s="65">
      <c r="C187" s="16" t="n"/>
      <c r="D187" s="16" t="n"/>
      <c r="E187" s="103" t="n"/>
      <c r="F187" s="25" t="n"/>
      <c r="G187" s="16" t="n"/>
      <c r="H187" s="7">
        <f>IF(C187="","","Patrimonio|"&amp;COUNTIF($C$6:C187,"&lt;&gt;"))</f>
        <v/>
      </c>
      <c r="J187" s="39" t="n"/>
      <c r="K187" s="39" t="n"/>
      <c r="L187" s="39" t="n"/>
      <c r="M187" s="39" t="n"/>
    </row>
    <row r="188" ht="21" customHeight="1" s="65">
      <c r="C188" s="16" t="n"/>
      <c r="D188" s="16" t="n"/>
      <c r="E188" s="103" t="n"/>
      <c r="F188" s="25" t="n"/>
      <c r="G188" s="16" t="n"/>
      <c r="H188" s="7">
        <f>IF(C188="","","Patrimonio|"&amp;COUNTIF($C$6:C188,"&lt;&gt;"))</f>
        <v/>
      </c>
      <c r="J188" s="39" t="n"/>
      <c r="K188" s="39" t="n"/>
      <c r="L188" s="39" t="n"/>
      <c r="M188" s="39" t="n"/>
    </row>
    <row r="189" ht="21" customHeight="1" s="65">
      <c r="C189" s="16" t="n"/>
      <c r="D189" s="16" t="n"/>
      <c r="E189" s="103" t="n"/>
      <c r="F189" s="25" t="n"/>
      <c r="G189" s="16" t="n"/>
      <c r="H189" s="7">
        <f>IF(C189="","","Patrimonio|"&amp;COUNTIF($C$6:C189,"&lt;&gt;"))</f>
        <v/>
      </c>
      <c r="J189" s="39" t="n"/>
      <c r="K189" s="39" t="n"/>
      <c r="L189" s="39" t="n"/>
      <c r="M189" s="39" t="n"/>
    </row>
    <row r="190" ht="21" customHeight="1" s="65">
      <c r="C190" s="16" t="n"/>
      <c r="D190" s="16" t="n"/>
      <c r="E190" s="103" t="n"/>
      <c r="F190" s="25" t="n"/>
      <c r="G190" s="16" t="n"/>
      <c r="H190" s="7">
        <f>IF(C190="","","Patrimonio|"&amp;COUNTIF($C$6:C190,"&lt;&gt;"))</f>
        <v/>
      </c>
      <c r="J190" s="39" t="n"/>
      <c r="K190" s="39" t="n"/>
      <c r="L190" s="39" t="n"/>
      <c r="M190" s="39" t="n"/>
    </row>
    <row r="191" ht="21" customHeight="1" s="65">
      <c r="C191" s="16" t="n"/>
      <c r="D191" s="16" t="n"/>
      <c r="E191" s="103" t="n"/>
      <c r="F191" s="25" t="n"/>
      <c r="G191" s="16" t="n"/>
      <c r="H191" s="7">
        <f>IF(C191="","","Patrimonio|"&amp;COUNTIF($C$6:C191,"&lt;&gt;"))</f>
        <v/>
      </c>
      <c r="J191" s="39" t="n"/>
      <c r="K191" s="39" t="n"/>
      <c r="L191" s="39" t="n"/>
      <c r="M191" s="39" t="n"/>
    </row>
    <row r="192" ht="21" customHeight="1" s="65">
      <c r="C192" s="16" t="n"/>
      <c r="D192" s="16" t="n"/>
      <c r="E192" s="103" t="n"/>
      <c r="F192" s="25" t="n"/>
      <c r="G192" s="16" t="n"/>
      <c r="H192" s="7">
        <f>IF(C192="","","Patrimonio|"&amp;COUNTIF($C$6:C192,"&lt;&gt;"))</f>
        <v/>
      </c>
      <c r="J192" s="39" t="n"/>
      <c r="K192" s="39" t="n"/>
      <c r="L192" s="39" t="n"/>
      <c r="M192" s="39" t="n"/>
    </row>
    <row r="193" ht="21" customHeight="1" s="65">
      <c r="C193" s="16" t="n"/>
      <c r="D193" s="16" t="n"/>
      <c r="E193" s="103" t="n"/>
      <c r="F193" s="25" t="n"/>
      <c r="G193" s="16" t="n"/>
      <c r="H193" s="7">
        <f>IF(C193="","","Patrimonio|"&amp;COUNTIF($C$6:C193,"&lt;&gt;"))</f>
        <v/>
      </c>
      <c r="J193" s="39" t="n"/>
      <c r="K193" s="39" t="n"/>
      <c r="L193" s="39" t="n"/>
      <c r="M193" s="39" t="n"/>
    </row>
    <row r="194" ht="21" customHeight="1" s="65">
      <c r="C194" s="16" t="n"/>
      <c r="D194" s="16" t="n"/>
      <c r="E194" s="103" t="n"/>
      <c r="F194" s="25" t="n"/>
      <c r="G194" s="16" t="n"/>
      <c r="H194" s="7">
        <f>IF(C194="","","Patrimonio|"&amp;COUNTIF($C$6:C194,"&lt;&gt;"))</f>
        <v/>
      </c>
      <c r="J194" s="39" t="n"/>
      <c r="K194" s="39" t="n"/>
      <c r="L194" s="39" t="n"/>
      <c r="M194" s="39" t="n"/>
    </row>
    <row r="195" ht="21" customHeight="1" s="65">
      <c r="C195" s="16" t="n"/>
      <c r="D195" s="16" t="n"/>
      <c r="E195" s="103" t="n"/>
      <c r="F195" s="25" t="n"/>
      <c r="G195" s="16" t="n"/>
      <c r="H195" s="7">
        <f>IF(C195="","","Patrimonio|"&amp;COUNTIF($C$6:C195,"&lt;&gt;"))</f>
        <v/>
      </c>
      <c r="J195" s="39" t="n"/>
      <c r="K195" s="39" t="n"/>
      <c r="L195" s="39" t="n"/>
      <c r="M195" s="39" t="n"/>
    </row>
    <row r="196" ht="21" customHeight="1" s="65">
      <c r="C196" s="16" t="n"/>
      <c r="D196" s="16" t="n"/>
      <c r="E196" s="103" t="n"/>
      <c r="F196" s="25" t="n"/>
      <c r="G196" s="16" t="n"/>
      <c r="H196" s="7">
        <f>IF(C196="","","Patrimonio|"&amp;COUNTIF($C$6:C196,"&lt;&gt;"))</f>
        <v/>
      </c>
      <c r="J196" s="39" t="n"/>
      <c r="K196" s="39" t="n"/>
      <c r="L196" s="39" t="n"/>
      <c r="M196" s="39" t="n"/>
    </row>
    <row r="197" ht="21" customHeight="1" s="65">
      <c r="C197" s="16" t="n"/>
      <c r="D197" s="16" t="n"/>
      <c r="E197" s="103" t="n"/>
      <c r="F197" s="25" t="n"/>
      <c r="G197" s="16" t="n"/>
      <c r="H197" s="7">
        <f>IF(C197="","","Patrimonio|"&amp;COUNTIF($C$6:C197,"&lt;&gt;"))</f>
        <v/>
      </c>
      <c r="J197" s="39" t="n"/>
      <c r="K197" s="39" t="n"/>
      <c r="L197" s="39" t="n"/>
      <c r="M197" s="39" t="n"/>
    </row>
    <row r="198" ht="21" customHeight="1" s="65">
      <c r="C198" s="16" t="n"/>
      <c r="D198" s="16" t="n"/>
      <c r="E198" s="103" t="n"/>
      <c r="F198" s="25" t="n"/>
      <c r="G198" s="16" t="n"/>
      <c r="H198" s="7">
        <f>IF(C198="","","Patrimonio|"&amp;COUNTIF($C$6:C198,"&lt;&gt;"))</f>
        <v/>
      </c>
      <c r="J198" s="39" t="n"/>
      <c r="K198" s="39" t="n"/>
      <c r="L198" s="39" t="n"/>
      <c r="M198" s="39" t="n"/>
    </row>
    <row r="199" ht="21" customHeight="1" s="65">
      <c r="C199" s="16" t="n"/>
      <c r="D199" s="16" t="n"/>
      <c r="E199" s="103" t="n"/>
      <c r="F199" s="25" t="n"/>
      <c r="G199" s="16" t="n"/>
      <c r="H199" s="7">
        <f>IF(C199="","","Patrimonio|"&amp;COUNTIF($C$6:C199,"&lt;&gt;"))</f>
        <v/>
      </c>
      <c r="J199" s="39" t="n"/>
      <c r="K199" s="39" t="n"/>
      <c r="L199" s="39" t="n"/>
      <c r="M199" s="39" t="n"/>
    </row>
    <row r="200" ht="21" customHeight="1" s="65">
      <c r="C200" s="16" t="n"/>
      <c r="D200" s="16" t="n"/>
      <c r="E200" s="103" t="n"/>
      <c r="F200" s="25" t="n"/>
      <c r="G200" s="16" t="n"/>
      <c r="H200" s="7">
        <f>IF(C200="","","Patrimonio|"&amp;COUNTIF($C$6:C200,"&lt;&gt;"))</f>
        <v/>
      </c>
      <c r="J200" s="39" t="n"/>
      <c r="K200" s="39" t="n"/>
      <c r="L200" s="39" t="n"/>
      <c r="M200" s="39" t="n"/>
    </row>
    <row r="201" ht="21" customHeight="1" s="65">
      <c r="C201" s="16" t="n"/>
      <c r="D201" s="16" t="n"/>
      <c r="E201" s="103" t="n"/>
      <c r="F201" s="25" t="n"/>
      <c r="G201" s="16" t="n"/>
      <c r="H201" s="7">
        <f>IF(C201="","","Patrimonio|"&amp;COUNTIF($C$6:C201,"&lt;&gt;"))</f>
        <v/>
      </c>
      <c r="J201" s="39" t="n"/>
      <c r="K201" s="39" t="n"/>
      <c r="L201" s="39" t="n"/>
      <c r="M201" s="39" t="n"/>
    </row>
    <row r="202" ht="21" customHeight="1" s="65">
      <c r="C202" s="16" t="n"/>
      <c r="D202" s="16" t="n"/>
      <c r="E202" s="103" t="n"/>
      <c r="F202" s="25" t="n"/>
      <c r="G202" s="16" t="n"/>
      <c r="H202" s="7">
        <f>IF(C202="","","Patrimonio|"&amp;COUNTIF($C$6:C202,"&lt;&gt;"))</f>
        <v/>
      </c>
      <c r="J202" s="39" t="n"/>
      <c r="K202" s="39" t="n"/>
      <c r="L202" s="39" t="n"/>
      <c r="M202" s="39" t="n"/>
    </row>
    <row r="203" ht="21" customHeight="1" s="65">
      <c r="C203" s="16" t="n"/>
      <c r="D203" s="16" t="n"/>
      <c r="E203" s="103" t="n"/>
      <c r="F203" s="25" t="n"/>
      <c r="G203" s="16" t="n"/>
      <c r="H203" s="7">
        <f>IF(C203="","","Patrimonio|"&amp;COUNTIF($C$6:C203,"&lt;&gt;"))</f>
        <v/>
      </c>
      <c r="J203" s="39" t="n"/>
      <c r="K203" s="39" t="n"/>
      <c r="L203" s="39" t="n"/>
      <c r="M203" s="39" t="n"/>
    </row>
    <row r="204" ht="21" customHeight="1" s="65">
      <c r="C204" s="16" t="n"/>
      <c r="D204" s="16" t="n"/>
      <c r="E204" s="103" t="n"/>
      <c r="F204" s="25" t="n"/>
      <c r="G204" s="16" t="n"/>
      <c r="H204" s="7">
        <f>IF(C204="","","Patrimonio|"&amp;COUNTIF($C$6:C204,"&lt;&gt;"))</f>
        <v/>
      </c>
      <c r="J204" s="39" t="n"/>
      <c r="K204" s="39" t="n"/>
      <c r="L204" s="39" t="n"/>
      <c r="M204" s="39" t="n"/>
    </row>
    <row r="205" ht="21" customHeight="1" s="65">
      <c r="C205" s="16" t="n"/>
      <c r="D205" s="16" t="n"/>
      <c r="E205" s="103" t="n"/>
      <c r="F205" s="25" t="n"/>
      <c r="G205" s="16" t="n"/>
      <c r="H205" s="7">
        <f>IF(C205="","","Patrimonio|"&amp;COUNTIF($C$6:C205,"&lt;&gt;"))</f>
        <v/>
      </c>
      <c r="J205" s="39" t="n"/>
      <c r="K205" s="39" t="n"/>
      <c r="L205" s="39" t="n"/>
      <c r="M205" s="39" t="n"/>
    </row>
    <row r="206" ht="21" customHeight="1" s="65">
      <c r="C206" s="16" t="n"/>
      <c r="D206" s="16" t="n"/>
      <c r="E206" s="103" t="n"/>
      <c r="F206" s="25" t="n"/>
      <c r="G206" s="16" t="n"/>
      <c r="H206" s="7">
        <f>IF(C206="","","Patrimonio|"&amp;COUNTIF($C$6:C206,"&lt;&gt;"))</f>
        <v/>
      </c>
      <c r="J206" s="39" t="n"/>
      <c r="K206" s="39" t="n"/>
      <c r="L206" s="39" t="n"/>
      <c r="M206" s="39" t="n"/>
    </row>
    <row r="207" ht="21" customHeight="1" s="65">
      <c r="C207" s="16" t="n"/>
      <c r="D207" s="16" t="n"/>
      <c r="E207" s="103" t="n"/>
      <c r="F207" s="25" t="n"/>
      <c r="G207" s="16" t="n"/>
      <c r="H207" s="7">
        <f>IF(C207="","","Patrimonio|"&amp;COUNTIF($C$6:C207,"&lt;&gt;"))</f>
        <v/>
      </c>
      <c r="J207" s="39" t="n"/>
      <c r="K207" s="39" t="n"/>
      <c r="L207" s="39" t="n"/>
      <c r="M207" s="39" t="n"/>
    </row>
    <row r="208" ht="21" customHeight="1" s="65">
      <c r="C208" s="16" t="n"/>
      <c r="D208" s="16" t="n"/>
      <c r="E208" s="103" t="n"/>
      <c r="F208" s="25" t="n"/>
      <c r="G208" s="16" t="n"/>
      <c r="H208" s="7">
        <f>IF(C208="","","Patrimonio|"&amp;COUNTIF($C$6:C208,"&lt;&gt;"))</f>
        <v/>
      </c>
      <c r="J208" s="39" t="n"/>
      <c r="K208" s="39" t="n"/>
      <c r="L208" s="39" t="n"/>
      <c r="M208" s="39" t="n"/>
    </row>
    <row r="209" ht="21" customHeight="1" s="65">
      <c r="C209" s="16" t="n"/>
      <c r="D209" s="16" t="n"/>
      <c r="E209" s="103" t="n"/>
      <c r="F209" s="25" t="n"/>
      <c r="G209" s="16" t="n"/>
      <c r="H209" s="7">
        <f>IF(C209="","","Patrimonio|"&amp;COUNTIF($C$6:C209,"&lt;&gt;"))</f>
        <v/>
      </c>
      <c r="J209" s="39" t="n"/>
      <c r="K209" s="39" t="n"/>
      <c r="L209" s="39" t="n"/>
      <c r="M209" s="39" t="n"/>
    </row>
    <row r="210" ht="21" customHeight="1" s="65">
      <c r="C210" s="16" t="n"/>
      <c r="D210" s="16" t="n"/>
      <c r="E210" s="103" t="n"/>
      <c r="F210" s="25" t="n"/>
      <c r="G210" s="16" t="n"/>
      <c r="H210" s="7">
        <f>IF(C210="","","Patrimonio|"&amp;COUNTIF($C$6:C210,"&lt;&gt;"))</f>
        <v/>
      </c>
      <c r="J210" s="39" t="n"/>
      <c r="K210" s="39" t="n"/>
      <c r="L210" s="39" t="n"/>
      <c r="M210" s="39" t="n"/>
    </row>
    <row r="211" ht="21" customHeight="1" s="65">
      <c r="C211" s="16" t="n"/>
      <c r="D211" s="16" t="n"/>
      <c r="E211" s="103" t="n"/>
      <c r="F211" s="25" t="n"/>
      <c r="G211" s="16" t="n"/>
      <c r="H211" s="7">
        <f>IF(C211="","","Patrimonio|"&amp;COUNTIF($C$6:C211,"&lt;&gt;"))</f>
        <v/>
      </c>
      <c r="J211" s="39" t="n"/>
      <c r="K211" s="39" t="n"/>
      <c r="L211" s="39" t="n"/>
      <c r="M211" s="39" t="n"/>
    </row>
    <row r="212" ht="21" customHeight="1" s="65">
      <c r="C212" s="16" t="n"/>
      <c r="D212" s="16" t="n"/>
      <c r="E212" s="103" t="n"/>
      <c r="F212" s="25" t="n"/>
      <c r="G212" s="16" t="n"/>
      <c r="H212" s="7">
        <f>IF(C212="","","Patrimonio|"&amp;COUNTIF($C$6:C212,"&lt;&gt;"))</f>
        <v/>
      </c>
      <c r="J212" s="39" t="n"/>
      <c r="K212" s="39" t="n"/>
      <c r="L212" s="39" t="n"/>
      <c r="M212" s="39" t="n"/>
    </row>
    <row r="213" ht="21" customHeight="1" s="65">
      <c r="C213" s="16" t="n"/>
      <c r="D213" s="16" t="n"/>
      <c r="E213" s="103" t="n"/>
      <c r="F213" s="25" t="n"/>
      <c r="G213" s="16" t="n"/>
      <c r="H213" s="7">
        <f>IF(C213="","","Patrimonio|"&amp;COUNTIF($C$6:C213,"&lt;&gt;"))</f>
        <v/>
      </c>
      <c r="J213" s="39" t="n"/>
      <c r="K213" s="39" t="n"/>
      <c r="L213" s="39" t="n"/>
      <c r="M213" s="39" t="n"/>
    </row>
    <row r="214" ht="21" customHeight="1" s="65">
      <c r="C214" s="16" t="n"/>
      <c r="D214" s="16" t="n"/>
      <c r="E214" s="103" t="n"/>
      <c r="F214" s="25" t="n"/>
      <c r="G214" s="16" t="n"/>
      <c r="H214" s="7">
        <f>IF(C214="","","Patrimonio|"&amp;COUNTIF($C$6:C214,"&lt;&gt;"))</f>
        <v/>
      </c>
      <c r="J214" s="39" t="n"/>
      <c r="K214" s="39" t="n"/>
      <c r="L214" s="39" t="n"/>
      <c r="M214" s="39" t="n"/>
    </row>
    <row r="215" ht="21" customHeight="1" s="65">
      <c r="C215" s="16" t="n"/>
      <c r="D215" s="16" t="n"/>
      <c r="E215" s="103" t="n"/>
      <c r="F215" s="25" t="n"/>
      <c r="G215" s="16" t="n"/>
      <c r="H215" s="7">
        <f>IF(C215="","","Patrimonio|"&amp;COUNTIF($C$6:C215,"&lt;&gt;"))</f>
        <v/>
      </c>
      <c r="J215" s="39" t="n"/>
      <c r="K215" s="39" t="n"/>
      <c r="L215" s="39" t="n"/>
      <c r="M215" s="39" t="n"/>
    </row>
    <row r="216" ht="21" customHeight="1" s="65">
      <c r="C216" s="16" t="n"/>
      <c r="D216" s="16" t="n"/>
      <c r="E216" s="103" t="n"/>
      <c r="F216" s="25" t="n"/>
      <c r="G216" s="16" t="n"/>
      <c r="H216" s="7">
        <f>IF(C216="","","Patrimonio|"&amp;COUNTIF($C$6:C216,"&lt;&gt;"))</f>
        <v/>
      </c>
      <c r="J216" s="39" t="n"/>
      <c r="K216" s="39" t="n"/>
      <c r="L216" s="39" t="n"/>
      <c r="M216" s="39" t="n"/>
    </row>
    <row r="217" ht="21" customHeight="1" s="65">
      <c r="C217" s="16" t="n"/>
      <c r="D217" s="16" t="n"/>
      <c r="E217" s="103" t="n"/>
      <c r="F217" s="25" t="n"/>
      <c r="G217" s="16" t="n"/>
      <c r="H217" s="7">
        <f>IF(C217="","","Patrimonio|"&amp;COUNTIF($C$6:C217,"&lt;&gt;"))</f>
        <v/>
      </c>
      <c r="J217" s="39" t="n"/>
      <c r="K217" s="39" t="n"/>
      <c r="L217" s="39" t="n"/>
      <c r="M217" s="39" t="n"/>
    </row>
    <row r="218" ht="21" customHeight="1" s="65">
      <c r="C218" s="16" t="n"/>
      <c r="D218" s="16" t="n"/>
      <c r="E218" s="103" t="n"/>
      <c r="F218" s="25" t="n"/>
      <c r="G218" s="16" t="n"/>
      <c r="H218" s="7">
        <f>IF(C218="","","Patrimonio|"&amp;COUNTIF($C$6:C218,"&lt;&gt;"))</f>
        <v/>
      </c>
      <c r="J218" s="39" t="n"/>
      <c r="K218" s="39" t="n"/>
      <c r="L218" s="39" t="n"/>
      <c r="M218" s="39" t="n"/>
    </row>
    <row r="219" ht="21" customHeight="1" s="65">
      <c r="C219" s="16" t="n"/>
      <c r="D219" s="16" t="n"/>
      <c r="E219" s="103" t="n"/>
      <c r="F219" s="25" t="n"/>
      <c r="G219" s="16" t="n"/>
      <c r="H219" s="7">
        <f>IF(C219="","","Patrimonio|"&amp;COUNTIF($C$6:C219,"&lt;&gt;"))</f>
        <v/>
      </c>
      <c r="J219" s="39" t="n"/>
      <c r="K219" s="39" t="n"/>
      <c r="L219" s="39" t="n"/>
      <c r="M219" s="39" t="n"/>
    </row>
    <row r="220" ht="21" customHeight="1" s="65">
      <c r="C220" s="16" t="n"/>
      <c r="D220" s="16" t="n"/>
      <c r="E220" s="103" t="n"/>
      <c r="F220" s="25" t="n"/>
      <c r="G220" s="16" t="n"/>
      <c r="H220" s="7">
        <f>IF(C220="","","Patrimonio|"&amp;COUNTIF($C$6:C220,"&lt;&gt;"))</f>
        <v/>
      </c>
      <c r="J220" s="39" t="n"/>
      <c r="K220" s="39" t="n"/>
      <c r="L220" s="39" t="n"/>
      <c r="M220" s="39" t="n"/>
    </row>
    <row r="221" ht="21" customHeight="1" s="65">
      <c r="C221" s="16" t="n"/>
      <c r="D221" s="16" t="n"/>
      <c r="E221" s="103" t="n"/>
      <c r="F221" s="25" t="n"/>
      <c r="G221" s="16" t="n"/>
      <c r="H221" s="7">
        <f>IF(C221="","","Patrimonio|"&amp;COUNTIF($C$6:C221,"&lt;&gt;"))</f>
        <v/>
      </c>
      <c r="J221" s="39" t="n"/>
      <c r="K221" s="39" t="n"/>
      <c r="L221" s="39" t="n"/>
      <c r="M221" s="39" t="n"/>
    </row>
    <row r="222" ht="21" customHeight="1" s="65">
      <c r="C222" s="16" t="n"/>
      <c r="D222" s="16" t="n"/>
      <c r="E222" s="103" t="n"/>
      <c r="F222" s="25" t="n"/>
      <c r="G222" s="16" t="n"/>
      <c r="H222" s="7">
        <f>IF(C222="","","Patrimonio|"&amp;COUNTIF($C$6:C222,"&lt;&gt;"))</f>
        <v/>
      </c>
      <c r="J222" s="39" t="n"/>
      <c r="K222" s="39" t="n"/>
      <c r="L222" s="39" t="n"/>
      <c r="M222" s="39" t="n"/>
    </row>
    <row r="223" ht="21" customHeight="1" s="65">
      <c r="C223" s="16" t="n"/>
      <c r="D223" s="16" t="n"/>
      <c r="E223" s="103" t="n"/>
      <c r="F223" s="25" t="n"/>
      <c r="G223" s="16" t="n"/>
      <c r="H223" s="7">
        <f>IF(C223="","","Patrimonio|"&amp;COUNTIF($C$6:C223,"&lt;&gt;"))</f>
        <v/>
      </c>
      <c r="J223" s="39" t="n"/>
      <c r="K223" s="39" t="n"/>
      <c r="L223" s="39" t="n"/>
      <c r="M223" s="39" t="n"/>
    </row>
    <row r="224" ht="21" customHeight="1" s="65">
      <c r="C224" s="16" t="n"/>
      <c r="D224" s="16" t="n"/>
      <c r="E224" s="103" t="n"/>
      <c r="F224" s="25" t="n"/>
      <c r="G224" s="16" t="n"/>
      <c r="H224" s="7">
        <f>IF(C224="","","Patrimonio|"&amp;COUNTIF($C$6:C224,"&lt;&gt;"))</f>
        <v/>
      </c>
      <c r="J224" s="39" t="n"/>
      <c r="K224" s="39" t="n"/>
      <c r="L224" s="39" t="n"/>
      <c r="M224" s="39" t="n"/>
    </row>
    <row r="225" ht="21" customHeight="1" s="65">
      <c r="C225" s="16" t="n"/>
      <c r="D225" s="16" t="n"/>
      <c r="E225" s="103" t="n"/>
      <c r="F225" s="25" t="n"/>
      <c r="G225" s="16" t="n"/>
      <c r="H225" s="7">
        <f>IF(C225="","","Patrimonio|"&amp;COUNTIF($C$6:C225,"&lt;&gt;"))</f>
        <v/>
      </c>
      <c r="J225" s="39" t="n"/>
      <c r="K225" s="39" t="n"/>
      <c r="L225" s="39" t="n"/>
      <c r="M225" s="39" t="n"/>
    </row>
    <row r="226" ht="21" customHeight="1" s="65">
      <c r="C226" s="16" t="n"/>
      <c r="D226" s="16" t="n"/>
      <c r="E226" s="103" t="n"/>
      <c r="F226" s="25" t="n"/>
      <c r="G226" s="16" t="n"/>
      <c r="H226" s="7">
        <f>IF(C226="","","Patrimonio|"&amp;COUNTIF($C$6:C226,"&lt;&gt;"))</f>
        <v/>
      </c>
      <c r="J226" s="39" t="n"/>
      <c r="K226" s="39" t="n"/>
      <c r="L226" s="39" t="n"/>
      <c r="M226" s="39" t="n"/>
    </row>
    <row r="227" ht="21" customHeight="1" s="65">
      <c r="C227" s="16" t="n"/>
      <c r="D227" s="16" t="n"/>
      <c r="E227" s="103" t="n"/>
      <c r="F227" s="25" t="n"/>
      <c r="G227" s="16" t="n"/>
      <c r="H227" s="7">
        <f>IF(C227="","","Patrimonio|"&amp;COUNTIF($C$6:C227,"&lt;&gt;"))</f>
        <v/>
      </c>
      <c r="J227" s="39" t="n"/>
      <c r="K227" s="39" t="n"/>
      <c r="L227" s="39" t="n"/>
      <c r="M227" s="39" t="n"/>
    </row>
    <row r="228" ht="21" customHeight="1" s="65">
      <c r="C228" s="16" t="n"/>
      <c r="D228" s="16" t="n"/>
      <c r="E228" s="103" t="n"/>
      <c r="F228" s="25" t="n"/>
      <c r="G228" s="16" t="n"/>
      <c r="H228" s="7">
        <f>IF(C228="","","Patrimonio|"&amp;COUNTIF($C$6:C228,"&lt;&gt;"))</f>
        <v/>
      </c>
      <c r="J228" s="39" t="n"/>
      <c r="K228" s="39" t="n"/>
      <c r="L228" s="39" t="n"/>
      <c r="M228" s="39" t="n"/>
    </row>
    <row r="229" ht="21" customHeight="1" s="65">
      <c r="C229" s="16" t="n"/>
      <c r="D229" s="16" t="n"/>
      <c r="E229" s="103" t="n"/>
      <c r="F229" s="25" t="n"/>
      <c r="G229" s="16" t="n"/>
      <c r="H229" s="7">
        <f>IF(C229="","","Patrimonio|"&amp;COUNTIF($C$6:C229,"&lt;&gt;"))</f>
        <v/>
      </c>
      <c r="J229" s="39" t="n"/>
      <c r="K229" s="39" t="n"/>
      <c r="L229" s="39" t="n"/>
      <c r="M229" s="39" t="n"/>
    </row>
    <row r="230" ht="21" customHeight="1" s="65">
      <c r="C230" s="16" t="n"/>
      <c r="D230" s="16" t="n"/>
      <c r="E230" s="103" t="n"/>
      <c r="F230" s="25" t="n"/>
      <c r="G230" s="16" t="n"/>
      <c r="H230" s="7">
        <f>IF(C230="","","Patrimonio|"&amp;COUNTIF($C$6:C230,"&lt;&gt;"))</f>
        <v/>
      </c>
      <c r="J230" s="39" t="n"/>
      <c r="K230" s="39" t="n"/>
      <c r="L230" s="39" t="n"/>
      <c r="M230" s="39" t="n"/>
    </row>
    <row r="231" ht="21" customHeight="1" s="65">
      <c r="C231" s="16" t="n"/>
      <c r="D231" s="16" t="n"/>
      <c r="E231" s="103" t="n"/>
      <c r="F231" s="25" t="n"/>
      <c r="G231" s="16" t="n"/>
      <c r="H231" s="7">
        <f>IF(C231="","","Patrimonio|"&amp;COUNTIF($C$6:C231,"&lt;&gt;"))</f>
        <v/>
      </c>
      <c r="J231" s="39" t="n"/>
      <c r="K231" s="39" t="n"/>
      <c r="L231" s="39" t="n"/>
      <c r="M231" s="39" t="n"/>
    </row>
    <row r="232" ht="21" customHeight="1" s="65">
      <c r="C232" s="16" t="n"/>
      <c r="D232" s="16" t="n"/>
      <c r="E232" s="103" t="n"/>
      <c r="F232" s="25" t="n"/>
      <c r="G232" s="16" t="n"/>
      <c r="H232" s="7">
        <f>IF(C232="","","Patrimonio|"&amp;COUNTIF($C$6:C232,"&lt;&gt;"))</f>
        <v/>
      </c>
      <c r="J232" s="39" t="n"/>
      <c r="K232" s="39" t="n"/>
      <c r="L232" s="39" t="n"/>
      <c r="M232" s="39" t="n"/>
    </row>
    <row r="233" ht="21" customHeight="1" s="65">
      <c r="C233" s="16" t="n"/>
      <c r="D233" s="16" t="n"/>
      <c r="E233" s="103" t="n"/>
      <c r="F233" s="25" t="n"/>
      <c r="G233" s="16" t="n"/>
      <c r="H233" s="7">
        <f>IF(C233="","","Patrimonio|"&amp;COUNTIF($C$6:C233,"&lt;&gt;"))</f>
        <v/>
      </c>
      <c r="J233" s="39" t="n"/>
      <c r="K233" s="39" t="n"/>
      <c r="L233" s="39" t="n"/>
      <c r="M233" s="39" t="n"/>
    </row>
    <row r="234" ht="21" customHeight="1" s="65">
      <c r="C234" s="16" t="n"/>
      <c r="D234" s="16" t="n"/>
      <c r="E234" s="103" t="n"/>
      <c r="F234" s="25" t="n"/>
      <c r="G234" s="16" t="n"/>
      <c r="H234" s="7">
        <f>IF(C234="","","Patrimonio|"&amp;COUNTIF($C$6:C234,"&lt;&gt;"))</f>
        <v/>
      </c>
      <c r="J234" s="39" t="n"/>
      <c r="K234" s="39" t="n"/>
      <c r="L234" s="39" t="n"/>
      <c r="M234" s="39" t="n"/>
    </row>
    <row r="235" ht="21" customHeight="1" s="65">
      <c r="C235" s="16" t="n"/>
      <c r="D235" s="16" t="n"/>
      <c r="E235" s="103" t="n"/>
      <c r="F235" s="25" t="n"/>
      <c r="G235" s="16" t="n"/>
      <c r="H235" s="7">
        <f>IF(C235="","","Patrimonio|"&amp;COUNTIF($C$6:C235,"&lt;&gt;"))</f>
        <v/>
      </c>
      <c r="J235" s="39" t="n"/>
      <c r="K235" s="39" t="n"/>
      <c r="L235" s="39" t="n"/>
      <c r="M235" s="39" t="n"/>
    </row>
    <row r="236" ht="21" customHeight="1" s="65">
      <c r="C236" s="16" t="n"/>
      <c r="D236" s="16" t="n"/>
      <c r="E236" s="103" t="n"/>
      <c r="F236" s="25" t="n"/>
      <c r="G236" s="16" t="n"/>
      <c r="H236" s="7">
        <f>IF(C236="","","Patrimonio|"&amp;COUNTIF($C$6:C236,"&lt;&gt;"))</f>
        <v/>
      </c>
      <c r="J236" s="39" t="n"/>
      <c r="K236" s="39" t="n"/>
      <c r="L236" s="39" t="n"/>
      <c r="M236" s="39" t="n"/>
    </row>
    <row r="237" ht="21" customHeight="1" s="65">
      <c r="C237" s="16" t="n"/>
      <c r="D237" s="16" t="n"/>
      <c r="E237" s="103" t="n"/>
      <c r="F237" s="25" t="n"/>
      <c r="G237" s="16" t="n"/>
      <c r="H237" s="7">
        <f>IF(C237="","","Patrimonio|"&amp;COUNTIF($C$6:C237,"&lt;&gt;"))</f>
        <v/>
      </c>
      <c r="J237" s="39" t="n"/>
      <c r="K237" s="39" t="n"/>
      <c r="L237" s="39" t="n"/>
      <c r="M237" s="39" t="n"/>
    </row>
    <row r="238" ht="21" customHeight="1" s="65">
      <c r="C238" s="16" t="n"/>
      <c r="D238" s="16" t="n"/>
      <c r="E238" s="103" t="n"/>
      <c r="F238" s="25" t="n"/>
      <c r="G238" s="16" t="n"/>
      <c r="H238" s="7">
        <f>IF(C238="","","Patrimonio|"&amp;COUNTIF($C$6:C238,"&lt;&gt;"))</f>
        <v/>
      </c>
      <c r="J238" s="39" t="n"/>
      <c r="K238" s="39" t="n"/>
      <c r="L238" s="39" t="n"/>
      <c r="M238" s="39" t="n"/>
    </row>
    <row r="239" ht="21" customHeight="1" s="65">
      <c r="C239" s="16" t="n"/>
      <c r="D239" s="16" t="n"/>
      <c r="E239" s="103" t="n"/>
      <c r="F239" s="25" t="n"/>
      <c r="G239" s="16" t="n"/>
      <c r="H239" s="7">
        <f>IF(C239="","","Patrimonio|"&amp;COUNTIF($C$6:C239,"&lt;&gt;"))</f>
        <v/>
      </c>
      <c r="J239" s="39" t="n"/>
      <c r="K239" s="39" t="n"/>
      <c r="L239" s="39" t="n"/>
      <c r="M239" s="39" t="n"/>
    </row>
    <row r="240" ht="21" customHeight="1" s="65">
      <c r="C240" s="16" t="n"/>
      <c r="D240" s="16" t="n"/>
      <c r="E240" s="103" t="n"/>
      <c r="F240" s="25" t="n"/>
      <c r="G240" s="16" t="n"/>
      <c r="H240" s="7">
        <f>IF(C240="","","Patrimonio|"&amp;COUNTIF($C$6:C240,"&lt;&gt;"))</f>
        <v/>
      </c>
      <c r="J240" s="39" t="n"/>
      <c r="K240" s="39" t="n"/>
      <c r="L240" s="39" t="n"/>
      <c r="M240" s="39" t="n"/>
    </row>
    <row r="241" ht="21" customHeight="1" s="65">
      <c r="C241" s="16" t="n"/>
      <c r="D241" s="16" t="n"/>
      <c r="E241" s="103" t="n"/>
      <c r="F241" s="25" t="n"/>
      <c r="G241" s="16" t="n"/>
      <c r="H241" s="7">
        <f>IF(C241="","","Patrimonio|"&amp;COUNTIF($C$6:C241,"&lt;&gt;"))</f>
        <v/>
      </c>
      <c r="J241" s="39" t="n"/>
      <c r="K241" s="39" t="n"/>
      <c r="L241" s="39" t="n"/>
      <c r="M241" s="39" t="n"/>
    </row>
    <row r="242" ht="21" customHeight="1" s="65">
      <c r="C242" s="16" t="n"/>
      <c r="D242" s="16" t="n"/>
      <c r="E242" s="103" t="n"/>
      <c r="F242" s="25" t="n"/>
      <c r="G242" s="16" t="n"/>
      <c r="H242" s="7">
        <f>IF(C242="","","Patrimonio|"&amp;COUNTIF($C$6:C242,"&lt;&gt;"))</f>
        <v/>
      </c>
      <c r="J242" s="39" t="n"/>
      <c r="K242" s="39" t="n"/>
      <c r="L242" s="39" t="n"/>
      <c r="M242" s="39" t="n"/>
    </row>
    <row r="243" ht="21" customHeight="1" s="65">
      <c r="C243" s="16" t="n"/>
      <c r="D243" s="16" t="n"/>
      <c r="E243" s="103" t="n"/>
      <c r="F243" s="25" t="n"/>
      <c r="G243" s="16" t="n"/>
      <c r="H243" s="7">
        <f>IF(C243="","","Patrimonio|"&amp;COUNTIF($C$6:C243,"&lt;&gt;"))</f>
        <v/>
      </c>
      <c r="J243" s="39" t="n"/>
      <c r="K243" s="39" t="n"/>
      <c r="L243" s="39" t="n"/>
      <c r="M243" s="39" t="n"/>
    </row>
    <row r="244" ht="21" customHeight="1" s="65">
      <c r="C244" s="16" t="n"/>
      <c r="D244" s="16" t="n"/>
      <c r="E244" s="103" t="n"/>
      <c r="F244" s="25" t="n"/>
      <c r="G244" s="16" t="n"/>
      <c r="H244" s="7">
        <f>IF(C244="","","Patrimonio|"&amp;COUNTIF($C$6:C244,"&lt;&gt;"))</f>
        <v/>
      </c>
      <c r="J244" s="39" t="n"/>
      <c r="K244" s="39" t="n"/>
      <c r="L244" s="39" t="n"/>
      <c r="M244" s="39" t="n"/>
    </row>
    <row r="245" ht="21" customHeight="1" s="65">
      <c r="C245" s="16" t="n"/>
      <c r="D245" s="16" t="n"/>
      <c r="E245" s="103" t="n"/>
      <c r="F245" s="25" t="n"/>
      <c r="G245" s="16" t="n"/>
      <c r="H245" s="7">
        <f>IF(C245="","","Patrimonio|"&amp;COUNTIF($C$6:C245,"&lt;&gt;"))</f>
        <v/>
      </c>
      <c r="J245" s="39" t="n"/>
      <c r="K245" s="39" t="n"/>
      <c r="L245" s="39" t="n"/>
      <c r="M245" s="39" t="n"/>
    </row>
    <row r="246" ht="21" customHeight="1" s="65">
      <c r="C246" s="16" t="n"/>
      <c r="D246" s="16" t="n"/>
      <c r="E246" s="103" t="n"/>
      <c r="F246" s="25" t="n"/>
      <c r="G246" s="16" t="n"/>
      <c r="H246" s="7">
        <f>IF(C246="","","Patrimonio|"&amp;COUNTIF($C$6:C246,"&lt;&gt;"))</f>
        <v/>
      </c>
      <c r="J246" s="39" t="n"/>
      <c r="K246" s="39" t="n"/>
      <c r="L246" s="39" t="n"/>
      <c r="M246" s="39" t="n"/>
    </row>
    <row r="247" ht="21" customHeight="1" s="65">
      <c r="C247" s="16" t="n"/>
      <c r="D247" s="16" t="n"/>
      <c r="E247" s="103" t="n"/>
      <c r="F247" s="25" t="n"/>
      <c r="G247" s="16" t="n"/>
      <c r="H247" s="7">
        <f>IF(C247="","","Patrimonio|"&amp;COUNTIF($C$6:C247,"&lt;&gt;"))</f>
        <v/>
      </c>
      <c r="J247" s="39" t="n"/>
      <c r="K247" s="39" t="n"/>
      <c r="L247" s="39" t="n"/>
      <c r="M247" s="39" t="n"/>
    </row>
    <row r="248" ht="21" customHeight="1" s="65">
      <c r="C248" s="16" t="n"/>
      <c r="D248" s="16" t="n"/>
      <c r="E248" s="103" t="n"/>
      <c r="F248" s="25" t="n"/>
      <c r="G248" s="16" t="n"/>
      <c r="H248" s="7">
        <f>IF(C248="","","Patrimonio|"&amp;COUNTIF($C$6:C248,"&lt;&gt;"))</f>
        <v/>
      </c>
      <c r="J248" s="39" t="n"/>
      <c r="K248" s="39" t="n"/>
      <c r="L248" s="39" t="n"/>
      <c r="M248" s="39" t="n"/>
    </row>
    <row r="249" ht="21" customHeight="1" s="65">
      <c r="C249" s="16" t="n"/>
      <c r="D249" s="16" t="n"/>
      <c r="E249" s="103" t="n"/>
      <c r="F249" s="25" t="n"/>
      <c r="G249" s="16" t="n"/>
      <c r="H249" s="7">
        <f>IF(C249="","","Patrimonio|"&amp;COUNTIF($C$6:C249,"&lt;&gt;"))</f>
        <v/>
      </c>
      <c r="J249" s="39" t="n"/>
      <c r="K249" s="39" t="n"/>
      <c r="L249" s="39" t="n"/>
      <c r="M249" s="39" t="n"/>
    </row>
    <row r="250" ht="21" customHeight="1" s="65">
      <c r="C250" s="16" t="n"/>
      <c r="D250" s="16" t="n"/>
      <c r="E250" s="103" t="n"/>
      <c r="F250" s="25" t="n"/>
      <c r="G250" s="16" t="n"/>
      <c r="H250" s="7">
        <f>IF(C250="","","Patrimonio|"&amp;COUNTIF($C$6:C250,"&lt;&gt;"))</f>
        <v/>
      </c>
      <c r="J250" s="39" t="n"/>
      <c r="K250" s="39" t="n"/>
      <c r="L250" s="39" t="n"/>
      <c r="M250" s="39" t="n"/>
    </row>
    <row r="251" ht="21" customHeight="1" s="65">
      <c r="C251" s="16" t="n"/>
      <c r="D251" s="16" t="n"/>
      <c r="E251" s="103" t="n"/>
      <c r="F251" s="25" t="n"/>
      <c r="G251" s="16" t="n"/>
      <c r="H251" s="7">
        <f>IF(C251="","","Patrimonio|"&amp;COUNTIF($C$6:C251,"&lt;&gt;"))</f>
        <v/>
      </c>
      <c r="J251" s="39" t="n"/>
      <c r="K251" s="39" t="n"/>
      <c r="L251" s="39" t="n"/>
      <c r="M251" s="39" t="n"/>
    </row>
    <row r="252" ht="21" customHeight="1" s="65">
      <c r="C252" s="16" t="n"/>
      <c r="D252" s="16" t="n"/>
      <c r="E252" s="103" t="n"/>
      <c r="F252" s="25" t="n"/>
      <c r="G252" s="16" t="n"/>
      <c r="H252" s="7">
        <f>IF(C252="","","Patrimonio|"&amp;COUNTIF($C$6:C252,"&lt;&gt;"))</f>
        <v/>
      </c>
      <c r="J252" s="39" t="n"/>
      <c r="K252" s="39" t="n"/>
      <c r="L252" s="39" t="n"/>
      <c r="M252" s="39" t="n"/>
    </row>
    <row r="253" ht="21" customHeight="1" s="65">
      <c r="C253" s="16" t="n"/>
      <c r="D253" s="16" t="n"/>
      <c r="E253" s="103" t="n"/>
      <c r="F253" s="25" t="n"/>
      <c r="G253" s="16" t="n"/>
      <c r="H253" s="7">
        <f>IF(C253="","","Patrimonio|"&amp;COUNTIF($C$6:C253,"&lt;&gt;"))</f>
        <v/>
      </c>
      <c r="J253" s="39" t="n"/>
      <c r="K253" s="39" t="n"/>
      <c r="L253" s="39" t="n"/>
      <c r="M253" s="39" t="n"/>
    </row>
    <row r="254" ht="21" customHeight="1" s="65">
      <c r="C254" s="16" t="n"/>
      <c r="D254" s="16" t="n"/>
      <c r="E254" s="103" t="n"/>
      <c r="F254" s="25" t="n"/>
      <c r="G254" s="16" t="n"/>
      <c r="H254" s="7">
        <f>IF(C254="","","Patrimonio|"&amp;COUNTIF($C$6:C254,"&lt;&gt;"))</f>
        <v/>
      </c>
      <c r="J254" s="39" t="n"/>
      <c r="K254" s="39" t="n"/>
      <c r="L254" s="39" t="n"/>
      <c r="M254" s="39" t="n"/>
    </row>
    <row r="255" ht="21" customHeight="1" s="65">
      <c r="C255" s="16" t="n"/>
      <c r="D255" s="16" t="n"/>
      <c r="E255" s="103" t="n"/>
      <c r="F255" s="25" t="n"/>
      <c r="G255" s="16" t="n"/>
      <c r="H255" s="7">
        <f>IF(C255="","","Patrimonio|"&amp;COUNTIF($C$6:C255,"&lt;&gt;"))</f>
        <v/>
      </c>
      <c r="J255" s="39" t="n"/>
      <c r="K255" s="39" t="n"/>
      <c r="L255" s="39" t="n"/>
      <c r="M255" s="39" t="n"/>
    </row>
    <row r="256" ht="21" customHeight="1" s="65">
      <c r="C256" s="16" t="n"/>
      <c r="D256" s="16" t="n"/>
      <c r="E256" s="103" t="n"/>
      <c r="F256" s="25" t="n"/>
      <c r="G256" s="16" t="n"/>
      <c r="H256" s="7">
        <f>IF(C256="","","Patrimonio|"&amp;COUNTIF($C$6:C256,"&lt;&gt;"))</f>
        <v/>
      </c>
      <c r="J256" s="39" t="n"/>
      <c r="K256" s="39" t="n"/>
      <c r="L256" s="39" t="n"/>
      <c r="M256" s="39" t="n"/>
    </row>
    <row r="257" ht="21" customHeight="1" s="65">
      <c r="C257" s="16" t="n"/>
      <c r="D257" s="16" t="n"/>
      <c r="E257" s="103" t="n"/>
      <c r="F257" s="25" t="n"/>
      <c r="G257" s="16" t="n"/>
      <c r="H257" s="7">
        <f>IF(C257="","","Patrimonio|"&amp;COUNTIF($C$6:C257,"&lt;&gt;"))</f>
        <v/>
      </c>
      <c r="J257" s="39" t="n"/>
      <c r="K257" s="39" t="n"/>
      <c r="L257" s="39" t="n"/>
      <c r="M257" s="39" t="n"/>
    </row>
    <row r="258" ht="21" customHeight="1" s="65">
      <c r="C258" s="16" t="n"/>
      <c r="D258" s="16" t="n"/>
      <c r="E258" s="103" t="n"/>
      <c r="F258" s="25" t="n"/>
      <c r="G258" s="16" t="n"/>
      <c r="H258" s="7">
        <f>IF(C258="","","Patrimonio|"&amp;COUNTIF($C$6:C258,"&lt;&gt;"))</f>
        <v/>
      </c>
      <c r="J258" s="39" t="n"/>
      <c r="K258" s="39" t="n"/>
      <c r="L258" s="39" t="n"/>
      <c r="M258" s="39" t="n"/>
    </row>
    <row r="259" ht="21" customHeight="1" s="65">
      <c r="C259" s="16" t="n"/>
      <c r="D259" s="16" t="n"/>
      <c r="E259" s="103" t="n"/>
      <c r="F259" s="25" t="n"/>
      <c r="G259" s="16" t="n"/>
      <c r="H259" s="7">
        <f>IF(C259="","","Patrimonio|"&amp;COUNTIF($C$6:C259,"&lt;&gt;"))</f>
        <v/>
      </c>
      <c r="J259" s="39" t="n"/>
      <c r="K259" s="39" t="n"/>
      <c r="L259" s="39" t="n"/>
      <c r="M259" s="39" t="n"/>
    </row>
    <row r="260" ht="21" customHeight="1" s="65">
      <c r="C260" s="16" t="n"/>
      <c r="D260" s="16" t="n"/>
      <c r="E260" s="103" t="n"/>
      <c r="F260" s="25" t="n"/>
      <c r="G260" s="16" t="n"/>
      <c r="H260" s="7">
        <f>IF(C260="","","Patrimonio|"&amp;COUNTIF($C$6:C260,"&lt;&gt;"))</f>
        <v/>
      </c>
      <c r="J260" s="39" t="n"/>
      <c r="K260" s="39" t="n"/>
      <c r="L260" s="39" t="n"/>
      <c r="M260" s="39" t="n"/>
    </row>
    <row r="261" ht="21" customHeight="1" s="65">
      <c r="C261" s="16" t="n"/>
      <c r="D261" s="16" t="n"/>
      <c r="E261" s="103" t="n"/>
      <c r="F261" s="25" t="n"/>
      <c r="G261" s="16" t="n"/>
      <c r="H261" s="7">
        <f>IF(C261="","","Patrimonio|"&amp;COUNTIF($C$6:C261,"&lt;&gt;"))</f>
        <v/>
      </c>
      <c r="J261" s="39" t="n"/>
      <c r="K261" s="39" t="n"/>
      <c r="L261" s="39" t="n"/>
      <c r="M261" s="39" t="n"/>
    </row>
    <row r="262" ht="21" customHeight="1" s="65">
      <c r="C262" s="16" t="n"/>
      <c r="D262" s="16" t="n"/>
      <c r="E262" s="103" t="n"/>
      <c r="F262" s="25" t="n"/>
      <c r="G262" s="16" t="n"/>
      <c r="H262" s="7">
        <f>IF(C262="","","Patrimonio|"&amp;COUNTIF($C$6:C262,"&lt;&gt;"))</f>
        <v/>
      </c>
      <c r="J262" s="39" t="n"/>
      <c r="K262" s="39" t="n"/>
      <c r="L262" s="39" t="n"/>
      <c r="M262" s="39" t="n"/>
    </row>
    <row r="263" ht="21" customHeight="1" s="65">
      <c r="C263" s="16" t="n"/>
      <c r="D263" s="16" t="n"/>
      <c r="E263" s="103" t="n"/>
      <c r="F263" s="25" t="n"/>
      <c r="G263" s="16" t="n"/>
      <c r="H263" s="7">
        <f>IF(C263="","","Patrimonio|"&amp;COUNTIF($C$6:C263,"&lt;&gt;"))</f>
        <v/>
      </c>
      <c r="J263" s="39" t="n"/>
      <c r="K263" s="39" t="n"/>
      <c r="L263" s="39" t="n"/>
      <c r="M263" s="39" t="n"/>
    </row>
    <row r="264" ht="21" customHeight="1" s="65">
      <c r="C264" s="16" t="n"/>
      <c r="D264" s="16" t="n"/>
      <c r="E264" s="103" t="n"/>
      <c r="F264" s="25" t="n"/>
      <c r="G264" s="16" t="n"/>
      <c r="H264" s="7">
        <f>IF(C264="","","Patrimonio|"&amp;COUNTIF($C$6:C264,"&lt;&gt;"))</f>
        <v/>
      </c>
      <c r="J264" s="39" t="n"/>
      <c r="K264" s="39" t="n"/>
      <c r="L264" s="39" t="n"/>
      <c r="M264" s="39" t="n"/>
    </row>
    <row r="265" ht="21" customHeight="1" s="65">
      <c r="C265" s="16" t="n"/>
      <c r="D265" s="16" t="n"/>
      <c r="E265" s="103" t="n"/>
      <c r="F265" s="25" t="n"/>
      <c r="G265" s="16" t="n"/>
      <c r="H265" s="7">
        <f>IF(C265="","","Patrimonio|"&amp;COUNTIF($C$6:C265,"&lt;&gt;"))</f>
        <v/>
      </c>
      <c r="J265" s="39" t="n"/>
      <c r="K265" s="39" t="n"/>
      <c r="L265" s="39" t="n"/>
      <c r="M265" s="39" t="n"/>
    </row>
    <row r="266" ht="21" customHeight="1" s="65">
      <c r="C266" s="16" t="n"/>
      <c r="D266" s="16" t="n"/>
      <c r="E266" s="103" t="n"/>
      <c r="F266" s="25" t="n"/>
      <c r="G266" s="16" t="n"/>
      <c r="H266" s="7">
        <f>IF(C266="","","Patrimonio|"&amp;COUNTIF($C$6:C266,"&lt;&gt;"))</f>
        <v/>
      </c>
      <c r="J266" s="39" t="n"/>
      <c r="K266" s="39" t="n"/>
      <c r="L266" s="39" t="n"/>
      <c r="M266" s="39" t="n"/>
    </row>
    <row r="267" ht="21" customHeight="1" s="65">
      <c r="C267" s="16" t="n"/>
      <c r="D267" s="16" t="n"/>
      <c r="E267" s="103" t="n"/>
      <c r="F267" s="25" t="n"/>
      <c r="G267" s="16" t="n"/>
      <c r="H267" s="7">
        <f>IF(C267="","","Patrimonio|"&amp;COUNTIF($C$6:C267,"&lt;&gt;"))</f>
        <v/>
      </c>
      <c r="J267" s="39" t="n"/>
      <c r="K267" s="39" t="n"/>
      <c r="L267" s="39" t="n"/>
      <c r="M267" s="39" t="n"/>
    </row>
    <row r="268" ht="21" customHeight="1" s="65">
      <c r="C268" s="16" t="n"/>
      <c r="D268" s="16" t="n"/>
      <c r="E268" s="103" t="n"/>
      <c r="F268" s="25" t="n"/>
      <c r="G268" s="16" t="n"/>
      <c r="H268" s="7">
        <f>IF(C268="","","Patrimonio|"&amp;COUNTIF($C$6:C268,"&lt;&gt;"))</f>
        <v/>
      </c>
      <c r="J268" s="39" t="n"/>
      <c r="K268" s="39" t="n"/>
      <c r="L268" s="39" t="n"/>
      <c r="M268" s="39" t="n"/>
    </row>
    <row r="269" ht="21" customHeight="1" s="65">
      <c r="C269" s="16" t="n"/>
      <c r="D269" s="16" t="n"/>
      <c r="E269" s="103" t="n"/>
      <c r="F269" s="25" t="n"/>
      <c r="G269" s="16" t="n"/>
      <c r="H269" s="7">
        <f>IF(C269="","","Patrimonio|"&amp;COUNTIF($C$6:C269,"&lt;&gt;"))</f>
        <v/>
      </c>
      <c r="J269" s="39" t="n"/>
      <c r="K269" s="39" t="n"/>
      <c r="L269" s="39" t="n"/>
      <c r="M269" s="39" t="n"/>
    </row>
    <row r="270" ht="21" customHeight="1" s="65">
      <c r="C270" s="16" t="n"/>
      <c r="D270" s="16" t="n"/>
      <c r="E270" s="103" t="n"/>
      <c r="F270" s="25" t="n"/>
      <c r="G270" s="16" t="n"/>
      <c r="H270" s="7">
        <f>IF(C270="","","Patrimonio|"&amp;COUNTIF($C$6:C270,"&lt;&gt;"))</f>
        <v/>
      </c>
      <c r="J270" s="39" t="n"/>
      <c r="K270" s="39" t="n"/>
      <c r="L270" s="39" t="n"/>
      <c r="M270" s="39" t="n"/>
    </row>
    <row r="271" ht="21" customHeight="1" s="65">
      <c r="C271" s="16" t="n"/>
      <c r="D271" s="16" t="n"/>
      <c r="E271" s="103" t="n"/>
      <c r="F271" s="25" t="n"/>
      <c r="G271" s="16" t="n"/>
      <c r="H271" s="7">
        <f>IF(C271="","","Patrimonio|"&amp;COUNTIF($C$6:C271,"&lt;&gt;"))</f>
        <v/>
      </c>
      <c r="J271" s="39" t="n"/>
      <c r="K271" s="39" t="n"/>
      <c r="L271" s="39" t="n"/>
      <c r="M271" s="39" t="n"/>
    </row>
    <row r="272" ht="21" customHeight="1" s="65">
      <c r="C272" s="16" t="n"/>
      <c r="D272" s="16" t="n"/>
      <c r="E272" s="103" t="n"/>
      <c r="F272" s="25" t="n"/>
      <c r="G272" s="16" t="n"/>
      <c r="H272" s="7">
        <f>IF(C272="","","Patrimonio|"&amp;COUNTIF($C$6:C272,"&lt;&gt;"))</f>
        <v/>
      </c>
      <c r="J272" s="39" t="n"/>
      <c r="K272" s="39" t="n"/>
      <c r="L272" s="39" t="n"/>
      <c r="M272" s="39" t="n"/>
    </row>
    <row r="273" ht="21" customHeight="1" s="65">
      <c r="C273" s="16" t="n"/>
      <c r="D273" s="16" t="n"/>
      <c r="E273" s="103" t="n"/>
      <c r="F273" s="25" t="n"/>
      <c r="G273" s="16" t="n"/>
      <c r="H273" s="7">
        <f>IF(C273="","","Patrimonio|"&amp;COUNTIF($C$6:C273,"&lt;&gt;"))</f>
        <v/>
      </c>
      <c r="J273" s="39" t="n"/>
      <c r="K273" s="39" t="n"/>
      <c r="L273" s="39" t="n"/>
      <c r="M273" s="39" t="n"/>
    </row>
    <row r="274" ht="21" customHeight="1" s="65">
      <c r="C274" s="16" t="n"/>
      <c r="D274" s="16" t="n"/>
      <c r="E274" s="103" t="n"/>
      <c r="F274" s="25" t="n"/>
      <c r="G274" s="16" t="n"/>
      <c r="H274" s="7">
        <f>IF(C274="","","Patrimonio|"&amp;COUNTIF($C$6:C274,"&lt;&gt;"))</f>
        <v/>
      </c>
      <c r="J274" s="39" t="n"/>
      <c r="K274" s="39" t="n"/>
      <c r="L274" s="39" t="n"/>
      <c r="M274" s="39" t="n"/>
    </row>
    <row r="275" ht="21" customHeight="1" s="65">
      <c r="C275" s="16" t="n"/>
      <c r="D275" s="16" t="n"/>
      <c r="E275" s="103" t="n"/>
      <c r="F275" s="25" t="n"/>
      <c r="G275" s="16" t="n"/>
      <c r="H275" s="7">
        <f>IF(C275="","","Patrimonio|"&amp;COUNTIF($C$6:C275,"&lt;&gt;"))</f>
        <v/>
      </c>
      <c r="J275" s="39" t="n"/>
      <c r="K275" s="39" t="n"/>
      <c r="L275" s="39" t="n"/>
      <c r="M275" s="39" t="n"/>
    </row>
    <row r="276" ht="21" customHeight="1" s="65">
      <c r="C276" s="16" t="n"/>
      <c r="D276" s="16" t="n"/>
      <c r="E276" s="103" t="n"/>
      <c r="F276" s="25" t="n"/>
      <c r="G276" s="16" t="n"/>
      <c r="H276" s="7">
        <f>IF(C276="","","Patrimonio|"&amp;COUNTIF($C$6:C276,"&lt;&gt;"))</f>
        <v/>
      </c>
      <c r="J276" s="39" t="n"/>
      <c r="K276" s="39" t="n"/>
      <c r="L276" s="39" t="n"/>
      <c r="M276" s="39" t="n"/>
    </row>
    <row r="277" ht="21" customHeight="1" s="65">
      <c r="C277" s="16" t="n"/>
      <c r="D277" s="16" t="n"/>
      <c r="E277" s="103" t="n"/>
      <c r="F277" s="25" t="n"/>
      <c r="G277" s="16" t="n"/>
      <c r="H277" s="7">
        <f>IF(C277="","","Patrimonio|"&amp;COUNTIF($C$6:C277,"&lt;&gt;"))</f>
        <v/>
      </c>
      <c r="J277" s="39" t="n"/>
      <c r="K277" s="39" t="n"/>
      <c r="L277" s="39" t="n"/>
      <c r="M277" s="39" t="n"/>
    </row>
    <row r="278" ht="21" customHeight="1" s="65">
      <c r="C278" s="16" t="n"/>
      <c r="D278" s="16" t="n"/>
      <c r="E278" s="103" t="n"/>
      <c r="F278" s="25" t="n"/>
      <c r="G278" s="16" t="n"/>
      <c r="H278" s="7">
        <f>IF(C278="","","Patrimonio|"&amp;COUNTIF($C$6:C278,"&lt;&gt;"))</f>
        <v/>
      </c>
      <c r="J278" s="39" t="n"/>
      <c r="K278" s="39" t="n"/>
      <c r="L278" s="39" t="n"/>
      <c r="M278" s="39" t="n"/>
    </row>
    <row r="279" ht="21" customHeight="1" s="65">
      <c r="C279" s="16" t="n"/>
      <c r="D279" s="16" t="n"/>
      <c r="E279" s="103" t="n"/>
      <c r="F279" s="25" t="n"/>
      <c r="G279" s="16" t="n"/>
      <c r="H279" s="7">
        <f>IF(C279="","","Patrimonio|"&amp;COUNTIF($C$6:C279,"&lt;&gt;"))</f>
        <v/>
      </c>
      <c r="J279" s="39" t="n"/>
      <c r="K279" s="39" t="n"/>
      <c r="L279" s="39" t="n"/>
      <c r="M279" s="39" t="n"/>
    </row>
    <row r="280" ht="21" customHeight="1" s="65">
      <c r="C280" s="16" t="n"/>
      <c r="D280" s="16" t="n"/>
      <c r="E280" s="103" t="n"/>
      <c r="F280" s="25" t="n"/>
      <c r="G280" s="16" t="n"/>
      <c r="H280" s="7">
        <f>IF(C280="","","Patrimonio|"&amp;COUNTIF($C$6:C280,"&lt;&gt;"))</f>
        <v/>
      </c>
      <c r="J280" s="39" t="n"/>
      <c r="K280" s="39" t="n"/>
      <c r="L280" s="39" t="n"/>
      <c r="M280" s="39" t="n"/>
    </row>
    <row r="281" ht="21" customHeight="1" s="65">
      <c r="C281" s="16" t="n"/>
      <c r="D281" s="16" t="n"/>
      <c r="E281" s="103" t="n"/>
      <c r="F281" s="25" t="n"/>
      <c r="G281" s="16" t="n"/>
      <c r="H281" s="7">
        <f>IF(C281="","","Patrimonio|"&amp;COUNTIF($C$6:C281,"&lt;&gt;"))</f>
        <v/>
      </c>
      <c r="J281" s="39" t="n"/>
      <c r="K281" s="39" t="n"/>
      <c r="L281" s="39" t="n"/>
      <c r="M281" s="39" t="n"/>
    </row>
    <row r="282" ht="21" customHeight="1" s="65">
      <c r="C282" s="16" t="n"/>
      <c r="D282" s="16" t="n"/>
      <c r="E282" s="103" t="n"/>
      <c r="F282" s="25" t="n"/>
      <c r="G282" s="16" t="n"/>
      <c r="H282" s="7">
        <f>IF(C282="","","Patrimonio|"&amp;COUNTIF($C$6:C282,"&lt;&gt;"))</f>
        <v/>
      </c>
      <c r="J282" s="39" t="n"/>
      <c r="K282" s="39" t="n"/>
      <c r="L282" s="39" t="n"/>
      <c r="M282" s="39" t="n"/>
    </row>
    <row r="283" ht="21" customHeight="1" s="65">
      <c r="C283" s="16" t="n"/>
      <c r="D283" s="16" t="n"/>
      <c r="E283" s="103" t="n"/>
      <c r="F283" s="25" t="n"/>
      <c r="G283" s="16" t="n"/>
      <c r="H283" s="7">
        <f>IF(C283="","","Patrimonio|"&amp;COUNTIF($C$6:C283,"&lt;&gt;"))</f>
        <v/>
      </c>
      <c r="J283" s="39" t="n"/>
      <c r="K283" s="39" t="n"/>
      <c r="L283" s="39" t="n"/>
      <c r="M283" s="39" t="n"/>
    </row>
    <row r="284" ht="21" customHeight="1" s="65">
      <c r="C284" s="16" t="n"/>
      <c r="D284" s="16" t="n"/>
      <c r="E284" s="103" t="n"/>
      <c r="F284" s="25" t="n"/>
      <c r="G284" s="16" t="n"/>
      <c r="H284" s="7">
        <f>IF(C284="","","Patrimonio|"&amp;COUNTIF($C$6:C284,"&lt;&gt;"))</f>
        <v/>
      </c>
      <c r="J284" s="39" t="n"/>
      <c r="K284" s="39" t="n"/>
      <c r="L284" s="39" t="n"/>
      <c r="M284" s="39" t="n"/>
    </row>
    <row r="285" ht="21" customHeight="1" s="65">
      <c r="C285" s="16" t="n"/>
      <c r="D285" s="16" t="n"/>
      <c r="E285" s="103" t="n"/>
      <c r="F285" s="25" t="n"/>
      <c r="G285" s="16" t="n"/>
      <c r="H285" s="7">
        <f>IF(C285="","","Patrimonio|"&amp;COUNTIF($C$6:C285,"&lt;&gt;"))</f>
        <v/>
      </c>
      <c r="J285" s="39" t="n"/>
      <c r="K285" s="39" t="n"/>
      <c r="L285" s="39" t="n"/>
      <c r="M285" s="39" t="n"/>
    </row>
    <row r="286" ht="21" customHeight="1" s="65">
      <c r="C286" s="16" t="n"/>
      <c r="D286" s="16" t="n"/>
      <c r="E286" s="103" t="n"/>
      <c r="F286" s="25" t="n"/>
      <c r="G286" s="16" t="n"/>
      <c r="H286" s="7">
        <f>IF(C286="","","Patrimonio|"&amp;COUNTIF($C$6:C286,"&lt;&gt;"))</f>
        <v/>
      </c>
      <c r="J286" s="39" t="n"/>
      <c r="K286" s="39" t="n"/>
      <c r="L286" s="39" t="n"/>
      <c r="M286" s="39" t="n"/>
    </row>
    <row r="287" ht="21" customHeight="1" s="65">
      <c r="C287" s="16" t="n"/>
      <c r="D287" s="16" t="n"/>
      <c r="E287" s="103" t="n"/>
      <c r="F287" s="25" t="n"/>
      <c r="G287" s="16" t="n"/>
      <c r="H287" s="7">
        <f>IF(C287="","","Patrimonio|"&amp;COUNTIF($C$6:C287,"&lt;&gt;"))</f>
        <v/>
      </c>
      <c r="J287" s="39" t="n"/>
      <c r="K287" s="39" t="n"/>
      <c r="L287" s="39" t="n"/>
      <c r="M287" s="39" t="n"/>
    </row>
    <row r="288" ht="21" customHeight="1" s="65">
      <c r="C288" s="16" t="n"/>
      <c r="D288" s="16" t="n"/>
      <c r="E288" s="103" t="n"/>
      <c r="F288" s="25" t="n"/>
      <c r="G288" s="16" t="n"/>
      <c r="H288" s="7">
        <f>IF(C288="","","Patrimonio|"&amp;COUNTIF($C$6:C288,"&lt;&gt;"))</f>
        <v/>
      </c>
      <c r="J288" s="39" t="n"/>
      <c r="K288" s="39" t="n"/>
      <c r="L288" s="39" t="n"/>
      <c r="M288" s="39" t="n"/>
    </row>
    <row r="289" ht="21" customHeight="1" s="65">
      <c r="C289" s="16" t="n"/>
      <c r="D289" s="16" t="n"/>
      <c r="E289" s="103" t="n"/>
      <c r="F289" s="25" t="n"/>
      <c r="G289" s="16" t="n"/>
      <c r="H289" s="7">
        <f>IF(C289="","","Patrimonio|"&amp;COUNTIF($C$6:C289,"&lt;&gt;"))</f>
        <v/>
      </c>
      <c r="J289" s="39" t="n"/>
      <c r="K289" s="39" t="n"/>
      <c r="L289" s="39" t="n"/>
      <c r="M289" s="39" t="n"/>
    </row>
    <row r="290" ht="21" customHeight="1" s="65">
      <c r="C290" s="16" t="n"/>
      <c r="D290" s="16" t="n"/>
      <c r="E290" s="103" t="n"/>
      <c r="F290" s="25" t="n"/>
      <c r="G290" s="16" t="n"/>
      <c r="H290" s="7">
        <f>IF(C290="","","Patrimonio|"&amp;COUNTIF($C$6:C290,"&lt;&gt;"))</f>
        <v/>
      </c>
      <c r="J290" s="39" t="n"/>
      <c r="K290" s="39" t="n"/>
      <c r="L290" s="39" t="n"/>
      <c r="M290" s="39" t="n"/>
    </row>
    <row r="291" ht="21" customHeight="1" s="65">
      <c r="C291" s="16" t="n"/>
      <c r="D291" s="16" t="n"/>
      <c r="E291" s="103" t="n"/>
      <c r="F291" s="25" t="n"/>
      <c r="G291" s="16" t="n"/>
      <c r="H291" s="7">
        <f>IF(C291="","","Patrimonio|"&amp;COUNTIF($C$6:C291,"&lt;&gt;"))</f>
        <v/>
      </c>
      <c r="J291" s="39" t="n"/>
      <c r="K291" s="39" t="n"/>
      <c r="L291" s="39" t="n"/>
      <c r="M291" s="39" t="n"/>
    </row>
    <row r="292" ht="21" customHeight="1" s="65">
      <c r="C292" s="16" t="n"/>
      <c r="D292" s="16" t="n"/>
      <c r="E292" s="103" t="n"/>
      <c r="F292" s="25" t="n"/>
      <c r="G292" s="16" t="n"/>
      <c r="H292" s="7">
        <f>IF(C292="","","Patrimonio|"&amp;COUNTIF($C$6:C292,"&lt;&gt;"))</f>
        <v/>
      </c>
      <c r="J292" s="39" t="n"/>
      <c r="K292" s="39" t="n"/>
      <c r="L292" s="39" t="n"/>
      <c r="M292" s="39" t="n"/>
    </row>
    <row r="293" ht="21" customHeight="1" s="65">
      <c r="C293" s="16" t="n"/>
      <c r="D293" s="16" t="n"/>
      <c r="E293" s="103" t="n"/>
      <c r="F293" s="25" t="n"/>
      <c r="G293" s="16" t="n"/>
      <c r="H293" s="7">
        <f>IF(C293="","","Patrimonio|"&amp;COUNTIF($C$6:C293,"&lt;&gt;"))</f>
        <v/>
      </c>
      <c r="J293" s="39" t="n"/>
      <c r="K293" s="39" t="n"/>
      <c r="L293" s="39" t="n"/>
      <c r="M293" s="39" t="n"/>
    </row>
    <row r="294" ht="21" customHeight="1" s="65">
      <c r="C294" s="16" t="n"/>
      <c r="D294" s="16" t="n"/>
      <c r="E294" s="103" t="n"/>
      <c r="F294" s="25" t="n"/>
      <c r="G294" s="16" t="n"/>
      <c r="H294" s="7">
        <f>IF(C294="","","Patrimonio|"&amp;COUNTIF($C$6:C294,"&lt;&gt;"))</f>
        <v/>
      </c>
      <c r="J294" s="39" t="n"/>
      <c r="K294" s="39" t="n"/>
      <c r="L294" s="39" t="n"/>
      <c r="M294" s="39" t="n"/>
    </row>
    <row r="295" ht="21" customHeight="1" s="65">
      <c r="C295" s="16" t="n"/>
      <c r="D295" s="16" t="n"/>
      <c r="E295" s="103" t="n"/>
      <c r="F295" s="25" t="n"/>
      <c r="G295" s="16" t="n"/>
      <c r="H295" s="7">
        <f>IF(C295="","","Patrimonio|"&amp;COUNTIF($C$6:C295,"&lt;&gt;"))</f>
        <v/>
      </c>
      <c r="J295" s="39" t="n"/>
      <c r="K295" s="39" t="n"/>
      <c r="L295" s="39" t="n"/>
      <c r="M295" s="39" t="n"/>
    </row>
    <row r="296" ht="21" customHeight="1" s="65">
      <c r="C296" s="16" t="n"/>
      <c r="D296" s="16" t="n"/>
      <c r="E296" s="103" t="n"/>
      <c r="F296" s="25" t="n"/>
      <c r="G296" s="16" t="n"/>
      <c r="H296" s="7">
        <f>IF(C296="","","Patrimonio|"&amp;COUNTIF($C$6:C296,"&lt;&gt;"))</f>
        <v/>
      </c>
      <c r="J296" s="39" t="n"/>
      <c r="K296" s="39" t="n"/>
      <c r="L296" s="39" t="n"/>
      <c r="M296" s="39" t="n"/>
    </row>
    <row r="297" ht="21" customHeight="1" s="65">
      <c r="C297" s="16" t="n"/>
      <c r="D297" s="16" t="n"/>
      <c r="E297" s="103" t="n"/>
      <c r="F297" s="25" t="n"/>
      <c r="G297" s="16" t="n"/>
      <c r="H297" s="7">
        <f>IF(C297="","","Patrimonio|"&amp;COUNTIF($C$6:C297,"&lt;&gt;"))</f>
        <v/>
      </c>
      <c r="J297" s="39" t="n"/>
      <c r="K297" s="39" t="n"/>
      <c r="L297" s="39" t="n"/>
      <c r="M297" s="39" t="n"/>
    </row>
    <row r="298" ht="21" customHeight="1" s="65">
      <c r="C298" s="16" t="n"/>
      <c r="D298" s="16" t="n"/>
      <c r="E298" s="103" t="n"/>
      <c r="F298" s="25" t="n"/>
      <c r="G298" s="16" t="n"/>
      <c r="H298" s="7">
        <f>IF(C298="","","Patrimonio|"&amp;COUNTIF($C$6:C298,"&lt;&gt;"))</f>
        <v/>
      </c>
      <c r="J298" s="39" t="n"/>
      <c r="K298" s="39" t="n"/>
      <c r="L298" s="39" t="n"/>
      <c r="M298" s="39" t="n"/>
    </row>
    <row r="299" ht="21" customHeight="1" s="65">
      <c r="C299" s="16" t="n"/>
      <c r="D299" s="16" t="n"/>
      <c r="E299" s="103" t="n"/>
      <c r="F299" s="25" t="n"/>
      <c r="G299" s="16" t="n"/>
      <c r="H299" s="7">
        <f>IF(C299="","","Patrimonio|"&amp;COUNTIF($C$6:C299,"&lt;&gt;"))</f>
        <v/>
      </c>
      <c r="J299" s="39" t="n"/>
      <c r="K299" s="39" t="n"/>
      <c r="L299" s="39" t="n"/>
      <c r="M299" s="39" t="n"/>
    </row>
    <row r="300" ht="21" customHeight="1" s="65">
      <c r="C300" s="16" t="n"/>
      <c r="D300" s="16" t="n"/>
      <c r="E300" s="103" t="n"/>
      <c r="F300" s="25" t="n"/>
      <c r="G300" s="16" t="n"/>
      <c r="H300" s="7">
        <f>IF(C300="","","Patrimonio|"&amp;COUNTIF($C$6:C300,"&lt;&gt;"))</f>
        <v/>
      </c>
      <c r="J300" s="39" t="n"/>
      <c r="K300" s="39" t="n"/>
      <c r="L300" s="39" t="n"/>
      <c r="M300" s="39" t="n"/>
    </row>
    <row r="301" ht="21" customHeight="1" s="65">
      <c r="C301" s="16" t="n"/>
      <c r="D301" s="16" t="n"/>
      <c r="E301" s="103" t="n"/>
      <c r="F301" s="25" t="n"/>
      <c r="G301" s="16" t="n"/>
      <c r="H301" s="7">
        <f>IF(C301="","","Patrimonio|"&amp;COUNTIF($C$6:C301,"&lt;&gt;"))</f>
        <v/>
      </c>
      <c r="J301" s="39" t="n"/>
      <c r="K301" s="39" t="n"/>
      <c r="L301" s="39" t="n"/>
      <c r="M301" s="39" t="n"/>
    </row>
    <row r="302" ht="21" customHeight="1" s="65">
      <c r="C302" s="16" t="n"/>
      <c r="D302" s="16" t="n"/>
      <c r="E302" s="103" t="n"/>
      <c r="F302" s="25" t="n"/>
      <c r="G302" s="16" t="n"/>
      <c r="H302" s="7">
        <f>IF(C302="","","Patrimonio|"&amp;COUNTIF($C$6:C302,"&lt;&gt;"))</f>
        <v/>
      </c>
      <c r="J302" s="39" t="n"/>
      <c r="K302" s="39" t="n"/>
      <c r="L302" s="39" t="n"/>
      <c r="M302" s="39" t="n"/>
    </row>
    <row r="303" ht="21" customHeight="1" s="65">
      <c r="C303" s="16" t="n"/>
      <c r="D303" s="16" t="n"/>
      <c r="E303" s="103" t="n"/>
      <c r="F303" s="25" t="n"/>
      <c r="G303" s="16" t="n"/>
      <c r="H303" s="7">
        <f>IF(C303="","","Patrimonio|"&amp;COUNTIF($C$6:C303,"&lt;&gt;"))</f>
        <v/>
      </c>
      <c r="J303" s="39" t="n"/>
      <c r="K303" s="39" t="n"/>
      <c r="L303" s="39" t="n"/>
      <c r="M303" s="39" t="n"/>
    </row>
    <row r="304" ht="21" customHeight="1" s="65">
      <c r="C304" s="16" t="n"/>
      <c r="D304" s="16" t="n"/>
      <c r="E304" s="103" t="n"/>
      <c r="F304" s="25" t="n"/>
      <c r="G304" s="16" t="n"/>
      <c r="H304" s="7">
        <f>IF(C304="","","Patrimonio|"&amp;COUNTIF($C$6:C304,"&lt;&gt;"))</f>
        <v/>
      </c>
      <c r="J304" s="39" t="n"/>
      <c r="K304" s="39" t="n"/>
      <c r="L304" s="39" t="n"/>
      <c r="M304" s="39" t="n"/>
    </row>
    <row r="305" ht="21" customHeight="1" s="65">
      <c r="C305" s="16" t="n"/>
      <c r="D305" s="16" t="n"/>
      <c r="E305" s="103" t="n"/>
      <c r="F305" s="25" t="n"/>
      <c r="G305" s="16" t="n"/>
      <c r="H305" s="7">
        <f>IF(C305="","","Patrimonio|"&amp;COUNTIF($C$6:C305,"&lt;&gt;"))</f>
        <v/>
      </c>
      <c r="J305" s="39" t="n"/>
      <c r="K305" s="39" t="n"/>
      <c r="L305" s="39" t="n"/>
      <c r="M305" s="39" t="n"/>
    </row>
    <row r="306" ht="21" customHeight="1" s="65">
      <c r="C306" s="16" t="n"/>
      <c r="D306" s="16" t="n"/>
      <c r="E306" s="103" t="n"/>
      <c r="F306" s="25" t="n"/>
      <c r="G306" s="16" t="n"/>
      <c r="H306" s="7">
        <f>IF(C306="","","Patrimonio|"&amp;COUNTIF($C$6:C306,"&lt;&gt;"))</f>
        <v/>
      </c>
      <c r="J306" s="39" t="n"/>
      <c r="K306" s="39" t="n"/>
      <c r="L306" s="39" t="n"/>
      <c r="M306" s="39" t="n"/>
    </row>
    <row r="307" ht="21" customHeight="1" s="65">
      <c r="C307" s="16" t="n"/>
      <c r="D307" s="16" t="n"/>
      <c r="E307" s="103" t="n"/>
      <c r="F307" s="25" t="n"/>
      <c r="G307" s="16" t="n"/>
      <c r="H307" s="7">
        <f>IF(C307="","","Patrimonio|"&amp;COUNTIF($C$6:C307,"&lt;&gt;"))</f>
        <v/>
      </c>
      <c r="J307" s="39" t="n"/>
      <c r="K307" s="39" t="n"/>
      <c r="L307" s="39" t="n"/>
      <c r="M307" s="39" t="n"/>
    </row>
    <row r="308" ht="21" customHeight="1" s="65">
      <c r="C308" s="16" t="n"/>
      <c r="D308" s="16" t="n"/>
      <c r="E308" s="103" t="n"/>
      <c r="F308" s="25" t="n"/>
      <c r="G308" s="16" t="n"/>
      <c r="H308" s="7">
        <f>IF(C308="","","Patrimonio|"&amp;COUNTIF($C$6:C308,"&lt;&gt;"))</f>
        <v/>
      </c>
      <c r="J308" s="39" t="n"/>
      <c r="K308" s="39" t="n"/>
      <c r="L308" s="39" t="n"/>
      <c r="M308" s="39" t="n"/>
    </row>
    <row r="309" ht="21" customHeight="1" s="65">
      <c r="C309" s="16" t="n"/>
      <c r="D309" s="16" t="n"/>
      <c r="E309" s="103" t="n"/>
      <c r="F309" s="25" t="n"/>
      <c r="G309" s="16" t="n"/>
      <c r="H309" s="7">
        <f>IF(C309="","","Patrimonio|"&amp;COUNTIF($C$6:C309,"&lt;&gt;"))</f>
        <v/>
      </c>
      <c r="J309" s="39" t="n"/>
      <c r="K309" s="39" t="n"/>
      <c r="L309" s="39" t="n"/>
      <c r="M309" s="39" t="n"/>
    </row>
    <row r="310" ht="21" customHeight="1" s="65">
      <c r="C310" s="16" t="n"/>
      <c r="D310" s="16" t="n"/>
      <c r="E310" s="103" t="n"/>
      <c r="F310" s="25" t="n"/>
      <c r="G310" s="16" t="n"/>
      <c r="H310" s="7">
        <f>IF(C310="","","Patrimonio|"&amp;COUNTIF($C$6:C310,"&lt;&gt;"))</f>
        <v/>
      </c>
      <c r="J310" s="39" t="n"/>
      <c r="K310" s="39" t="n"/>
      <c r="L310" s="39" t="n"/>
      <c r="M310" s="39" t="n"/>
    </row>
    <row r="311" ht="21" customHeight="1" s="65">
      <c r="C311" s="16" t="n"/>
      <c r="D311" s="16" t="n"/>
      <c r="E311" s="103" t="n"/>
      <c r="F311" s="25" t="n"/>
      <c r="G311" s="16" t="n"/>
      <c r="H311" s="7">
        <f>IF(C311="","","Patrimonio|"&amp;COUNTIF($C$6:C311,"&lt;&gt;"))</f>
        <v/>
      </c>
      <c r="J311" s="39" t="n"/>
      <c r="K311" s="39" t="n"/>
      <c r="L311" s="39" t="n"/>
      <c r="M311" s="39" t="n"/>
    </row>
    <row r="312" ht="21" customHeight="1" s="65">
      <c r="C312" s="16" t="n"/>
      <c r="D312" s="16" t="n"/>
      <c r="E312" s="103" t="n"/>
      <c r="F312" s="25" t="n"/>
      <c r="G312" s="16" t="n"/>
      <c r="H312" s="7">
        <f>IF(C312="","","Patrimonio|"&amp;COUNTIF($C$6:C312,"&lt;&gt;"))</f>
        <v/>
      </c>
      <c r="J312" s="39" t="n"/>
      <c r="K312" s="39" t="n"/>
      <c r="L312" s="39" t="n"/>
      <c r="M312" s="39" t="n"/>
    </row>
    <row r="313" ht="21" customHeight="1" s="65">
      <c r="C313" s="16" t="n"/>
      <c r="D313" s="16" t="n"/>
      <c r="E313" s="103" t="n"/>
      <c r="F313" s="25" t="n"/>
      <c r="G313" s="16" t="n"/>
      <c r="H313" s="7">
        <f>IF(C313="","","Patrimonio|"&amp;COUNTIF($C$6:C313,"&lt;&gt;"))</f>
        <v/>
      </c>
      <c r="J313" s="39" t="n"/>
      <c r="K313" s="39" t="n"/>
      <c r="L313" s="39" t="n"/>
      <c r="M313" s="39" t="n"/>
    </row>
    <row r="314" ht="21" customHeight="1" s="65">
      <c r="C314" s="16" t="n"/>
      <c r="D314" s="16" t="n"/>
      <c r="E314" s="103" t="n"/>
      <c r="F314" s="25" t="n"/>
      <c r="G314" s="16" t="n"/>
      <c r="H314" s="7">
        <f>IF(C314="","","Patrimonio|"&amp;COUNTIF($C$6:C314,"&lt;&gt;"))</f>
        <v/>
      </c>
      <c r="J314" s="39" t="n"/>
      <c r="K314" s="39" t="n"/>
      <c r="L314" s="39" t="n"/>
      <c r="M314" s="39" t="n"/>
    </row>
    <row r="315" ht="21" customHeight="1" s="65">
      <c r="C315" s="16" t="n"/>
      <c r="D315" s="16" t="n"/>
      <c r="E315" s="103" t="n"/>
      <c r="F315" s="25" t="n"/>
      <c r="G315" s="16" t="n"/>
      <c r="H315" s="7">
        <f>IF(C315="","","Patrimonio|"&amp;COUNTIF($C$6:C315,"&lt;&gt;"))</f>
        <v/>
      </c>
      <c r="J315" s="39" t="n"/>
      <c r="K315" s="39" t="n"/>
      <c r="L315" s="39" t="n"/>
      <c r="M315" s="39" t="n"/>
    </row>
    <row r="316" ht="21" customHeight="1" s="65">
      <c r="C316" s="16" t="n"/>
      <c r="D316" s="16" t="n"/>
      <c r="E316" s="103" t="n"/>
      <c r="F316" s="25" t="n"/>
      <c r="G316" s="16" t="n"/>
      <c r="H316" s="7">
        <f>IF(C316="","","Patrimonio|"&amp;COUNTIF($C$6:C316,"&lt;&gt;"))</f>
        <v/>
      </c>
      <c r="J316" s="39" t="n"/>
      <c r="K316" s="39" t="n"/>
      <c r="L316" s="39" t="n"/>
      <c r="M316" s="39" t="n"/>
    </row>
    <row r="317" ht="21" customHeight="1" s="65">
      <c r="C317" s="16" t="n"/>
      <c r="D317" s="16" t="n"/>
      <c r="E317" s="103" t="n"/>
      <c r="F317" s="25" t="n"/>
      <c r="G317" s="16" t="n"/>
      <c r="H317" s="7">
        <f>IF(C317="","","Patrimonio|"&amp;COUNTIF($C$6:C317,"&lt;&gt;"))</f>
        <v/>
      </c>
      <c r="J317" s="39" t="n"/>
      <c r="K317" s="39" t="n"/>
      <c r="L317" s="39" t="n"/>
      <c r="M317" s="39" t="n"/>
    </row>
    <row r="318" ht="21" customHeight="1" s="65">
      <c r="C318" s="16" t="n"/>
      <c r="D318" s="16" t="n"/>
      <c r="E318" s="103" t="n"/>
      <c r="F318" s="25" t="n"/>
      <c r="G318" s="16" t="n"/>
      <c r="H318" s="7">
        <f>IF(C318="","","Patrimonio|"&amp;COUNTIF($C$6:C318,"&lt;&gt;"))</f>
        <v/>
      </c>
      <c r="J318" s="39" t="n"/>
      <c r="K318" s="39" t="n"/>
      <c r="L318" s="39" t="n"/>
      <c r="M318" s="39" t="n"/>
    </row>
    <row r="319" ht="21" customHeight="1" s="65">
      <c r="C319" s="16" t="n"/>
      <c r="D319" s="16" t="n"/>
      <c r="E319" s="103" t="n"/>
      <c r="F319" s="25" t="n"/>
      <c r="G319" s="16" t="n"/>
      <c r="H319" s="7">
        <f>IF(C319="","","Patrimonio|"&amp;COUNTIF($C$6:C319,"&lt;&gt;"))</f>
        <v/>
      </c>
      <c r="J319" s="39" t="n"/>
      <c r="K319" s="39" t="n"/>
      <c r="L319" s="39" t="n"/>
      <c r="M319" s="39" t="n"/>
    </row>
    <row r="320" ht="21" customHeight="1" s="65">
      <c r="C320" s="16" t="n"/>
      <c r="D320" s="16" t="n"/>
      <c r="E320" s="103" t="n"/>
      <c r="F320" s="25" t="n"/>
      <c r="G320" s="16" t="n"/>
      <c r="H320" s="7">
        <f>IF(C320="","","Patrimonio|"&amp;COUNTIF($C$6:C320,"&lt;&gt;"))</f>
        <v/>
      </c>
      <c r="J320" s="39" t="n"/>
      <c r="K320" s="39" t="n"/>
      <c r="L320" s="39" t="n"/>
      <c r="M320" s="39" t="n"/>
    </row>
    <row r="321" ht="21" customHeight="1" s="65">
      <c r="C321" s="16" t="n"/>
      <c r="D321" s="16" t="n"/>
      <c r="E321" s="103" t="n"/>
      <c r="F321" s="25" t="n"/>
      <c r="G321" s="16" t="n"/>
      <c r="H321" s="7">
        <f>IF(C321="","","Patrimonio|"&amp;COUNTIF($C$6:C321,"&lt;&gt;"))</f>
        <v/>
      </c>
      <c r="J321" s="39" t="n"/>
      <c r="K321" s="39" t="n"/>
      <c r="L321" s="39" t="n"/>
      <c r="M321" s="39" t="n"/>
    </row>
    <row r="322" ht="21" customHeight="1" s="65">
      <c r="C322" s="16" t="n"/>
      <c r="D322" s="16" t="n"/>
      <c r="E322" s="103" t="n"/>
      <c r="F322" s="25" t="n"/>
      <c r="G322" s="16" t="n"/>
      <c r="H322" s="7">
        <f>IF(C322="","","Patrimonio|"&amp;COUNTIF($C$6:C322,"&lt;&gt;"))</f>
        <v/>
      </c>
      <c r="J322" s="39" t="n"/>
      <c r="K322" s="39" t="n"/>
      <c r="L322" s="39" t="n"/>
      <c r="M322" s="39" t="n"/>
    </row>
    <row r="323" ht="21" customHeight="1" s="65">
      <c r="C323" s="16" t="n"/>
      <c r="D323" s="16" t="n"/>
      <c r="E323" s="103" t="n"/>
      <c r="F323" s="25" t="n"/>
      <c r="G323" s="16" t="n"/>
      <c r="H323" s="7">
        <f>IF(C323="","","Patrimonio|"&amp;COUNTIF($C$6:C323,"&lt;&gt;"))</f>
        <v/>
      </c>
      <c r="J323" s="39" t="n"/>
      <c r="K323" s="39" t="n"/>
      <c r="L323" s="39" t="n"/>
      <c r="M323" s="39" t="n"/>
    </row>
    <row r="324" ht="21" customHeight="1" s="65">
      <c r="C324" s="16" t="n"/>
      <c r="D324" s="16" t="n"/>
      <c r="E324" s="103" t="n"/>
      <c r="F324" s="25" t="n"/>
      <c r="G324" s="16" t="n"/>
      <c r="H324" s="7">
        <f>IF(C324="","","Patrimonio|"&amp;COUNTIF($C$6:C324,"&lt;&gt;"))</f>
        <v/>
      </c>
      <c r="J324" s="39" t="n"/>
      <c r="K324" s="39" t="n"/>
      <c r="L324" s="39" t="n"/>
      <c r="M324" s="39" t="n"/>
    </row>
    <row r="325" ht="21" customHeight="1" s="65">
      <c r="C325" s="16" t="n"/>
      <c r="D325" s="16" t="n"/>
      <c r="E325" s="103" t="n"/>
      <c r="F325" s="25" t="n"/>
      <c r="G325" s="16" t="n"/>
      <c r="H325" s="7">
        <f>IF(C325="","","Patrimonio|"&amp;COUNTIF($C$6:C325,"&lt;&gt;"))</f>
        <v/>
      </c>
      <c r="J325" s="39" t="n"/>
      <c r="K325" s="39" t="n"/>
      <c r="L325" s="39" t="n"/>
      <c r="M325" s="39" t="n"/>
    </row>
    <row r="326" ht="21" customHeight="1" s="65">
      <c r="C326" s="16" t="n"/>
      <c r="D326" s="16" t="n"/>
      <c r="E326" s="103" t="n"/>
      <c r="F326" s="25" t="n"/>
      <c r="G326" s="16" t="n"/>
      <c r="H326" s="7">
        <f>IF(C326="","","Patrimonio|"&amp;COUNTIF($C$6:C326,"&lt;&gt;"))</f>
        <v/>
      </c>
      <c r="J326" s="39" t="n"/>
      <c r="K326" s="39" t="n"/>
      <c r="L326" s="39" t="n"/>
      <c r="M326" s="39" t="n"/>
    </row>
    <row r="327" ht="21" customHeight="1" s="65">
      <c r="C327" s="16" t="n"/>
      <c r="D327" s="16" t="n"/>
      <c r="E327" s="103" t="n"/>
      <c r="F327" s="25" t="n"/>
      <c r="G327" s="16" t="n"/>
      <c r="H327" s="7">
        <f>IF(C327="","","Patrimonio|"&amp;COUNTIF($C$6:C327,"&lt;&gt;"))</f>
        <v/>
      </c>
      <c r="J327" s="39" t="n"/>
      <c r="K327" s="39" t="n"/>
      <c r="L327" s="39" t="n"/>
      <c r="M327" s="39" t="n"/>
    </row>
    <row r="328" ht="21" customHeight="1" s="65">
      <c r="C328" s="16" t="n"/>
      <c r="D328" s="16" t="n"/>
      <c r="E328" s="103" t="n"/>
      <c r="F328" s="25" t="n"/>
      <c r="G328" s="16" t="n"/>
      <c r="H328" s="7">
        <f>IF(C328="","","Patrimonio|"&amp;COUNTIF($C$6:C328,"&lt;&gt;"))</f>
        <v/>
      </c>
      <c r="J328" s="39" t="n"/>
      <c r="K328" s="39" t="n"/>
      <c r="L328" s="39" t="n"/>
      <c r="M328" s="39" t="n"/>
    </row>
    <row r="329" ht="21" customHeight="1" s="65">
      <c r="C329" s="16" t="n"/>
      <c r="D329" s="16" t="n"/>
      <c r="E329" s="103" t="n"/>
      <c r="F329" s="25" t="n"/>
      <c r="G329" s="16" t="n"/>
      <c r="H329" s="7">
        <f>IF(C329="","","Patrimonio|"&amp;COUNTIF($C$6:C329,"&lt;&gt;"))</f>
        <v/>
      </c>
      <c r="J329" s="39" t="n"/>
      <c r="K329" s="39" t="n"/>
      <c r="L329" s="39" t="n"/>
      <c r="M329" s="39" t="n"/>
    </row>
    <row r="330" ht="21" customHeight="1" s="65">
      <c r="C330" s="16" t="n"/>
      <c r="D330" s="16" t="n"/>
      <c r="E330" s="103" t="n"/>
      <c r="F330" s="25" t="n"/>
      <c r="G330" s="16" t="n"/>
      <c r="H330" s="7">
        <f>IF(C330="","","Patrimonio|"&amp;COUNTIF($C$6:C330,"&lt;&gt;"))</f>
        <v/>
      </c>
      <c r="J330" s="39" t="n"/>
      <c r="K330" s="39" t="n"/>
      <c r="L330" s="39" t="n"/>
      <c r="M330" s="39" t="n"/>
    </row>
    <row r="331" ht="21" customHeight="1" s="65">
      <c r="C331" s="16" t="n"/>
      <c r="D331" s="16" t="n"/>
      <c r="E331" s="103" t="n"/>
      <c r="F331" s="25" t="n"/>
      <c r="G331" s="16" t="n"/>
      <c r="H331" s="7">
        <f>IF(C331="","","Patrimonio|"&amp;COUNTIF($C$6:C331,"&lt;&gt;"))</f>
        <v/>
      </c>
      <c r="J331" s="39" t="n"/>
      <c r="K331" s="39" t="n"/>
      <c r="L331" s="39" t="n"/>
      <c r="M331" s="39" t="n"/>
    </row>
    <row r="332" ht="21" customHeight="1" s="65">
      <c r="C332" s="16" t="n"/>
      <c r="D332" s="16" t="n"/>
      <c r="E332" s="103" t="n"/>
      <c r="F332" s="25" t="n"/>
      <c r="G332" s="16" t="n"/>
      <c r="H332" s="7">
        <f>IF(C332="","","Patrimonio|"&amp;COUNTIF($C$6:C332,"&lt;&gt;"))</f>
        <v/>
      </c>
      <c r="J332" s="39" t="n"/>
      <c r="K332" s="39" t="n"/>
      <c r="L332" s="39" t="n"/>
      <c r="M332" s="39" t="n"/>
    </row>
    <row r="333" ht="21" customHeight="1" s="65">
      <c r="C333" s="16" t="n"/>
      <c r="D333" s="16" t="n"/>
      <c r="E333" s="103" t="n"/>
      <c r="F333" s="25" t="n"/>
      <c r="G333" s="16" t="n"/>
      <c r="H333" s="7">
        <f>IF(C333="","","Patrimonio|"&amp;COUNTIF($C$6:C333,"&lt;&gt;"))</f>
        <v/>
      </c>
      <c r="J333" s="39" t="n"/>
      <c r="K333" s="39" t="n"/>
      <c r="L333" s="39" t="n"/>
      <c r="M333" s="39" t="n"/>
    </row>
    <row r="334" ht="21" customHeight="1" s="65">
      <c r="C334" s="16" t="n"/>
      <c r="D334" s="16" t="n"/>
      <c r="E334" s="103" t="n"/>
      <c r="F334" s="25" t="n"/>
      <c r="G334" s="16" t="n"/>
      <c r="H334" s="7">
        <f>IF(C334="","","Patrimonio|"&amp;COUNTIF($C$6:C334,"&lt;&gt;"))</f>
        <v/>
      </c>
      <c r="J334" s="39" t="n"/>
      <c r="K334" s="39" t="n"/>
      <c r="L334" s="39" t="n"/>
      <c r="M334" s="39" t="n"/>
    </row>
    <row r="335" ht="21" customHeight="1" s="65">
      <c r="C335" s="16" t="n"/>
      <c r="D335" s="16" t="n"/>
      <c r="E335" s="103" t="n"/>
      <c r="F335" s="25" t="n"/>
      <c r="G335" s="16" t="n"/>
      <c r="H335" s="7">
        <f>IF(C335="","","Patrimonio|"&amp;COUNTIF($C$6:C335,"&lt;&gt;"))</f>
        <v/>
      </c>
      <c r="J335" s="39" t="n"/>
      <c r="K335" s="39" t="n"/>
      <c r="L335" s="39" t="n"/>
      <c r="M335" s="39" t="n"/>
    </row>
    <row r="336" ht="21" customHeight="1" s="65">
      <c r="C336" s="16" t="n"/>
      <c r="D336" s="16" t="n"/>
      <c r="E336" s="103" t="n"/>
      <c r="F336" s="25" t="n"/>
      <c r="G336" s="16" t="n"/>
      <c r="H336" s="7">
        <f>IF(C336="","","Patrimonio|"&amp;COUNTIF($C$6:C336,"&lt;&gt;"))</f>
        <v/>
      </c>
      <c r="J336" s="39" t="n"/>
      <c r="K336" s="39" t="n"/>
      <c r="L336" s="39" t="n"/>
      <c r="M336" s="39" t="n"/>
    </row>
    <row r="337" ht="21" customHeight="1" s="65">
      <c r="C337" s="16" t="n"/>
      <c r="D337" s="16" t="n"/>
      <c r="E337" s="103" t="n"/>
      <c r="F337" s="25" t="n"/>
      <c r="G337" s="16" t="n"/>
      <c r="H337" s="7">
        <f>IF(C337="","","Patrimonio|"&amp;COUNTIF($C$6:C337,"&lt;&gt;"))</f>
        <v/>
      </c>
      <c r="J337" s="39" t="n"/>
      <c r="K337" s="39" t="n"/>
      <c r="L337" s="39" t="n"/>
      <c r="M337" s="39" t="n"/>
    </row>
    <row r="338" ht="21" customHeight="1" s="65">
      <c r="C338" s="16" t="n"/>
      <c r="D338" s="16" t="n"/>
      <c r="E338" s="103" t="n"/>
      <c r="F338" s="25" t="n"/>
      <c r="G338" s="16" t="n"/>
      <c r="H338" s="7">
        <f>IF(C338="","","Patrimonio|"&amp;COUNTIF($C$6:C338,"&lt;&gt;"))</f>
        <v/>
      </c>
      <c r="J338" s="39" t="n"/>
      <c r="K338" s="39" t="n"/>
      <c r="L338" s="39" t="n"/>
      <c r="M338" s="39" t="n"/>
    </row>
    <row r="339" ht="21" customHeight="1" s="65">
      <c r="C339" s="16" t="n"/>
      <c r="D339" s="16" t="n"/>
      <c r="E339" s="103" t="n"/>
      <c r="F339" s="25" t="n"/>
      <c r="G339" s="16" t="n"/>
      <c r="H339" s="7">
        <f>IF(C339="","","Patrimonio|"&amp;COUNTIF($C$6:C339,"&lt;&gt;"))</f>
        <v/>
      </c>
      <c r="J339" s="39" t="n"/>
      <c r="K339" s="39" t="n"/>
      <c r="L339" s="39" t="n"/>
      <c r="M339" s="39" t="n"/>
    </row>
    <row r="340" ht="21" customHeight="1" s="65">
      <c r="C340" s="16" t="n"/>
      <c r="D340" s="16" t="n"/>
      <c r="E340" s="103" t="n"/>
      <c r="F340" s="25" t="n"/>
      <c r="G340" s="16" t="n"/>
      <c r="H340" s="7">
        <f>IF(C340="","","Patrimonio|"&amp;COUNTIF($C$6:C340,"&lt;&gt;"))</f>
        <v/>
      </c>
      <c r="J340" s="39" t="n"/>
      <c r="K340" s="39" t="n"/>
      <c r="L340" s="39" t="n"/>
      <c r="M340" s="39" t="n"/>
    </row>
    <row r="341" ht="21" customHeight="1" s="65">
      <c r="C341" s="16" t="n"/>
      <c r="D341" s="16" t="n"/>
      <c r="E341" s="103" t="n"/>
      <c r="F341" s="25" t="n"/>
      <c r="G341" s="16" t="n"/>
      <c r="H341" s="7">
        <f>IF(C341="","","Patrimonio|"&amp;COUNTIF($C$6:C341,"&lt;&gt;"))</f>
        <v/>
      </c>
      <c r="J341" s="39" t="n"/>
      <c r="K341" s="39" t="n"/>
      <c r="L341" s="39" t="n"/>
      <c r="M341" s="39" t="n"/>
    </row>
    <row r="342" ht="21" customHeight="1" s="65">
      <c r="C342" s="16" t="n"/>
      <c r="D342" s="16" t="n"/>
      <c r="E342" s="103" t="n"/>
      <c r="F342" s="25" t="n"/>
      <c r="G342" s="16" t="n"/>
      <c r="H342" s="7">
        <f>IF(C342="","","Patrimonio|"&amp;COUNTIF($C$6:C342,"&lt;&gt;"))</f>
        <v/>
      </c>
      <c r="J342" s="39" t="n"/>
      <c r="K342" s="39" t="n"/>
      <c r="L342" s="39" t="n"/>
      <c r="M342" s="39" t="n"/>
    </row>
    <row r="343" ht="21" customHeight="1" s="65">
      <c r="C343" s="16" t="n"/>
      <c r="D343" s="16" t="n"/>
      <c r="E343" s="103" t="n"/>
      <c r="F343" s="25" t="n"/>
      <c r="G343" s="16" t="n"/>
      <c r="H343" s="7">
        <f>IF(C343="","","Patrimonio|"&amp;COUNTIF($C$6:C343,"&lt;&gt;"))</f>
        <v/>
      </c>
      <c r="J343" s="39" t="n"/>
      <c r="K343" s="39" t="n"/>
      <c r="L343" s="39" t="n"/>
      <c r="M343" s="39" t="n"/>
    </row>
    <row r="344" ht="21" customHeight="1" s="65">
      <c r="C344" s="16" t="n"/>
      <c r="D344" s="16" t="n"/>
      <c r="E344" s="103" t="n"/>
      <c r="F344" s="25" t="n"/>
      <c r="G344" s="16" t="n"/>
      <c r="H344" s="7">
        <f>IF(C344="","","Patrimonio|"&amp;COUNTIF($C$6:C344,"&lt;&gt;"))</f>
        <v/>
      </c>
      <c r="J344" s="39" t="n"/>
      <c r="K344" s="39" t="n"/>
      <c r="L344" s="39" t="n"/>
      <c r="M344" s="39" t="n"/>
    </row>
    <row r="345" ht="21" customHeight="1" s="65">
      <c r="C345" s="16" t="n"/>
      <c r="D345" s="16" t="n"/>
      <c r="E345" s="103" t="n"/>
      <c r="F345" s="25" t="n"/>
      <c r="G345" s="16" t="n"/>
      <c r="H345" s="7">
        <f>IF(C345="","","Patrimonio|"&amp;COUNTIF($C$6:C345,"&lt;&gt;"))</f>
        <v/>
      </c>
      <c r="J345" s="39" t="n"/>
      <c r="K345" s="39" t="n"/>
      <c r="L345" s="39" t="n"/>
      <c r="M345" s="39" t="n"/>
    </row>
    <row r="346" ht="21" customHeight="1" s="65">
      <c r="C346" s="16" t="n"/>
      <c r="D346" s="16" t="n"/>
      <c r="E346" s="103" t="n"/>
      <c r="F346" s="25" t="n"/>
      <c r="G346" s="16" t="n"/>
      <c r="H346" s="7">
        <f>IF(C346="","","Patrimonio|"&amp;COUNTIF($C$6:C346,"&lt;&gt;"))</f>
        <v/>
      </c>
      <c r="J346" s="39" t="n"/>
      <c r="K346" s="39" t="n"/>
      <c r="L346" s="39" t="n"/>
      <c r="M346" s="39" t="n"/>
    </row>
    <row r="347" ht="21" customHeight="1" s="65">
      <c r="C347" s="16" t="n"/>
      <c r="D347" s="16" t="n"/>
      <c r="E347" s="103" t="n"/>
      <c r="F347" s="25" t="n"/>
      <c r="G347" s="16" t="n"/>
      <c r="H347" s="7">
        <f>IF(C347="","","Patrimonio|"&amp;COUNTIF($C$6:C347,"&lt;&gt;"))</f>
        <v/>
      </c>
      <c r="J347" s="39" t="n"/>
      <c r="K347" s="39" t="n"/>
      <c r="L347" s="39" t="n"/>
      <c r="M347" s="39" t="n"/>
    </row>
    <row r="348" ht="21" customHeight="1" s="65">
      <c r="C348" s="16" t="n"/>
      <c r="D348" s="16" t="n"/>
      <c r="E348" s="103" t="n"/>
      <c r="F348" s="25" t="n"/>
      <c r="G348" s="16" t="n"/>
      <c r="H348" s="7">
        <f>IF(C348="","","Patrimonio|"&amp;COUNTIF($C$6:C348,"&lt;&gt;"))</f>
        <v/>
      </c>
      <c r="J348" s="39" t="n"/>
      <c r="K348" s="39" t="n"/>
      <c r="L348" s="39" t="n"/>
      <c r="M348" s="39" t="n"/>
    </row>
    <row r="349" ht="21" customHeight="1" s="65">
      <c r="C349" s="16" t="n"/>
      <c r="D349" s="16" t="n"/>
      <c r="E349" s="103" t="n"/>
      <c r="F349" s="25" t="n"/>
      <c r="G349" s="16" t="n"/>
      <c r="H349" s="7">
        <f>IF(C349="","","Patrimonio|"&amp;COUNTIF($C$6:C349,"&lt;&gt;"))</f>
        <v/>
      </c>
      <c r="J349" s="39" t="n"/>
      <c r="K349" s="39" t="n"/>
      <c r="L349" s="39" t="n"/>
      <c r="M349" s="39" t="n"/>
    </row>
    <row r="350" ht="21" customHeight="1" s="65">
      <c r="C350" s="16" t="n"/>
      <c r="D350" s="16" t="n"/>
      <c r="E350" s="103" t="n"/>
      <c r="F350" s="25" t="n"/>
      <c r="G350" s="16" t="n"/>
      <c r="H350" s="7">
        <f>IF(C350="","","Patrimonio|"&amp;COUNTIF($C$6:C350,"&lt;&gt;"))</f>
        <v/>
      </c>
      <c r="J350" s="39" t="n"/>
      <c r="K350" s="39" t="n"/>
      <c r="L350" s="39" t="n"/>
      <c r="M350" s="39" t="n"/>
    </row>
    <row r="351" ht="21" customHeight="1" s="65">
      <c r="C351" s="16" t="n"/>
      <c r="D351" s="16" t="n"/>
      <c r="E351" s="103" t="n"/>
      <c r="F351" s="25" t="n"/>
      <c r="G351" s="16" t="n"/>
      <c r="H351" s="7">
        <f>IF(C351="","","Patrimonio|"&amp;COUNTIF($C$6:C351,"&lt;&gt;"))</f>
        <v/>
      </c>
      <c r="J351" s="39" t="n"/>
      <c r="K351" s="39" t="n"/>
      <c r="L351" s="39" t="n"/>
      <c r="M351" s="39" t="n"/>
    </row>
    <row r="352" ht="21" customHeight="1" s="65">
      <c r="C352" s="16" t="n"/>
      <c r="D352" s="16" t="n"/>
      <c r="E352" s="103" t="n"/>
      <c r="F352" s="25" t="n"/>
      <c r="G352" s="16" t="n"/>
      <c r="H352" s="7">
        <f>IF(C352="","","Patrimonio|"&amp;COUNTIF($C$6:C352,"&lt;&gt;"))</f>
        <v/>
      </c>
      <c r="J352" s="39" t="n"/>
      <c r="K352" s="39" t="n"/>
      <c r="L352" s="39" t="n"/>
      <c r="M352" s="39" t="n"/>
    </row>
    <row r="353" ht="21" customHeight="1" s="65">
      <c r="C353" s="16" t="n"/>
      <c r="D353" s="16" t="n"/>
      <c r="E353" s="103" t="n"/>
      <c r="F353" s="25" t="n"/>
      <c r="G353" s="16" t="n"/>
      <c r="H353" s="7">
        <f>IF(C353="","","Patrimonio|"&amp;COUNTIF($C$6:C353,"&lt;&gt;"))</f>
        <v/>
      </c>
      <c r="J353" s="39" t="n"/>
      <c r="K353" s="39" t="n"/>
      <c r="L353" s="39" t="n"/>
      <c r="M353" s="39" t="n"/>
    </row>
    <row r="354" ht="21" customHeight="1" s="65">
      <c r="C354" s="16" t="n"/>
      <c r="D354" s="16" t="n"/>
      <c r="E354" s="103" t="n"/>
      <c r="F354" s="25" t="n"/>
      <c r="G354" s="16" t="n"/>
      <c r="H354" s="7">
        <f>IF(C354="","","Patrimonio|"&amp;COUNTIF($C$6:C354,"&lt;&gt;"))</f>
        <v/>
      </c>
      <c r="J354" s="39" t="n"/>
      <c r="K354" s="39" t="n"/>
      <c r="L354" s="39" t="n"/>
      <c r="M354" s="39" t="n"/>
    </row>
    <row r="355" ht="21" customHeight="1" s="65">
      <c r="C355" s="16" t="n"/>
      <c r="D355" s="16" t="n"/>
      <c r="E355" s="103" t="n"/>
      <c r="F355" s="25" t="n"/>
      <c r="G355" s="16" t="n"/>
      <c r="H355" s="7">
        <f>IF(C355="","","Patrimonio|"&amp;COUNTIF($C$6:C355,"&lt;&gt;"))</f>
        <v/>
      </c>
      <c r="J355" s="39" t="n"/>
      <c r="K355" s="39" t="n"/>
      <c r="L355" s="39" t="n"/>
      <c r="M355" s="39" t="n"/>
    </row>
    <row r="356" ht="21" customHeight="1" s="65">
      <c r="C356" s="16" t="n"/>
      <c r="D356" s="16" t="n"/>
      <c r="E356" s="103" t="n"/>
      <c r="F356" s="25" t="n"/>
      <c r="G356" s="16" t="n"/>
      <c r="H356" s="7">
        <f>IF(C356="","","Patrimonio|"&amp;COUNTIF($C$6:C356,"&lt;&gt;"))</f>
        <v/>
      </c>
      <c r="J356" s="39" t="n"/>
      <c r="K356" s="39" t="n"/>
      <c r="L356" s="39" t="n"/>
      <c r="M356" s="39" t="n"/>
    </row>
    <row r="357" ht="21" customHeight="1" s="65">
      <c r="C357" s="16" t="n"/>
      <c r="D357" s="16" t="n"/>
      <c r="E357" s="103" t="n"/>
      <c r="F357" s="25" t="n"/>
      <c r="G357" s="16" t="n"/>
      <c r="H357" s="7">
        <f>IF(C357="","","Patrimonio|"&amp;COUNTIF($C$6:C357,"&lt;&gt;"))</f>
        <v/>
      </c>
      <c r="J357" s="39" t="n"/>
      <c r="K357" s="39" t="n"/>
      <c r="L357" s="39" t="n"/>
      <c r="M357" s="39" t="n"/>
    </row>
    <row r="358" ht="21" customHeight="1" s="65">
      <c r="C358" s="16" t="n"/>
      <c r="D358" s="16" t="n"/>
      <c r="E358" s="103" t="n"/>
      <c r="F358" s="25" t="n"/>
      <c r="G358" s="16" t="n"/>
      <c r="H358" s="7">
        <f>IF(C358="","","Patrimonio|"&amp;COUNTIF($C$6:C358,"&lt;&gt;"))</f>
        <v/>
      </c>
      <c r="J358" s="39" t="n"/>
      <c r="K358" s="39" t="n"/>
      <c r="L358" s="39" t="n"/>
      <c r="M358" s="39" t="n"/>
    </row>
    <row r="359" ht="21" customHeight="1" s="65">
      <c r="C359" s="16" t="n"/>
      <c r="D359" s="16" t="n"/>
      <c r="E359" s="103" t="n"/>
      <c r="F359" s="25" t="n"/>
      <c r="G359" s="16" t="n"/>
      <c r="H359" s="7">
        <f>IF(C359="","","Patrimonio|"&amp;COUNTIF($C$6:C359,"&lt;&gt;"))</f>
        <v/>
      </c>
      <c r="J359" s="39" t="n"/>
      <c r="K359" s="39" t="n"/>
      <c r="L359" s="39" t="n"/>
      <c r="M359" s="39" t="n"/>
    </row>
    <row r="360" ht="21" customHeight="1" s="65">
      <c r="C360" s="16" t="n"/>
      <c r="D360" s="16" t="n"/>
      <c r="E360" s="103" t="n"/>
      <c r="F360" s="25" t="n"/>
      <c r="G360" s="16" t="n"/>
      <c r="H360" s="7">
        <f>IF(C360="","","Patrimonio|"&amp;COUNTIF($C$6:C360,"&lt;&gt;"))</f>
        <v/>
      </c>
      <c r="J360" s="39" t="n"/>
      <c r="K360" s="39" t="n"/>
      <c r="L360" s="39" t="n"/>
      <c r="M360" s="39" t="n"/>
    </row>
    <row r="361" ht="21" customHeight="1" s="65">
      <c r="C361" s="16" t="n"/>
      <c r="D361" s="16" t="n"/>
      <c r="E361" s="103" t="n"/>
      <c r="F361" s="25" t="n"/>
      <c r="G361" s="16" t="n"/>
      <c r="H361" s="7">
        <f>IF(C361="","","Patrimonio|"&amp;COUNTIF($C$6:C361,"&lt;&gt;"))</f>
        <v/>
      </c>
      <c r="J361" s="39" t="n"/>
      <c r="K361" s="39" t="n"/>
      <c r="L361" s="39" t="n"/>
      <c r="M361" s="39" t="n"/>
    </row>
    <row r="362" ht="21" customHeight="1" s="65">
      <c r="C362" s="16" t="n"/>
      <c r="D362" s="16" t="n"/>
      <c r="E362" s="103" t="n"/>
      <c r="F362" s="25" t="n"/>
      <c r="G362" s="16" t="n"/>
      <c r="H362" s="7">
        <f>IF(C362="","","Patrimonio|"&amp;COUNTIF($C$6:C362,"&lt;&gt;"))</f>
        <v/>
      </c>
      <c r="J362" s="39" t="n"/>
      <c r="K362" s="39" t="n"/>
      <c r="L362" s="39" t="n"/>
      <c r="M362" s="39" t="n"/>
    </row>
    <row r="363" ht="21" customHeight="1" s="65">
      <c r="C363" s="16" t="n"/>
      <c r="D363" s="16" t="n"/>
      <c r="E363" s="103" t="n"/>
      <c r="F363" s="25" t="n"/>
      <c r="G363" s="16" t="n"/>
      <c r="H363" s="7">
        <f>IF(C363="","","Patrimonio|"&amp;COUNTIF($C$6:C363,"&lt;&gt;"))</f>
        <v/>
      </c>
      <c r="J363" s="39" t="n"/>
      <c r="K363" s="39" t="n"/>
      <c r="L363" s="39" t="n"/>
      <c r="M363" s="39" t="n"/>
    </row>
    <row r="364" ht="21" customHeight="1" s="65">
      <c r="C364" s="16" t="n"/>
      <c r="D364" s="16" t="n"/>
      <c r="E364" s="103" t="n"/>
      <c r="F364" s="25" t="n"/>
      <c r="G364" s="16" t="n"/>
      <c r="H364" s="7">
        <f>IF(C364="","","Patrimonio|"&amp;COUNTIF($C$6:C364,"&lt;&gt;"))</f>
        <v/>
      </c>
      <c r="J364" s="39" t="n"/>
      <c r="K364" s="39" t="n"/>
      <c r="L364" s="39" t="n"/>
      <c r="M364" s="39" t="n"/>
    </row>
    <row r="365" ht="21" customHeight="1" s="65">
      <c r="C365" s="16" t="n"/>
      <c r="D365" s="16" t="n"/>
      <c r="E365" s="103" t="n"/>
      <c r="F365" s="25" t="n"/>
      <c r="G365" s="16" t="n"/>
      <c r="H365" s="7">
        <f>IF(C365="","","Patrimonio|"&amp;COUNTIF($C$6:C365,"&lt;&gt;"))</f>
        <v/>
      </c>
      <c r="J365" s="39" t="n"/>
      <c r="K365" s="39" t="n"/>
      <c r="L365" s="39" t="n"/>
      <c r="M365" s="39" t="n"/>
    </row>
    <row r="366" ht="21" customHeight="1" s="65">
      <c r="C366" s="16" t="n"/>
      <c r="D366" s="16" t="n"/>
      <c r="E366" s="103" t="n"/>
      <c r="F366" s="25" t="n"/>
      <c r="G366" s="16" t="n"/>
      <c r="H366" s="7">
        <f>IF(C366="","","Patrimonio|"&amp;COUNTIF($C$6:C366,"&lt;&gt;"))</f>
        <v/>
      </c>
      <c r="J366" s="39" t="n"/>
      <c r="K366" s="39" t="n"/>
      <c r="L366" s="39" t="n"/>
      <c r="M366" s="39" t="n"/>
    </row>
    <row r="367" ht="21" customHeight="1" s="65">
      <c r="C367" s="16" t="n"/>
      <c r="D367" s="16" t="n"/>
      <c r="E367" s="103" t="n"/>
      <c r="F367" s="25" t="n"/>
      <c r="G367" s="16" t="n"/>
      <c r="H367" s="7">
        <f>IF(C367="","","Patrimonio|"&amp;COUNTIF($C$6:C367,"&lt;&gt;"))</f>
        <v/>
      </c>
      <c r="J367" s="39" t="n"/>
      <c r="K367" s="39" t="n"/>
      <c r="L367" s="39" t="n"/>
      <c r="M367" s="39" t="n"/>
    </row>
    <row r="368" ht="21" customHeight="1" s="65">
      <c r="C368" s="16" t="n"/>
      <c r="D368" s="16" t="n"/>
      <c r="E368" s="103" t="n"/>
      <c r="F368" s="25" t="n"/>
      <c r="G368" s="16" t="n"/>
      <c r="H368" s="7">
        <f>IF(C368="","","Patrimonio|"&amp;COUNTIF($C$6:C368,"&lt;&gt;"))</f>
        <v/>
      </c>
      <c r="J368" s="39" t="n"/>
      <c r="K368" s="39" t="n"/>
      <c r="L368" s="39" t="n"/>
      <c r="M368" s="39" t="n"/>
    </row>
    <row r="369" ht="21" customHeight="1" s="65">
      <c r="C369" s="16" t="n"/>
      <c r="D369" s="16" t="n"/>
      <c r="E369" s="103" t="n"/>
      <c r="F369" s="25" t="n"/>
      <c r="G369" s="16" t="n"/>
      <c r="H369" s="7">
        <f>IF(C369="","","Patrimonio|"&amp;COUNTIF($C$6:C369,"&lt;&gt;"))</f>
        <v/>
      </c>
      <c r="J369" s="39" t="n"/>
      <c r="K369" s="39" t="n"/>
      <c r="L369" s="39" t="n"/>
      <c r="M369" s="39" t="n"/>
    </row>
    <row r="370" ht="21" customHeight="1" s="65">
      <c r="C370" s="16" t="n"/>
      <c r="D370" s="16" t="n"/>
      <c r="E370" s="103" t="n"/>
      <c r="F370" s="25" t="n"/>
      <c r="G370" s="16" t="n"/>
      <c r="H370" s="7">
        <f>IF(C370="","","Patrimonio|"&amp;COUNTIF($C$6:C370,"&lt;&gt;"))</f>
        <v/>
      </c>
      <c r="J370" s="39" t="n"/>
      <c r="K370" s="39" t="n"/>
      <c r="L370" s="39" t="n"/>
      <c r="M370" s="39" t="n"/>
    </row>
    <row r="371" ht="21" customHeight="1" s="65">
      <c r="C371" s="16" t="n"/>
      <c r="D371" s="16" t="n"/>
      <c r="E371" s="103" t="n"/>
      <c r="F371" s="25" t="n"/>
      <c r="G371" s="16" t="n"/>
      <c r="H371" s="7">
        <f>IF(C371="","","Patrimonio|"&amp;COUNTIF($C$6:C371,"&lt;&gt;"))</f>
        <v/>
      </c>
      <c r="J371" s="39" t="n"/>
      <c r="K371" s="39" t="n"/>
      <c r="L371" s="39" t="n"/>
      <c r="M371" s="39" t="n"/>
    </row>
    <row r="372" ht="21" customHeight="1" s="65">
      <c r="C372" s="16" t="n"/>
      <c r="D372" s="16" t="n"/>
      <c r="E372" s="103" t="n"/>
      <c r="F372" s="25" t="n"/>
      <c r="G372" s="16" t="n"/>
      <c r="H372" s="7">
        <f>IF(C372="","","Patrimonio|"&amp;COUNTIF($C$6:C372,"&lt;&gt;"))</f>
        <v/>
      </c>
      <c r="J372" s="39" t="n"/>
      <c r="K372" s="39" t="n"/>
      <c r="L372" s="39" t="n"/>
      <c r="M372" s="39" t="n"/>
    </row>
    <row r="373" ht="21" customHeight="1" s="65">
      <c r="C373" s="16" t="n"/>
      <c r="D373" s="16" t="n"/>
      <c r="E373" s="103" t="n"/>
      <c r="F373" s="25" t="n"/>
      <c r="G373" s="16" t="n"/>
      <c r="H373" s="7">
        <f>IF(C373="","","Patrimonio|"&amp;COUNTIF($C$6:C373,"&lt;&gt;"))</f>
        <v/>
      </c>
      <c r="J373" s="39" t="n"/>
      <c r="K373" s="39" t="n"/>
      <c r="L373" s="39" t="n"/>
      <c r="M373" s="39" t="n"/>
    </row>
    <row r="374" ht="21" customHeight="1" s="65">
      <c r="C374" s="16" t="n"/>
      <c r="D374" s="16" t="n"/>
      <c r="E374" s="103" t="n"/>
      <c r="F374" s="25" t="n"/>
      <c r="G374" s="16" t="n"/>
      <c r="H374" s="7">
        <f>IF(C374="","","Patrimonio|"&amp;COUNTIF($C$6:C374,"&lt;&gt;"))</f>
        <v/>
      </c>
      <c r="J374" s="39" t="n"/>
      <c r="K374" s="39" t="n"/>
      <c r="L374" s="39" t="n"/>
      <c r="M374" s="39" t="n"/>
    </row>
    <row r="375" ht="21" customHeight="1" s="65">
      <c r="C375" s="16" t="n"/>
      <c r="D375" s="16" t="n"/>
      <c r="E375" s="103" t="n"/>
      <c r="F375" s="25" t="n"/>
      <c r="G375" s="16" t="n"/>
      <c r="H375" s="7">
        <f>IF(C375="","","Patrimonio|"&amp;COUNTIF($C$6:C375,"&lt;&gt;"))</f>
        <v/>
      </c>
      <c r="J375" s="39" t="n"/>
      <c r="K375" s="39" t="n"/>
      <c r="L375" s="39" t="n"/>
      <c r="M375" s="39" t="n"/>
    </row>
    <row r="376" ht="21" customHeight="1" s="65">
      <c r="C376" s="16" t="n"/>
      <c r="D376" s="16" t="n"/>
      <c r="E376" s="103" t="n"/>
      <c r="F376" s="25" t="n"/>
      <c r="G376" s="16" t="n"/>
      <c r="H376" s="7">
        <f>IF(C376="","","Patrimonio|"&amp;COUNTIF($C$6:C376,"&lt;&gt;"))</f>
        <v/>
      </c>
      <c r="J376" s="39" t="n"/>
      <c r="K376" s="39" t="n"/>
      <c r="L376" s="39" t="n"/>
      <c r="M376" s="39" t="n"/>
    </row>
    <row r="377" ht="21" customHeight="1" s="65">
      <c r="C377" s="16" t="n"/>
      <c r="D377" s="16" t="n"/>
      <c r="E377" s="103" t="n"/>
      <c r="F377" s="25" t="n"/>
      <c r="G377" s="16" t="n"/>
      <c r="H377" s="7">
        <f>IF(C377="","","Patrimonio|"&amp;COUNTIF($C$6:C377,"&lt;&gt;"))</f>
        <v/>
      </c>
      <c r="J377" s="39" t="n"/>
      <c r="K377" s="39" t="n"/>
      <c r="L377" s="39" t="n"/>
      <c r="M377" s="39" t="n"/>
    </row>
    <row r="378" ht="21" customHeight="1" s="65">
      <c r="C378" s="16" t="n"/>
      <c r="D378" s="16" t="n"/>
      <c r="E378" s="103" t="n"/>
      <c r="F378" s="25" t="n"/>
      <c r="G378" s="16" t="n"/>
      <c r="H378" s="7">
        <f>IF(C378="","","Patrimonio|"&amp;COUNTIF($C$6:C378,"&lt;&gt;"))</f>
        <v/>
      </c>
      <c r="J378" s="39" t="n"/>
      <c r="K378" s="39" t="n"/>
      <c r="L378" s="39" t="n"/>
      <c r="M378" s="39" t="n"/>
    </row>
    <row r="379" ht="21" customHeight="1" s="65">
      <c r="C379" s="16" t="n"/>
      <c r="D379" s="16" t="n"/>
      <c r="E379" s="103" t="n"/>
      <c r="F379" s="25" t="n"/>
      <c r="G379" s="16" t="n"/>
      <c r="H379" s="7">
        <f>IF(C379="","","Patrimonio|"&amp;COUNTIF($C$6:C379,"&lt;&gt;"))</f>
        <v/>
      </c>
      <c r="J379" s="39" t="n"/>
      <c r="K379" s="39" t="n"/>
      <c r="L379" s="39" t="n"/>
      <c r="M379" s="39" t="n"/>
    </row>
    <row r="380" ht="21" customHeight="1" s="65">
      <c r="C380" s="16" t="n"/>
      <c r="D380" s="16" t="n"/>
      <c r="E380" s="103" t="n"/>
      <c r="F380" s="25" t="n"/>
      <c r="G380" s="16" t="n"/>
      <c r="H380" s="7">
        <f>IF(C380="","","Patrimonio|"&amp;COUNTIF($C$6:C380,"&lt;&gt;"))</f>
        <v/>
      </c>
      <c r="J380" s="39" t="n"/>
      <c r="K380" s="39" t="n"/>
      <c r="L380" s="39" t="n"/>
      <c r="M380" s="39" t="n"/>
    </row>
    <row r="381" ht="21" customHeight="1" s="65">
      <c r="C381" s="16" t="n"/>
      <c r="D381" s="16" t="n"/>
      <c r="E381" s="103" t="n"/>
      <c r="F381" s="25" t="n"/>
      <c r="G381" s="16" t="n"/>
      <c r="H381" s="7">
        <f>IF(C381="","","Patrimonio|"&amp;COUNTIF($C$6:C381,"&lt;&gt;"))</f>
        <v/>
      </c>
      <c r="J381" s="39" t="n"/>
      <c r="K381" s="39" t="n"/>
      <c r="L381" s="39" t="n"/>
      <c r="M381" s="39" t="n"/>
    </row>
    <row r="382" ht="21" customHeight="1" s="65">
      <c r="C382" s="16" t="n"/>
      <c r="D382" s="16" t="n"/>
      <c r="E382" s="103" t="n"/>
      <c r="F382" s="25" t="n"/>
      <c r="G382" s="16" t="n"/>
      <c r="H382" s="7">
        <f>IF(C382="","","Patrimonio|"&amp;COUNTIF($C$6:C382,"&lt;&gt;"))</f>
        <v/>
      </c>
      <c r="J382" s="39" t="n"/>
      <c r="K382" s="39" t="n"/>
      <c r="L382" s="39" t="n"/>
      <c r="M382" s="39" t="n"/>
    </row>
    <row r="383" ht="21" customHeight="1" s="65">
      <c r="C383" s="16" t="n"/>
      <c r="D383" s="16" t="n"/>
      <c r="E383" s="103" t="n"/>
      <c r="F383" s="25" t="n"/>
      <c r="G383" s="16" t="n"/>
      <c r="H383" s="7">
        <f>IF(C383="","","Patrimonio|"&amp;COUNTIF($C$6:C383,"&lt;&gt;"))</f>
        <v/>
      </c>
      <c r="J383" s="39" t="n"/>
      <c r="K383" s="39" t="n"/>
      <c r="L383" s="39" t="n"/>
      <c r="M383" s="39" t="n"/>
    </row>
    <row r="384" ht="21" customHeight="1" s="65">
      <c r="C384" s="16" t="n"/>
      <c r="D384" s="16" t="n"/>
      <c r="E384" s="103" t="n"/>
      <c r="F384" s="25" t="n"/>
      <c r="G384" s="16" t="n"/>
      <c r="H384" s="7">
        <f>IF(C384="","","Patrimonio|"&amp;COUNTIF($C$6:C384,"&lt;&gt;"))</f>
        <v/>
      </c>
      <c r="J384" s="39" t="n"/>
      <c r="K384" s="39" t="n"/>
      <c r="L384" s="39" t="n"/>
      <c r="M384" s="39" t="n"/>
    </row>
    <row r="385" ht="21" customHeight="1" s="65">
      <c r="C385" s="16" t="n"/>
      <c r="D385" s="16" t="n"/>
      <c r="E385" s="103" t="n"/>
      <c r="F385" s="25" t="n"/>
      <c r="G385" s="16" t="n"/>
      <c r="H385" s="7">
        <f>IF(C385="","","Patrimonio|"&amp;COUNTIF($C$6:C385,"&lt;&gt;"))</f>
        <v/>
      </c>
      <c r="J385" s="39" t="n"/>
      <c r="K385" s="39" t="n"/>
      <c r="L385" s="39" t="n"/>
      <c r="M385" s="39" t="n"/>
    </row>
    <row r="386" ht="21" customHeight="1" s="65">
      <c r="C386" s="16" t="n"/>
      <c r="D386" s="16" t="n"/>
      <c r="E386" s="103" t="n"/>
      <c r="F386" s="25" t="n"/>
      <c r="G386" s="16" t="n"/>
      <c r="H386" s="7">
        <f>IF(C386="","","Patrimonio|"&amp;COUNTIF($C$6:C386,"&lt;&gt;"))</f>
        <v/>
      </c>
      <c r="J386" s="39" t="n"/>
      <c r="K386" s="39" t="n"/>
      <c r="L386" s="39" t="n"/>
      <c r="M386" s="39" t="n"/>
    </row>
    <row r="387" ht="21" customHeight="1" s="65">
      <c r="C387" s="16" t="n"/>
      <c r="D387" s="16" t="n"/>
      <c r="E387" s="103" t="n"/>
      <c r="F387" s="25" t="n"/>
      <c r="G387" s="16" t="n"/>
      <c r="H387" s="7">
        <f>IF(C387="","","Patrimonio|"&amp;COUNTIF($C$6:C387,"&lt;&gt;"))</f>
        <v/>
      </c>
      <c r="J387" s="39" t="n"/>
      <c r="K387" s="39" t="n"/>
      <c r="L387" s="39" t="n"/>
      <c r="M387" s="39" t="n"/>
    </row>
    <row r="388" ht="21" customHeight="1" s="65">
      <c r="C388" s="16" t="n"/>
      <c r="D388" s="16" t="n"/>
      <c r="E388" s="103" t="n"/>
      <c r="F388" s="25" t="n"/>
      <c r="G388" s="16" t="n"/>
      <c r="H388" s="7">
        <f>IF(C388="","","Patrimonio|"&amp;COUNTIF($C$6:C388,"&lt;&gt;"))</f>
        <v/>
      </c>
      <c r="J388" s="39" t="n"/>
      <c r="K388" s="39" t="n"/>
      <c r="L388" s="39" t="n"/>
      <c r="M388" s="39" t="n"/>
    </row>
    <row r="389" ht="21" customHeight="1" s="65">
      <c r="C389" s="16" t="n"/>
      <c r="D389" s="16" t="n"/>
      <c r="E389" s="103" t="n"/>
      <c r="F389" s="25" t="n"/>
      <c r="G389" s="16" t="n"/>
      <c r="H389" s="7">
        <f>IF(C389="","","Patrimonio|"&amp;COUNTIF($C$6:C389,"&lt;&gt;"))</f>
        <v/>
      </c>
      <c r="J389" s="39" t="n"/>
      <c r="K389" s="39" t="n"/>
      <c r="L389" s="39" t="n"/>
      <c r="M389" s="39" t="n"/>
    </row>
    <row r="390" ht="21" customHeight="1" s="65">
      <c r="C390" s="16" t="n"/>
      <c r="D390" s="16" t="n"/>
      <c r="E390" s="103" t="n"/>
      <c r="F390" s="25" t="n"/>
      <c r="G390" s="16" t="n"/>
      <c r="H390" s="7">
        <f>IF(C390="","","Patrimonio|"&amp;COUNTIF($C$6:C390,"&lt;&gt;"))</f>
        <v/>
      </c>
      <c r="J390" s="39" t="n"/>
      <c r="K390" s="39" t="n"/>
      <c r="L390" s="39" t="n"/>
      <c r="M390" s="39" t="n"/>
    </row>
    <row r="391" ht="21" customHeight="1" s="65">
      <c r="C391" s="16" t="n"/>
      <c r="D391" s="16" t="n"/>
      <c r="E391" s="103" t="n"/>
      <c r="F391" s="25" t="n"/>
      <c r="G391" s="16" t="n"/>
      <c r="H391" s="7">
        <f>IF(C391="","","Patrimonio|"&amp;COUNTIF($C$6:C391,"&lt;&gt;"))</f>
        <v/>
      </c>
      <c r="J391" s="39" t="n"/>
      <c r="K391" s="39" t="n"/>
      <c r="L391" s="39" t="n"/>
      <c r="M391" s="39" t="n"/>
    </row>
    <row r="392" ht="21" customHeight="1" s="65">
      <c r="C392" s="16" t="n"/>
      <c r="D392" s="16" t="n"/>
      <c r="E392" s="103" t="n"/>
      <c r="F392" s="25" t="n"/>
      <c r="G392" s="16" t="n"/>
      <c r="H392" s="7">
        <f>IF(C392="","","Patrimonio|"&amp;COUNTIF($C$6:C392,"&lt;&gt;"))</f>
        <v/>
      </c>
      <c r="J392" s="39" t="n"/>
      <c r="K392" s="39" t="n"/>
      <c r="L392" s="39" t="n"/>
      <c r="M392" s="39" t="n"/>
    </row>
    <row r="393" ht="21" customHeight="1" s="65">
      <c r="C393" s="16" t="n"/>
      <c r="D393" s="16" t="n"/>
      <c r="E393" s="103" t="n"/>
      <c r="F393" s="25" t="n"/>
      <c r="G393" s="16" t="n"/>
      <c r="H393" s="7">
        <f>IF(C393="","","Patrimonio|"&amp;COUNTIF($C$6:C393,"&lt;&gt;"))</f>
        <v/>
      </c>
      <c r="J393" s="39" t="n"/>
      <c r="K393" s="39" t="n"/>
      <c r="L393" s="39" t="n"/>
      <c r="M393" s="39" t="n"/>
    </row>
    <row r="394" ht="21" customHeight="1" s="65">
      <c r="C394" s="16" t="n"/>
      <c r="D394" s="16" t="n"/>
      <c r="E394" s="103" t="n"/>
      <c r="F394" s="25" t="n"/>
      <c r="G394" s="16" t="n"/>
      <c r="H394" s="7">
        <f>IF(C394="","","Patrimonio|"&amp;COUNTIF($C$6:C394,"&lt;&gt;"))</f>
        <v/>
      </c>
      <c r="J394" s="39" t="n"/>
      <c r="K394" s="39" t="n"/>
      <c r="L394" s="39" t="n"/>
      <c r="M394" s="39" t="n"/>
    </row>
    <row r="395" ht="21" customHeight="1" s="65">
      <c r="C395" s="16" t="n"/>
      <c r="D395" s="16" t="n"/>
      <c r="E395" s="103" t="n"/>
      <c r="F395" s="25" t="n"/>
      <c r="G395" s="16" t="n"/>
      <c r="H395" s="7">
        <f>IF(C395="","","Patrimonio|"&amp;COUNTIF($C$6:C395,"&lt;&gt;"))</f>
        <v/>
      </c>
      <c r="J395" s="39" t="n"/>
      <c r="K395" s="39" t="n"/>
      <c r="L395" s="39" t="n"/>
      <c r="M395" s="39" t="n"/>
    </row>
    <row r="396" ht="21" customHeight="1" s="65">
      <c r="C396" s="16" t="n"/>
      <c r="D396" s="16" t="n"/>
      <c r="E396" s="103" t="n"/>
      <c r="F396" s="25" t="n"/>
      <c r="G396" s="16" t="n"/>
      <c r="H396" s="7">
        <f>IF(C396="","","Patrimonio|"&amp;COUNTIF($C$6:C396,"&lt;&gt;"))</f>
        <v/>
      </c>
      <c r="J396" s="39" t="n"/>
      <c r="K396" s="39" t="n"/>
      <c r="L396" s="39" t="n"/>
      <c r="M396" s="39" t="n"/>
    </row>
    <row r="397" ht="21" customHeight="1" s="65">
      <c r="C397" s="16" t="n"/>
      <c r="D397" s="16" t="n"/>
      <c r="E397" s="103" t="n"/>
      <c r="F397" s="25" t="n"/>
      <c r="G397" s="16" t="n"/>
      <c r="H397" s="7">
        <f>IF(C397="","","Patrimonio|"&amp;COUNTIF($C$6:C397,"&lt;&gt;"))</f>
        <v/>
      </c>
      <c r="J397" s="39" t="n"/>
      <c r="K397" s="39" t="n"/>
      <c r="L397" s="39" t="n"/>
      <c r="M397" s="39" t="n"/>
    </row>
    <row r="398" ht="21" customHeight="1" s="65">
      <c r="C398" s="16" t="n"/>
      <c r="D398" s="16" t="n"/>
      <c r="E398" s="103" t="n"/>
      <c r="F398" s="25" t="n"/>
      <c r="G398" s="16" t="n"/>
      <c r="H398" s="7">
        <f>IF(C398="","","Patrimonio|"&amp;COUNTIF($C$6:C398,"&lt;&gt;"))</f>
        <v/>
      </c>
      <c r="J398" s="39" t="n"/>
      <c r="K398" s="39" t="n"/>
      <c r="L398" s="39" t="n"/>
      <c r="M398" s="39" t="n"/>
    </row>
    <row r="399" ht="21" customHeight="1" s="65">
      <c r="C399" s="16" t="n"/>
      <c r="D399" s="16" t="n"/>
      <c r="E399" s="103" t="n"/>
      <c r="F399" s="25" t="n"/>
      <c r="G399" s="16" t="n"/>
      <c r="H399" s="7">
        <f>IF(C399="","","Patrimonio|"&amp;COUNTIF($C$6:C399,"&lt;&gt;"))</f>
        <v/>
      </c>
      <c r="J399" s="39" t="n"/>
      <c r="K399" s="39" t="n"/>
      <c r="L399" s="39" t="n"/>
      <c r="M399" s="39" t="n"/>
    </row>
    <row r="400" ht="21" customHeight="1" s="65">
      <c r="C400" s="16" t="n"/>
      <c r="D400" s="16" t="n"/>
      <c r="E400" s="103" t="n"/>
      <c r="F400" s="25" t="n"/>
      <c r="G400" s="16" t="n"/>
      <c r="H400" s="7">
        <f>IF(C400="","","Patrimonio|"&amp;COUNTIF($C$6:C400,"&lt;&gt;"))</f>
        <v/>
      </c>
      <c r="J400" s="39" t="n"/>
      <c r="K400" s="39" t="n"/>
      <c r="L400" s="39" t="n"/>
      <c r="M400" s="39" t="n"/>
    </row>
    <row r="401" ht="21" customHeight="1" s="65">
      <c r="C401" s="16" t="n"/>
      <c r="D401" s="16" t="n"/>
      <c r="E401" s="103" t="n"/>
      <c r="F401" s="25" t="n"/>
      <c r="G401" s="16" t="n"/>
      <c r="H401" s="7">
        <f>IF(C401="","","Patrimonio|"&amp;COUNTIF($C$6:C401,"&lt;&gt;"))</f>
        <v/>
      </c>
      <c r="J401" s="39" t="n"/>
      <c r="K401" s="39" t="n"/>
      <c r="L401" s="39" t="n"/>
      <c r="M401" s="39" t="n"/>
    </row>
    <row r="402" ht="21" customHeight="1" s="65">
      <c r="C402" s="16" t="n"/>
      <c r="D402" s="16" t="n"/>
      <c r="E402" s="103" t="n"/>
      <c r="F402" s="25" t="n"/>
      <c r="G402" s="16" t="n"/>
      <c r="H402" s="7">
        <f>IF(C402="","","Patrimonio|"&amp;COUNTIF($C$6:C402,"&lt;&gt;"))</f>
        <v/>
      </c>
      <c r="J402" s="39" t="n"/>
      <c r="K402" s="39" t="n"/>
      <c r="L402" s="39" t="n"/>
      <c r="M402" s="39" t="n"/>
    </row>
    <row r="403" ht="21" customHeight="1" s="65">
      <c r="C403" s="16" t="n"/>
      <c r="D403" s="16" t="n"/>
      <c r="E403" s="103" t="n"/>
      <c r="F403" s="25" t="n"/>
      <c r="G403" s="16" t="n"/>
      <c r="H403" s="7">
        <f>IF(C403="","","Patrimonio|"&amp;COUNTIF($C$6:C403,"&lt;&gt;"))</f>
        <v/>
      </c>
      <c r="J403" s="39" t="n"/>
      <c r="K403" s="39" t="n"/>
      <c r="L403" s="39" t="n"/>
      <c r="M403" s="39" t="n"/>
    </row>
    <row r="404" ht="21" customHeight="1" s="65">
      <c r="C404" s="16" t="n"/>
      <c r="D404" s="16" t="n"/>
      <c r="E404" s="103" t="n"/>
      <c r="F404" s="25" t="n"/>
      <c r="G404" s="16" t="n"/>
      <c r="H404" s="7">
        <f>IF(C404="","","Patrimonio|"&amp;COUNTIF($C$6:C404,"&lt;&gt;"))</f>
        <v/>
      </c>
      <c r="J404" s="39" t="n"/>
      <c r="K404" s="39" t="n"/>
      <c r="L404" s="39" t="n"/>
      <c r="M404" s="39" t="n"/>
    </row>
    <row r="405" ht="21" customHeight="1" s="65">
      <c r="C405" s="16" t="n"/>
      <c r="D405" s="16" t="n"/>
      <c r="E405" s="103" t="n"/>
      <c r="F405" s="25" t="n"/>
      <c r="G405" s="16" t="n"/>
      <c r="H405" s="7">
        <f>IF(C405="","","Patrimonio|"&amp;COUNTIF($C$6:C405,"&lt;&gt;"))</f>
        <v/>
      </c>
      <c r="J405" s="39" t="n"/>
      <c r="K405" s="39" t="n"/>
      <c r="L405" s="39" t="n"/>
      <c r="M405" s="39" t="n"/>
    </row>
    <row r="406" ht="21" customHeight="1" s="65">
      <c r="C406" s="16" t="n"/>
      <c r="D406" s="16" t="n"/>
      <c r="E406" s="103" t="n"/>
      <c r="F406" s="25" t="n"/>
      <c r="G406" s="16" t="n"/>
      <c r="H406" s="7">
        <f>IF(C406="","","Patrimonio|"&amp;COUNTIF($C$6:C406,"&lt;&gt;"))</f>
        <v/>
      </c>
      <c r="J406" s="39" t="n"/>
      <c r="K406" s="39" t="n"/>
      <c r="L406" s="39" t="n"/>
      <c r="M406" s="39" t="n"/>
    </row>
    <row r="407" ht="21" customHeight="1" s="65">
      <c r="C407" s="16" t="n"/>
      <c r="D407" s="16" t="n"/>
      <c r="E407" s="103" t="n"/>
      <c r="F407" s="25" t="n"/>
      <c r="G407" s="16" t="n"/>
      <c r="H407" s="7">
        <f>IF(C407="","","Patrimonio|"&amp;COUNTIF($C$6:C407,"&lt;&gt;"))</f>
        <v/>
      </c>
      <c r="J407" s="39" t="n"/>
      <c r="K407" s="39" t="n"/>
      <c r="L407" s="39" t="n"/>
      <c r="M407" s="39" t="n"/>
    </row>
    <row r="408" ht="21" customHeight="1" s="65">
      <c r="C408" s="16" t="n"/>
      <c r="D408" s="16" t="n"/>
      <c r="E408" s="103" t="n"/>
      <c r="F408" s="25" t="n"/>
      <c r="G408" s="16" t="n"/>
      <c r="H408" s="7">
        <f>IF(C408="","","Patrimonio|"&amp;COUNTIF($C$6:C408,"&lt;&gt;"))</f>
        <v/>
      </c>
      <c r="J408" s="39" t="n"/>
      <c r="K408" s="39" t="n"/>
      <c r="L408" s="39" t="n"/>
      <c r="M408" s="39" t="n"/>
    </row>
    <row r="409" ht="21" customHeight="1" s="65">
      <c r="C409" s="16" t="n"/>
      <c r="D409" s="16" t="n"/>
      <c r="E409" s="103" t="n"/>
      <c r="F409" s="25" t="n"/>
      <c r="G409" s="16" t="n"/>
      <c r="H409" s="7">
        <f>IF(C409="","","Patrimonio|"&amp;COUNTIF($C$6:C409,"&lt;&gt;"))</f>
        <v/>
      </c>
      <c r="J409" s="39" t="n"/>
      <c r="K409" s="39" t="n"/>
      <c r="L409" s="39" t="n"/>
      <c r="M409" s="39" t="n"/>
    </row>
    <row r="410" ht="21" customHeight="1" s="65">
      <c r="C410" s="16" t="n"/>
      <c r="D410" s="16" t="n"/>
      <c r="E410" s="103" t="n"/>
      <c r="F410" s="25" t="n"/>
      <c r="G410" s="16" t="n"/>
      <c r="H410" s="7">
        <f>IF(C410="","","Patrimonio|"&amp;COUNTIF($C$6:C410,"&lt;&gt;"))</f>
        <v/>
      </c>
      <c r="J410" s="39" t="n"/>
      <c r="K410" s="39" t="n"/>
      <c r="L410" s="39" t="n"/>
      <c r="M410" s="39" t="n"/>
    </row>
    <row r="411" ht="21" customHeight="1" s="65">
      <c r="C411" s="16" t="n"/>
      <c r="D411" s="16" t="n"/>
      <c r="E411" s="103" t="n"/>
      <c r="F411" s="25" t="n"/>
      <c r="G411" s="16" t="n"/>
      <c r="H411" s="7">
        <f>IF(C411="","","Patrimonio|"&amp;COUNTIF($C$6:C411,"&lt;&gt;"))</f>
        <v/>
      </c>
      <c r="J411" s="39" t="n"/>
      <c r="K411" s="39" t="n"/>
      <c r="L411" s="39" t="n"/>
      <c r="M411" s="39" t="n"/>
    </row>
    <row r="412" ht="21" customHeight="1" s="65">
      <c r="C412" s="16" t="n"/>
      <c r="D412" s="16" t="n"/>
      <c r="E412" s="103" t="n"/>
      <c r="F412" s="25" t="n"/>
      <c r="G412" s="16" t="n"/>
      <c r="H412" s="7">
        <f>IF(C412="","","Patrimonio|"&amp;COUNTIF($C$6:C412,"&lt;&gt;"))</f>
        <v/>
      </c>
      <c r="J412" s="39" t="n"/>
      <c r="K412" s="39" t="n"/>
      <c r="L412" s="39" t="n"/>
      <c r="M412" s="39" t="n"/>
    </row>
    <row r="413" ht="21" customHeight="1" s="65">
      <c r="C413" s="16" t="n"/>
      <c r="D413" s="16" t="n"/>
      <c r="E413" s="103" t="n"/>
      <c r="F413" s="25" t="n"/>
      <c r="G413" s="16" t="n"/>
      <c r="H413" s="7">
        <f>IF(C413="","","Patrimonio|"&amp;COUNTIF($C$6:C413,"&lt;&gt;"))</f>
        <v/>
      </c>
      <c r="J413" s="39" t="n"/>
      <c r="K413" s="39" t="n"/>
      <c r="L413" s="39" t="n"/>
      <c r="M413" s="39" t="n"/>
    </row>
    <row r="414" ht="21" customHeight="1" s="65">
      <c r="C414" s="16" t="n"/>
      <c r="D414" s="16" t="n"/>
      <c r="E414" s="103" t="n"/>
      <c r="F414" s="25" t="n"/>
      <c r="G414" s="16" t="n"/>
      <c r="H414" s="7">
        <f>IF(C414="","","Patrimonio|"&amp;COUNTIF($C$6:C414,"&lt;&gt;"))</f>
        <v/>
      </c>
      <c r="J414" s="39" t="n"/>
      <c r="K414" s="39" t="n"/>
      <c r="L414" s="39" t="n"/>
      <c r="M414" s="39" t="n"/>
    </row>
    <row r="415" ht="21" customHeight="1" s="65">
      <c r="C415" s="16" t="n"/>
      <c r="D415" s="16" t="n"/>
      <c r="E415" s="103" t="n"/>
      <c r="F415" s="25" t="n"/>
      <c r="G415" s="16" t="n"/>
      <c r="H415" s="7">
        <f>IF(C415="","","Patrimonio|"&amp;COUNTIF($C$6:C415,"&lt;&gt;"))</f>
        <v/>
      </c>
      <c r="J415" s="39" t="n"/>
      <c r="K415" s="39" t="n"/>
      <c r="L415" s="39" t="n"/>
      <c r="M415" s="39" t="n"/>
    </row>
    <row r="416" ht="21" customHeight="1" s="65">
      <c r="C416" s="16" t="n"/>
      <c r="D416" s="16" t="n"/>
      <c r="E416" s="103" t="n"/>
      <c r="F416" s="25" t="n"/>
      <c r="G416" s="16" t="n"/>
      <c r="H416" s="7">
        <f>IF(C416="","","Patrimonio|"&amp;COUNTIF($C$6:C416,"&lt;&gt;"))</f>
        <v/>
      </c>
      <c r="J416" s="39" t="n"/>
      <c r="K416" s="39" t="n"/>
      <c r="L416" s="39" t="n"/>
      <c r="M416" s="39" t="n"/>
    </row>
    <row r="417" ht="21" customHeight="1" s="65">
      <c r="C417" s="16" t="n"/>
      <c r="D417" s="16" t="n"/>
      <c r="E417" s="103" t="n"/>
      <c r="F417" s="25" t="n"/>
      <c r="G417" s="16" t="n"/>
      <c r="H417" s="7">
        <f>IF(C417="","","Patrimonio|"&amp;COUNTIF($C$6:C417,"&lt;&gt;"))</f>
        <v/>
      </c>
      <c r="J417" s="39" t="n"/>
      <c r="K417" s="39" t="n"/>
      <c r="L417" s="39" t="n"/>
      <c r="M417" s="39" t="n"/>
    </row>
    <row r="418" ht="21" customHeight="1" s="65">
      <c r="C418" s="16" t="n"/>
      <c r="D418" s="16" t="n"/>
      <c r="E418" s="103" t="n"/>
      <c r="F418" s="25" t="n"/>
      <c r="G418" s="16" t="n"/>
      <c r="H418" s="7">
        <f>IF(C418="","","Patrimonio|"&amp;COUNTIF($C$6:C418,"&lt;&gt;"))</f>
        <v/>
      </c>
      <c r="J418" s="39" t="n"/>
      <c r="K418" s="39" t="n"/>
      <c r="L418" s="39" t="n"/>
      <c r="M418" s="39" t="n"/>
    </row>
    <row r="419" ht="21" customHeight="1" s="65">
      <c r="C419" s="16" t="n"/>
      <c r="D419" s="16" t="n"/>
      <c r="E419" s="103" t="n"/>
      <c r="F419" s="25" t="n"/>
      <c r="G419" s="16" t="n"/>
      <c r="H419" s="7">
        <f>IF(C419="","","Patrimonio|"&amp;COUNTIF($C$6:C419,"&lt;&gt;"))</f>
        <v/>
      </c>
      <c r="J419" s="39" t="n"/>
      <c r="K419" s="39" t="n"/>
      <c r="L419" s="39" t="n"/>
      <c r="M419" s="39" t="n"/>
    </row>
    <row r="420" ht="21" customHeight="1" s="65">
      <c r="C420" s="16" t="n"/>
      <c r="D420" s="16" t="n"/>
      <c r="E420" s="103" t="n"/>
      <c r="F420" s="25" t="n"/>
      <c r="G420" s="16" t="n"/>
      <c r="H420" s="7">
        <f>IF(C420="","","Patrimonio|"&amp;COUNTIF($C$6:C420,"&lt;&gt;"))</f>
        <v/>
      </c>
      <c r="J420" s="39" t="n"/>
      <c r="K420" s="39" t="n"/>
      <c r="L420" s="39" t="n"/>
      <c r="M420" s="39" t="n"/>
    </row>
    <row r="421" ht="21" customHeight="1" s="65">
      <c r="C421" s="16" t="n"/>
      <c r="D421" s="16" t="n"/>
      <c r="E421" s="103" t="n"/>
      <c r="F421" s="25" t="n"/>
      <c r="G421" s="16" t="n"/>
      <c r="H421" s="7">
        <f>IF(C421="","","Patrimonio|"&amp;COUNTIF($C$6:C421,"&lt;&gt;"))</f>
        <v/>
      </c>
      <c r="J421" s="39" t="n"/>
      <c r="K421" s="39" t="n"/>
      <c r="L421" s="39" t="n"/>
      <c r="M421" s="39" t="n"/>
    </row>
    <row r="422" ht="21" customHeight="1" s="65">
      <c r="C422" s="16" t="n"/>
      <c r="D422" s="16" t="n"/>
      <c r="E422" s="103" t="n"/>
      <c r="F422" s="25" t="n"/>
      <c r="G422" s="16" t="n"/>
      <c r="H422" s="7">
        <f>IF(C422="","","Patrimonio|"&amp;COUNTIF($C$6:C422,"&lt;&gt;"))</f>
        <v/>
      </c>
      <c r="J422" s="39" t="n"/>
      <c r="K422" s="39" t="n"/>
      <c r="L422" s="39" t="n"/>
      <c r="M422" s="39" t="n"/>
    </row>
    <row r="423" ht="21" customHeight="1" s="65">
      <c r="C423" s="16" t="n"/>
      <c r="D423" s="16" t="n"/>
      <c r="E423" s="103" t="n"/>
      <c r="F423" s="25" t="n"/>
      <c r="G423" s="16" t="n"/>
      <c r="H423" s="7">
        <f>IF(C423="","","Patrimonio|"&amp;COUNTIF($C$6:C423,"&lt;&gt;"))</f>
        <v/>
      </c>
      <c r="J423" s="39" t="n"/>
      <c r="K423" s="39" t="n"/>
      <c r="L423" s="39" t="n"/>
      <c r="M423" s="39" t="n"/>
    </row>
    <row r="424" ht="21" customHeight="1" s="65">
      <c r="C424" s="16" t="n"/>
      <c r="D424" s="16" t="n"/>
      <c r="E424" s="103" t="n"/>
      <c r="F424" s="25" t="n"/>
      <c r="G424" s="16" t="n"/>
      <c r="H424" s="7">
        <f>IF(C424="","","Patrimonio|"&amp;COUNTIF($C$6:C424,"&lt;&gt;"))</f>
        <v/>
      </c>
      <c r="J424" s="39" t="n"/>
      <c r="K424" s="39" t="n"/>
      <c r="L424" s="39" t="n"/>
      <c r="M424" s="39" t="n"/>
    </row>
    <row r="425" ht="21" customHeight="1" s="65">
      <c r="C425" s="16" t="n"/>
      <c r="D425" s="16" t="n"/>
      <c r="E425" s="103" t="n"/>
      <c r="F425" s="25" t="n"/>
      <c r="G425" s="16" t="n"/>
      <c r="H425" s="7">
        <f>IF(C425="","","Patrimonio|"&amp;COUNTIF($C$6:C425,"&lt;&gt;"))</f>
        <v/>
      </c>
      <c r="J425" s="39" t="n"/>
      <c r="K425" s="39" t="n"/>
      <c r="L425" s="39" t="n"/>
      <c r="M425" s="39" t="n"/>
    </row>
    <row r="426" ht="21" customHeight="1" s="65">
      <c r="C426" s="16" t="n"/>
      <c r="D426" s="16" t="n"/>
      <c r="E426" s="103" t="n"/>
      <c r="F426" s="25" t="n"/>
      <c r="G426" s="16" t="n"/>
      <c r="H426" s="7">
        <f>IF(C426="","","Patrimonio|"&amp;COUNTIF($C$6:C426,"&lt;&gt;"))</f>
        <v/>
      </c>
      <c r="J426" s="39" t="n"/>
      <c r="K426" s="39" t="n"/>
      <c r="L426" s="39" t="n"/>
      <c r="M426" s="39" t="n"/>
    </row>
    <row r="427" ht="21" customHeight="1" s="65">
      <c r="C427" s="16" t="n"/>
      <c r="D427" s="16" t="n"/>
      <c r="E427" s="103" t="n"/>
      <c r="F427" s="25" t="n"/>
      <c r="G427" s="16" t="n"/>
      <c r="H427" s="7">
        <f>IF(C427="","","Patrimonio|"&amp;COUNTIF($C$6:C427,"&lt;&gt;"))</f>
        <v/>
      </c>
      <c r="J427" s="39" t="n"/>
      <c r="K427" s="39" t="n"/>
      <c r="L427" s="39" t="n"/>
      <c r="M427" s="39" t="n"/>
    </row>
    <row r="428" ht="21" customHeight="1" s="65">
      <c r="C428" s="16" t="n"/>
      <c r="D428" s="16" t="n"/>
      <c r="E428" s="103" t="n"/>
      <c r="F428" s="25" t="n"/>
      <c r="G428" s="16" t="n"/>
      <c r="H428" s="7">
        <f>IF(C428="","","Patrimonio|"&amp;COUNTIF($C$6:C428,"&lt;&gt;"))</f>
        <v/>
      </c>
      <c r="J428" s="39" t="n"/>
      <c r="K428" s="39" t="n"/>
      <c r="L428" s="39" t="n"/>
      <c r="M428" s="39" t="n"/>
    </row>
    <row r="429" ht="21" customHeight="1" s="65">
      <c r="C429" s="16" t="n"/>
      <c r="D429" s="16" t="n"/>
      <c r="E429" s="103" t="n"/>
      <c r="F429" s="25" t="n"/>
      <c r="G429" s="16" t="n"/>
      <c r="H429" s="7">
        <f>IF(C429="","","Patrimonio|"&amp;COUNTIF($C$6:C429,"&lt;&gt;"))</f>
        <v/>
      </c>
      <c r="J429" s="39" t="n"/>
      <c r="K429" s="39" t="n"/>
      <c r="L429" s="39" t="n"/>
      <c r="M429" s="39" t="n"/>
    </row>
    <row r="430" ht="21" customHeight="1" s="65">
      <c r="C430" s="16" t="n"/>
      <c r="D430" s="16" t="n"/>
      <c r="E430" s="103" t="n"/>
      <c r="F430" s="25" t="n"/>
      <c r="G430" s="16" t="n"/>
      <c r="H430" s="7">
        <f>IF(C430="","","Patrimonio|"&amp;COUNTIF($C$6:C430,"&lt;&gt;"))</f>
        <v/>
      </c>
      <c r="J430" s="39" t="n"/>
      <c r="K430" s="39" t="n"/>
      <c r="L430" s="39" t="n"/>
      <c r="M430" s="39" t="n"/>
    </row>
    <row r="431" ht="21" customHeight="1" s="65">
      <c r="C431" s="16" t="n"/>
      <c r="D431" s="16" t="n"/>
      <c r="E431" s="103" t="n"/>
      <c r="F431" s="25" t="n"/>
      <c r="G431" s="16" t="n"/>
      <c r="H431" s="7">
        <f>IF(C431="","","Patrimonio|"&amp;COUNTIF($C$6:C431,"&lt;&gt;"))</f>
        <v/>
      </c>
      <c r="J431" s="39" t="n"/>
      <c r="K431" s="39" t="n"/>
      <c r="L431" s="39" t="n"/>
      <c r="M431" s="39" t="n"/>
    </row>
    <row r="432" ht="21" customHeight="1" s="65">
      <c r="C432" s="16" t="n"/>
      <c r="D432" s="16" t="n"/>
      <c r="E432" s="103" t="n"/>
      <c r="F432" s="25" t="n"/>
      <c r="G432" s="16" t="n"/>
      <c r="H432" s="7">
        <f>IF(C432="","","Patrimonio|"&amp;COUNTIF($C$6:C432,"&lt;&gt;"))</f>
        <v/>
      </c>
      <c r="J432" s="39" t="n"/>
      <c r="K432" s="39" t="n"/>
      <c r="L432" s="39" t="n"/>
      <c r="M432" s="39" t="n"/>
    </row>
    <row r="433" ht="21" customHeight="1" s="65">
      <c r="C433" s="16" t="n"/>
      <c r="D433" s="16" t="n"/>
      <c r="E433" s="103" t="n"/>
      <c r="F433" s="25" t="n"/>
      <c r="G433" s="16" t="n"/>
      <c r="H433" s="7">
        <f>IF(C433="","","Patrimonio|"&amp;COUNTIF($C$6:C433,"&lt;&gt;"))</f>
        <v/>
      </c>
      <c r="J433" s="39" t="n"/>
      <c r="K433" s="39" t="n"/>
      <c r="L433" s="39" t="n"/>
      <c r="M433" s="39" t="n"/>
    </row>
    <row r="434" ht="21" customHeight="1" s="65">
      <c r="C434" s="16" t="n"/>
      <c r="D434" s="16" t="n"/>
      <c r="E434" s="103" t="n"/>
      <c r="F434" s="25" t="n"/>
      <c r="G434" s="16" t="n"/>
      <c r="H434" s="7">
        <f>IF(C434="","","Patrimonio|"&amp;COUNTIF($C$6:C434,"&lt;&gt;"))</f>
        <v/>
      </c>
      <c r="J434" s="39" t="n"/>
      <c r="K434" s="39" t="n"/>
      <c r="L434" s="39" t="n"/>
      <c r="M434" s="39" t="n"/>
    </row>
    <row r="435" ht="21" customHeight="1" s="65">
      <c r="C435" s="16" t="n"/>
      <c r="D435" s="16" t="n"/>
      <c r="E435" s="103" t="n"/>
      <c r="F435" s="25" t="n"/>
      <c r="G435" s="16" t="n"/>
      <c r="H435" s="7">
        <f>IF(C435="","","Patrimonio|"&amp;COUNTIF($C$6:C435,"&lt;&gt;"))</f>
        <v/>
      </c>
      <c r="J435" s="39" t="n"/>
      <c r="K435" s="39" t="n"/>
      <c r="L435" s="39" t="n"/>
      <c r="M435" s="39" t="n"/>
    </row>
    <row r="436" ht="21" customHeight="1" s="65">
      <c r="C436" s="16" t="n"/>
      <c r="D436" s="16" t="n"/>
      <c r="E436" s="103" t="n"/>
      <c r="F436" s="25" t="n"/>
      <c r="G436" s="16" t="n"/>
      <c r="H436" s="7">
        <f>IF(C436="","","Patrimonio|"&amp;COUNTIF($C$6:C436,"&lt;&gt;"))</f>
        <v/>
      </c>
      <c r="J436" s="39" t="n"/>
      <c r="K436" s="39" t="n"/>
      <c r="L436" s="39" t="n"/>
      <c r="M436" s="39" t="n"/>
    </row>
    <row r="437" ht="21" customHeight="1" s="65">
      <c r="C437" s="16" t="n"/>
      <c r="D437" s="16" t="n"/>
      <c r="E437" s="103" t="n"/>
      <c r="F437" s="25" t="n"/>
      <c r="G437" s="16" t="n"/>
      <c r="H437" s="7">
        <f>IF(C437="","","Patrimonio|"&amp;COUNTIF($C$6:C437,"&lt;&gt;"))</f>
        <v/>
      </c>
      <c r="J437" s="39" t="n"/>
      <c r="K437" s="39" t="n"/>
      <c r="L437" s="39" t="n"/>
      <c r="M437" s="39" t="n"/>
    </row>
    <row r="438" ht="21" customHeight="1" s="65">
      <c r="C438" s="16" t="n"/>
      <c r="D438" s="16" t="n"/>
      <c r="E438" s="103" t="n"/>
      <c r="F438" s="25" t="n"/>
      <c r="G438" s="16" t="n"/>
      <c r="H438" s="7">
        <f>IF(C438="","","Patrimonio|"&amp;COUNTIF($C$6:C438,"&lt;&gt;"))</f>
        <v/>
      </c>
      <c r="J438" s="39" t="n"/>
      <c r="K438" s="39" t="n"/>
      <c r="L438" s="39" t="n"/>
      <c r="M438" s="39" t="n"/>
    </row>
    <row r="439" ht="21" customHeight="1" s="65">
      <c r="C439" s="16" t="n"/>
      <c r="D439" s="16" t="n"/>
      <c r="E439" s="103" t="n"/>
      <c r="F439" s="25" t="n"/>
      <c r="G439" s="16" t="n"/>
      <c r="H439" s="7">
        <f>IF(C439="","","Patrimonio|"&amp;COUNTIF($C$6:C439,"&lt;&gt;"))</f>
        <v/>
      </c>
      <c r="J439" s="39" t="n"/>
      <c r="K439" s="39" t="n"/>
      <c r="L439" s="39" t="n"/>
      <c r="M439" s="39" t="n"/>
    </row>
    <row r="440" ht="21" customHeight="1" s="65">
      <c r="C440" s="16" t="n"/>
      <c r="D440" s="16" t="n"/>
      <c r="E440" s="103" t="n"/>
      <c r="F440" s="25" t="n"/>
      <c r="G440" s="16" t="n"/>
      <c r="H440" s="7">
        <f>IF(C440="","","Patrimonio|"&amp;COUNTIF($C$6:C440,"&lt;&gt;"))</f>
        <v/>
      </c>
      <c r="J440" s="39" t="n"/>
      <c r="K440" s="39" t="n"/>
      <c r="L440" s="39" t="n"/>
      <c r="M440" s="39" t="n"/>
    </row>
    <row r="441" ht="21" customHeight="1" s="65">
      <c r="C441" s="16" t="n"/>
      <c r="D441" s="16" t="n"/>
      <c r="E441" s="103" t="n"/>
      <c r="F441" s="25" t="n"/>
      <c r="G441" s="16" t="n"/>
      <c r="H441" s="7">
        <f>IF(C441="","","Patrimonio|"&amp;COUNTIF($C$6:C441,"&lt;&gt;"))</f>
        <v/>
      </c>
      <c r="J441" s="39" t="n"/>
      <c r="K441" s="39" t="n"/>
      <c r="L441" s="39" t="n"/>
      <c r="M441" s="39" t="n"/>
    </row>
    <row r="442" ht="21" customHeight="1" s="65">
      <c r="C442" s="16" t="n"/>
      <c r="D442" s="16" t="n"/>
      <c r="E442" s="103" t="n"/>
      <c r="F442" s="25" t="n"/>
      <c r="G442" s="16" t="n"/>
      <c r="H442" s="7">
        <f>IF(C442="","","Patrimonio|"&amp;COUNTIF($C$6:C442,"&lt;&gt;"))</f>
        <v/>
      </c>
      <c r="J442" s="39" t="n"/>
      <c r="K442" s="39" t="n"/>
      <c r="L442" s="39" t="n"/>
      <c r="M442" s="39" t="n"/>
    </row>
    <row r="443" ht="21" customHeight="1" s="65">
      <c r="C443" s="16" t="n"/>
      <c r="D443" s="16" t="n"/>
      <c r="E443" s="103" t="n"/>
      <c r="F443" s="25" t="n"/>
      <c r="G443" s="16" t="n"/>
      <c r="H443" s="7">
        <f>IF(C443="","","Patrimonio|"&amp;COUNTIF($C$6:C443,"&lt;&gt;"))</f>
        <v/>
      </c>
      <c r="J443" s="39" t="n"/>
      <c r="K443" s="39" t="n"/>
      <c r="L443" s="39" t="n"/>
      <c r="M443" s="39" t="n"/>
    </row>
    <row r="444" ht="21" customHeight="1" s="65">
      <c r="C444" s="16" t="n"/>
      <c r="D444" s="16" t="n"/>
      <c r="E444" s="103" t="n"/>
      <c r="F444" s="25" t="n"/>
      <c r="G444" s="16" t="n"/>
      <c r="H444" s="7">
        <f>IF(C444="","","Patrimonio|"&amp;COUNTIF($C$6:C444,"&lt;&gt;"))</f>
        <v/>
      </c>
      <c r="J444" s="39" t="n"/>
      <c r="K444" s="39" t="n"/>
      <c r="L444" s="39" t="n"/>
      <c r="M444" s="39" t="n"/>
    </row>
    <row r="445" ht="21" customHeight="1" s="65">
      <c r="C445" s="16" t="n"/>
      <c r="D445" s="16" t="n"/>
      <c r="E445" s="103" t="n"/>
      <c r="F445" s="25" t="n"/>
      <c r="G445" s="16" t="n"/>
      <c r="H445" s="7">
        <f>IF(C445="","","Patrimonio|"&amp;COUNTIF($C$6:C445,"&lt;&gt;"))</f>
        <v/>
      </c>
      <c r="J445" s="39" t="n"/>
      <c r="K445" s="39" t="n"/>
      <c r="L445" s="39" t="n"/>
      <c r="M445" s="39" t="n"/>
    </row>
    <row r="446" ht="21" customHeight="1" s="65">
      <c r="C446" s="16" t="n"/>
      <c r="D446" s="16" t="n"/>
      <c r="E446" s="103" t="n"/>
      <c r="F446" s="25" t="n"/>
      <c r="G446" s="16" t="n"/>
      <c r="H446" s="7">
        <f>IF(C446="","","Patrimonio|"&amp;COUNTIF($C$6:C446,"&lt;&gt;"))</f>
        <v/>
      </c>
      <c r="J446" s="39" t="n"/>
      <c r="K446" s="39" t="n"/>
      <c r="L446" s="39" t="n"/>
      <c r="M446" s="39" t="n"/>
    </row>
    <row r="447" ht="21" customHeight="1" s="65">
      <c r="C447" s="16" t="n"/>
      <c r="D447" s="16" t="n"/>
      <c r="E447" s="103" t="n"/>
      <c r="F447" s="25" t="n"/>
      <c r="G447" s="16" t="n"/>
      <c r="H447" s="7">
        <f>IF(C447="","","Patrimonio|"&amp;COUNTIF($C$6:C447,"&lt;&gt;"))</f>
        <v/>
      </c>
      <c r="J447" s="39" t="n"/>
      <c r="K447" s="39" t="n"/>
      <c r="L447" s="39" t="n"/>
      <c r="M447" s="39" t="n"/>
    </row>
    <row r="448" ht="21" customHeight="1" s="65">
      <c r="C448" s="16" t="n"/>
      <c r="D448" s="16" t="n"/>
      <c r="E448" s="103" t="n"/>
      <c r="F448" s="25" t="n"/>
      <c r="G448" s="16" t="n"/>
      <c r="H448" s="7">
        <f>IF(C448="","","Patrimonio|"&amp;COUNTIF($C$6:C448,"&lt;&gt;"))</f>
        <v/>
      </c>
      <c r="J448" s="39" t="n"/>
      <c r="K448" s="39" t="n"/>
      <c r="L448" s="39" t="n"/>
      <c r="M448" s="39" t="n"/>
    </row>
    <row r="449" ht="21" customHeight="1" s="65">
      <c r="C449" s="16" t="n"/>
      <c r="D449" s="16" t="n"/>
      <c r="E449" s="103" t="n"/>
      <c r="F449" s="25" t="n"/>
      <c r="G449" s="16" t="n"/>
      <c r="H449" s="7">
        <f>IF(C449="","","Patrimonio|"&amp;COUNTIF($C$6:C449,"&lt;&gt;"))</f>
        <v/>
      </c>
      <c r="J449" s="39" t="n"/>
      <c r="K449" s="39" t="n"/>
      <c r="L449" s="39" t="n"/>
      <c r="M449" s="39" t="n"/>
    </row>
    <row r="450" ht="21" customHeight="1" s="65">
      <c r="C450" s="16" t="n"/>
      <c r="D450" s="16" t="n"/>
      <c r="E450" s="103" t="n"/>
      <c r="F450" s="25" t="n"/>
      <c r="G450" s="16" t="n"/>
      <c r="H450" s="7">
        <f>IF(C450="","","Patrimonio|"&amp;COUNTIF($C$6:C450,"&lt;&gt;"))</f>
        <v/>
      </c>
      <c r="J450" s="39" t="n"/>
      <c r="K450" s="39" t="n"/>
      <c r="L450" s="39" t="n"/>
      <c r="M450" s="39" t="n"/>
    </row>
    <row r="451" ht="21" customHeight="1" s="65">
      <c r="C451" s="16" t="n"/>
      <c r="D451" s="16" t="n"/>
      <c r="E451" s="103" t="n"/>
      <c r="F451" s="25" t="n"/>
      <c r="G451" s="16" t="n"/>
      <c r="H451" s="7">
        <f>IF(C451="","","Patrimonio|"&amp;COUNTIF($C$6:C451,"&lt;&gt;"))</f>
        <v/>
      </c>
      <c r="J451" s="39" t="n"/>
      <c r="K451" s="39" t="n"/>
      <c r="L451" s="39" t="n"/>
      <c r="M451" s="39" t="n"/>
    </row>
    <row r="452" ht="21" customHeight="1" s="65">
      <c r="C452" s="16" t="n"/>
      <c r="D452" s="16" t="n"/>
      <c r="E452" s="103" t="n"/>
      <c r="F452" s="25" t="n"/>
      <c r="G452" s="16" t="n"/>
      <c r="H452" s="7">
        <f>IF(C452="","","Patrimonio|"&amp;COUNTIF($C$6:C452,"&lt;&gt;"))</f>
        <v/>
      </c>
      <c r="J452" s="39" t="n"/>
      <c r="K452" s="39" t="n"/>
      <c r="L452" s="39" t="n"/>
      <c r="M452" s="39" t="n"/>
    </row>
    <row r="453" ht="21" customHeight="1" s="65">
      <c r="C453" s="16" t="n"/>
      <c r="D453" s="16" t="n"/>
      <c r="E453" s="103" t="n"/>
      <c r="F453" s="25" t="n"/>
      <c r="G453" s="16" t="n"/>
      <c r="H453" s="7">
        <f>IF(C453="","","Patrimonio|"&amp;COUNTIF($C$6:C453,"&lt;&gt;"))</f>
        <v/>
      </c>
      <c r="J453" s="39" t="n"/>
      <c r="K453" s="39" t="n"/>
      <c r="L453" s="39" t="n"/>
      <c r="M453" s="39" t="n"/>
    </row>
    <row r="454" ht="21" customHeight="1" s="65">
      <c r="C454" s="16" t="n"/>
      <c r="D454" s="16" t="n"/>
      <c r="E454" s="103" t="n"/>
      <c r="F454" s="25" t="n"/>
      <c r="G454" s="16" t="n"/>
      <c r="H454" s="7">
        <f>IF(C454="","","Patrimonio|"&amp;COUNTIF($C$6:C454,"&lt;&gt;"))</f>
        <v/>
      </c>
      <c r="J454" s="39" t="n"/>
      <c r="K454" s="39" t="n"/>
      <c r="L454" s="39" t="n"/>
      <c r="M454" s="39" t="n"/>
    </row>
    <row r="455" ht="21" customHeight="1" s="65">
      <c r="C455" s="16" t="n"/>
      <c r="D455" s="16" t="n"/>
      <c r="E455" s="103" t="n"/>
      <c r="F455" s="25" t="n"/>
      <c r="G455" s="16" t="n"/>
      <c r="H455" s="7">
        <f>IF(C455="","","Patrimonio|"&amp;COUNTIF($C$6:C455,"&lt;&gt;"))</f>
        <v/>
      </c>
      <c r="J455" s="39" t="n"/>
      <c r="K455" s="39" t="n"/>
      <c r="L455" s="39" t="n"/>
      <c r="M455" s="39" t="n"/>
    </row>
    <row r="456" ht="21" customHeight="1" s="65">
      <c r="C456" s="16" t="n"/>
      <c r="D456" s="16" t="n"/>
      <c r="E456" s="103" t="n"/>
      <c r="F456" s="25" t="n"/>
      <c r="G456" s="16" t="n"/>
      <c r="H456" s="7">
        <f>IF(C456="","","Patrimonio|"&amp;COUNTIF($C$6:C456,"&lt;&gt;"))</f>
        <v/>
      </c>
      <c r="J456" s="39" t="n"/>
      <c r="K456" s="39" t="n"/>
      <c r="L456" s="39" t="n"/>
      <c r="M456" s="39" t="n"/>
    </row>
    <row r="457" ht="21" customHeight="1" s="65">
      <c r="C457" s="16" t="n"/>
      <c r="D457" s="16" t="n"/>
      <c r="E457" s="103" t="n"/>
      <c r="F457" s="25" t="n"/>
      <c r="G457" s="16" t="n"/>
      <c r="H457" s="7">
        <f>IF(C457="","","Patrimonio|"&amp;COUNTIF($C$6:C457,"&lt;&gt;"))</f>
        <v/>
      </c>
      <c r="J457" s="39" t="n"/>
      <c r="K457" s="39" t="n"/>
      <c r="L457" s="39" t="n"/>
      <c r="M457" s="39" t="n"/>
    </row>
    <row r="458" ht="21" customHeight="1" s="65">
      <c r="C458" s="16" t="n"/>
      <c r="D458" s="16" t="n"/>
      <c r="E458" s="103" t="n"/>
      <c r="F458" s="25" t="n"/>
      <c r="G458" s="16" t="n"/>
      <c r="H458" s="7">
        <f>IF(C458="","","Patrimonio|"&amp;COUNTIF($C$6:C458,"&lt;&gt;"))</f>
        <v/>
      </c>
      <c r="J458" s="39" t="n"/>
      <c r="K458" s="39" t="n"/>
      <c r="L458" s="39" t="n"/>
      <c r="M458" s="39" t="n"/>
    </row>
    <row r="459" ht="21" customHeight="1" s="65">
      <c r="C459" s="16" t="n"/>
      <c r="D459" s="16" t="n"/>
      <c r="E459" s="103" t="n"/>
      <c r="F459" s="25" t="n"/>
      <c r="G459" s="16" t="n"/>
      <c r="H459" s="7">
        <f>IF(C459="","","Patrimonio|"&amp;COUNTIF($C$6:C459,"&lt;&gt;"))</f>
        <v/>
      </c>
      <c r="J459" s="39" t="n"/>
      <c r="K459" s="39" t="n"/>
      <c r="L459" s="39" t="n"/>
      <c r="M459" s="39" t="n"/>
    </row>
    <row r="460" ht="21" customHeight="1" s="65">
      <c r="C460" s="16" t="n"/>
      <c r="D460" s="16" t="n"/>
      <c r="E460" s="103" t="n"/>
      <c r="F460" s="25" t="n"/>
      <c r="G460" s="16" t="n"/>
      <c r="H460" s="7">
        <f>IF(C460="","","Patrimonio|"&amp;COUNTIF($C$6:C460,"&lt;&gt;"))</f>
        <v/>
      </c>
      <c r="J460" s="39" t="n"/>
      <c r="K460" s="39" t="n"/>
      <c r="L460" s="39" t="n"/>
      <c r="M460" s="39" t="n"/>
    </row>
    <row r="461" ht="21" customHeight="1" s="65">
      <c r="C461" s="16" t="n"/>
      <c r="D461" s="16" t="n"/>
      <c r="E461" s="103" t="n"/>
      <c r="F461" s="25" t="n"/>
      <c r="G461" s="16" t="n"/>
      <c r="H461" s="7">
        <f>IF(C461="","","Patrimonio|"&amp;COUNTIF($C$6:C461,"&lt;&gt;"))</f>
        <v/>
      </c>
      <c r="J461" s="39" t="n"/>
      <c r="K461" s="39" t="n"/>
      <c r="L461" s="39" t="n"/>
      <c r="M461" s="39" t="n"/>
    </row>
    <row r="462" ht="21" customHeight="1" s="65">
      <c r="C462" s="16" t="n"/>
      <c r="D462" s="16" t="n"/>
      <c r="E462" s="103" t="n"/>
      <c r="F462" s="25" t="n"/>
      <c r="G462" s="16" t="n"/>
      <c r="H462" s="7">
        <f>IF(C462="","","Patrimonio|"&amp;COUNTIF($C$6:C462,"&lt;&gt;"))</f>
        <v/>
      </c>
      <c r="J462" s="39" t="n"/>
      <c r="K462" s="39" t="n"/>
      <c r="L462" s="39" t="n"/>
      <c r="M462" s="39" t="n"/>
    </row>
    <row r="463" ht="21" customHeight="1" s="65">
      <c r="C463" s="16" t="n"/>
      <c r="D463" s="16" t="n"/>
      <c r="E463" s="103" t="n"/>
      <c r="F463" s="25" t="n"/>
      <c r="G463" s="16" t="n"/>
      <c r="H463" s="7">
        <f>IF(C463="","","Patrimonio|"&amp;COUNTIF($C$6:C463,"&lt;&gt;"))</f>
        <v/>
      </c>
      <c r="J463" s="39" t="n"/>
      <c r="K463" s="39" t="n"/>
      <c r="L463" s="39" t="n"/>
      <c r="M463" s="39" t="n"/>
    </row>
    <row r="464" ht="21" customHeight="1" s="65">
      <c r="C464" s="16" t="n"/>
      <c r="D464" s="16" t="n"/>
      <c r="E464" s="103" t="n"/>
      <c r="F464" s="25" t="n"/>
      <c r="G464" s="16" t="n"/>
      <c r="H464" s="7">
        <f>IF(C464="","","Patrimonio|"&amp;COUNTIF($C$6:C464,"&lt;&gt;"))</f>
        <v/>
      </c>
      <c r="J464" s="39" t="n"/>
      <c r="K464" s="39" t="n"/>
      <c r="L464" s="39" t="n"/>
      <c r="M464" s="39" t="n"/>
    </row>
    <row r="465" ht="21" customHeight="1" s="65">
      <c r="C465" s="16" t="n"/>
      <c r="D465" s="16" t="n"/>
      <c r="E465" s="103" t="n"/>
      <c r="F465" s="25" t="n"/>
      <c r="G465" s="16" t="n"/>
      <c r="H465" s="7">
        <f>IF(C465="","","Patrimonio|"&amp;COUNTIF($C$6:C465,"&lt;&gt;"))</f>
        <v/>
      </c>
      <c r="J465" s="39" t="n"/>
      <c r="K465" s="39" t="n"/>
      <c r="L465" s="39" t="n"/>
      <c r="M465" s="39" t="n"/>
    </row>
    <row r="466" ht="21" customHeight="1" s="65">
      <c r="C466" s="16" t="n"/>
      <c r="D466" s="16" t="n"/>
      <c r="E466" s="103" t="n"/>
      <c r="F466" s="25" t="n"/>
      <c r="G466" s="16" t="n"/>
      <c r="H466" s="7">
        <f>IF(C466="","","Patrimonio|"&amp;COUNTIF($C$6:C466,"&lt;&gt;"))</f>
        <v/>
      </c>
      <c r="J466" s="39" t="n"/>
      <c r="K466" s="39" t="n"/>
      <c r="L466" s="39" t="n"/>
      <c r="M466" s="39" t="n"/>
    </row>
    <row r="467" ht="21" customHeight="1" s="65">
      <c r="C467" s="16" t="n"/>
      <c r="D467" s="16" t="n"/>
      <c r="E467" s="103" t="n"/>
      <c r="F467" s="25" t="n"/>
      <c r="G467" s="16" t="n"/>
      <c r="H467" s="7">
        <f>IF(C467="","","Patrimonio|"&amp;COUNTIF($C$6:C467,"&lt;&gt;"))</f>
        <v/>
      </c>
      <c r="J467" s="39" t="n"/>
      <c r="K467" s="39" t="n"/>
      <c r="L467" s="39" t="n"/>
      <c r="M467" s="39" t="n"/>
    </row>
    <row r="468" ht="21" customHeight="1" s="65">
      <c r="C468" s="16" t="n"/>
      <c r="D468" s="16" t="n"/>
      <c r="E468" s="103" t="n"/>
      <c r="F468" s="25" t="n"/>
      <c r="G468" s="16" t="n"/>
      <c r="H468" s="7">
        <f>IF(C468="","","Patrimonio|"&amp;COUNTIF($C$6:C468,"&lt;&gt;"))</f>
        <v/>
      </c>
      <c r="J468" s="39" t="n"/>
      <c r="K468" s="39" t="n"/>
      <c r="L468" s="39" t="n"/>
      <c r="M468" s="39" t="n"/>
    </row>
    <row r="469" ht="21" customHeight="1" s="65">
      <c r="C469" s="16" t="n"/>
      <c r="D469" s="16" t="n"/>
      <c r="E469" s="103" t="n"/>
      <c r="F469" s="25" t="n"/>
      <c r="G469" s="16" t="n"/>
      <c r="H469" s="7">
        <f>IF(C469="","","Patrimonio|"&amp;COUNTIF($C$6:C469,"&lt;&gt;"))</f>
        <v/>
      </c>
      <c r="J469" s="39" t="n"/>
      <c r="K469" s="39" t="n"/>
      <c r="L469" s="39" t="n"/>
      <c r="M469" s="39" t="n"/>
    </row>
    <row r="470" ht="21" customHeight="1" s="65">
      <c r="C470" s="16" t="n"/>
      <c r="D470" s="16" t="n"/>
      <c r="E470" s="103" t="n"/>
      <c r="F470" s="25" t="n"/>
      <c r="G470" s="16" t="n"/>
      <c r="H470" s="7">
        <f>IF(C470="","","Patrimonio|"&amp;COUNTIF($C$6:C470,"&lt;&gt;"))</f>
        <v/>
      </c>
      <c r="J470" s="39" t="n"/>
      <c r="K470" s="39" t="n"/>
      <c r="L470" s="39" t="n"/>
      <c r="M470" s="39" t="n"/>
    </row>
    <row r="471" ht="21" customHeight="1" s="65">
      <c r="C471" s="16" t="n"/>
      <c r="D471" s="16" t="n"/>
      <c r="E471" s="103" t="n"/>
      <c r="F471" s="25" t="n"/>
      <c r="G471" s="16" t="n"/>
      <c r="H471" s="7">
        <f>IF(C471="","","Patrimonio|"&amp;COUNTIF($C$6:C471,"&lt;&gt;"))</f>
        <v/>
      </c>
      <c r="J471" s="39" t="n"/>
      <c r="K471" s="39" t="n"/>
      <c r="L471" s="39" t="n"/>
      <c r="M471" s="39" t="n"/>
    </row>
    <row r="472" ht="21" customHeight="1" s="65">
      <c r="C472" s="16" t="n"/>
      <c r="D472" s="16" t="n"/>
      <c r="E472" s="103" t="n"/>
      <c r="F472" s="25" t="n"/>
      <c r="G472" s="16" t="n"/>
      <c r="H472" s="7">
        <f>IF(C472="","","Patrimonio|"&amp;COUNTIF($C$6:C472,"&lt;&gt;"))</f>
        <v/>
      </c>
      <c r="J472" s="39" t="n"/>
      <c r="K472" s="39" t="n"/>
      <c r="L472" s="39" t="n"/>
      <c r="M472" s="39" t="n"/>
    </row>
    <row r="473" ht="21" customHeight="1" s="65">
      <c r="C473" s="16" t="n"/>
      <c r="D473" s="16" t="n"/>
      <c r="E473" s="103" t="n"/>
      <c r="F473" s="25" t="n"/>
      <c r="G473" s="16" t="n"/>
      <c r="H473" s="7">
        <f>IF(C473="","","Patrimonio|"&amp;COUNTIF($C$6:C473,"&lt;&gt;"))</f>
        <v/>
      </c>
      <c r="J473" s="39" t="n"/>
      <c r="K473" s="39" t="n"/>
      <c r="L473" s="39" t="n"/>
      <c r="M473" s="39" t="n"/>
    </row>
    <row r="474" ht="21" customHeight="1" s="65">
      <c r="C474" s="16" t="n"/>
      <c r="D474" s="16" t="n"/>
      <c r="E474" s="103" t="n"/>
      <c r="F474" s="25" t="n"/>
      <c r="G474" s="16" t="n"/>
      <c r="H474" s="7">
        <f>IF(C474="","","Patrimonio|"&amp;COUNTIF($C$6:C474,"&lt;&gt;"))</f>
        <v/>
      </c>
      <c r="J474" s="39" t="n"/>
      <c r="K474" s="39" t="n"/>
      <c r="L474" s="39" t="n"/>
      <c r="M474" s="39" t="n"/>
    </row>
    <row r="475" ht="21" customHeight="1" s="65">
      <c r="C475" s="16" t="n"/>
      <c r="D475" s="16" t="n"/>
      <c r="E475" s="103" t="n"/>
      <c r="F475" s="25" t="n"/>
      <c r="G475" s="16" t="n"/>
      <c r="H475" s="7">
        <f>IF(C475="","","Patrimonio|"&amp;COUNTIF($C$6:C475,"&lt;&gt;"))</f>
        <v/>
      </c>
      <c r="J475" s="39" t="n"/>
      <c r="K475" s="39" t="n"/>
      <c r="L475" s="39" t="n"/>
      <c r="M475" s="39" t="n"/>
    </row>
    <row r="476" ht="21" customHeight="1" s="65">
      <c r="C476" s="16" t="n"/>
      <c r="D476" s="16" t="n"/>
      <c r="E476" s="103" t="n"/>
      <c r="F476" s="25" t="n"/>
      <c r="G476" s="16" t="n"/>
      <c r="H476" s="7">
        <f>IF(C476="","","Patrimonio|"&amp;COUNTIF($C$6:C476,"&lt;&gt;"))</f>
        <v/>
      </c>
      <c r="J476" s="39" t="n"/>
      <c r="K476" s="39" t="n"/>
      <c r="L476" s="39" t="n"/>
      <c r="M476" s="39" t="n"/>
    </row>
    <row r="477" ht="21" customHeight="1" s="65">
      <c r="C477" s="16" t="n"/>
      <c r="D477" s="16" t="n"/>
      <c r="E477" s="103" t="n"/>
      <c r="F477" s="25" t="n"/>
      <c r="G477" s="16" t="n"/>
      <c r="H477" s="7">
        <f>IF(C477="","","Patrimonio|"&amp;COUNTIF($C$6:C477,"&lt;&gt;"))</f>
        <v/>
      </c>
      <c r="J477" s="39" t="n"/>
      <c r="K477" s="39" t="n"/>
      <c r="L477" s="39" t="n"/>
      <c r="M477" s="39" t="n"/>
    </row>
    <row r="478" ht="21" customHeight="1" s="65">
      <c r="C478" s="16" t="n"/>
      <c r="D478" s="16" t="n"/>
      <c r="E478" s="103" t="n"/>
      <c r="F478" s="25" t="n"/>
      <c r="G478" s="16" t="n"/>
      <c r="H478" s="7">
        <f>IF(C478="","","Patrimonio|"&amp;COUNTIF($C$6:C478,"&lt;&gt;"))</f>
        <v/>
      </c>
      <c r="J478" s="39" t="n"/>
      <c r="K478" s="39" t="n"/>
      <c r="L478" s="39" t="n"/>
      <c r="M478" s="39" t="n"/>
    </row>
    <row r="479" ht="21" customHeight="1" s="65">
      <c r="C479" s="16" t="n"/>
      <c r="D479" s="16" t="n"/>
      <c r="E479" s="103" t="n"/>
      <c r="F479" s="25" t="n"/>
      <c r="G479" s="16" t="n"/>
      <c r="H479" s="7">
        <f>IF(C479="","","Patrimonio|"&amp;COUNTIF($C$6:C479,"&lt;&gt;"))</f>
        <v/>
      </c>
      <c r="J479" s="39" t="n"/>
      <c r="K479" s="39" t="n"/>
      <c r="L479" s="39" t="n"/>
      <c r="M479" s="39" t="n"/>
    </row>
    <row r="480" ht="21" customHeight="1" s="65">
      <c r="C480" s="16" t="n"/>
      <c r="D480" s="16" t="n"/>
      <c r="E480" s="103" t="n"/>
      <c r="F480" s="25" t="n"/>
      <c r="G480" s="16" t="n"/>
      <c r="H480" s="7">
        <f>IF(C480="","","Patrimonio|"&amp;COUNTIF($C$6:C480,"&lt;&gt;"))</f>
        <v/>
      </c>
      <c r="J480" s="39" t="n"/>
      <c r="K480" s="39" t="n"/>
      <c r="L480" s="39" t="n"/>
      <c r="M480" s="39" t="n"/>
    </row>
    <row r="481" ht="21" customHeight="1" s="65">
      <c r="C481" s="16" t="n"/>
      <c r="D481" s="16" t="n"/>
      <c r="E481" s="103" t="n"/>
      <c r="F481" s="25" t="n"/>
      <c r="G481" s="16" t="n"/>
      <c r="H481" s="7">
        <f>IF(C481="","","Patrimonio|"&amp;COUNTIF($C$6:C481,"&lt;&gt;"))</f>
        <v/>
      </c>
      <c r="J481" s="39" t="n"/>
      <c r="K481" s="39" t="n"/>
      <c r="L481" s="39" t="n"/>
      <c r="M481" s="39" t="n"/>
    </row>
    <row r="482" ht="21" customHeight="1" s="65">
      <c r="C482" s="16" t="n"/>
      <c r="D482" s="16" t="n"/>
      <c r="E482" s="103" t="n"/>
      <c r="F482" s="25" t="n"/>
      <c r="G482" s="16" t="n"/>
      <c r="H482" s="7">
        <f>IF(C482="","","Patrimonio|"&amp;COUNTIF($C$6:C482,"&lt;&gt;"))</f>
        <v/>
      </c>
      <c r="J482" s="39" t="n"/>
      <c r="K482" s="39" t="n"/>
      <c r="L482" s="39" t="n"/>
      <c r="M482" s="39" t="n"/>
    </row>
    <row r="483" ht="21" customHeight="1" s="65">
      <c r="C483" s="16" t="n"/>
      <c r="D483" s="16" t="n"/>
      <c r="E483" s="103" t="n"/>
      <c r="F483" s="25" t="n"/>
      <c r="G483" s="16" t="n"/>
      <c r="H483" s="7">
        <f>IF(C483="","","Patrimonio|"&amp;COUNTIF($C$6:C483,"&lt;&gt;"))</f>
        <v/>
      </c>
      <c r="J483" s="39" t="n"/>
      <c r="K483" s="39" t="n"/>
      <c r="L483" s="39" t="n"/>
      <c r="M483" s="39" t="n"/>
    </row>
    <row r="484" ht="21" customHeight="1" s="65">
      <c r="C484" s="16" t="n"/>
      <c r="D484" s="16" t="n"/>
      <c r="E484" s="103" t="n"/>
      <c r="F484" s="25" t="n"/>
      <c r="G484" s="16" t="n"/>
      <c r="H484" s="7">
        <f>IF(C484="","","Patrimonio|"&amp;COUNTIF($C$6:C484,"&lt;&gt;"))</f>
        <v/>
      </c>
      <c r="J484" s="39" t="n"/>
      <c r="K484" s="39" t="n"/>
      <c r="L484" s="39" t="n"/>
      <c r="M484" s="39" t="n"/>
    </row>
    <row r="485" ht="21" customHeight="1" s="65">
      <c r="C485" s="16" t="n"/>
      <c r="D485" s="16" t="n"/>
      <c r="E485" s="103" t="n"/>
      <c r="F485" s="25" t="n"/>
      <c r="G485" s="16" t="n"/>
      <c r="H485" s="7">
        <f>IF(C485="","","Patrimonio|"&amp;COUNTIF($C$6:C485,"&lt;&gt;"))</f>
        <v/>
      </c>
      <c r="J485" s="39" t="n"/>
      <c r="K485" s="39" t="n"/>
      <c r="L485" s="39" t="n"/>
      <c r="M485" s="39" t="n"/>
    </row>
    <row r="486" ht="21" customHeight="1" s="65">
      <c r="C486" s="16" t="n"/>
      <c r="D486" s="16" t="n"/>
      <c r="E486" s="103" t="n"/>
      <c r="F486" s="25" t="n"/>
      <c r="G486" s="16" t="n"/>
      <c r="H486" s="7">
        <f>IF(C486="","","Patrimonio|"&amp;COUNTIF($C$6:C486,"&lt;&gt;"))</f>
        <v/>
      </c>
      <c r="J486" s="39" t="n"/>
      <c r="K486" s="39" t="n"/>
      <c r="L486" s="39" t="n"/>
      <c r="M486" s="39" t="n"/>
    </row>
    <row r="487" ht="21" customHeight="1" s="65">
      <c r="C487" s="16" t="n"/>
      <c r="D487" s="16" t="n"/>
      <c r="E487" s="103" t="n"/>
      <c r="F487" s="25" t="n"/>
      <c r="G487" s="16" t="n"/>
      <c r="H487" s="7">
        <f>IF(C487="","","Patrimonio|"&amp;COUNTIF($C$6:C487,"&lt;&gt;"))</f>
        <v/>
      </c>
      <c r="J487" s="39" t="n"/>
      <c r="K487" s="39" t="n"/>
      <c r="L487" s="39" t="n"/>
      <c r="M487" s="39" t="n"/>
    </row>
    <row r="488" ht="21" customHeight="1" s="65">
      <c r="C488" s="16" t="n"/>
      <c r="D488" s="16" t="n"/>
      <c r="E488" s="103" t="n"/>
      <c r="F488" s="25" t="n"/>
      <c r="G488" s="16" t="n"/>
      <c r="H488" s="7">
        <f>IF(C488="","","Patrimonio|"&amp;COUNTIF($C$6:C488,"&lt;&gt;"))</f>
        <v/>
      </c>
      <c r="J488" s="39" t="n"/>
      <c r="K488" s="39" t="n"/>
      <c r="L488" s="39" t="n"/>
      <c r="M488" s="39" t="n"/>
    </row>
    <row r="489" ht="21" customHeight="1" s="65">
      <c r="C489" s="16" t="n"/>
      <c r="D489" s="16" t="n"/>
      <c r="E489" s="103" t="n"/>
      <c r="F489" s="25" t="n"/>
      <c r="G489" s="16" t="n"/>
      <c r="H489" s="7">
        <f>IF(C489="","","Patrimonio|"&amp;COUNTIF($C$6:C489,"&lt;&gt;"))</f>
        <v/>
      </c>
      <c r="J489" s="39" t="n"/>
      <c r="K489" s="39" t="n"/>
      <c r="L489" s="39" t="n"/>
      <c r="M489" s="39" t="n"/>
    </row>
    <row r="490" ht="21" customHeight="1" s="65">
      <c r="C490" s="16" t="n"/>
      <c r="D490" s="16" t="n"/>
      <c r="E490" s="103" t="n"/>
      <c r="F490" s="25" t="n"/>
      <c r="G490" s="16" t="n"/>
      <c r="H490" s="7">
        <f>IF(C490="","","Patrimonio|"&amp;COUNTIF($C$6:C490,"&lt;&gt;"))</f>
        <v/>
      </c>
      <c r="J490" s="39" t="n"/>
      <c r="K490" s="39" t="n"/>
      <c r="L490" s="39" t="n"/>
      <c r="M490" s="39" t="n"/>
    </row>
    <row r="491" ht="21" customHeight="1" s="65">
      <c r="C491" s="16" t="n"/>
      <c r="D491" s="16" t="n"/>
      <c r="E491" s="103" t="n"/>
      <c r="F491" s="25" t="n"/>
      <c r="G491" s="16" t="n"/>
      <c r="H491" s="7">
        <f>IF(C491="","","Patrimonio|"&amp;COUNTIF($C$6:C491,"&lt;&gt;"))</f>
        <v/>
      </c>
      <c r="J491" s="39" t="n"/>
      <c r="K491" s="39" t="n"/>
      <c r="L491" s="39" t="n"/>
      <c r="M491" s="39" t="n"/>
    </row>
    <row r="492" ht="21" customHeight="1" s="65">
      <c r="C492" s="16" t="n"/>
      <c r="D492" s="16" t="n"/>
      <c r="E492" s="103" t="n"/>
      <c r="F492" s="25" t="n"/>
      <c r="G492" s="16" t="n"/>
      <c r="H492" s="7">
        <f>IF(C492="","","Patrimonio|"&amp;COUNTIF($C$6:C492,"&lt;&gt;"))</f>
        <v/>
      </c>
      <c r="J492" s="39" t="n"/>
      <c r="K492" s="39" t="n"/>
      <c r="L492" s="39" t="n"/>
      <c r="M492" s="39" t="n"/>
    </row>
    <row r="493" ht="21" customHeight="1" s="65">
      <c r="C493" s="16" t="n"/>
      <c r="D493" s="16" t="n"/>
      <c r="E493" s="103" t="n"/>
      <c r="F493" s="25" t="n"/>
      <c r="G493" s="16" t="n"/>
      <c r="H493" s="7">
        <f>IF(C493="","","Patrimonio|"&amp;COUNTIF($C$6:C493,"&lt;&gt;"))</f>
        <v/>
      </c>
      <c r="J493" s="39" t="n"/>
      <c r="K493" s="39" t="n"/>
      <c r="L493" s="39" t="n"/>
      <c r="M493" s="39" t="n"/>
    </row>
    <row r="494" ht="21" customHeight="1" s="65">
      <c r="C494" s="16" t="n"/>
      <c r="D494" s="16" t="n"/>
      <c r="E494" s="103" t="n"/>
      <c r="F494" s="25" t="n"/>
      <c r="G494" s="16" t="n"/>
      <c r="H494" s="7">
        <f>IF(C494="","","Patrimonio|"&amp;COUNTIF($C$6:C494,"&lt;&gt;"))</f>
        <v/>
      </c>
      <c r="J494" s="39" t="n"/>
      <c r="K494" s="39" t="n"/>
      <c r="L494" s="39" t="n"/>
      <c r="M494" s="39" t="n"/>
    </row>
    <row r="495" ht="21" customHeight="1" s="65">
      <c r="C495" s="16" t="n"/>
      <c r="D495" s="16" t="n"/>
      <c r="E495" s="103" t="n"/>
      <c r="F495" s="25" t="n"/>
      <c r="G495" s="16" t="n"/>
      <c r="H495" s="7">
        <f>IF(C495="","","Patrimonio|"&amp;COUNTIF($C$6:C495,"&lt;&gt;"))</f>
        <v/>
      </c>
      <c r="J495" s="39" t="n"/>
      <c r="K495" s="39" t="n"/>
      <c r="L495" s="39" t="n"/>
      <c r="M495" s="39" t="n"/>
    </row>
    <row r="496" ht="21" customHeight="1" s="65">
      <c r="C496" s="16" t="n"/>
      <c r="D496" s="16" t="n"/>
      <c r="E496" s="103" t="n"/>
      <c r="F496" s="25" t="n"/>
      <c r="G496" s="16" t="n"/>
      <c r="H496" s="7">
        <f>IF(C496="","","Patrimonio|"&amp;COUNTIF($C$6:C496,"&lt;&gt;"))</f>
        <v/>
      </c>
      <c r="J496" s="39" t="n"/>
      <c r="K496" s="39" t="n"/>
      <c r="L496" s="39" t="n"/>
      <c r="M496" s="39" t="n"/>
    </row>
    <row r="497" ht="21" customHeight="1" s="65">
      <c r="C497" s="16" t="n"/>
      <c r="D497" s="16" t="n"/>
      <c r="E497" s="103" t="n"/>
      <c r="F497" s="25" t="n"/>
      <c r="G497" s="16" t="n"/>
      <c r="H497" s="7">
        <f>IF(C497="","","Patrimonio|"&amp;COUNTIF($C$6:C497,"&lt;&gt;"))</f>
        <v/>
      </c>
      <c r="J497" s="39" t="n"/>
      <c r="K497" s="39" t="n"/>
      <c r="L497" s="39" t="n"/>
      <c r="M497" s="39" t="n"/>
    </row>
    <row r="498" ht="21" customHeight="1" s="65">
      <c r="C498" s="16" t="n"/>
      <c r="D498" s="16" t="n"/>
      <c r="E498" s="103" t="n"/>
      <c r="F498" s="25" t="n"/>
      <c r="G498" s="16" t="n"/>
      <c r="H498" s="7">
        <f>IF(C498="","","Patrimonio|"&amp;COUNTIF($C$6:C498,"&lt;&gt;"))</f>
        <v/>
      </c>
      <c r="J498" s="39" t="n"/>
      <c r="K498" s="39" t="n"/>
      <c r="L498" s="39" t="n"/>
      <c r="M498" s="39" t="n"/>
    </row>
    <row r="499" ht="21" customHeight="1" s="65">
      <c r="C499" s="16" t="n"/>
      <c r="D499" s="16" t="n"/>
      <c r="E499" s="103" t="n"/>
      <c r="F499" s="25" t="n"/>
      <c r="G499" s="16" t="n"/>
      <c r="H499" s="7">
        <f>IF(C499="","","Patrimonio|"&amp;COUNTIF($C$6:C499,"&lt;&gt;"))</f>
        <v/>
      </c>
      <c r="J499" s="39" t="n"/>
      <c r="K499" s="39" t="n"/>
      <c r="L499" s="39" t="n"/>
      <c r="M499" s="39" t="n"/>
    </row>
    <row r="500" ht="21" customHeight="1" s="65">
      <c r="C500" s="16" t="n"/>
      <c r="D500" s="16" t="n"/>
      <c r="E500" s="103" t="n"/>
      <c r="F500" s="25" t="n"/>
      <c r="G500" s="16" t="n"/>
      <c r="H500" s="7">
        <f>IF(C500="","","Patrimonio|"&amp;COUNTIF($C$6:C500,"&lt;&gt;"))</f>
        <v/>
      </c>
      <c r="J500" s="39" t="n"/>
      <c r="K500" s="39" t="n"/>
      <c r="L500" s="39" t="n"/>
      <c r="M500" s="39" t="n"/>
    </row>
    <row r="501" ht="21" customHeight="1" s="65">
      <c r="C501" s="16" t="n"/>
      <c r="D501" s="16" t="n"/>
      <c r="E501" s="103" t="n"/>
      <c r="F501" s="25" t="n"/>
      <c r="G501" s="16" t="n"/>
      <c r="H501" s="7">
        <f>IF(C501="","","Patrimonio|"&amp;COUNTIF($C$6:C501,"&lt;&gt;"))</f>
        <v/>
      </c>
      <c r="J501" s="39" t="n"/>
      <c r="K501" s="39" t="n"/>
      <c r="L501" s="39" t="n"/>
      <c r="M501" s="39" t="n"/>
    </row>
    <row r="502" ht="21" customHeight="1" s="65">
      <c r="C502" s="16" t="n"/>
      <c r="D502" s="16" t="n"/>
      <c r="E502" s="103" t="n"/>
      <c r="F502" s="25" t="n"/>
      <c r="G502" s="16" t="n"/>
      <c r="H502" s="7">
        <f>IF(C502="","","Patrimonio|"&amp;COUNTIF($C$6:C502,"&lt;&gt;"))</f>
        <v/>
      </c>
      <c r="J502" s="39" t="n"/>
      <c r="K502" s="39" t="n"/>
      <c r="L502" s="39" t="n"/>
      <c r="M502" s="39" t="n"/>
    </row>
    <row r="503" ht="21" customHeight="1" s="65">
      <c r="C503" s="16" t="n"/>
      <c r="D503" s="16" t="n"/>
      <c r="E503" s="103" t="n"/>
      <c r="F503" s="25" t="n"/>
      <c r="G503" s="16" t="n"/>
      <c r="H503" s="7">
        <f>IF(C503="","","Patrimonio|"&amp;COUNTIF($C$6:C503,"&lt;&gt;"))</f>
        <v/>
      </c>
      <c r="J503" s="39" t="n"/>
      <c r="K503" s="39" t="n"/>
      <c r="L503" s="39" t="n"/>
      <c r="M503" s="39" t="n"/>
    </row>
    <row r="504" ht="21" customHeight="1" s="65">
      <c r="C504" s="16" t="n"/>
      <c r="D504" s="16" t="n"/>
      <c r="E504" s="103" t="n"/>
      <c r="F504" s="25" t="n"/>
      <c r="G504" s="16" t="n"/>
      <c r="H504" s="7">
        <f>IF(C504="","","Patrimonio|"&amp;COUNTIF($C$6:C504,"&lt;&gt;"))</f>
        <v/>
      </c>
      <c r="J504" s="39" t="n"/>
      <c r="K504" s="39" t="n"/>
      <c r="L504" s="39" t="n"/>
      <c r="M504" s="39" t="n"/>
    </row>
    <row r="505" ht="21" customHeight="1" s="65">
      <c r="C505" s="16" t="n"/>
      <c r="D505" s="16" t="n"/>
      <c r="E505" s="103" t="n"/>
      <c r="F505" s="25" t="n"/>
      <c r="G505" s="16" t="n"/>
      <c r="H505" s="7">
        <f>IF(C505="","","Patrimonio|"&amp;COUNTIF($C$6:C505,"&lt;&gt;"))</f>
        <v/>
      </c>
      <c r="J505" s="39" t="n"/>
      <c r="K505" s="39" t="n"/>
      <c r="L505" s="39" t="n"/>
      <c r="M505" s="39" t="n"/>
    </row>
    <row r="506" ht="21" customHeight="1" s="65">
      <c r="C506" s="39" t="n"/>
      <c r="D506" s="39" t="n"/>
      <c r="E506" s="39" t="n"/>
      <c r="F506" s="39" t="n"/>
      <c r="G506" s="39" t="n"/>
      <c r="J506" s="39" t="n"/>
      <c r="K506" s="39" t="n"/>
      <c r="L506" s="39" t="n"/>
      <c r="M506" s="39" t="n"/>
    </row>
    <row r="507" ht="21" customHeight="1" s="65">
      <c r="C507" s="39" t="n"/>
      <c r="D507" s="39" t="n"/>
      <c r="E507" s="39" t="n"/>
      <c r="F507" s="39" t="n"/>
      <c r="G507" s="39" t="n"/>
      <c r="J507" s="39" t="n"/>
      <c r="K507" s="39" t="n"/>
      <c r="L507" s="39" t="n"/>
      <c r="M507" s="39" t="n"/>
    </row>
    <row r="508" ht="21" customHeight="1" s="65">
      <c r="C508" s="39" t="n"/>
      <c r="D508" s="39" t="n"/>
      <c r="E508" s="39" t="n"/>
      <c r="F508" s="39" t="n"/>
      <c r="G508" s="39" t="n"/>
      <c r="J508" s="39" t="n"/>
      <c r="K508" s="39" t="n"/>
      <c r="L508" s="39" t="n"/>
      <c r="M508" s="39" t="n"/>
    </row>
    <row r="509" ht="21" customHeight="1" s="65">
      <c r="C509" s="39" t="n"/>
      <c r="D509" s="39" t="n"/>
      <c r="E509" s="39" t="n"/>
      <c r="F509" s="39" t="n"/>
      <c r="G509" s="39" t="n"/>
      <c r="J509" s="39" t="n"/>
      <c r="K509" s="39" t="n"/>
      <c r="L509" s="39" t="n"/>
      <c r="M509" s="39" t="n"/>
    </row>
    <row r="510" ht="21" customHeight="1" s="65">
      <c r="C510" s="39" t="n"/>
      <c r="D510" s="39" t="n"/>
      <c r="E510" s="39" t="n"/>
      <c r="F510" s="39" t="n"/>
      <c r="G510" s="39" t="n"/>
      <c r="J510" s="39" t="n"/>
      <c r="K510" s="39" t="n"/>
      <c r="L510" s="39" t="n"/>
      <c r="M510" s="39" t="n"/>
    </row>
    <row r="511" ht="21" customHeight="1" s="65">
      <c r="C511" s="39" t="n"/>
      <c r="D511" s="39" t="n"/>
      <c r="E511" s="39" t="n"/>
      <c r="F511" s="39" t="n"/>
      <c r="G511" s="39" t="n"/>
      <c r="J511" s="39" t="n"/>
      <c r="K511" s="39" t="n"/>
      <c r="L511" s="39" t="n"/>
      <c r="M511" s="39" t="n"/>
    </row>
    <row r="512" ht="21" customHeight="1" s="65">
      <c r="C512" s="39" t="n"/>
      <c r="D512" s="39" t="n"/>
      <c r="E512" s="39" t="n"/>
      <c r="F512" s="39" t="n"/>
      <c r="G512" s="39" t="n"/>
      <c r="J512" s="39" t="n"/>
      <c r="K512" s="39" t="n"/>
      <c r="L512" s="39" t="n"/>
      <c r="M512" s="39" t="n"/>
    </row>
    <row r="513" ht="21" customHeight="1" s="65">
      <c r="C513" s="39" t="n"/>
      <c r="D513" s="39" t="n"/>
      <c r="E513" s="39" t="n"/>
      <c r="F513" s="39" t="n"/>
      <c r="G513" s="39" t="n"/>
      <c r="J513" s="39" t="n"/>
      <c r="K513" s="39" t="n"/>
      <c r="L513" s="39" t="n"/>
      <c r="M513" s="39" t="n"/>
    </row>
    <row r="514" ht="21" customHeight="1" s="65">
      <c r="C514" s="39" t="n"/>
      <c r="D514" s="39" t="n"/>
      <c r="E514" s="39" t="n"/>
      <c r="F514" s="39" t="n"/>
      <c r="G514" s="39" t="n"/>
      <c r="J514" s="39" t="n"/>
      <c r="K514" s="39" t="n"/>
      <c r="L514" s="39" t="n"/>
      <c r="M514" s="39" t="n"/>
    </row>
    <row r="515" ht="21" customHeight="1" s="65">
      <c r="C515" s="39" t="n"/>
      <c r="D515" s="39" t="n"/>
      <c r="E515" s="39" t="n"/>
      <c r="F515" s="39" t="n"/>
      <c r="G515" s="39" t="n"/>
      <c r="J515" s="39" t="n"/>
      <c r="K515" s="39" t="n"/>
      <c r="L515" s="39" t="n"/>
      <c r="M515" s="39" t="n"/>
    </row>
    <row r="516" ht="21" customHeight="1" s="65">
      <c r="C516" s="39" t="n"/>
      <c r="D516" s="39" t="n"/>
      <c r="E516" s="39" t="n"/>
      <c r="F516" s="39" t="n"/>
      <c r="G516" s="39" t="n"/>
      <c r="J516" s="39" t="n"/>
      <c r="K516" s="39" t="n"/>
      <c r="L516" s="39" t="n"/>
      <c r="M516" s="39" t="n"/>
    </row>
    <row r="517" ht="21" customHeight="1" s="65">
      <c r="C517" s="39" t="n"/>
      <c r="D517" s="39" t="n"/>
      <c r="E517" s="39" t="n"/>
      <c r="F517" s="39" t="n"/>
      <c r="G517" s="39" t="n"/>
      <c r="J517" s="39" t="n"/>
      <c r="K517" s="39" t="n"/>
      <c r="L517" s="39" t="n"/>
      <c r="M517" s="39" t="n"/>
    </row>
    <row r="518" ht="21" customHeight="1" s="65">
      <c r="C518" s="39" t="n"/>
      <c r="D518" s="39" t="n"/>
      <c r="E518" s="39" t="n"/>
      <c r="F518" s="39" t="n"/>
      <c r="G518" s="39" t="n"/>
      <c r="J518" s="39" t="n"/>
      <c r="K518" s="39" t="n"/>
      <c r="L518" s="39" t="n"/>
      <c r="M518" s="39" t="n"/>
    </row>
    <row r="519" ht="21" customHeight="1" s="65">
      <c r="C519" s="39" t="n"/>
      <c r="D519" s="39" t="n"/>
      <c r="E519" s="39" t="n"/>
      <c r="F519" s="39" t="n"/>
      <c r="G519" s="39" t="n"/>
      <c r="J519" s="39" t="n"/>
      <c r="K519" s="39" t="n"/>
      <c r="L519" s="39" t="n"/>
      <c r="M519" s="39" t="n"/>
    </row>
    <row r="520" ht="21" customHeight="1" s="65">
      <c r="C520" s="39" t="n"/>
      <c r="D520" s="39" t="n"/>
      <c r="E520" s="39" t="n"/>
      <c r="F520" s="39" t="n"/>
      <c r="G520" s="39" t="n"/>
      <c r="J520" s="39" t="n"/>
      <c r="K520" s="39" t="n"/>
      <c r="L520" s="39" t="n"/>
      <c r="M520" s="39" t="n"/>
    </row>
    <row r="521" ht="21" customHeight="1" s="65">
      <c r="C521" s="39" t="n"/>
      <c r="D521" s="39" t="n"/>
      <c r="E521" s="39" t="n"/>
      <c r="F521" s="39" t="n"/>
      <c r="G521" s="39" t="n"/>
      <c r="J521" s="39" t="n"/>
      <c r="K521" s="39" t="n"/>
      <c r="L521" s="39" t="n"/>
      <c r="M521" s="39" t="n"/>
    </row>
    <row r="522" ht="21" customHeight="1" s="65">
      <c r="C522" s="39" t="n"/>
      <c r="D522" s="39" t="n"/>
      <c r="E522" s="39" t="n"/>
      <c r="F522" s="39" t="n"/>
      <c r="G522" s="39" t="n"/>
      <c r="J522" s="39" t="n"/>
      <c r="K522" s="39" t="n"/>
      <c r="L522" s="39" t="n"/>
      <c r="M522" s="39" t="n"/>
    </row>
    <row r="523" ht="21" customHeight="1" s="65">
      <c r="C523" s="39" t="n"/>
      <c r="D523" s="39" t="n"/>
      <c r="E523" s="39" t="n"/>
      <c r="F523" s="39" t="n"/>
      <c r="G523" s="39" t="n"/>
      <c r="J523" s="39" t="n"/>
      <c r="K523" s="39" t="n"/>
      <c r="L523" s="39" t="n"/>
      <c r="M523" s="39" t="n"/>
    </row>
    <row r="524" ht="21" customHeight="1" s="65">
      <c r="C524" s="39" t="n"/>
      <c r="D524" s="39" t="n"/>
      <c r="E524" s="39" t="n"/>
      <c r="F524" s="39" t="n"/>
      <c r="G524" s="39" t="n"/>
      <c r="J524" s="39" t="n"/>
      <c r="K524" s="39" t="n"/>
      <c r="L524" s="39" t="n"/>
      <c r="M524" s="39" t="n"/>
    </row>
    <row r="525" ht="21" customHeight="1" s="65">
      <c r="C525" s="39" t="n"/>
      <c r="D525" s="39" t="n"/>
      <c r="E525" s="39" t="n"/>
      <c r="F525" s="39" t="n"/>
      <c r="G525" s="39" t="n"/>
      <c r="J525" s="39" t="n"/>
      <c r="K525" s="39" t="n"/>
      <c r="L525" s="39" t="n"/>
      <c r="M525" s="39" t="n"/>
    </row>
    <row r="526" ht="21" customHeight="1" s="65">
      <c r="C526" s="39" t="n"/>
      <c r="D526" s="39" t="n"/>
      <c r="E526" s="39" t="n"/>
      <c r="F526" s="39" t="n"/>
      <c r="G526" s="39" t="n"/>
      <c r="J526" s="39" t="n"/>
      <c r="K526" s="39" t="n"/>
      <c r="L526" s="39" t="n"/>
      <c r="M526" s="39" t="n"/>
    </row>
    <row r="527" ht="21" customHeight="1" s="65">
      <c r="C527" s="39" t="n"/>
      <c r="D527" s="39" t="n"/>
      <c r="E527" s="39" t="n"/>
      <c r="F527" s="39" t="n"/>
      <c r="G527" s="39" t="n"/>
      <c r="J527" s="39" t="n"/>
      <c r="K527" s="39" t="n"/>
      <c r="L527" s="39" t="n"/>
      <c r="M527" s="39" t="n"/>
    </row>
    <row r="528" ht="21" customHeight="1" s="65">
      <c r="C528" s="39" t="n"/>
      <c r="D528" s="39" t="n"/>
      <c r="E528" s="39" t="n"/>
      <c r="F528" s="39" t="n"/>
      <c r="G528" s="39" t="n"/>
      <c r="J528" s="39" t="n"/>
      <c r="K528" s="39" t="n"/>
      <c r="L528" s="39" t="n"/>
      <c r="M528" s="39" t="n"/>
    </row>
    <row r="529" ht="21" customHeight="1" s="65">
      <c r="C529" s="39" t="n"/>
      <c r="D529" s="39" t="n"/>
      <c r="E529" s="39" t="n"/>
      <c r="F529" s="39" t="n"/>
      <c r="G529" s="39" t="n"/>
      <c r="J529" s="39" t="n"/>
      <c r="K529" s="39" t="n"/>
      <c r="L529" s="39" t="n"/>
      <c r="M529" s="39" t="n"/>
    </row>
    <row r="530" ht="21" customHeight="1" s="65">
      <c r="C530" s="39" t="n"/>
      <c r="D530" s="39" t="n"/>
      <c r="E530" s="39" t="n"/>
      <c r="F530" s="39" t="n"/>
      <c r="G530" s="39" t="n"/>
      <c r="J530" s="39" t="n"/>
      <c r="K530" s="39" t="n"/>
      <c r="L530" s="39" t="n"/>
      <c r="M530" s="39" t="n"/>
    </row>
    <row r="531" ht="21" customHeight="1" s="65">
      <c r="C531" s="39" t="n"/>
      <c r="D531" s="39" t="n"/>
      <c r="E531" s="39" t="n"/>
      <c r="F531" s="39" t="n"/>
      <c r="G531" s="39" t="n"/>
      <c r="J531" s="39" t="n"/>
      <c r="K531" s="39" t="n"/>
      <c r="L531" s="39" t="n"/>
      <c r="M531" s="39" t="n"/>
    </row>
    <row r="532" ht="21" customHeight="1" s="65">
      <c r="C532" s="39" t="n"/>
      <c r="D532" s="39" t="n"/>
      <c r="E532" s="39" t="n"/>
      <c r="F532" s="39" t="n"/>
      <c r="G532" s="39" t="n"/>
      <c r="J532" s="39" t="n"/>
      <c r="K532" s="39" t="n"/>
      <c r="L532" s="39" t="n"/>
      <c r="M532" s="39" t="n"/>
    </row>
    <row r="533" ht="21" customHeight="1" s="65">
      <c r="C533" s="39" t="n"/>
      <c r="D533" s="39" t="n"/>
      <c r="E533" s="39" t="n"/>
      <c r="F533" s="39" t="n"/>
      <c r="G533" s="39" t="n"/>
      <c r="J533" s="39" t="n"/>
      <c r="K533" s="39" t="n"/>
      <c r="L533" s="39" t="n"/>
      <c r="M533" s="39" t="n"/>
    </row>
    <row r="534" ht="21" customHeight="1" s="65">
      <c r="C534" s="39" t="n"/>
      <c r="D534" s="39" t="n"/>
      <c r="E534" s="39" t="n"/>
      <c r="F534" s="39" t="n"/>
      <c r="G534" s="39" t="n"/>
      <c r="J534" s="39" t="n"/>
      <c r="K534" s="39" t="n"/>
      <c r="L534" s="39" t="n"/>
      <c r="M534" s="39" t="n"/>
    </row>
    <row r="535" ht="21" customHeight="1" s="65">
      <c r="C535" s="39" t="n"/>
      <c r="D535" s="39" t="n"/>
      <c r="E535" s="39" t="n"/>
      <c r="F535" s="39" t="n"/>
      <c r="G535" s="39" t="n"/>
      <c r="J535" s="39" t="n"/>
      <c r="K535" s="39" t="n"/>
      <c r="L535" s="39" t="n"/>
      <c r="M535" s="39" t="n"/>
    </row>
    <row r="536" ht="21" customHeight="1" s="65">
      <c r="C536" s="39" t="n"/>
      <c r="D536" s="39" t="n"/>
      <c r="E536" s="39" t="n"/>
      <c r="F536" s="39" t="n"/>
      <c r="G536" s="39" t="n"/>
      <c r="J536" s="39" t="n"/>
      <c r="K536" s="39" t="n"/>
      <c r="L536" s="39" t="n"/>
      <c r="M536" s="39" t="n"/>
    </row>
    <row r="537" ht="21" customHeight="1" s="65">
      <c r="C537" s="39" t="n"/>
      <c r="D537" s="39" t="n"/>
      <c r="E537" s="39" t="n"/>
      <c r="F537" s="39" t="n"/>
      <c r="G537" s="39" t="n"/>
      <c r="J537" s="39" t="n"/>
      <c r="K537" s="39" t="n"/>
      <c r="L537" s="39" t="n"/>
      <c r="M537" s="39" t="n"/>
    </row>
    <row r="538" ht="21" customHeight="1" s="65">
      <c r="C538" s="39" t="n"/>
      <c r="D538" s="39" t="n"/>
      <c r="E538" s="39" t="n"/>
      <c r="F538" s="39" t="n"/>
      <c r="G538" s="39" t="n"/>
      <c r="J538" s="39" t="n"/>
      <c r="K538" s="39" t="n"/>
      <c r="L538" s="39" t="n"/>
      <c r="M538" s="39" t="n"/>
    </row>
    <row r="539" ht="21" customHeight="1" s="65">
      <c r="C539" s="39" t="n"/>
      <c r="D539" s="39" t="n"/>
      <c r="E539" s="39" t="n"/>
      <c r="F539" s="39" t="n"/>
      <c r="G539" s="39" t="n"/>
      <c r="J539" s="39" t="n"/>
      <c r="K539" s="39" t="n"/>
      <c r="L539" s="39" t="n"/>
      <c r="M539" s="39" t="n"/>
    </row>
    <row r="540" ht="21" customHeight="1" s="65">
      <c r="C540" s="39" t="n"/>
      <c r="D540" s="39" t="n"/>
      <c r="E540" s="39" t="n"/>
      <c r="F540" s="39" t="n"/>
      <c r="G540" s="39" t="n"/>
      <c r="J540" s="39" t="n"/>
      <c r="K540" s="39" t="n"/>
      <c r="L540" s="39" t="n"/>
      <c r="M540" s="39" t="n"/>
    </row>
    <row r="541" ht="21" customHeight="1" s="65">
      <c r="C541" s="39" t="n"/>
      <c r="D541" s="39" t="n"/>
      <c r="E541" s="39" t="n"/>
      <c r="F541" s="39" t="n"/>
      <c r="G541" s="39" t="n"/>
      <c r="J541" s="39" t="n"/>
      <c r="K541" s="39" t="n"/>
      <c r="L541" s="39" t="n"/>
      <c r="M541" s="39" t="n"/>
    </row>
    <row r="542" ht="21" customHeight="1" s="65">
      <c r="C542" s="39" t="n"/>
      <c r="D542" s="39" t="n"/>
      <c r="E542" s="39" t="n"/>
      <c r="F542" s="39" t="n"/>
      <c r="G542" s="39" t="n"/>
      <c r="J542" s="39" t="n"/>
      <c r="K542" s="39" t="n"/>
      <c r="L542" s="39" t="n"/>
      <c r="M542" s="39" t="n"/>
    </row>
    <row r="543" ht="21" customHeight="1" s="65">
      <c r="C543" s="39" t="n"/>
      <c r="D543" s="39" t="n"/>
      <c r="E543" s="39" t="n"/>
      <c r="F543" s="39" t="n"/>
      <c r="G543" s="39" t="n"/>
      <c r="J543" s="39" t="n"/>
      <c r="K543" s="39" t="n"/>
      <c r="L543" s="39" t="n"/>
      <c r="M543" s="39" t="n"/>
    </row>
    <row r="544" ht="21" customHeight="1" s="65">
      <c r="C544" s="39" t="n"/>
      <c r="D544" s="39" t="n"/>
      <c r="E544" s="39" t="n"/>
      <c r="F544" s="39" t="n"/>
      <c r="G544" s="39" t="n"/>
    </row>
    <row r="545" ht="21" customHeight="1" s="65">
      <c r="C545" s="39" t="n"/>
      <c r="D545" s="39" t="n"/>
      <c r="E545" s="39" t="n"/>
      <c r="F545" s="39" t="n"/>
      <c r="G545" s="39" t="n"/>
    </row>
    <row r="546" ht="21" customHeight="1" s="65">
      <c r="C546" s="39" t="n"/>
      <c r="D546" s="39" t="n"/>
      <c r="E546" s="39" t="n"/>
      <c r="F546" s="39" t="n"/>
      <c r="G546" s="39" t="n"/>
    </row>
    <row r="547" ht="21" customHeight="1" s="65">
      <c r="C547" s="39" t="n"/>
      <c r="D547" s="39" t="n"/>
      <c r="E547" s="39" t="n"/>
      <c r="F547" s="39" t="n"/>
      <c r="G547" s="39" t="n"/>
    </row>
    <row r="548" ht="21" customHeight="1" s="65">
      <c r="C548" s="39" t="n"/>
      <c r="D548" s="39" t="n"/>
      <c r="E548" s="39" t="n"/>
      <c r="F548" s="39" t="n"/>
      <c r="G548" s="39" t="n"/>
    </row>
    <row r="549" ht="21" customHeight="1" s="65">
      <c r="C549" s="39" t="n"/>
      <c r="D549" s="39" t="n"/>
      <c r="E549" s="39" t="n"/>
      <c r="F549" s="39" t="n"/>
      <c r="G549" s="39" t="n"/>
    </row>
    <row r="550" ht="21" customHeight="1" s="65">
      <c r="C550" s="39" t="n"/>
      <c r="D550" s="39" t="n"/>
      <c r="E550" s="39" t="n"/>
      <c r="F550" s="39" t="n"/>
      <c r="G550" s="39" t="n"/>
    </row>
    <row r="551" ht="21" customHeight="1" s="65">
      <c r="C551" s="39" t="n"/>
      <c r="D551" s="39" t="n"/>
      <c r="E551" s="39" t="n"/>
      <c r="F551" s="39" t="n"/>
      <c r="G551" s="39" t="n"/>
    </row>
    <row r="552" ht="21" customHeight="1" s="65">
      <c r="C552" s="39" t="n"/>
      <c r="D552" s="39" t="n"/>
      <c r="E552" s="39" t="n"/>
      <c r="F552" s="39" t="n"/>
      <c r="G552" s="39" t="n"/>
    </row>
    <row r="553" ht="21" customHeight="1" s="65">
      <c r="C553" s="39" t="n"/>
      <c r="D553" s="39" t="n"/>
      <c r="E553" s="39" t="n"/>
      <c r="F553" s="39" t="n"/>
      <c r="G553" s="39" t="n"/>
    </row>
    <row r="554" ht="21" customHeight="1" s="65">
      <c r="C554" s="39" t="n"/>
      <c r="D554" s="39" t="n"/>
      <c r="E554" s="39" t="n"/>
      <c r="F554" s="39" t="n"/>
      <c r="G554" s="39" t="n"/>
    </row>
    <row r="555" ht="21" customHeight="1" s="65">
      <c r="C555" s="39" t="n"/>
      <c r="D555" s="39" t="n"/>
      <c r="E555" s="39" t="n"/>
      <c r="F555" s="39" t="n"/>
      <c r="G555" s="39" t="n"/>
    </row>
    <row r="556" ht="21" customHeight="1" s="65">
      <c r="C556" s="39" t="n"/>
      <c r="D556" s="39" t="n"/>
      <c r="E556" s="39" t="n"/>
      <c r="F556" s="39" t="n"/>
      <c r="G556" s="39" t="n"/>
    </row>
    <row r="557" ht="21" customHeight="1" s="65">
      <c r="C557" s="39" t="n"/>
      <c r="D557" s="39" t="n"/>
      <c r="E557" s="39" t="n"/>
      <c r="F557" s="39" t="n"/>
      <c r="G557" s="39" t="n"/>
    </row>
    <row r="558" ht="21" customHeight="1" s="65">
      <c r="C558" s="39" t="n"/>
      <c r="D558" s="39" t="n"/>
      <c r="E558" s="39" t="n"/>
      <c r="F558" s="39" t="n"/>
      <c r="G558" s="39" t="n"/>
    </row>
    <row r="559" ht="21" customHeight="1" s="65">
      <c r="C559" s="39" t="n"/>
      <c r="D559" s="39" t="n"/>
      <c r="E559" s="39" t="n"/>
      <c r="F559" s="39" t="n"/>
      <c r="G559" s="39" t="n"/>
    </row>
    <row r="560" ht="21" customHeight="1" s="65">
      <c r="C560" s="39" t="n"/>
      <c r="D560" s="39" t="n"/>
      <c r="E560" s="39" t="n"/>
      <c r="F560" s="39" t="n"/>
      <c r="G560" s="39" t="n"/>
    </row>
    <row r="561" ht="21" customHeight="1" s="65">
      <c r="C561" s="39" t="n"/>
      <c r="D561" s="39" t="n"/>
      <c r="E561" s="39" t="n"/>
      <c r="F561" s="39" t="n"/>
      <c r="G561" s="39" t="n"/>
    </row>
    <row r="562" ht="21" customHeight="1" s="65">
      <c r="C562" s="39" t="n"/>
      <c r="D562" s="39" t="n"/>
      <c r="E562" s="39" t="n"/>
      <c r="F562" s="39" t="n"/>
      <c r="G562" s="39" t="n"/>
    </row>
    <row r="563" ht="21" customHeight="1" s="65">
      <c r="C563" s="39" t="n"/>
      <c r="D563" s="39" t="n"/>
      <c r="E563" s="39" t="n"/>
      <c r="F563" s="39" t="n"/>
      <c r="G563" s="39" t="n"/>
    </row>
    <row r="564" ht="21" customHeight="1" s="65">
      <c r="C564" s="39" t="n"/>
      <c r="D564" s="39" t="n"/>
      <c r="E564" s="39" t="n"/>
      <c r="F564" s="39" t="n"/>
      <c r="G564" s="39" t="n"/>
    </row>
    <row r="565" ht="21" customHeight="1" s="65">
      <c r="C565" s="39" t="n"/>
      <c r="D565" s="39" t="n"/>
      <c r="E565" s="39" t="n"/>
      <c r="F565" s="39" t="n"/>
      <c r="G565" s="39" t="n"/>
    </row>
    <row r="566" ht="21" customHeight="1" s="65">
      <c r="C566" s="39" t="n"/>
      <c r="D566" s="39" t="n"/>
      <c r="E566" s="39" t="n"/>
      <c r="F566" s="39" t="n"/>
      <c r="G566" s="39" t="n"/>
    </row>
    <row r="567" ht="21" customHeight="1" s="65">
      <c r="C567" s="39" t="n"/>
      <c r="D567" s="39" t="n"/>
      <c r="E567" s="39" t="n"/>
      <c r="F567" s="39" t="n"/>
      <c r="G567" s="39" t="n"/>
    </row>
    <row r="568" ht="21" customHeight="1" s="65">
      <c r="C568" s="39" t="n"/>
      <c r="D568" s="39" t="n"/>
      <c r="E568" s="39" t="n"/>
      <c r="F568" s="39" t="n"/>
      <c r="G568" s="39" t="n"/>
    </row>
    <row r="569" ht="21" customHeight="1" s="65">
      <c r="C569" s="39" t="n"/>
      <c r="D569" s="39" t="n"/>
      <c r="E569" s="39" t="n"/>
      <c r="F569" s="39" t="n"/>
      <c r="G569" s="39" t="n"/>
    </row>
    <row r="570" ht="21" customHeight="1" s="65">
      <c r="C570" s="39" t="n"/>
      <c r="D570" s="39" t="n"/>
      <c r="E570" s="39" t="n"/>
      <c r="F570" s="39" t="n"/>
      <c r="G570" s="39" t="n"/>
    </row>
    <row r="571" ht="21" customHeight="1" s="65">
      <c r="C571" s="39" t="n"/>
      <c r="D571" s="39" t="n"/>
      <c r="E571" s="39" t="n"/>
      <c r="F571" s="39" t="n"/>
      <c r="G571" s="39" t="n"/>
    </row>
    <row r="572" ht="21" customHeight="1" s="65">
      <c r="C572" s="39" t="n"/>
      <c r="D572" s="39" t="n"/>
      <c r="E572" s="39" t="n"/>
      <c r="F572" s="39" t="n"/>
      <c r="G572" s="39" t="n"/>
    </row>
    <row r="573" ht="21" customHeight="1" s="65">
      <c r="C573" s="39" t="n"/>
      <c r="D573" s="39" t="n"/>
      <c r="E573" s="39" t="n"/>
      <c r="F573" s="39" t="n"/>
      <c r="G573" s="39" t="n"/>
    </row>
    <row r="574" ht="21" customHeight="1" s="65">
      <c r="C574" s="39" t="n"/>
      <c r="D574" s="39" t="n"/>
      <c r="E574" s="39" t="n"/>
      <c r="F574" s="39" t="n"/>
      <c r="G574" s="39" t="n"/>
    </row>
    <row r="575" ht="21" customHeight="1" s="65">
      <c r="C575" s="39" t="n"/>
      <c r="D575" s="39" t="n"/>
      <c r="E575" s="39" t="n"/>
      <c r="F575" s="39" t="n"/>
      <c r="G575" s="39" t="n"/>
    </row>
    <row r="576" ht="21" customHeight="1" s="65">
      <c r="C576" s="39" t="n"/>
      <c r="D576" s="39" t="n"/>
      <c r="E576" s="39" t="n"/>
      <c r="F576" s="39" t="n"/>
      <c r="G576" s="39" t="n"/>
    </row>
    <row r="577" ht="21" customHeight="1" s="65">
      <c r="C577" s="39" t="n"/>
      <c r="D577" s="39" t="n"/>
      <c r="E577" s="39" t="n"/>
      <c r="F577" s="39" t="n"/>
      <c r="G577" s="39" t="n"/>
    </row>
    <row r="578" ht="21" customHeight="1" s="65">
      <c r="C578" s="39" t="n"/>
      <c r="D578" s="39" t="n"/>
      <c r="E578" s="39" t="n"/>
      <c r="F578" s="39" t="n"/>
      <c r="G578" s="39" t="n"/>
    </row>
    <row r="579" ht="21" customHeight="1" s="65">
      <c r="C579" s="39" t="n"/>
      <c r="D579" s="39" t="n"/>
      <c r="E579" s="39" t="n"/>
      <c r="F579" s="39" t="n"/>
      <c r="G579" s="39" t="n"/>
    </row>
    <row r="580" ht="21" customHeight="1" s="65">
      <c r="C580" s="39" t="n"/>
      <c r="D580" s="39" t="n"/>
      <c r="E580" s="39" t="n"/>
      <c r="F580" s="39" t="n"/>
      <c r="G580" s="39" t="n"/>
    </row>
    <row r="581" ht="21" customHeight="1" s="65">
      <c r="C581" s="39" t="n"/>
      <c r="D581" s="39" t="n"/>
      <c r="E581" s="39" t="n"/>
      <c r="F581" s="39" t="n"/>
      <c r="G581" s="39" t="n"/>
    </row>
    <row r="582" ht="21" customHeight="1" s="65">
      <c r="C582" s="39" t="n"/>
      <c r="D582" s="39" t="n"/>
      <c r="E582" s="39" t="n"/>
      <c r="F582" s="39" t="n"/>
      <c r="G582" s="39" t="n"/>
    </row>
    <row r="583" ht="21" customHeight="1" s="65">
      <c r="C583" s="39" t="n"/>
      <c r="D583" s="39" t="n"/>
      <c r="E583" s="39" t="n"/>
      <c r="F583" s="39" t="n"/>
      <c r="G583" s="39" t="n"/>
    </row>
    <row r="584" ht="21" customHeight="1" s="65"/>
    <row r="585" ht="21" customHeight="1" s="65"/>
    <row r="586" ht="21" customHeight="1" s="65"/>
    <row r="587" ht="21" customHeight="1" s="65"/>
    <row r="588" ht="21" customHeight="1" s="65"/>
    <row r="589" ht="21" customHeight="1" s="65"/>
    <row r="590" ht="21" customHeight="1" s="65"/>
    <row r="591" ht="21" customHeight="1" s="65"/>
    <row r="592" ht="21" customHeight="1" s="65"/>
    <row r="593" ht="21" customHeight="1" s="65"/>
    <row r="594" ht="21" customHeight="1" s="65"/>
    <row r="595" ht="21" customHeight="1" s="65"/>
    <row r="596" ht="21" customHeight="1" s="65"/>
    <row r="597" ht="21" customHeight="1" s="65"/>
    <row r="598" ht="21" customHeight="1" s="65"/>
    <row r="599" ht="21" customHeight="1" s="65"/>
    <row r="600" ht="21" customHeight="1" s="65"/>
    <row r="601" ht="21" customHeight="1" s="65"/>
    <row r="602" ht="21" customHeight="1" s="65"/>
    <row r="603" ht="21" customHeight="1" s="65"/>
    <row r="604" ht="21" customHeight="1" s="65"/>
    <row r="605" ht="21" customHeight="1" s="65"/>
    <row r="606" ht="21" customHeight="1" s="65"/>
    <row r="607" ht="21" customHeight="1" s="65"/>
    <row r="608" ht="21" customHeight="1" s="65"/>
    <row r="609" ht="21" customHeight="1" s="65"/>
    <row r="610" ht="21" customHeight="1" s="65"/>
    <row r="611" ht="21" customHeight="1" s="65"/>
    <row r="612" ht="21" customHeight="1" s="65"/>
    <row r="613" ht="21" customHeight="1" s="65"/>
    <row r="614" ht="21" customHeight="1" s="65"/>
    <row r="615" ht="21" customHeight="1" s="65"/>
    <row r="616" ht="21" customHeight="1" s="65"/>
    <row r="617" ht="21" customHeight="1" s="65"/>
    <row r="618" ht="21" customHeight="1" s="65"/>
    <row r="619" ht="21" customHeight="1" s="65"/>
    <row r="620" ht="21" customHeight="1" s="65"/>
    <row r="621" ht="21" customHeight="1" s="65"/>
    <row r="622" ht="21" customHeight="1" s="65"/>
    <row r="623" ht="21" customHeight="1" s="65"/>
    <row r="624" ht="21" customHeight="1" s="65"/>
    <row r="625" ht="21" customHeight="1" s="65"/>
    <row r="626" ht="21" customHeight="1" s="65"/>
    <row r="627" ht="21" customHeight="1" s="65"/>
    <row r="628" ht="21" customHeight="1" s="65"/>
    <row r="629" ht="21" customHeight="1" s="65"/>
    <row r="630" ht="21" customHeight="1" s="65"/>
    <row r="631" ht="21" customHeight="1" s="65"/>
    <row r="632" ht="21" customHeight="1" s="65"/>
    <row r="633" ht="21" customHeight="1" s="65"/>
    <row r="634" ht="21" customHeight="1" s="65"/>
    <row r="635" ht="21" customHeight="1" s="65"/>
    <row r="636" ht="21" customHeight="1" s="65"/>
    <row r="637" ht="21" customHeight="1" s="65"/>
    <row r="638" ht="21" customHeight="1" s="65"/>
    <row r="639" ht="21" customHeight="1" s="65"/>
    <row r="640" ht="21" customHeight="1" s="65"/>
    <row r="641" ht="21" customHeight="1" s="65"/>
    <row r="642" ht="21" customHeight="1" s="65"/>
    <row r="643" ht="21" customHeight="1" s="65"/>
    <row r="644" ht="21" customHeight="1" s="65"/>
    <row r="645" ht="21" customHeight="1" s="65"/>
    <row r="646" ht="21" customHeight="1" s="65"/>
    <row r="647" ht="21" customHeight="1" s="65"/>
    <row r="648" ht="21" customHeight="1" s="65"/>
    <row r="649" ht="21" customHeight="1" s="65"/>
    <row r="650" ht="21" customHeight="1" s="65"/>
    <row r="651" ht="21" customHeight="1" s="65"/>
    <row r="652" ht="21" customHeight="1" s="65"/>
    <row r="653" ht="21" customHeight="1" s="65"/>
    <row r="654" ht="21" customHeight="1" s="65"/>
    <row r="655" ht="21" customHeight="1" s="65"/>
    <row r="656" ht="21" customHeight="1" s="65"/>
    <row r="657" ht="21" customHeight="1" s="65"/>
    <row r="658" ht="21" customHeight="1" s="65"/>
    <row r="659" ht="21" customHeight="1" s="65"/>
    <row r="660" ht="21" customHeight="1" s="65"/>
    <row r="661" ht="21" customHeight="1" s="65"/>
    <row r="662" ht="21" customHeight="1" s="65"/>
    <row r="663" ht="21" customHeight="1" s="65"/>
    <row r="664" ht="21" customHeight="1" s="65"/>
    <row r="665" ht="21" customHeight="1" s="65"/>
    <row r="666" ht="21" customHeight="1" s="65"/>
    <row r="667" ht="21" customHeight="1" s="65"/>
    <row r="668" ht="21" customHeight="1" s="65"/>
    <row r="669" ht="21" customHeight="1" s="65"/>
    <row r="670" ht="21" customHeight="1" s="65"/>
    <row r="671" ht="21" customHeight="1" s="65"/>
    <row r="672" ht="21" customHeight="1" s="65"/>
    <row r="673" ht="21" customHeight="1" s="65"/>
    <row r="674" ht="21" customHeight="1" s="65"/>
    <row r="675" ht="21" customHeight="1" s="65"/>
    <row r="676" ht="21" customHeight="1" s="65"/>
    <row r="677" ht="21" customHeight="1" s="65"/>
    <row r="678" ht="21" customHeight="1" s="65"/>
    <row r="679" ht="21" customHeight="1" s="65"/>
    <row r="680" ht="21" customHeight="1" s="65"/>
    <row r="681" ht="21" customHeight="1" s="65"/>
    <row r="682" ht="21" customHeight="1" s="65"/>
    <row r="683" ht="21" customHeight="1" s="65"/>
    <row r="684" ht="21" customHeight="1" s="65"/>
    <row r="685" ht="21" customHeight="1" s="65"/>
    <row r="686" ht="21" customHeight="1" s="65"/>
    <row r="687" ht="21" customHeight="1" s="65"/>
    <row r="688" ht="21" customHeight="1" s="65"/>
    <row r="689" ht="21" customHeight="1" s="65"/>
    <row r="690" ht="21" customHeight="1" s="65"/>
    <row r="691" ht="21" customHeight="1" s="65"/>
    <row r="692" ht="21" customHeight="1" s="65"/>
    <row r="693" ht="21" customHeight="1" s="65"/>
    <row r="694" ht="21" customHeight="1" s="65"/>
    <row r="695" ht="21" customHeight="1" s="65"/>
    <row r="696" ht="21" customHeight="1" s="65"/>
    <row r="697" ht="21" customHeight="1" s="65"/>
    <row r="698" ht="21" customHeight="1" s="65"/>
    <row r="699" ht="21" customHeight="1" s="65"/>
    <row r="700" ht="21" customHeight="1" s="65"/>
    <row r="701" ht="21" customHeight="1" s="65"/>
    <row r="702" ht="21" customHeight="1" s="65"/>
    <row r="703" ht="21" customHeight="1" s="65"/>
    <row r="704" ht="21" customHeight="1" s="65"/>
    <row r="705" ht="21" customHeight="1" s="65"/>
    <row r="706" ht="21" customHeight="1" s="65"/>
    <row r="707" ht="21" customHeight="1" s="65"/>
    <row r="708" ht="21" customHeight="1" s="65"/>
    <row r="709" ht="21" customHeight="1" s="65"/>
    <row r="710" ht="21" customHeight="1" s="65"/>
    <row r="711" ht="21" customHeight="1" s="65"/>
    <row r="712" ht="21" customHeight="1" s="65"/>
    <row r="713" ht="21" customHeight="1" s="65"/>
    <row r="714" ht="21" customHeight="1" s="65"/>
    <row r="715" ht="21" customHeight="1" s="65"/>
    <row r="716" ht="21" customHeight="1" s="65"/>
    <row r="717" ht="21" customHeight="1" s="65"/>
    <row r="718" ht="21" customHeight="1" s="65"/>
    <row r="719" ht="21" customHeight="1" s="65"/>
    <row r="720" ht="21" customHeight="1" s="65"/>
    <row r="721" ht="21" customHeight="1" s="65"/>
    <row r="722" ht="21" customHeight="1" s="65"/>
    <row r="723" ht="21" customHeight="1" s="65"/>
    <row r="724" ht="21" customHeight="1" s="65"/>
    <row r="725" ht="21" customHeight="1" s="65"/>
    <row r="726" ht="21" customHeight="1" s="65"/>
    <row r="727" ht="21" customHeight="1" s="65"/>
    <row r="728" ht="21" customHeight="1" s="65"/>
    <row r="729" ht="21" customHeight="1" s="65"/>
    <row r="730" ht="21" customHeight="1" s="65"/>
    <row r="731" ht="21" customHeight="1" s="65"/>
    <row r="732" ht="21" customHeight="1" s="65"/>
    <row r="733" ht="21" customHeight="1" s="65"/>
    <row r="734" ht="21" customHeight="1" s="65"/>
    <row r="735" ht="21" customHeight="1" s="65"/>
    <row r="736" ht="21" customHeight="1" s="65"/>
    <row r="737" ht="21" customHeight="1" s="65"/>
    <row r="738" ht="21" customHeight="1" s="65"/>
    <row r="739" ht="21" customHeight="1" s="65"/>
    <row r="740" ht="21" customHeight="1" s="65"/>
    <row r="741" ht="21" customHeight="1" s="65"/>
    <row r="742" ht="21" customHeight="1" s="65"/>
    <row r="743" ht="21" customHeight="1" s="65"/>
    <row r="744" ht="21" customHeight="1" s="65"/>
    <row r="745" ht="21" customHeight="1" s="65"/>
    <row r="746" ht="21" customHeight="1" s="65"/>
    <row r="747" ht="21" customHeight="1" s="65"/>
    <row r="748" ht="21" customHeight="1" s="65"/>
    <row r="749" ht="21" customHeight="1" s="65"/>
    <row r="750" ht="21" customHeight="1" s="65"/>
  </sheetData>
  <mergeCells count="6">
    <mergeCell ref="C2:H2"/>
    <mergeCell ref="J13:M15"/>
    <mergeCell ref="J6:M11"/>
    <mergeCell ref="C3:H3"/>
    <mergeCell ref="J5:M5"/>
    <mergeCell ref="C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20A87D"/>
    <outlinePr summaryBelow="1" summaryRight="1"/>
    <pageSetUpPr/>
  </sheetPr>
  <dimension ref="C1:O578"/>
  <sheetViews>
    <sheetView workbookViewId="0">
      <selection activeCell="A1" sqref="A1"/>
    </sheetView>
  </sheetViews>
  <sheetFormatPr baseColWidth="10" defaultColWidth="9.140625" defaultRowHeight="15"/>
  <cols>
    <col width="9.140625" customWidth="1" style="39" min="1" max="2"/>
    <col width="18" customWidth="1" style="65" min="3" max="3"/>
    <col width="32" customWidth="1" style="65" min="4" max="4"/>
    <col width="40" customWidth="1" style="65" min="5" max="5"/>
    <col width="18" customWidth="1" style="65" min="6" max="6"/>
    <col width="24" customWidth="1" style="65" min="7" max="7"/>
    <col width="9.140625" customWidth="1" style="39" min="8" max="8"/>
    <col width="9.140625" customWidth="1" style="39" min="16" max="20"/>
  </cols>
  <sheetData>
    <row r="1" ht="21" customHeight="1" s="65">
      <c r="C1" s="58" t="inlineStr">
        <is>
          <t>RESULTADO DEL EJERCICIO</t>
        </is>
      </c>
      <c r="D1" s="89" t="n"/>
      <c r="E1" s="89" t="n"/>
      <c r="F1" s="89" t="n"/>
      <c r="G1" s="90" t="n"/>
      <c r="I1" s="39" t="n"/>
      <c r="J1" s="39" t="n"/>
      <c r="K1" s="39" t="n"/>
      <c r="L1" s="39" t="n"/>
      <c r="M1" s="39" t="n"/>
      <c r="N1" s="39" t="n"/>
      <c r="O1" s="39" t="n"/>
    </row>
    <row r="2" ht="21" customHeight="1" s="65">
      <c r="C2" s="59" t="inlineStr">
        <is>
          <t>Opcional: registra ingresos, costos y gastos para incorporar utilidad o pérdida al patrimonio.</t>
        </is>
      </c>
      <c r="D2" s="89" t="n"/>
      <c r="E2" s="89" t="n"/>
      <c r="F2" s="89" t="n"/>
      <c r="G2" s="90" t="n"/>
      <c r="I2" s="39" t="n"/>
      <c r="J2" s="39" t="n"/>
      <c r="K2" s="39" t="n"/>
      <c r="L2" s="39" t="n"/>
      <c r="M2" s="39" t="n"/>
      <c r="N2" s="39" t="n"/>
      <c r="O2" s="39" t="n"/>
    </row>
    <row r="3" ht="21" customFormat="1" customHeight="1" s="39"/>
    <row r="4" ht="21" customHeight="1" s="65">
      <c r="C4" s="39" t="n"/>
      <c r="D4" s="82" t="inlineStr">
        <is>
          <t>Resumen</t>
        </is>
      </c>
      <c r="E4" s="82" t="inlineStr">
        <is>
          <t>Monto</t>
        </is>
      </c>
      <c r="F4" s="39" t="n"/>
      <c r="G4" s="39" t="n"/>
      <c r="I4" s="39" t="n"/>
      <c r="J4" s="39" t="n"/>
      <c r="K4" s="39" t="n"/>
      <c r="L4" s="39" t="n"/>
      <c r="M4" s="39" t="n"/>
      <c r="N4" s="39" t="n"/>
      <c r="O4" s="39" t="n"/>
    </row>
    <row r="5" ht="21" customHeight="1" s="65">
      <c r="C5" s="39" t="n"/>
      <c r="D5" s="76" t="inlineStr">
        <is>
          <t>Ingresos</t>
        </is>
      </c>
      <c r="E5" s="105">
        <f>SUMIF(C11:C510,"Ingreso",F11:F510)</f>
        <v/>
      </c>
      <c r="F5" s="39" t="n"/>
      <c r="G5" s="39" t="n"/>
      <c r="I5" s="39" t="n"/>
      <c r="J5" s="39" t="n"/>
      <c r="K5" s="39" t="n"/>
      <c r="L5" s="39" t="n"/>
      <c r="M5" s="39" t="n"/>
      <c r="N5" s="39" t="n"/>
      <c r="O5" s="39" t="n"/>
    </row>
    <row r="6" ht="21" customHeight="1" s="65">
      <c r="C6" s="39" t="n"/>
      <c r="D6" s="76" t="inlineStr">
        <is>
          <t>Costos</t>
        </is>
      </c>
      <c r="E6" s="105">
        <f>SUMIF(C11:C510,"Costo",F11:F510)</f>
        <v/>
      </c>
      <c r="F6" s="39" t="n"/>
      <c r="G6" s="39" t="n"/>
      <c r="I6" s="39" t="n"/>
      <c r="J6" s="39" t="n"/>
      <c r="K6" s="39" t="n"/>
      <c r="L6" s="39" t="n"/>
      <c r="M6" s="39" t="n"/>
      <c r="N6" s="39" t="n"/>
      <c r="O6" s="39" t="n"/>
    </row>
    <row r="7" ht="21" customHeight="1" s="65">
      <c r="C7" s="39" t="n"/>
      <c r="D7" s="76" t="inlineStr">
        <is>
          <t>Gastos</t>
        </is>
      </c>
      <c r="E7" s="105">
        <f>SUMIF(C11:C510,"Gasto",F11:F510)</f>
        <v/>
      </c>
      <c r="F7" s="39" t="n"/>
      <c r="G7" s="39" t="n"/>
      <c r="I7" s="39" t="n"/>
      <c r="J7" s="39" t="n"/>
      <c r="K7" s="39" t="n"/>
      <c r="L7" s="39" t="n"/>
      <c r="M7" s="39" t="n"/>
      <c r="N7" s="39" t="n"/>
      <c r="O7" s="39" t="n"/>
    </row>
    <row r="8" ht="21" customHeight="1" s="65">
      <c r="C8" s="39" t="n"/>
      <c r="D8" s="10" t="inlineStr">
        <is>
          <t>Resultado del ejercicio</t>
        </is>
      </c>
      <c r="E8" s="106">
        <f>E5-E6-E7</f>
        <v/>
      </c>
      <c r="F8" s="39" t="n"/>
      <c r="G8" s="39" t="n"/>
      <c r="I8" s="39" t="n"/>
      <c r="J8" s="39" t="n"/>
      <c r="K8" s="39" t="n"/>
      <c r="L8" s="39" t="n"/>
      <c r="M8" s="39" t="n"/>
      <c r="N8" s="39" t="n"/>
      <c r="O8" s="39" t="n"/>
    </row>
    <row r="9" ht="21" customFormat="1" customHeight="1" s="39"/>
    <row r="10" ht="21" customHeight="1" s="65">
      <c r="C10" s="8" t="inlineStr">
        <is>
          <t>Tipo</t>
        </is>
      </c>
      <c r="D10" s="8" t="inlineStr">
        <is>
          <t>Cuenta / Concepto</t>
        </is>
      </c>
      <c r="E10" s="8" t="inlineStr">
        <is>
          <t>Descripción</t>
        </is>
      </c>
      <c r="F10" s="8" t="inlineStr">
        <is>
          <t>Monto</t>
        </is>
      </c>
      <c r="G10" s="8" t="inlineStr">
        <is>
          <t>Nota</t>
        </is>
      </c>
      <c r="I10" s="71" t="inlineStr">
        <is>
          <t>Ingresos, costos y gastos del período</t>
        </is>
      </c>
      <c r="J10" s="89" t="n"/>
      <c r="K10" s="89" t="n"/>
      <c r="L10" s="89" t="n"/>
      <c r="M10" s="90" t="n"/>
      <c r="N10" s="39" t="n"/>
      <c r="O10" s="39" t="n"/>
    </row>
    <row r="11" ht="21" customHeight="1" s="65">
      <c r="C11" s="16" t="inlineStr">
        <is>
          <t>Ingreso</t>
        </is>
      </c>
      <c r="D11" s="16" t="inlineStr">
        <is>
          <t>Ventas</t>
        </is>
      </c>
      <c r="E11" s="16" t="inlineStr">
        <is>
          <t>Ingresos por ventas del periodo</t>
        </is>
      </c>
      <c r="F11" s="103" t="n">
        <v>15000000</v>
      </c>
      <c r="G11" s="16" t="n"/>
      <c r="I11" s="70" t="inlineStr">
        <is>
          <t>Registre aquí los movimientos que permiten calcular el resultado del ejercicio. Seleccione el tipo de movimiento: Ingreso, Costo o Gasto, escriba una descripción y luego ingrese el monto. El archivo calcula automáticamente la utilidad o pérdida del período y la lleva al patrimonio dentro del Balance General.</t>
        </is>
      </c>
      <c r="J11" s="91" t="n"/>
      <c r="K11" s="91" t="n"/>
      <c r="L11" s="91" t="n"/>
      <c r="M11" s="92" t="n"/>
      <c r="N11" s="39" t="n"/>
      <c r="O11" s="39" t="n"/>
    </row>
    <row r="12" ht="21" customHeight="1" s="65">
      <c r="C12" s="16" t="inlineStr">
        <is>
          <t>Ingreso</t>
        </is>
      </c>
      <c r="D12" s="16" t="inlineStr">
        <is>
          <t>Otros ingresos</t>
        </is>
      </c>
      <c r="E12" s="16" t="inlineStr">
        <is>
          <t>Otros ingresos operacionales</t>
        </is>
      </c>
      <c r="F12" s="103" t="n">
        <v>500000</v>
      </c>
      <c r="G12" s="16" t="n"/>
      <c r="I12" s="96" t="n"/>
      <c r="M12" s="97" t="n"/>
      <c r="N12" s="39" t="n"/>
      <c r="O12" s="39" t="n"/>
    </row>
    <row r="13" ht="21" customHeight="1" s="65">
      <c r="C13" s="16" t="inlineStr">
        <is>
          <t>Costo</t>
        </is>
      </c>
      <c r="D13" s="16" t="inlineStr">
        <is>
          <t>Costo de ventas</t>
        </is>
      </c>
      <c r="E13" s="16" t="inlineStr">
        <is>
          <t>Costo directo de productos o servicios vendidos</t>
        </is>
      </c>
      <c r="F13" s="103" t="n">
        <v>6200000</v>
      </c>
      <c r="G13" s="16" t="n"/>
      <c r="I13" s="96" t="n"/>
      <c r="M13" s="97" t="n"/>
      <c r="N13" s="39" t="n"/>
      <c r="O13" s="39" t="n"/>
    </row>
    <row r="14" ht="21" customHeight="1" s="65">
      <c r="C14" s="16" t="inlineStr">
        <is>
          <t>Gasto</t>
        </is>
      </c>
      <c r="D14" s="16" t="inlineStr">
        <is>
          <t>Gastos administrativos</t>
        </is>
      </c>
      <c r="E14" s="16" t="inlineStr">
        <is>
          <t>Gastos generales del negocio</t>
        </is>
      </c>
      <c r="F14" s="103" t="n">
        <v>2100000</v>
      </c>
      <c r="G14" s="16" t="n"/>
      <c r="I14" s="96" t="n"/>
      <c r="M14" s="97" t="n"/>
      <c r="N14" s="39" t="n"/>
      <c r="O14" s="39" t="n"/>
    </row>
    <row r="15" ht="21" customHeight="1" s="65">
      <c r="C15" s="16" t="inlineStr">
        <is>
          <t>Gasto</t>
        </is>
      </c>
      <c r="D15" s="16" t="inlineStr">
        <is>
          <t>Gastos financieros</t>
        </is>
      </c>
      <c r="E15" s="16" t="inlineStr">
        <is>
          <t>Intereses o cargos bancarios</t>
        </is>
      </c>
      <c r="F15" s="103" t="n">
        <v>300000</v>
      </c>
      <c r="G15" s="16" t="n"/>
      <c r="I15" s="96" t="n"/>
      <c r="M15" s="97" t="n"/>
      <c r="N15" s="39" t="n"/>
      <c r="O15" s="39" t="n"/>
    </row>
    <row r="16" ht="21" customHeight="1" s="65">
      <c r="C16" s="16" t="n"/>
      <c r="D16" s="16" t="n"/>
      <c r="E16" s="16" t="n"/>
      <c r="F16" s="103" t="n"/>
      <c r="G16" s="16" t="n"/>
      <c r="I16" s="96" t="n"/>
      <c r="M16" s="97" t="n"/>
      <c r="N16" s="39" t="n"/>
      <c r="O16" s="39" t="n"/>
    </row>
    <row r="17" ht="21" customHeight="1" s="65">
      <c r="C17" s="16" t="n"/>
      <c r="D17" s="16" t="n"/>
      <c r="E17" s="16" t="n"/>
      <c r="F17" s="103" t="n"/>
      <c r="G17" s="16" t="n"/>
      <c r="I17" s="93" t="n"/>
      <c r="J17" s="94" t="n"/>
      <c r="K17" s="94" t="n"/>
      <c r="L17" s="94" t="n"/>
      <c r="M17" s="95" t="n"/>
      <c r="N17" s="39" t="n"/>
      <c r="O17" s="39" t="n"/>
    </row>
    <row r="18" ht="21" customHeight="1" s="65">
      <c r="C18" s="16" t="n"/>
      <c r="D18" s="16" t="n"/>
      <c r="E18" s="16" t="n"/>
      <c r="F18" s="103" t="n"/>
      <c r="G18" s="16" t="n"/>
      <c r="I18" s="39" t="n"/>
      <c r="J18" s="39" t="n"/>
      <c r="K18" s="39" t="n"/>
      <c r="L18" s="39" t="n"/>
      <c r="M18" s="39" t="n"/>
      <c r="N18" s="39" t="n"/>
      <c r="O18" s="39" t="n"/>
    </row>
    <row r="19" ht="21" customHeight="1" s="65">
      <c r="C19" s="16" t="n"/>
      <c r="D19" s="16" t="n"/>
      <c r="E19" s="16" t="n"/>
      <c r="F19" s="103" t="n"/>
      <c r="G19" s="16" t="n"/>
      <c r="I19" s="73" t="inlineStr">
        <is>
          <t>Ejemplos de ingresos: ventas, servicios prestados.</t>
        </is>
      </c>
      <c r="J19" s="89" t="n"/>
      <c r="K19" s="89" t="n"/>
      <c r="L19" s="89" t="n"/>
      <c r="M19" s="89" t="n"/>
      <c r="N19" s="89" t="n"/>
      <c r="O19" s="90" t="n"/>
    </row>
    <row r="20" ht="21" customHeight="1" s="65">
      <c r="C20" s="16" t="n"/>
      <c r="D20" s="16" t="n"/>
      <c r="E20" s="16" t="n"/>
      <c r="F20" s="103" t="n"/>
      <c r="G20" s="16" t="n"/>
      <c r="I20" s="70" t="inlineStr">
        <is>
          <t>Ejemplos de costos: costo de mercadería, materias primas.</t>
        </is>
      </c>
      <c r="J20" s="89" t="n"/>
      <c r="K20" s="89" t="n"/>
      <c r="L20" s="89" t="n"/>
      <c r="M20" s="89" t="n"/>
      <c r="N20" s="89" t="n"/>
      <c r="O20" s="90" t="n"/>
    </row>
    <row r="21" ht="21" customHeight="1" s="65">
      <c r="C21" s="16" t="n"/>
      <c r="D21" s="16" t="n"/>
      <c r="E21" s="16" t="n"/>
      <c r="F21" s="103" t="n"/>
      <c r="G21" s="16" t="n"/>
      <c r="I21" s="70" t="inlineStr">
        <is>
          <t>Ejemplos de gastos: arriendo, sueldos, luz, agua, internet, publicidad.</t>
        </is>
      </c>
      <c r="J21" s="89" t="n"/>
      <c r="K21" s="89" t="n"/>
      <c r="L21" s="89" t="n"/>
      <c r="M21" s="89" t="n"/>
      <c r="N21" s="89" t="n"/>
      <c r="O21" s="90" t="n"/>
    </row>
    <row r="22" ht="21" customHeight="1" s="65">
      <c r="C22" s="16" t="n"/>
      <c r="D22" s="16" t="n"/>
      <c r="E22" s="16" t="n"/>
      <c r="F22" s="103" t="n"/>
      <c r="G22" s="16" t="n"/>
      <c r="I22" s="39" t="n"/>
      <c r="J22" s="39" t="n"/>
      <c r="K22" s="39" t="n"/>
      <c r="L22" s="39" t="n"/>
      <c r="M22" s="39" t="n"/>
      <c r="N22" s="39" t="n"/>
      <c r="O22" s="39" t="n"/>
    </row>
    <row r="23" ht="21" customHeight="1" s="65">
      <c r="C23" s="16" t="n"/>
      <c r="D23" s="16" t="n"/>
      <c r="E23" s="16" t="n"/>
      <c r="F23" s="103" t="n"/>
      <c r="G23" s="16" t="n"/>
      <c r="I23" s="39" t="n"/>
      <c r="J23" s="39" t="n"/>
      <c r="K23" s="39" t="n"/>
      <c r="L23" s="39" t="n"/>
      <c r="M23" s="39" t="n"/>
      <c r="N23" s="39" t="n"/>
      <c r="O23" s="39" t="n"/>
    </row>
    <row r="24" ht="21" customHeight="1" s="65">
      <c r="C24" s="16" t="n"/>
      <c r="D24" s="16" t="n"/>
      <c r="E24" s="16" t="n"/>
      <c r="F24" s="103" t="n"/>
      <c r="G24" s="16" t="n"/>
      <c r="I24" s="39" t="n"/>
      <c r="J24" s="39" t="n"/>
      <c r="K24" s="39" t="n"/>
      <c r="L24" s="39" t="n"/>
      <c r="M24" s="39" t="n"/>
      <c r="N24" s="39" t="n"/>
      <c r="O24" s="39" t="n"/>
    </row>
    <row r="25" ht="21" customHeight="1" s="65">
      <c r="C25" s="16" t="n"/>
      <c r="D25" s="16" t="n"/>
      <c r="E25" s="16" t="n"/>
      <c r="F25" s="103" t="n"/>
      <c r="G25" s="16" t="n"/>
      <c r="I25" s="39" t="n"/>
      <c r="J25" s="39" t="n"/>
      <c r="K25" s="39" t="n"/>
      <c r="L25" s="39" t="n"/>
      <c r="M25" s="39" t="n"/>
      <c r="N25" s="39" t="n"/>
      <c r="O25" s="39" t="n"/>
    </row>
    <row r="26" ht="21" customHeight="1" s="65">
      <c r="C26" s="16" t="n"/>
      <c r="D26" s="16" t="n"/>
      <c r="E26" s="16" t="n"/>
      <c r="F26" s="103" t="n"/>
      <c r="G26" s="16" t="n"/>
      <c r="I26" s="39" t="n"/>
      <c r="J26" s="39" t="n"/>
      <c r="K26" s="39" t="n"/>
      <c r="L26" s="39" t="n"/>
      <c r="M26" s="39" t="n"/>
      <c r="N26" s="39" t="n"/>
      <c r="O26" s="39" t="n"/>
    </row>
    <row r="27" ht="21" customHeight="1" s="65">
      <c r="C27" s="16" t="n"/>
      <c r="D27" s="16" t="n"/>
      <c r="E27" s="16" t="n"/>
      <c r="F27" s="103" t="n"/>
      <c r="G27" s="16" t="n"/>
      <c r="I27" s="39" t="n"/>
      <c r="J27" s="39" t="n"/>
      <c r="K27" s="39" t="n"/>
      <c r="L27" s="39" t="n"/>
      <c r="M27" s="39" t="n"/>
      <c r="N27" s="39" t="n"/>
      <c r="O27" s="39" t="n"/>
    </row>
    <row r="28" ht="21" customHeight="1" s="65">
      <c r="C28" s="16" t="n"/>
      <c r="D28" s="16" t="n"/>
      <c r="E28" s="16" t="n"/>
      <c r="F28" s="103" t="n"/>
      <c r="G28" s="16" t="n"/>
      <c r="I28" s="39" t="n"/>
      <c r="J28" s="39" t="n"/>
      <c r="K28" s="39" t="n"/>
      <c r="L28" s="39" t="n"/>
      <c r="M28" s="39" t="n"/>
      <c r="N28" s="39" t="n"/>
      <c r="O28" s="39" t="n"/>
    </row>
    <row r="29" ht="21" customHeight="1" s="65">
      <c r="C29" s="16" t="n"/>
      <c r="D29" s="16" t="n"/>
      <c r="E29" s="16" t="n"/>
      <c r="F29" s="103" t="n"/>
      <c r="G29" s="16" t="n"/>
      <c r="I29" s="39" t="n"/>
      <c r="J29" s="39" t="n"/>
      <c r="K29" s="39" t="n"/>
      <c r="L29" s="39" t="n"/>
      <c r="M29" s="39" t="n"/>
      <c r="N29" s="39" t="n"/>
      <c r="O29" s="39" t="n"/>
    </row>
    <row r="30" ht="21" customHeight="1" s="65">
      <c r="C30" s="16" t="n"/>
      <c r="D30" s="16" t="n"/>
      <c r="E30" s="16" t="n"/>
      <c r="F30" s="103" t="n"/>
      <c r="G30" s="16" t="n"/>
      <c r="I30" s="39" t="n"/>
      <c r="J30" s="39" t="n"/>
      <c r="K30" s="39" t="n"/>
      <c r="L30" s="39" t="n"/>
      <c r="M30" s="39" t="n"/>
      <c r="N30" s="39" t="n"/>
      <c r="O30" s="39" t="n"/>
    </row>
    <row r="31" ht="21" customHeight="1" s="65">
      <c r="C31" s="16" t="n"/>
      <c r="D31" s="16" t="n"/>
      <c r="E31" s="16" t="n"/>
      <c r="F31" s="103" t="n"/>
      <c r="G31" s="16" t="n"/>
      <c r="I31" s="39" t="n"/>
      <c r="J31" s="39" t="n"/>
      <c r="K31" s="39" t="n"/>
      <c r="L31" s="39" t="n"/>
      <c r="M31" s="39" t="n"/>
      <c r="N31" s="39" t="n"/>
      <c r="O31" s="39" t="n"/>
    </row>
    <row r="32" ht="21" customHeight="1" s="65">
      <c r="C32" s="16" t="n"/>
      <c r="D32" s="16" t="n"/>
      <c r="E32" s="16" t="n"/>
      <c r="F32" s="103" t="n"/>
      <c r="G32" s="16" t="n"/>
      <c r="I32" s="39" t="n"/>
      <c r="J32" s="39" t="n"/>
      <c r="K32" s="39" t="n"/>
      <c r="L32" s="39" t="n"/>
      <c r="M32" s="39" t="n"/>
      <c r="N32" s="39" t="n"/>
      <c r="O32" s="39" t="n"/>
    </row>
    <row r="33" ht="21" customHeight="1" s="65">
      <c r="C33" s="16" t="n"/>
      <c r="D33" s="16" t="n"/>
      <c r="E33" s="16" t="n"/>
      <c r="F33" s="103" t="n"/>
      <c r="G33" s="16" t="n"/>
      <c r="I33" s="39" t="n"/>
      <c r="J33" s="39" t="n"/>
      <c r="K33" s="39" t="n"/>
      <c r="L33" s="39" t="n"/>
      <c r="M33" s="39" t="n"/>
      <c r="N33" s="39" t="n"/>
      <c r="O33" s="39" t="n"/>
    </row>
    <row r="34" ht="21" customHeight="1" s="65">
      <c r="C34" s="16" t="n"/>
      <c r="D34" s="16" t="n"/>
      <c r="E34" s="16" t="n"/>
      <c r="F34" s="103" t="n"/>
      <c r="G34" s="16" t="n"/>
      <c r="I34" s="39" t="n"/>
      <c r="J34" s="39" t="n"/>
      <c r="K34" s="39" t="n"/>
      <c r="L34" s="39" t="n"/>
      <c r="M34" s="39" t="n"/>
      <c r="N34" s="39" t="n"/>
      <c r="O34" s="39" t="n"/>
    </row>
    <row r="35" ht="21" customHeight="1" s="65">
      <c r="C35" s="16" t="n"/>
      <c r="D35" s="16" t="n"/>
      <c r="E35" s="16" t="n"/>
      <c r="F35" s="103" t="n"/>
      <c r="G35" s="16" t="n"/>
      <c r="I35" s="39" t="n"/>
      <c r="J35" s="39" t="n"/>
      <c r="K35" s="39" t="n"/>
      <c r="L35" s="39" t="n"/>
      <c r="M35" s="39" t="n"/>
      <c r="N35" s="39" t="n"/>
      <c r="O35" s="39" t="n"/>
    </row>
    <row r="36" ht="21" customHeight="1" s="65">
      <c r="C36" s="16" t="n"/>
      <c r="D36" s="16" t="n"/>
      <c r="E36" s="16" t="n"/>
      <c r="F36" s="103" t="n"/>
      <c r="G36" s="16" t="n"/>
      <c r="I36" s="39" t="n"/>
      <c r="J36" s="39" t="n"/>
      <c r="K36" s="39" t="n"/>
      <c r="L36" s="39" t="n"/>
      <c r="M36" s="39" t="n"/>
      <c r="N36" s="39" t="n"/>
      <c r="O36" s="39" t="n"/>
    </row>
    <row r="37" ht="21" customHeight="1" s="65">
      <c r="C37" s="16" t="n"/>
      <c r="D37" s="16" t="n"/>
      <c r="E37" s="16" t="n"/>
      <c r="F37" s="103" t="n"/>
      <c r="G37" s="16" t="n"/>
      <c r="I37" s="39" t="n"/>
      <c r="J37" s="39" t="n"/>
      <c r="K37" s="39" t="n"/>
      <c r="L37" s="39" t="n"/>
      <c r="M37" s="39" t="n"/>
      <c r="N37" s="39" t="n"/>
      <c r="O37" s="39" t="n"/>
    </row>
    <row r="38" ht="21" customHeight="1" s="65">
      <c r="C38" s="16" t="n"/>
      <c r="D38" s="16" t="n"/>
      <c r="E38" s="16" t="n"/>
      <c r="F38" s="103" t="n"/>
      <c r="G38" s="16" t="n"/>
      <c r="I38" s="39" t="n"/>
      <c r="J38" s="39" t="n"/>
      <c r="K38" s="39" t="n"/>
      <c r="L38" s="39" t="n"/>
      <c r="M38" s="39" t="n"/>
      <c r="N38" s="39" t="n"/>
      <c r="O38" s="39" t="n"/>
    </row>
    <row r="39" ht="21" customHeight="1" s="65">
      <c r="C39" s="16" t="n"/>
      <c r="D39" s="16" t="n"/>
      <c r="E39" s="16" t="n"/>
      <c r="F39" s="103" t="n"/>
      <c r="G39" s="16" t="n"/>
      <c r="I39" s="39" t="n"/>
      <c r="J39" s="39" t="n"/>
      <c r="K39" s="39" t="n"/>
      <c r="L39" s="39" t="n"/>
      <c r="M39" s="39" t="n"/>
      <c r="N39" s="39" t="n"/>
      <c r="O39" s="39" t="n"/>
    </row>
    <row r="40" ht="21" customHeight="1" s="65">
      <c r="C40" s="16" t="n"/>
      <c r="D40" s="16" t="n"/>
      <c r="E40" s="16" t="n"/>
      <c r="F40" s="103" t="n"/>
      <c r="G40" s="16" t="n"/>
      <c r="I40" s="39" t="n"/>
      <c r="J40" s="39" t="n"/>
      <c r="K40" s="39" t="n"/>
      <c r="L40" s="39" t="n"/>
      <c r="M40" s="39" t="n"/>
      <c r="N40" s="39" t="n"/>
      <c r="O40" s="39" t="n"/>
    </row>
    <row r="41" ht="21" customHeight="1" s="65">
      <c r="C41" s="16" t="n"/>
      <c r="D41" s="16" t="n"/>
      <c r="E41" s="16" t="n"/>
      <c r="F41" s="103" t="n"/>
      <c r="G41" s="16" t="n"/>
      <c r="I41" s="39" t="n"/>
      <c r="J41" s="39" t="n"/>
      <c r="K41" s="39" t="n"/>
      <c r="L41" s="39" t="n"/>
      <c r="M41" s="39" t="n"/>
      <c r="N41" s="39" t="n"/>
      <c r="O41" s="39" t="n"/>
    </row>
    <row r="42" ht="21" customHeight="1" s="65">
      <c r="C42" s="16" t="n"/>
      <c r="D42" s="16" t="n"/>
      <c r="E42" s="16" t="n"/>
      <c r="F42" s="103" t="n"/>
      <c r="G42" s="16" t="n"/>
      <c r="I42" s="39" t="n"/>
      <c r="J42" s="39" t="n"/>
      <c r="K42" s="39" t="n"/>
      <c r="L42" s="39" t="n"/>
      <c r="M42" s="39" t="n"/>
      <c r="N42" s="39" t="n"/>
      <c r="O42" s="39" t="n"/>
    </row>
    <row r="43" ht="21" customHeight="1" s="65">
      <c r="C43" s="16" t="n"/>
      <c r="D43" s="16" t="n"/>
      <c r="E43" s="16" t="n"/>
      <c r="F43" s="103" t="n"/>
      <c r="G43" s="16" t="n"/>
      <c r="I43" s="39" t="n"/>
      <c r="J43" s="39" t="n"/>
      <c r="K43" s="39" t="n"/>
      <c r="L43" s="39" t="n"/>
      <c r="M43" s="39" t="n"/>
      <c r="N43" s="39" t="n"/>
      <c r="O43" s="39" t="n"/>
    </row>
    <row r="44" ht="21" customHeight="1" s="65">
      <c r="C44" s="16" t="n"/>
      <c r="D44" s="16" t="n"/>
      <c r="E44" s="16" t="n"/>
      <c r="F44" s="103" t="n"/>
      <c r="G44" s="16" t="n"/>
      <c r="I44" s="39" t="n"/>
      <c r="J44" s="39" t="n"/>
      <c r="K44" s="39" t="n"/>
      <c r="L44" s="39" t="n"/>
      <c r="M44" s="39" t="n"/>
      <c r="N44" s="39" t="n"/>
      <c r="O44" s="39" t="n"/>
    </row>
    <row r="45" ht="21" customHeight="1" s="65">
      <c r="C45" s="16" t="n"/>
      <c r="D45" s="16" t="n"/>
      <c r="E45" s="16" t="n"/>
      <c r="F45" s="103" t="n"/>
      <c r="G45" s="16" t="n"/>
      <c r="I45" s="39" t="n"/>
      <c r="J45" s="39" t="n"/>
      <c r="K45" s="39" t="n"/>
      <c r="L45" s="39" t="n"/>
      <c r="M45" s="39" t="n"/>
      <c r="N45" s="39" t="n"/>
      <c r="O45" s="39" t="n"/>
    </row>
    <row r="46" ht="21" customHeight="1" s="65">
      <c r="C46" s="16" t="n"/>
      <c r="D46" s="16" t="n"/>
      <c r="E46" s="16" t="n"/>
      <c r="F46" s="103" t="n"/>
      <c r="G46" s="16" t="n"/>
      <c r="I46" s="39" t="n"/>
      <c r="J46" s="39" t="n"/>
      <c r="K46" s="39" t="n"/>
      <c r="L46" s="39" t="n"/>
      <c r="M46" s="39" t="n"/>
      <c r="N46" s="39" t="n"/>
      <c r="O46" s="39" t="n"/>
    </row>
    <row r="47" ht="21" customHeight="1" s="65">
      <c r="C47" s="16" t="n"/>
      <c r="D47" s="16" t="n"/>
      <c r="E47" s="16" t="n"/>
      <c r="F47" s="103" t="n"/>
      <c r="G47" s="16" t="n"/>
      <c r="I47" s="39" t="n"/>
      <c r="J47" s="39" t="n"/>
      <c r="K47" s="39" t="n"/>
      <c r="L47" s="39" t="n"/>
      <c r="M47" s="39" t="n"/>
      <c r="N47" s="39" t="n"/>
      <c r="O47" s="39" t="n"/>
    </row>
    <row r="48" ht="21" customHeight="1" s="65">
      <c r="C48" s="16" t="n"/>
      <c r="D48" s="16" t="n"/>
      <c r="E48" s="16" t="n"/>
      <c r="F48" s="103" t="n"/>
      <c r="G48" s="16" t="n"/>
      <c r="I48" s="39" t="n"/>
      <c r="J48" s="39" t="n"/>
      <c r="K48" s="39" t="n"/>
      <c r="L48" s="39" t="n"/>
      <c r="M48" s="39" t="n"/>
      <c r="N48" s="39" t="n"/>
      <c r="O48" s="39" t="n"/>
    </row>
    <row r="49" ht="21" customHeight="1" s="65">
      <c r="C49" s="16" t="n"/>
      <c r="D49" s="16" t="n"/>
      <c r="E49" s="16" t="n"/>
      <c r="F49" s="103" t="n"/>
      <c r="G49" s="16" t="n"/>
      <c r="I49" s="39" t="n"/>
      <c r="J49" s="39" t="n"/>
      <c r="K49" s="39" t="n"/>
      <c r="L49" s="39" t="n"/>
      <c r="M49" s="39" t="n"/>
      <c r="N49" s="39" t="n"/>
      <c r="O49" s="39" t="n"/>
    </row>
    <row r="50" ht="21" customHeight="1" s="65">
      <c r="C50" s="16" t="n"/>
      <c r="D50" s="16" t="n"/>
      <c r="E50" s="16" t="n"/>
      <c r="F50" s="103" t="n"/>
      <c r="G50" s="16" t="n"/>
      <c r="I50" s="39" t="n"/>
      <c r="J50" s="39" t="n"/>
      <c r="K50" s="39" t="n"/>
      <c r="L50" s="39" t="n"/>
      <c r="M50" s="39" t="n"/>
      <c r="N50" s="39" t="n"/>
      <c r="O50" s="39" t="n"/>
    </row>
    <row r="51" ht="21" customHeight="1" s="65">
      <c r="C51" s="16" t="n"/>
      <c r="D51" s="16" t="n"/>
      <c r="E51" s="16" t="n"/>
      <c r="F51" s="103" t="n"/>
      <c r="G51" s="16" t="n"/>
      <c r="I51" s="39" t="n"/>
      <c r="J51" s="39" t="n"/>
      <c r="K51" s="39" t="n"/>
      <c r="L51" s="39" t="n"/>
      <c r="M51" s="39" t="n"/>
      <c r="N51" s="39" t="n"/>
      <c r="O51" s="39" t="n"/>
    </row>
    <row r="52" ht="21" customHeight="1" s="65">
      <c r="C52" s="16" t="n"/>
      <c r="D52" s="16" t="n"/>
      <c r="E52" s="16" t="n"/>
      <c r="F52" s="103" t="n"/>
      <c r="G52" s="16" t="n"/>
      <c r="I52" s="39" t="n"/>
      <c r="J52" s="39" t="n"/>
      <c r="K52" s="39" t="n"/>
      <c r="L52" s="39" t="n"/>
      <c r="M52" s="39" t="n"/>
      <c r="N52" s="39" t="n"/>
      <c r="O52" s="39" t="n"/>
    </row>
    <row r="53" ht="21" customHeight="1" s="65">
      <c r="C53" s="16" t="n"/>
      <c r="D53" s="16" t="n"/>
      <c r="E53" s="16" t="n"/>
      <c r="F53" s="103" t="n"/>
      <c r="G53" s="16" t="n"/>
      <c r="I53" s="39" t="n"/>
      <c r="J53" s="39" t="n"/>
      <c r="K53" s="39" t="n"/>
      <c r="L53" s="39" t="n"/>
      <c r="M53" s="39" t="n"/>
      <c r="N53" s="39" t="n"/>
      <c r="O53" s="39" t="n"/>
    </row>
    <row r="54" ht="21" customHeight="1" s="65">
      <c r="C54" s="16" t="n"/>
      <c r="D54" s="16" t="n"/>
      <c r="E54" s="16" t="n"/>
      <c r="F54" s="103" t="n"/>
      <c r="G54" s="16" t="n"/>
      <c r="I54" s="39" t="n"/>
      <c r="J54" s="39" t="n"/>
      <c r="K54" s="39" t="n"/>
      <c r="L54" s="39" t="n"/>
      <c r="M54" s="39" t="n"/>
      <c r="N54" s="39" t="n"/>
      <c r="O54" s="39" t="n"/>
    </row>
    <row r="55" ht="21" customHeight="1" s="65">
      <c r="C55" s="16" t="n"/>
      <c r="D55" s="16" t="n"/>
      <c r="E55" s="16" t="n"/>
      <c r="F55" s="103" t="n"/>
      <c r="G55" s="16" t="n"/>
      <c r="I55" s="39" t="n"/>
      <c r="J55" s="39" t="n"/>
      <c r="K55" s="39" t="n"/>
      <c r="L55" s="39" t="n"/>
      <c r="M55" s="39" t="n"/>
      <c r="N55" s="39" t="n"/>
      <c r="O55" s="39" t="n"/>
    </row>
    <row r="56" ht="21" customHeight="1" s="65">
      <c r="C56" s="16" t="n"/>
      <c r="D56" s="16" t="n"/>
      <c r="E56" s="16" t="n"/>
      <c r="F56" s="103" t="n"/>
      <c r="G56" s="16" t="n"/>
      <c r="I56" s="39" t="n"/>
      <c r="J56" s="39" t="n"/>
      <c r="K56" s="39" t="n"/>
      <c r="L56" s="39" t="n"/>
      <c r="M56" s="39" t="n"/>
      <c r="N56" s="39" t="n"/>
      <c r="O56" s="39" t="n"/>
    </row>
    <row r="57" ht="21" customHeight="1" s="65">
      <c r="C57" s="16" t="n"/>
      <c r="D57" s="16" t="n"/>
      <c r="E57" s="16" t="n"/>
      <c r="F57" s="103" t="n"/>
      <c r="G57" s="16" t="n"/>
      <c r="I57" s="39" t="n"/>
      <c r="J57" s="39" t="n"/>
      <c r="K57" s="39" t="n"/>
      <c r="L57" s="39" t="n"/>
      <c r="M57" s="39" t="n"/>
      <c r="N57" s="39" t="n"/>
      <c r="O57" s="39" t="n"/>
    </row>
    <row r="58" ht="21" customHeight="1" s="65">
      <c r="C58" s="16" t="n"/>
      <c r="D58" s="16" t="n"/>
      <c r="E58" s="16" t="n"/>
      <c r="F58" s="103" t="n"/>
      <c r="G58" s="16" t="n"/>
      <c r="I58" s="39" t="n"/>
      <c r="J58" s="39" t="n"/>
      <c r="K58" s="39" t="n"/>
      <c r="L58" s="39" t="n"/>
      <c r="M58" s="39" t="n"/>
      <c r="N58" s="39" t="n"/>
      <c r="O58" s="39" t="n"/>
    </row>
    <row r="59" ht="21" customHeight="1" s="65">
      <c r="C59" s="16" t="n"/>
      <c r="D59" s="16" t="n"/>
      <c r="E59" s="16" t="n"/>
      <c r="F59" s="103" t="n"/>
      <c r="G59" s="16" t="n"/>
      <c r="I59" s="39" t="n"/>
      <c r="J59" s="39" t="n"/>
      <c r="K59" s="39" t="n"/>
      <c r="L59" s="39" t="n"/>
      <c r="M59" s="39" t="n"/>
      <c r="N59" s="39" t="n"/>
      <c r="O59" s="39" t="n"/>
    </row>
    <row r="60" ht="21" customHeight="1" s="65">
      <c r="C60" s="16" t="n"/>
      <c r="D60" s="16" t="n"/>
      <c r="E60" s="16" t="n"/>
      <c r="F60" s="103" t="n"/>
      <c r="G60" s="16" t="n"/>
      <c r="I60" s="39" t="n"/>
      <c r="J60" s="39" t="n"/>
      <c r="K60" s="39" t="n"/>
      <c r="L60" s="39" t="n"/>
      <c r="M60" s="39" t="n"/>
      <c r="N60" s="39" t="n"/>
      <c r="O60" s="39" t="n"/>
    </row>
    <row r="61" ht="21" customHeight="1" s="65">
      <c r="C61" s="16" t="n"/>
      <c r="D61" s="16" t="n"/>
      <c r="E61" s="16" t="n"/>
      <c r="F61" s="103" t="n"/>
      <c r="G61" s="16" t="n"/>
      <c r="I61" s="39" t="n"/>
      <c r="J61" s="39" t="n"/>
      <c r="K61" s="39" t="n"/>
      <c r="L61" s="39" t="n"/>
      <c r="M61" s="39" t="n"/>
      <c r="N61" s="39" t="n"/>
      <c r="O61" s="39" t="n"/>
    </row>
    <row r="62" ht="21" customHeight="1" s="65">
      <c r="C62" s="16" t="n"/>
      <c r="D62" s="16" t="n"/>
      <c r="E62" s="16" t="n"/>
      <c r="F62" s="103" t="n"/>
      <c r="G62" s="16" t="n"/>
      <c r="I62" s="39" t="n"/>
      <c r="J62" s="39" t="n"/>
      <c r="K62" s="39" t="n"/>
      <c r="L62" s="39" t="n"/>
      <c r="M62" s="39" t="n"/>
      <c r="N62" s="39" t="n"/>
      <c r="O62" s="39" t="n"/>
    </row>
    <row r="63" ht="21" customHeight="1" s="65">
      <c r="C63" s="16" t="n"/>
      <c r="D63" s="16" t="n"/>
      <c r="E63" s="16" t="n"/>
      <c r="F63" s="103" t="n"/>
      <c r="G63" s="16" t="n"/>
      <c r="I63" s="39" t="n"/>
      <c r="J63" s="39" t="n"/>
      <c r="K63" s="39" t="n"/>
      <c r="L63" s="39" t="n"/>
      <c r="M63" s="39" t="n"/>
      <c r="N63" s="39" t="n"/>
      <c r="O63" s="39" t="n"/>
    </row>
    <row r="64" ht="21" customHeight="1" s="65">
      <c r="C64" s="16" t="n"/>
      <c r="D64" s="16" t="n"/>
      <c r="E64" s="16" t="n"/>
      <c r="F64" s="103" t="n"/>
      <c r="G64" s="16" t="n"/>
      <c r="I64" s="39" t="n"/>
      <c r="J64" s="39" t="n"/>
      <c r="K64" s="39" t="n"/>
      <c r="L64" s="39" t="n"/>
      <c r="M64" s="39" t="n"/>
      <c r="N64" s="39" t="n"/>
      <c r="O64" s="39" t="n"/>
    </row>
    <row r="65" ht="21" customHeight="1" s="65">
      <c r="C65" s="16" t="n"/>
      <c r="D65" s="16" t="n"/>
      <c r="E65" s="16" t="n"/>
      <c r="F65" s="103" t="n"/>
      <c r="G65" s="16" t="n"/>
      <c r="I65" s="39" t="n"/>
      <c r="J65" s="39" t="n"/>
      <c r="K65" s="39" t="n"/>
      <c r="L65" s="39" t="n"/>
      <c r="M65" s="39" t="n"/>
      <c r="N65" s="39" t="n"/>
      <c r="O65" s="39" t="n"/>
    </row>
    <row r="66" ht="21" customHeight="1" s="65">
      <c r="C66" s="16" t="n"/>
      <c r="D66" s="16" t="n"/>
      <c r="E66" s="16" t="n"/>
      <c r="F66" s="103" t="n"/>
      <c r="G66" s="16" t="n"/>
      <c r="I66" s="39" t="n"/>
      <c r="J66" s="39" t="n"/>
      <c r="K66" s="39" t="n"/>
      <c r="L66" s="39" t="n"/>
      <c r="M66" s="39" t="n"/>
      <c r="N66" s="39" t="n"/>
      <c r="O66" s="39" t="n"/>
    </row>
    <row r="67" ht="21" customHeight="1" s="65">
      <c r="C67" s="16" t="n"/>
      <c r="D67" s="16" t="n"/>
      <c r="E67" s="16" t="n"/>
      <c r="F67" s="103" t="n"/>
      <c r="G67" s="16" t="n"/>
      <c r="I67" s="39" t="n"/>
      <c r="J67" s="39" t="n"/>
      <c r="K67" s="39" t="n"/>
      <c r="L67" s="39" t="n"/>
      <c r="M67" s="39" t="n"/>
      <c r="N67" s="39" t="n"/>
      <c r="O67" s="39" t="n"/>
    </row>
    <row r="68" ht="21" customHeight="1" s="65">
      <c r="C68" s="16" t="n"/>
      <c r="D68" s="16" t="n"/>
      <c r="E68" s="16" t="n"/>
      <c r="F68" s="103" t="n"/>
      <c r="G68" s="16" t="n"/>
      <c r="I68" s="39" t="n"/>
      <c r="J68" s="39" t="n"/>
      <c r="K68" s="39" t="n"/>
      <c r="L68" s="39" t="n"/>
      <c r="M68" s="39" t="n"/>
      <c r="N68" s="39" t="n"/>
      <c r="O68" s="39" t="n"/>
    </row>
    <row r="69" ht="21" customHeight="1" s="65">
      <c r="C69" s="16" t="n"/>
      <c r="D69" s="16" t="n"/>
      <c r="E69" s="16" t="n"/>
      <c r="F69" s="103" t="n"/>
      <c r="G69" s="16" t="n"/>
      <c r="I69" s="39" t="n"/>
      <c r="J69" s="39" t="n"/>
      <c r="K69" s="39" t="n"/>
      <c r="L69" s="39" t="n"/>
      <c r="M69" s="39" t="n"/>
      <c r="N69" s="39" t="n"/>
      <c r="O69" s="39" t="n"/>
    </row>
    <row r="70" ht="21" customHeight="1" s="65">
      <c r="C70" s="16" t="n"/>
      <c r="D70" s="16" t="n"/>
      <c r="E70" s="16" t="n"/>
      <c r="F70" s="103" t="n"/>
      <c r="G70" s="16" t="n"/>
      <c r="I70" s="39" t="n"/>
      <c r="J70" s="39" t="n"/>
      <c r="K70" s="39" t="n"/>
      <c r="L70" s="39" t="n"/>
      <c r="M70" s="39" t="n"/>
      <c r="N70" s="39" t="n"/>
      <c r="O70" s="39" t="n"/>
    </row>
    <row r="71" ht="21" customHeight="1" s="65">
      <c r="C71" s="16" t="n"/>
      <c r="D71" s="16" t="n"/>
      <c r="E71" s="16" t="n"/>
      <c r="F71" s="103" t="n"/>
      <c r="G71" s="16" t="n"/>
      <c r="I71" s="39" t="n"/>
      <c r="J71" s="39" t="n"/>
      <c r="K71" s="39" t="n"/>
      <c r="L71" s="39" t="n"/>
      <c r="M71" s="39" t="n"/>
      <c r="N71" s="39" t="n"/>
      <c r="O71" s="39" t="n"/>
    </row>
    <row r="72" ht="21" customHeight="1" s="65">
      <c r="C72" s="16" t="n"/>
      <c r="D72" s="16" t="n"/>
      <c r="E72" s="16" t="n"/>
      <c r="F72" s="103" t="n"/>
      <c r="G72" s="16" t="n"/>
      <c r="I72" s="39" t="n"/>
      <c r="J72" s="39" t="n"/>
      <c r="K72" s="39" t="n"/>
      <c r="L72" s="39" t="n"/>
      <c r="M72" s="39" t="n"/>
      <c r="N72" s="39" t="n"/>
      <c r="O72" s="39" t="n"/>
    </row>
    <row r="73" ht="21" customHeight="1" s="65">
      <c r="C73" s="16" t="n"/>
      <c r="D73" s="16" t="n"/>
      <c r="E73" s="16" t="n"/>
      <c r="F73" s="103" t="n"/>
      <c r="G73" s="16" t="n"/>
      <c r="I73" s="39" t="n"/>
      <c r="J73" s="39" t="n"/>
      <c r="K73" s="39" t="n"/>
      <c r="L73" s="39" t="n"/>
      <c r="M73" s="39" t="n"/>
      <c r="N73" s="39" t="n"/>
      <c r="O73" s="39" t="n"/>
    </row>
    <row r="74" ht="21" customHeight="1" s="65">
      <c r="C74" s="16" t="n"/>
      <c r="D74" s="16" t="n"/>
      <c r="E74" s="16" t="n"/>
      <c r="F74" s="103" t="n"/>
      <c r="G74" s="16" t="n"/>
      <c r="I74" s="39" t="n"/>
      <c r="J74" s="39" t="n"/>
      <c r="K74" s="39" t="n"/>
      <c r="L74" s="39" t="n"/>
      <c r="M74" s="39" t="n"/>
      <c r="N74" s="39" t="n"/>
      <c r="O74" s="39" t="n"/>
    </row>
    <row r="75" ht="21" customHeight="1" s="65">
      <c r="C75" s="16" t="n"/>
      <c r="D75" s="16" t="n"/>
      <c r="E75" s="16" t="n"/>
      <c r="F75" s="103" t="n"/>
      <c r="G75" s="16" t="n"/>
      <c r="I75" s="39" t="n"/>
      <c r="J75" s="39" t="n"/>
      <c r="K75" s="39" t="n"/>
      <c r="L75" s="39" t="n"/>
      <c r="M75" s="39" t="n"/>
      <c r="N75" s="39" t="n"/>
      <c r="O75" s="39" t="n"/>
    </row>
    <row r="76" ht="21" customHeight="1" s="65">
      <c r="C76" s="16" t="n"/>
      <c r="D76" s="16" t="n"/>
      <c r="E76" s="16" t="n"/>
      <c r="F76" s="103" t="n"/>
      <c r="G76" s="16" t="n"/>
      <c r="I76" s="39" t="n"/>
      <c r="J76" s="39" t="n"/>
      <c r="K76" s="39" t="n"/>
      <c r="L76" s="39" t="n"/>
      <c r="M76" s="39" t="n"/>
      <c r="N76" s="39" t="n"/>
      <c r="O76" s="39" t="n"/>
    </row>
    <row r="77" ht="21" customHeight="1" s="65">
      <c r="C77" s="16" t="n"/>
      <c r="D77" s="16" t="n"/>
      <c r="E77" s="16" t="n"/>
      <c r="F77" s="103" t="n"/>
      <c r="G77" s="16" t="n"/>
      <c r="I77" s="39" t="n"/>
      <c r="J77" s="39" t="n"/>
      <c r="K77" s="39" t="n"/>
      <c r="L77" s="39" t="n"/>
      <c r="M77" s="39" t="n"/>
      <c r="N77" s="39" t="n"/>
      <c r="O77" s="39" t="n"/>
    </row>
    <row r="78" ht="21" customHeight="1" s="65">
      <c r="C78" s="16" t="n"/>
      <c r="D78" s="16" t="n"/>
      <c r="E78" s="16" t="n"/>
      <c r="F78" s="103" t="n"/>
      <c r="G78" s="16" t="n"/>
      <c r="I78" s="39" t="n"/>
      <c r="J78" s="39" t="n"/>
      <c r="K78" s="39" t="n"/>
      <c r="L78" s="39" t="n"/>
      <c r="M78" s="39" t="n"/>
      <c r="N78" s="39" t="n"/>
      <c r="O78" s="39" t="n"/>
    </row>
    <row r="79" ht="21" customHeight="1" s="65">
      <c r="C79" s="16" t="n"/>
      <c r="D79" s="16" t="n"/>
      <c r="E79" s="16" t="n"/>
      <c r="F79" s="103" t="n"/>
      <c r="G79" s="16" t="n"/>
      <c r="I79" s="39" t="n"/>
      <c r="J79" s="39" t="n"/>
      <c r="K79" s="39" t="n"/>
      <c r="L79" s="39" t="n"/>
      <c r="M79" s="39" t="n"/>
      <c r="N79" s="39" t="n"/>
      <c r="O79" s="39" t="n"/>
    </row>
    <row r="80" ht="21" customHeight="1" s="65">
      <c r="C80" s="16" t="n"/>
      <c r="D80" s="16" t="n"/>
      <c r="E80" s="16" t="n"/>
      <c r="F80" s="103" t="n"/>
      <c r="G80" s="16" t="n"/>
      <c r="I80" s="39" t="n"/>
      <c r="J80" s="39" t="n"/>
      <c r="K80" s="39" t="n"/>
      <c r="L80" s="39" t="n"/>
      <c r="M80" s="39" t="n"/>
      <c r="N80" s="39" t="n"/>
      <c r="O80" s="39" t="n"/>
    </row>
    <row r="81" ht="21" customHeight="1" s="65">
      <c r="C81" s="16" t="n"/>
      <c r="D81" s="16" t="n"/>
      <c r="E81" s="16" t="n"/>
      <c r="F81" s="103" t="n"/>
      <c r="G81" s="16" t="n"/>
      <c r="I81" s="39" t="n"/>
      <c r="J81" s="39" t="n"/>
      <c r="K81" s="39" t="n"/>
      <c r="L81" s="39" t="n"/>
      <c r="M81" s="39" t="n"/>
      <c r="N81" s="39" t="n"/>
      <c r="O81" s="39" t="n"/>
    </row>
    <row r="82" ht="21" customHeight="1" s="65">
      <c r="C82" s="16" t="n"/>
      <c r="D82" s="16" t="n"/>
      <c r="E82" s="16" t="n"/>
      <c r="F82" s="103" t="n"/>
      <c r="G82" s="16" t="n"/>
      <c r="I82" s="39" t="n"/>
      <c r="J82" s="39" t="n"/>
      <c r="K82" s="39" t="n"/>
      <c r="L82" s="39" t="n"/>
      <c r="M82" s="39" t="n"/>
      <c r="N82" s="39" t="n"/>
      <c r="O82" s="39" t="n"/>
    </row>
    <row r="83" ht="21" customHeight="1" s="65">
      <c r="C83" s="16" t="n"/>
      <c r="D83" s="16" t="n"/>
      <c r="E83" s="16" t="n"/>
      <c r="F83" s="103" t="n"/>
      <c r="G83" s="16" t="n"/>
      <c r="I83" s="39" t="n"/>
      <c r="J83" s="39" t="n"/>
      <c r="K83" s="39" t="n"/>
      <c r="L83" s="39" t="n"/>
      <c r="M83" s="39" t="n"/>
      <c r="N83" s="39" t="n"/>
      <c r="O83" s="39" t="n"/>
    </row>
    <row r="84" ht="21" customHeight="1" s="65">
      <c r="C84" s="16" t="n"/>
      <c r="D84" s="16" t="n"/>
      <c r="E84" s="16" t="n"/>
      <c r="F84" s="103" t="n"/>
      <c r="G84" s="16" t="n"/>
      <c r="I84" s="39" t="n"/>
      <c r="J84" s="39" t="n"/>
      <c r="K84" s="39" t="n"/>
      <c r="L84" s="39" t="n"/>
      <c r="M84" s="39" t="n"/>
      <c r="N84" s="39" t="n"/>
      <c r="O84" s="39" t="n"/>
    </row>
    <row r="85" ht="21" customHeight="1" s="65">
      <c r="C85" s="16" t="n"/>
      <c r="D85" s="16" t="n"/>
      <c r="E85" s="16" t="n"/>
      <c r="F85" s="103" t="n"/>
      <c r="G85" s="16" t="n"/>
      <c r="I85" s="39" t="n"/>
      <c r="J85" s="39" t="n"/>
      <c r="K85" s="39" t="n"/>
      <c r="L85" s="39" t="n"/>
      <c r="M85" s="39" t="n"/>
      <c r="N85" s="39" t="n"/>
      <c r="O85" s="39" t="n"/>
    </row>
    <row r="86" ht="21" customHeight="1" s="65">
      <c r="C86" s="16" t="n"/>
      <c r="D86" s="16" t="n"/>
      <c r="E86" s="16" t="n"/>
      <c r="F86" s="103" t="n"/>
      <c r="G86" s="16" t="n"/>
      <c r="I86" s="39" t="n"/>
      <c r="J86" s="39" t="n"/>
      <c r="K86" s="39" t="n"/>
      <c r="L86" s="39" t="n"/>
      <c r="M86" s="39" t="n"/>
      <c r="N86" s="39" t="n"/>
      <c r="O86" s="39" t="n"/>
    </row>
    <row r="87" ht="21" customHeight="1" s="65">
      <c r="C87" s="16" t="n"/>
      <c r="D87" s="16" t="n"/>
      <c r="E87" s="16" t="n"/>
      <c r="F87" s="103" t="n"/>
      <c r="G87" s="16" t="n"/>
      <c r="I87" s="39" t="n"/>
      <c r="J87" s="39" t="n"/>
      <c r="K87" s="39" t="n"/>
      <c r="L87" s="39" t="n"/>
      <c r="M87" s="39" t="n"/>
      <c r="N87" s="39" t="n"/>
      <c r="O87" s="39" t="n"/>
    </row>
    <row r="88" ht="21" customHeight="1" s="65">
      <c r="C88" s="16" t="n"/>
      <c r="D88" s="16" t="n"/>
      <c r="E88" s="16" t="n"/>
      <c r="F88" s="103" t="n"/>
      <c r="G88" s="16" t="n"/>
      <c r="I88" s="39" t="n"/>
      <c r="J88" s="39" t="n"/>
      <c r="K88" s="39" t="n"/>
      <c r="L88" s="39" t="n"/>
      <c r="M88" s="39" t="n"/>
      <c r="N88" s="39" t="n"/>
      <c r="O88" s="39" t="n"/>
    </row>
    <row r="89" ht="21" customHeight="1" s="65">
      <c r="C89" s="16" t="n"/>
      <c r="D89" s="16" t="n"/>
      <c r="E89" s="16" t="n"/>
      <c r="F89" s="103" t="n"/>
      <c r="G89" s="16" t="n"/>
      <c r="I89" s="39" t="n"/>
      <c r="J89" s="39" t="n"/>
      <c r="K89" s="39" t="n"/>
      <c r="L89" s="39" t="n"/>
      <c r="M89" s="39" t="n"/>
      <c r="N89" s="39" t="n"/>
      <c r="O89" s="39" t="n"/>
    </row>
    <row r="90" ht="21" customHeight="1" s="65">
      <c r="C90" s="16" t="n"/>
      <c r="D90" s="16" t="n"/>
      <c r="E90" s="16" t="n"/>
      <c r="F90" s="103" t="n"/>
      <c r="G90" s="16" t="n"/>
      <c r="I90" s="39" t="n"/>
      <c r="J90" s="39" t="n"/>
      <c r="K90" s="39" t="n"/>
      <c r="L90" s="39" t="n"/>
      <c r="M90" s="39" t="n"/>
      <c r="N90" s="39" t="n"/>
      <c r="O90" s="39" t="n"/>
    </row>
    <row r="91" ht="21" customHeight="1" s="65">
      <c r="C91" s="16" t="n"/>
      <c r="D91" s="16" t="n"/>
      <c r="E91" s="16" t="n"/>
      <c r="F91" s="103" t="n"/>
      <c r="G91" s="16" t="n"/>
      <c r="I91" s="39" t="n"/>
      <c r="J91" s="39" t="n"/>
      <c r="K91" s="39" t="n"/>
      <c r="L91" s="39" t="n"/>
      <c r="M91" s="39" t="n"/>
      <c r="N91" s="39" t="n"/>
      <c r="O91" s="39" t="n"/>
    </row>
    <row r="92" ht="21" customHeight="1" s="65">
      <c r="C92" s="16" t="n"/>
      <c r="D92" s="16" t="n"/>
      <c r="E92" s="16" t="n"/>
      <c r="F92" s="103" t="n"/>
      <c r="G92" s="16" t="n"/>
      <c r="I92" s="39" t="n"/>
      <c r="J92" s="39" t="n"/>
      <c r="K92" s="39" t="n"/>
      <c r="L92" s="39" t="n"/>
      <c r="M92" s="39" t="n"/>
      <c r="N92" s="39" t="n"/>
      <c r="O92" s="39" t="n"/>
    </row>
    <row r="93" ht="21" customHeight="1" s="65">
      <c r="C93" s="16" t="n"/>
      <c r="D93" s="16" t="n"/>
      <c r="E93" s="16" t="n"/>
      <c r="F93" s="103" t="n"/>
      <c r="G93" s="16" t="n"/>
      <c r="I93" s="39" t="n"/>
      <c r="J93" s="39" t="n"/>
      <c r="K93" s="39" t="n"/>
      <c r="L93" s="39" t="n"/>
      <c r="M93" s="39" t="n"/>
      <c r="N93" s="39" t="n"/>
      <c r="O93" s="39" t="n"/>
    </row>
    <row r="94" ht="21" customHeight="1" s="65">
      <c r="C94" s="16" t="n"/>
      <c r="D94" s="16" t="n"/>
      <c r="E94" s="16" t="n"/>
      <c r="F94" s="103" t="n"/>
      <c r="G94" s="16" t="n"/>
      <c r="I94" s="39" t="n"/>
      <c r="J94" s="39" t="n"/>
      <c r="K94" s="39" t="n"/>
      <c r="L94" s="39" t="n"/>
      <c r="M94" s="39" t="n"/>
      <c r="N94" s="39" t="n"/>
      <c r="O94" s="39" t="n"/>
    </row>
    <row r="95" ht="21" customHeight="1" s="65">
      <c r="C95" s="16" t="n"/>
      <c r="D95" s="16" t="n"/>
      <c r="E95" s="16" t="n"/>
      <c r="F95" s="103" t="n"/>
      <c r="G95" s="16" t="n"/>
      <c r="I95" s="39" t="n"/>
      <c r="J95" s="39" t="n"/>
      <c r="K95" s="39" t="n"/>
      <c r="L95" s="39" t="n"/>
      <c r="M95" s="39" t="n"/>
      <c r="N95" s="39" t="n"/>
      <c r="O95" s="39" t="n"/>
    </row>
    <row r="96" ht="21" customHeight="1" s="65">
      <c r="C96" s="16" t="n"/>
      <c r="D96" s="16" t="n"/>
      <c r="E96" s="16" t="n"/>
      <c r="F96" s="103" t="n"/>
      <c r="G96" s="16" t="n"/>
      <c r="I96" s="39" t="n"/>
      <c r="J96" s="39" t="n"/>
      <c r="K96" s="39" t="n"/>
      <c r="L96" s="39" t="n"/>
      <c r="M96" s="39" t="n"/>
      <c r="N96" s="39" t="n"/>
      <c r="O96" s="39" t="n"/>
    </row>
    <row r="97" ht="21" customHeight="1" s="65">
      <c r="C97" s="16" t="n"/>
      <c r="D97" s="16" t="n"/>
      <c r="E97" s="16" t="n"/>
      <c r="F97" s="103" t="n"/>
      <c r="G97" s="16" t="n"/>
      <c r="I97" s="39" t="n"/>
      <c r="J97" s="39" t="n"/>
      <c r="K97" s="39" t="n"/>
      <c r="L97" s="39" t="n"/>
      <c r="M97" s="39" t="n"/>
      <c r="N97" s="39" t="n"/>
      <c r="O97" s="39" t="n"/>
    </row>
    <row r="98" ht="21" customHeight="1" s="65">
      <c r="C98" s="16" t="n"/>
      <c r="D98" s="16" t="n"/>
      <c r="E98" s="16" t="n"/>
      <c r="F98" s="103" t="n"/>
      <c r="G98" s="16" t="n"/>
      <c r="I98" s="39" t="n"/>
      <c r="J98" s="39" t="n"/>
      <c r="K98" s="39" t="n"/>
      <c r="L98" s="39" t="n"/>
      <c r="M98" s="39" t="n"/>
      <c r="N98" s="39" t="n"/>
      <c r="O98" s="39" t="n"/>
    </row>
    <row r="99" ht="21" customHeight="1" s="65">
      <c r="C99" s="16" t="n"/>
      <c r="D99" s="16" t="n"/>
      <c r="E99" s="16" t="n"/>
      <c r="F99" s="103" t="n"/>
      <c r="G99" s="16" t="n"/>
      <c r="I99" s="39" t="n"/>
      <c r="J99" s="39" t="n"/>
      <c r="K99" s="39" t="n"/>
      <c r="L99" s="39" t="n"/>
      <c r="M99" s="39" t="n"/>
      <c r="N99" s="39" t="n"/>
      <c r="O99" s="39" t="n"/>
    </row>
    <row r="100" ht="21" customHeight="1" s="65">
      <c r="C100" s="16" t="n"/>
      <c r="D100" s="16" t="n"/>
      <c r="E100" s="16" t="n"/>
      <c r="F100" s="103" t="n"/>
      <c r="G100" s="16" t="n"/>
      <c r="I100" s="39" t="n"/>
      <c r="J100" s="39" t="n"/>
      <c r="K100" s="39" t="n"/>
      <c r="L100" s="39" t="n"/>
      <c r="M100" s="39" t="n"/>
      <c r="N100" s="39" t="n"/>
      <c r="O100" s="39" t="n"/>
    </row>
    <row r="101" ht="21" customHeight="1" s="65">
      <c r="C101" s="16" t="n"/>
      <c r="D101" s="16" t="n"/>
      <c r="E101" s="16" t="n"/>
      <c r="F101" s="103" t="n"/>
      <c r="G101" s="16" t="n"/>
      <c r="I101" s="39" t="n"/>
      <c r="J101" s="39" t="n"/>
      <c r="K101" s="39" t="n"/>
      <c r="L101" s="39" t="n"/>
      <c r="M101" s="39" t="n"/>
      <c r="N101" s="39" t="n"/>
      <c r="O101" s="39" t="n"/>
    </row>
    <row r="102" ht="21" customHeight="1" s="65">
      <c r="C102" s="16" t="n"/>
      <c r="D102" s="16" t="n"/>
      <c r="E102" s="16" t="n"/>
      <c r="F102" s="103" t="n"/>
      <c r="G102" s="16" t="n"/>
      <c r="I102" s="39" t="n"/>
      <c r="J102" s="39" t="n"/>
      <c r="K102" s="39" t="n"/>
      <c r="L102" s="39" t="n"/>
      <c r="M102" s="39" t="n"/>
      <c r="N102" s="39" t="n"/>
      <c r="O102" s="39" t="n"/>
    </row>
    <row r="103" ht="21" customHeight="1" s="65">
      <c r="C103" s="16" t="n"/>
      <c r="D103" s="16" t="n"/>
      <c r="E103" s="16" t="n"/>
      <c r="F103" s="103" t="n"/>
      <c r="G103" s="16" t="n"/>
      <c r="I103" s="39" t="n"/>
      <c r="J103" s="39" t="n"/>
      <c r="K103" s="39" t="n"/>
      <c r="L103" s="39" t="n"/>
      <c r="M103" s="39" t="n"/>
      <c r="N103" s="39" t="n"/>
      <c r="O103" s="39" t="n"/>
    </row>
    <row r="104" ht="21" customHeight="1" s="65">
      <c r="C104" s="16" t="n"/>
      <c r="D104" s="16" t="n"/>
      <c r="E104" s="16" t="n"/>
      <c r="F104" s="103" t="n"/>
      <c r="G104" s="16" t="n"/>
      <c r="I104" s="39" t="n"/>
      <c r="J104" s="39" t="n"/>
      <c r="K104" s="39" t="n"/>
      <c r="L104" s="39" t="n"/>
      <c r="M104" s="39" t="n"/>
      <c r="N104" s="39" t="n"/>
      <c r="O104" s="39" t="n"/>
    </row>
    <row r="105" ht="21" customHeight="1" s="65">
      <c r="C105" s="16" t="n"/>
      <c r="D105" s="16" t="n"/>
      <c r="E105" s="16" t="n"/>
      <c r="F105" s="103" t="n"/>
      <c r="G105" s="16" t="n"/>
      <c r="I105" s="39" t="n"/>
      <c r="J105" s="39" t="n"/>
      <c r="K105" s="39" t="n"/>
      <c r="L105" s="39" t="n"/>
      <c r="M105" s="39" t="n"/>
      <c r="N105" s="39" t="n"/>
      <c r="O105" s="39" t="n"/>
    </row>
    <row r="106" ht="21" customHeight="1" s="65">
      <c r="C106" s="16" t="n"/>
      <c r="D106" s="16" t="n"/>
      <c r="E106" s="16" t="n"/>
      <c r="F106" s="103" t="n"/>
      <c r="G106" s="16" t="n"/>
      <c r="I106" s="39" t="n"/>
      <c r="J106" s="39" t="n"/>
      <c r="K106" s="39" t="n"/>
      <c r="L106" s="39" t="n"/>
      <c r="M106" s="39" t="n"/>
      <c r="N106" s="39" t="n"/>
      <c r="O106" s="39" t="n"/>
    </row>
    <row r="107" ht="21" customHeight="1" s="65">
      <c r="C107" s="16" t="n"/>
      <c r="D107" s="16" t="n"/>
      <c r="E107" s="16" t="n"/>
      <c r="F107" s="103" t="n"/>
      <c r="G107" s="16" t="n"/>
      <c r="I107" s="39" t="n"/>
      <c r="J107" s="39" t="n"/>
      <c r="K107" s="39" t="n"/>
      <c r="L107" s="39" t="n"/>
      <c r="M107" s="39" t="n"/>
      <c r="N107" s="39" t="n"/>
      <c r="O107" s="39" t="n"/>
    </row>
    <row r="108" ht="21" customHeight="1" s="65">
      <c r="C108" s="16" t="n"/>
      <c r="D108" s="16" t="n"/>
      <c r="E108" s="16" t="n"/>
      <c r="F108" s="103" t="n"/>
      <c r="G108" s="16" t="n"/>
      <c r="I108" s="39" t="n"/>
      <c r="J108" s="39" t="n"/>
      <c r="K108" s="39" t="n"/>
      <c r="L108" s="39" t="n"/>
      <c r="M108" s="39" t="n"/>
      <c r="N108" s="39" t="n"/>
      <c r="O108" s="39" t="n"/>
    </row>
    <row r="109" ht="21" customHeight="1" s="65">
      <c r="C109" s="16" t="n"/>
      <c r="D109" s="16" t="n"/>
      <c r="E109" s="16" t="n"/>
      <c r="F109" s="103" t="n"/>
      <c r="G109" s="16" t="n"/>
      <c r="I109" s="39" t="n"/>
      <c r="J109" s="39" t="n"/>
      <c r="K109" s="39" t="n"/>
      <c r="L109" s="39" t="n"/>
      <c r="M109" s="39" t="n"/>
      <c r="N109" s="39" t="n"/>
      <c r="O109" s="39" t="n"/>
    </row>
    <row r="110" ht="21" customHeight="1" s="65">
      <c r="C110" s="16" t="n"/>
      <c r="D110" s="16" t="n"/>
      <c r="E110" s="16" t="n"/>
      <c r="F110" s="103" t="n"/>
      <c r="G110" s="16" t="n"/>
      <c r="I110" s="39" t="n"/>
      <c r="J110" s="39" t="n"/>
      <c r="K110" s="39" t="n"/>
      <c r="L110" s="39" t="n"/>
      <c r="M110" s="39" t="n"/>
      <c r="N110" s="39" t="n"/>
      <c r="O110" s="39" t="n"/>
    </row>
    <row r="111" ht="21" customHeight="1" s="65">
      <c r="C111" s="16" t="n"/>
      <c r="D111" s="16" t="n"/>
      <c r="E111" s="16" t="n"/>
      <c r="F111" s="103" t="n"/>
      <c r="G111" s="16" t="n"/>
      <c r="I111" s="39" t="n"/>
      <c r="J111" s="39" t="n"/>
      <c r="K111" s="39" t="n"/>
      <c r="L111" s="39" t="n"/>
      <c r="M111" s="39" t="n"/>
      <c r="N111" s="39" t="n"/>
      <c r="O111" s="39" t="n"/>
    </row>
    <row r="112" ht="21" customHeight="1" s="65">
      <c r="C112" s="16" t="n"/>
      <c r="D112" s="16" t="n"/>
      <c r="E112" s="16" t="n"/>
      <c r="F112" s="103" t="n"/>
      <c r="G112" s="16" t="n"/>
      <c r="I112" s="39" t="n"/>
      <c r="J112" s="39" t="n"/>
      <c r="K112" s="39" t="n"/>
      <c r="L112" s="39" t="n"/>
      <c r="M112" s="39" t="n"/>
      <c r="N112" s="39" t="n"/>
      <c r="O112" s="39" t="n"/>
    </row>
    <row r="113" ht="21" customHeight="1" s="65">
      <c r="C113" s="16" t="n"/>
      <c r="D113" s="16" t="n"/>
      <c r="E113" s="16" t="n"/>
      <c r="F113" s="103" t="n"/>
      <c r="G113" s="16" t="n"/>
      <c r="I113" s="39" t="n"/>
      <c r="J113" s="39" t="n"/>
      <c r="K113" s="39" t="n"/>
      <c r="L113" s="39" t="n"/>
      <c r="M113" s="39" t="n"/>
      <c r="N113" s="39" t="n"/>
      <c r="O113" s="39" t="n"/>
    </row>
    <row r="114" ht="21" customHeight="1" s="65">
      <c r="C114" s="16" t="n"/>
      <c r="D114" s="16" t="n"/>
      <c r="E114" s="16" t="n"/>
      <c r="F114" s="103" t="n"/>
      <c r="G114" s="16" t="n"/>
      <c r="I114" s="39" t="n"/>
      <c r="J114" s="39" t="n"/>
      <c r="K114" s="39" t="n"/>
      <c r="L114" s="39" t="n"/>
      <c r="M114" s="39" t="n"/>
      <c r="N114" s="39" t="n"/>
      <c r="O114" s="39" t="n"/>
    </row>
    <row r="115" ht="21" customHeight="1" s="65">
      <c r="C115" s="16" t="n"/>
      <c r="D115" s="16" t="n"/>
      <c r="E115" s="16" t="n"/>
      <c r="F115" s="103" t="n"/>
      <c r="G115" s="16" t="n"/>
      <c r="I115" s="39" t="n"/>
      <c r="J115" s="39" t="n"/>
      <c r="K115" s="39" t="n"/>
      <c r="L115" s="39" t="n"/>
      <c r="M115" s="39" t="n"/>
      <c r="N115" s="39" t="n"/>
      <c r="O115" s="39" t="n"/>
    </row>
    <row r="116" ht="21" customHeight="1" s="65">
      <c r="C116" s="16" t="n"/>
      <c r="D116" s="16" t="n"/>
      <c r="E116" s="16" t="n"/>
      <c r="F116" s="103" t="n"/>
      <c r="G116" s="16" t="n"/>
      <c r="I116" s="39" t="n"/>
      <c r="J116" s="39" t="n"/>
      <c r="K116" s="39" t="n"/>
      <c r="L116" s="39" t="n"/>
      <c r="M116" s="39" t="n"/>
      <c r="N116" s="39" t="n"/>
      <c r="O116" s="39" t="n"/>
    </row>
    <row r="117" ht="21" customHeight="1" s="65">
      <c r="C117" s="16" t="n"/>
      <c r="D117" s="16" t="n"/>
      <c r="E117" s="16" t="n"/>
      <c r="F117" s="103" t="n"/>
      <c r="G117" s="16" t="n"/>
      <c r="I117" s="39" t="n"/>
      <c r="J117" s="39" t="n"/>
      <c r="K117" s="39" t="n"/>
      <c r="L117" s="39" t="n"/>
      <c r="M117" s="39" t="n"/>
      <c r="N117" s="39" t="n"/>
      <c r="O117" s="39" t="n"/>
    </row>
    <row r="118" ht="21" customHeight="1" s="65">
      <c r="C118" s="16" t="n"/>
      <c r="D118" s="16" t="n"/>
      <c r="E118" s="16" t="n"/>
      <c r="F118" s="103" t="n"/>
      <c r="G118" s="16" t="n"/>
      <c r="I118" s="39" t="n"/>
      <c r="J118" s="39" t="n"/>
      <c r="K118" s="39" t="n"/>
      <c r="L118" s="39" t="n"/>
      <c r="M118" s="39" t="n"/>
      <c r="N118" s="39" t="n"/>
      <c r="O118" s="39" t="n"/>
    </row>
    <row r="119" ht="21" customHeight="1" s="65">
      <c r="C119" s="16" t="n"/>
      <c r="D119" s="16" t="n"/>
      <c r="E119" s="16" t="n"/>
      <c r="F119" s="103" t="n"/>
      <c r="G119" s="16" t="n"/>
      <c r="I119" s="39" t="n"/>
      <c r="J119" s="39" t="n"/>
      <c r="K119" s="39" t="n"/>
      <c r="L119" s="39" t="n"/>
      <c r="M119" s="39" t="n"/>
      <c r="N119" s="39" t="n"/>
      <c r="O119" s="39" t="n"/>
    </row>
    <row r="120" ht="21" customHeight="1" s="65">
      <c r="C120" s="16" t="n"/>
      <c r="D120" s="16" t="n"/>
      <c r="E120" s="16" t="n"/>
      <c r="F120" s="103" t="n"/>
      <c r="G120" s="16" t="n"/>
      <c r="I120" s="39" t="n"/>
      <c r="J120" s="39" t="n"/>
      <c r="K120" s="39" t="n"/>
      <c r="L120" s="39" t="n"/>
      <c r="M120" s="39" t="n"/>
      <c r="N120" s="39" t="n"/>
      <c r="O120" s="39" t="n"/>
    </row>
    <row r="121" ht="21" customHeight="1" s="65">
      <c r="C121" s="16" t="n"/>
      <c r="D121" s="16" t="n"/>
      <c r="E121" s="16" t="n"/>
      <c r="F121" s="103" t="n"/>
      <c r="G121" s="16" t="n"/>
      <c r="I121" s="39" t="n"/>
      <c r="J121" s="39" t="n"/>
      <c r="K121" s="39" t="n"/>
      <c r="L121" s="39" t="n"/>
      <c r="M121" s="39" t="n"/>
      <c r="N121" s="39" t="n"/>
      <c r="O121" s="39" t="n"/>
    </row>
    <row r="122" ht="21" customHeight="1" s="65">
      <c r="C122" s="16" t="n"/>
      <c r="D122" s="16" t="n"/>
      <c r="E122" s="16" t="n"/>
      <c r="F122" s="103" t="n"/>
      <c r="G122" s="16" t="n"/>
      <c r="I122" s="39" t="n"/>
      <c r="J122" s="39" t="n"/>
      <c r="K122" s="39" t="n"/>
      <c r="L122" s="39" t="n"/>
      <c r="M122" s="39" t="n"/>
      <c r="N122" s="39" t="n"/>
      <c r="O122" s="39" t="n"/>
    </row>
    <row r="123" ht="21" customHeight="1" s="65">
      <c r="C123" s="16" t="n"/>
      <c r="D123" s="16" t="n"/>
      <c r="E123" s="16" t="n"/>
      <c r="F123" s="103" t="n"/>
      <c r="G123" s="16" t="n"/>
      <c r="I123" s="39" t="n"/>
      <c r="J123" s="39" t="n"/>
      <c r="K123" s="39" t="n"/>
      <c r="L123" s="39" t="n"/>
      <c r="M123" s="39" t="n"/>
      <c r="N123" s="39" t="n"/>
      <c r="O123" s="39" t="n"/>
    </row>
    <row r="124" ht="21" customHeight="1" s="65">
      <c r="C124" s="16" t="n"/>
      <c r="D124" s="16" t="n"/>
      <c r="E124" s="16" t="n"/>
      <c r="F124" s="103" t="n"/>
      <c r="G124" s="16" t="n"/>
      <c r="I124" s="39" t="n"/>
      <c r="J124" s="39" t="n"/>
      <c r="K124" s="39" t="n"/>
      <c r="L124" s="39" t="n"/>
      <c r="M124" s="39" t="n"/>
      <c r="N124" s="39" t="n"/>
      <c r="O124" s="39" t="n"/>
    </row>
    <row r="125" ht="21" customHeight="1" s="65">
      <c r="C125" s="16" t="n"/>
      <c r="D125" s="16" t="n"/>
      <c r="E125" s="16" t="n"/>
      <c r="F125" s="103" t="n"/>
      <c r="G125" s="16" t="n"/>
      <c r="I125" s="39" t="n"/>
      <c r="J125" s="39" t="n"/>
      <c r="K125" s="39" t="n"/>
      <c r="L125" s="39" t="n"/>
      <c r="M125" s="39" t="n"/>
      <c r="N125" s="39" t="n"/>
      <c r="O125" s="39" t="n"/>
    </row>
    <row r="126" ht="21" customHeight="1" s="65">
      <c r="C126" s="16" t="n"/>
      <c r="D126" s="16" t="n"/>
      <c r="E126" s="16" t="n"/>
      <c r="F126" s="103" t="n"/>
      <c r="G126" s="16" t="n"/>
      <c r="I126" s="39" t="n"/>
      <c r="J126" s="39" t="n"/>
      <c r="K126" s="39" t="n"/>
      <c r="L126" s="39" t="n"/>
      <c r="M126" s="39" t="n"/>
      <c r="N126" s="39" t="n"/>
      <c r="O126" s="39" t="n"/>
    </row>
    <row r="127" ht="21" customHeight="1" s="65">
      <c r="C127" s="16" t="n"/>
      <c r="D127" s="16" t="n"/>
      <c r="E127" s="16" t="n"/>
      <c r="F127" s="103" t="n"/>
      <c r="G127" s="16" t="n"/>
      <c r="I127" s="39" t="n"/>
      <c r="J127" s="39" t="n"/>
      <c r="K127" s="39" t="n"/>
      <c r="L127" s="39" t="n"/>
      <c r="M127" s="39" t="n"/>
      <c r="N127" s="39" t="n"/>
      <c r="O127" s="39" t="n"/>
    </row>
    <row r="128" ht="21" customHeight="1" s="65">
      <c r="C128" s="16" t="n"/>
      <c r="D128" s="16" t="n"/>
      <c r="E128" s="16" t="n"/>
      <c r="F128" s="103" t="n"/>
      <c r="G128" s="16" t="n"/>
      <c r="I128" s="39" t="n"/>
      <c r="J128" s="39" t="n"/>
      <c r="K128" s="39" t="n"/>
      <c r="L128" s="39" t="n"/>
      <c r="M128" s="39" t="n"/>
      <c r="N128" s="39" t="n"/>
      <c r="O128" s="39" t="n"/>
    </row>
    <row r="129" ht="21" customHeight="1" s="65">
      <c r="C129" s="16" t="n"/>
      <c r="D129" s="16" t="n"/>
      <c r="E129" s="16" t="n"/>
      <c r="F129" s="103" t="n"/>
      <c r="G129" s="16" t="n"/>
      <c r="I129" s="39" t="n"/>
      <c r="J129" s="39" t="n"/>
      <c r="K129" s="39" t="n"/>
      <c r="L129" s="39" t="n"/>
      <c r="M129" s="39" t="n"/>
      <c r="N129" s="39" t="n"/>
      <c r="O129" s="39" t="n"/>
    </row>
    <row r="130" ht="21" customHeight="1" s="65">
      <c r="C130" s="16" t="n"/>
      <c r="D130" s="16" t="n"/>
      <c r="E130" s="16" t="n"/>
      <c r="F130" s="103" t="n"/>
      <c r="G130" s="16" t="n"/>
      <c r="I130" s="39" t="n"/>
      <c r="J130" s="39" t="n"/>
      <c r="K130" s="39" t="n"/>
      <c r="L130" s="39" t="n"/>
      <c r="M130" s="39" t="n"/>
      <c r="N130" s="39" t="n"/>
      <c r="O130" s="39" t="n"/>
    </row>
    <row r="131" ht="21" customHeight="1" s="65">
      <c r="C131" s="16" t="n"/>
      <c r="D131" s="16" t="n"/>
      <c r="E131" s="16" t="n"/>
      <c r="F131" s="103" t="n"/>
      <c r="G131" s="16" t="n"/>
      <c r="I131" s="39" t="n"/>
      <c r="J131" s="39" t="n"/>
      <c r="K131" s="39" t="n"/>
      <c r="L131" s="39" t="n"/>
      <c r="M131" s="39" t="n"/>
      <c r="N131" s="39" t="n"/>
      <c r="O131" s="39" t="n"/>
    </row>
    <row r="132" ht="21" customHeight="1" s="65">
      <c r="C132" s="16" t="n"/>
      <c r="D132" s="16" t="n"/>
      <c r="E132" s="16" t="n"/>
      <c r="F132" s="103" t="n"/>
      <c r="G132" s="16" t="n"/>
      <c r="I132" s="39" t="n"/>
      <c r="J132" s="39" t="n"/>
      <c r="K132" s="39" t="n"/>
      <c r="L132" s="39" t="n"/>
      <c r="M132" s="39" t="n"/>
      <c r="N132" s="39" t="n"/>
      <c r="O132" s="39" t="n"/>
    </row>
    <row r="133" ht="21" customHeight="1" s="65">
      <c r="C133" s="16" t="n"/>
      <c r="D133" s="16" t="n"/>
      <c r="E133" s="16" t="n"/>
      <c r="F133" s="103" t="n"/>
      <c r="G133" s="16" t="n"/>
      <c r="I133" s="39" t="n"/>
      <c r="J133" s="39" t="n"/>
      <c r="K133" s="39" t="n"/>
      <c r="L133" s="39" t="n"/>
      <c r="M133" s="39" t="n"/>
      <c r="N133" s="39" t="n"/>
      <c r="O133" s="39" t="n"/>
    </row>
    <row r="134" ht="21" customHeight="1" s="65">
      <c r="C134" s="16" t="n"/>
      <c r="D134" s="16" t="n"/>
      <c r="E134" s="16" t="n"/>
      <c r="F134" s="103" t="n"/>
      <c r="G134" s="16" t="n"/>
      <c r="I134" s="39" t="n"/>
      <c r="J134" s="39" t="n"/>
      <c r="K134" s="39" t="n"/>
      <c r="L134" s="39" t="n"/>
      <c r="M134" s="39" t="n"/>
      <c r="N134" s="39" t="n"/>
      <c r="O134" s="39" t="n"/>
    </row>
    <row r="135" ht="21" customHeight="1" s="65">
      <c r="C135" s="16" t="n"/>
      <c r="D135" s="16" t="n"/>
      <c r="E135" s="16" t="n"/>
      <c r="F135" s="103" t="n"/>
      <c r="G135" s="16" t="n"/>
      <c r="I135" s="39" t="n"/>
      <c r="J135" s="39" t="n"/>
      <c r="K135" s="39" t="n"/>
      <c r="L135" s="39" t="n"/>
      <c r="M135" s="39" t="n"/>
      <c r="N135" s="39" t="n"/>
      <c r="O135" s="39" t="n"/>
    </row>
    <row r="136" ht="21" customHeight="1" s="65">
      <c r="C136" s="16" t="n"/>
      <c r="D136" s="16" t="n"/>
      <c r="E136" s="16" t="n"/>
      <c r="F136" s="103" t="n"/>
      <c r="G136" s="16" t="n"/>
      <c r="I136" s="39" t="n"/>
      <c r="J136" s="39" t="n"/>
      <c r="K136" s="39" t="n"/>
      <c r="L136" s="39" t="n"/>
      <c r="M136" s="39" t="n"/>
      <c r="N136" s="39" t="n"/>
      <c r="O136" s="39" t="n"/>
    </row>
    <row r="137" ht="21" customHeight="1" s="65">
      <c r="C137" s="16" t="n"/>
      <c r="D137" s="16" t="n"/>
      <c r="E137" s="16" t="n"/>
      <c r="F137" s="103" t="n"/>
      <c r="G137" s="16" t="n"/>
      <c r="I137" s="39" t="n"/>
      <c r="J137" s="39" t="n"/>
      <c r="K137" s="39" t="n"/>
      <c r="L137" s="39" t="n"/>
      <c r="M137" s="39" t="n"/>
      <c r="N137" s="39" t="n"/>
      <c r="O137" s="39" t="n"/>
    </row>
    <row r="138" ht="21" customHeight="1" s="65">
      <c r="C138" s="16" t="n"/>
      <c r="D138" s="16" t="n"/>
      <c r="E138" s="16" t="n"/>
      <c r="F138" s="103" t="n"/>
      <c r="G138" s="16" t="n"/>
      <c r="I138" s="39" t="n"/>
      <c r="J138" s="39" t="n"/>
      <c r="K138" s="39" t="n"/>
      <c r="L138" s="39" t="n"/>
      <c r="M138" s="39" t="n"/>
      <c r="N138" s="39" t="n"/>
      <c r="O138" s="39" t="n"/>
    </row>
    <row r="139" ht="21" customHeight="1" s="65">
      <c r="C139" s="16" t="n"/>
      <c r="D139" s="16" t="n"/>
      <c r="E139" s="16" t="n"/>
      <c r="F139" s="103" t="n"/>
      <c r="G139" s="16" t="n"/>
      <c r="I139" s="39" t="n"/>
      <c r="J139" s="39" t="n"/>
      <c r="K139" s="39" t="n"/>
      <c r="L139" s="39" t="n"/>
      <c r="M139" s="39" t="n"/>
      <c r="N139" s="39" t="n"/>
      <c r="O139" s="39" t="n"/>
    </row>
    <row r="140" ht="21" customHeight="1" s="65">
      <c r="C140" s="16" t="n"/>
      <c r="D140" s="16" t="n"/>
      <c r="E140" s="16" t="n"/>
      <c r="F140" s="103" t="n"/>
      <c r="G140" s="16" t="n"/>
      <c r="I140" s="39" t="n"/>
      <c r="J140" s="39" t="n"/>
      <c r="K140" s="39" t="n"/>
      <c r="L140" s="39" t="n"/>
      <c r="M140" s="39" t="n"/>
      <c r="N140" s="39" t="n"/>
      <c r="O140" s="39" t="n"/>
    </row>
    <row r="141" ht="21" customHeight="1" s="65">
      <c r="C141" s="16" t="n"/>
      <c r="D141" s="16" t="n"/>
      <c r="E141" s="16" t="n"/>
      <c r="F141" s="103" t="n"/>
      <c r="G141" s="16" t="n"/>
      <c r="I141" s="39" t="n"/>
      <c r="J141" s="39" t="n"/>
      <c r="K141" s="39" t="n"/>
      <c r="L141" s="39" t="n"/>
      <c r="M141" s="39" t="n"/>
      <c r="N141" s="39" t="n"/>
      <c r="O141" s="39" t="n"/>
    </row>
    <row r="142" ht="21" customHeight="1" s="65">
      <c r="C142" s="16" t="n"/>
      <c r="D142" s="16" t="n"/>
      <c r="E142" s="16" t="n"/>
      <c r="F142" s="103" t="n"/>
      <c r="G142" s="16" t="n"/>
      <c r="I142" s="39" t="n"/>
      <c r="J142" s="39" t="n"/>
      <c r="K142" s="39" t="n"/>
      <c r="L142" s="39" t="n"/>
      <c r="M142" s="39" t="n"/>
      <c r="N142" s="39" t="n"/>
      <c r="O142" s="39" t="n"/>
    </row>
    <row r="143" ht="21" customHeight="1" s="65">
      <c r="C143" s="16" t="n"/>
      <c r="D143" s="16" t="n"/>
      <c r="E143" s="16" t="n"/>
      <c r="F143" s="103" t="n"/>
      <c r="G143" s="16" t="n"/>
      <c r="I143" s="39" t="n"/>
      <c r="J143" s="39" t="n"/>
      <c r="K143" s="39" t="n"/>
      <c r="L143" s="39" t="n"/>
      <c r="M143" s="39" t="n"/>
      <c r="N143" s="39" t="n"/>
      <c r="O143" s="39" t="n"/>
    </row>
    <row r="144" ht="21" customHeight="1" s="65">
      <c r="C144" s="16" t="n"/>
      <c r="D144" s="16" t="n"/>
      <c r="E144" s="16" t="n"/>
      <c r="F144" s="103" t="n"/>
      <c r="G144" s="16" t="n"/>
      <c r="I144" s="39" t="n"/>
      <c r="J144" s="39" t="n"/>
      <c r="K144" s="39" t="n"/>
      <c r="L144" s="39" t="n"/>
      <c r="M144" s="39" t="n"/>
      <c r="N144" s="39" t="n"/>
      <c r="O144" s="39" t="n"/>
    </row>
    <row r="145" ht="21" customHeight="1" s="65">
      <c r="C145" s="16" t="n"/>
      <c r="D145" s="16" t="n"/>
      <c r="E145" s="16" t="n"/>
      <c r="F145" s="103" t="n"/>
      <c r="G145" s="16" t="n"/>
      <c r="I145" s="39" t="n"/>
      <c r="J145" s="39" t="n"/>
      <c r="K145" s="39" t="n"/>
      <c r="L145" s="39" t="n"/>
      <c r="M145" s="39" t="n"/>
      <c r="N145" s="39" t="n"/>
      <c r="O145" s="39" t="n"/>
    </row>
    <row r="146" ht="21" customHeight="1" s="65">
      <c r="C146" s="16" t="n"/>
      <c r="D146" s="16" t="n"/>
      <c r="E146" s="16" t="n"/>
      <c r="F146" s="103" t="n"/>
      <c r="G146" s="16" t="n"/>
      <c r="I146" s="39" t="n"/>
      <c r="J146" s="39" t="n"/>
      <c r="K146" s="39" t="n"/>
      <c r="L146" s="39" t="n"/>
      <c r="M146" s="39" t="n"/>
      <c r="N146" s="39" t="n"/>
      <c r="O146" s="39" t="n"/>
    </row>
    <row r="147" ht="21" customHeight="1" s="65">
      <c r="C147" s="16" t="n"/>
      <c r="D147" s="16" t="n"/>
      <c r="E147" s="16" t="n"/>
      <c r="F147" s="103" t="n"/>
      <c r="G147" s="16" t="n"/>
      <c r="I147" s="39" t="n"/>
      <c r="J147" s="39" t="n"/>
      <c r="K147" s="39" t="n"/>
      <c r="L147" s="39" t="n"/>
      <c r="M147" s="39" t="n"/>
      <c r="N147" s="39" t="n"/>
      <c r="O147" s="39" t="n"/>
    </row>
    <row r="148" ht="21" customHeight="1" s="65">
      <c r="C148" s="16" t="n"/>
      <c r="D148" s="16" t="n"/>
      <c r="E148" s="16" t="n"/>
      <c r="F148" s="103" t="n"/>
      <c r="G148" s="16" t="n"/>
      <c r="I148" s="39" t="n"/>
      <c r="J148" s="39" t="n"/>
      <c r="K148" s="39" t="n"/>
      <c r="L148" s="39" t="n"/>
      <c r="M148" s="39" t="n"/>
      <c r="N148" s="39" t="n"/>
      <c r="O148" s="39" t="n"/>
    </row>
    <row r="149" ht="21" customHeight="1" s="65">
      <c r="C149" s="16" t="n"/>
      <c r="D149" s="16" t="n"/>
      <c r="E149" s="16" t="n"/>
      <c r="F149" s="103" t="n"/>
      <c r="G149" s="16" t="n"/>
      <c r="I149" s="39" t="n"/>
      <c r="J149" s="39" t="n"/>
      <c r="K149" s="39" t="n"/>
      <c r="L149" s="39" t="n"/>
      <c r="M149" s="39" t="n"/>
      <c r="N149" s="39" t="n"/>
      <c r="O149" s="39" t="n"/>
    </row>
    <row r="150" ht="21" customHeight="1" s="65">
      <c r="C150" s="16" t="n"/>
      <c r="D150" s="16" t="n"/>
      <c r="E150" s="16" t="n"/>
      <c r="F150" s="103" t="n"/>
      <c r="G150" s="16" t="n"/>
      <c r="I150" s="39" t="n"/>
      <c r="J150" s="39" t="n"/>
      <c r="K150" s="39" t="n"/>
      <c r="L150" s="39" t="n"/>
      <c r="M150" s="39" t="n"/>
      <c r="N150" s="39" t="n"/>
      <c r="O150" s="39" t="n"/>
    </row>
    <row r="151" ht="21" customHeight="1" s="65">
      <c r="C151" s="16" t="n"/>
      <c r="D151" s="16" t="n"/>
      <c r="E151" s="16" t="n"/>
      <c r="F151" s="103" t="n"/>
      <c r="G151" s="16" t="n"/>
      <c r="I151" s="39" t="n"/>
      <c r="J151" s="39" t="n"/>
      <c r="K151" s="39" t="n"/>
      <c r="L151" s="39" t="n"/>
      <c r="M151" s="39" t="n"/>
      <c r="N151" s="39" t="n"/>
      <c r="O151" s="39" t="n"/>
    </row>
    <row r="152" ht="21" customHeight="1" s="65">
      <c r="C152" s="16" t="n"/>
      <c r="D152" s="16" t="n"/>
      <c r="E152" s="16" t="n"/>
      <c r="F152" s="103" t="n"/>
      <c r="G152" s="16" t="n"/>
      <c r="I152" s="39" t="n"/>
      <c r="J152" s="39" t="n"/>
      <c r="K152" s="39" t="n"/>
      <c r="L152" s="39" t="n"/>
      <c r="M152" s="39" t="n"/>
      <c r="N152" s="39" t="n"/>
      <c r="O152" s="39" t="n"/>
    </row>
    <row r="153" ht="21" customHeight="1" s="65">
      <c r="C153" s="16" t="n"/>
      <c r="D153" s="16" t="n"/>
      <c r="E153" s="16" t="n"/>
      <c r="F153" s="103" t="n"/>
      <c r="G153" s="16" t="n"/>
      <c r="I153" s="39" t="n"/>
      <c r="J153" s="39" t="n"/>
      <c r="K153" s="39" t="n"/>
      <c r="L153" s="39" t="n"/>
      <c r="M153" s="39" t="n"/>
      <c r="N153" s="39" t="n"/>
      <c r="O153" s="39" t="n"/>
    </row>
    <row r="154" ht="21" customHeight="1" s="65">
      <c r="C154" s="16" t="n"/>
      <c r="D154" s="16" t="n"/>
      <c r="E154" s="16" t="n"/>
      <c r="F154" s="103" t="n"/>
      <c r="G154" s="16" t="n"/>
      <c r="I154" s="39" t="n"/>
      <c r="J154" s="39" t="n"/>
      <c r="K154" s="39" t="n"/>
      <c r="L154" s="39" t="n"/>
      <c r="M154" s="39" t="n"/>
      <c r="N154" s="39" t="n"/>
      <c r="O154" s="39" t="n"/>
    </row>
    <row r="155" ht="21" customHeight="1" s="65">
      <c r="C155" s="16" t="n"/>
      <c r="D155" s="16" t="n"/>
      <c r="E155" s="16" t="n"/>
      <c r="F155" s="103" t="n"/>
      <c r="G155" s="16" t="n"/>
      <c r="I155" s="39" t="n"/>
      <c r="J155" s="39" t="n"/>
      <c r="K155" s="39" t="n"/>
      <c r="L155" s="39" t="n"/>
      <c r="M155" s="39" t="n"/>
      <c r="N155" s="39" t="n"/>
      <c r="O155" s="39" t="n"/>
    </row>
    <row r="156" ht="21" customHeight="1" s="65">
      <c r="C156" s="16" t="n"/>
      <c r="D156" s="16" t="n"/>
      <c r="E156" s="16" t="n"/>
      <c r="F156" s="103" t="n"/>
      <c r="G156" s="16" t="n"/>
      <c r="I156" s="39" t="n"/>
      <c r="J156" s="39" t="n"/>
      <c r="K156" s="39" t="n"/>
      <c r="L156" s="39" t="n"/>
      <c r="M156" s="39" t="n"/>
      <c r="N156" s="39" t="n"/>
      <c r="O156" s="39" t="n"/>
    </row>
    <row r="157" ht="21" customHeight="1" s="65">
      <c r="C157" s="16" t="n"/>
      <c r="D157" s="16" t="n"/>
      <c r="E157" s="16" t="n"/>
      <c r="F157" s="103" t="n"/>
      <c r="G157" s="16" t="n"/>
      <c r="I157" s="39" t="n"/>
      <c r="J157" s="39" t="n"/>
      <c r="K157" s="39" t="n"/>
      <c r="L157" s="39" t="n"/>
      <c r="M157" s="39" t="n"/>
      <c r="N157" s="39" t="n"/>
      <c r="O157" s="39" t="n"/>
    </row>
    <row r="158" ht="21" customHeight="1" s="65">
      <c r="C158" s="16" t="n"/>
      <c r="D158" s="16" t="n"/>
      <c r="E158" s="16" t="n"/>
      <c r="F158" s="103" t="n"/>
      <c r="G158" s="16" t="n"/>
      <c r="I158" s="39" t="n"/>
      <c r="J158" s="39" t="n"/>
      <c r="K158" s="39" t="n"/>
      <c r="L158" s="39" t="n"/>
      <c r="M158" s="39" t="n"/>
      <c r="N158" s="39" t="n"/>
      <c r="O158" s="39" t="n"/>
    </row>
    <row r="159" ht="21" customHeight="1" s="65">
      <c r="C159" s="16" t="n"/>
      <c r="D159" s="16" t="n"/>
      <c r="E159" s="16" t="n"/>
      <c r="F159" s="103" t="n"/>
      <c r="G159" s="16" t="n"/>
      <c r="I159" s="39" t="n"/>
      <c r="J159" s="39" t="n"/>
      <c r="K159" s="39" t="n"/>
      <c r="L159" s="39" t="n"/>
      <c r="M159" s="39" t="n"/>
      <c r="N159" s="39" t="n"/>
      <c r="O159" s="39" t="n"/>
    </row>
    <row r="160" ht="21" customHeight="1" s="65">
      <c r="C160" s="16" t="n"/>
      <c r="D160" s="16" t="n"/>
      <c r="E160" s="16" t="n"/>
      <c r="F160" s="103" t="n"/>
      <c r="G160" s="16" t="n"/>
      <c r="I160" s="39" t="n"/>
      <c r="J160" s="39" t="n"/>
      <c r="K160" s="39" t="n"/>
      <c r="L160" s="39" t="n"/>
      <c r="M160" s="39" t="n"/>
      <c r="N160" s="39" t="n"/>
      <c r="O160" s="39" t="n"/>
    </row>
    <row r="161" ht="21" customHeight="1" s="65">
      <c r="C161" s="16" t="n"/>
      <c r="D161" s="16" t="n"/>
      <c r="E161" s="16" t="n"/>
      <c r="F161" s="103" t="n"/>
      <c r="G161" s="16" t="n"/>
      <c r="I161" s="39" t="n"/>
      <c r="J161" s="39" t="n"/>
      <c r="K161" s="39" t="n"/>
      <c r="L161" s="39" t="n"/>
      <c r="M161" s="39" t="n"/>
      <c r="N161" s="39" t="n"/>
      <c r="O161" s="39" t="n"/>
    </row>
    <row r="162" ht="21" customHeight="1" s="65">
      <c r="C162" s="16" t="n"/>
      <c r="D162" s="16" t="n"/>
      <c r="E162" s="16" t="n"/>
      <c r="F162" s="103" t="n"/>
      <c r="G162" s="16" t="n"/>
      <c r="I162" s="39" t="n"/>
      <c r="J162" s="39" t="n"/>
      <c r="K162" s="39" t="n"/>
      <c r="L162" s="39" t="n"/>
      <c r="M162" s="39" t="n"/>
      <c r="N162" s="39" t="n"/>
      <c r="O162" s="39" t="n"/>
    </row>
    <row r="163" ht="21" customHeight="1" s="65">
      <c r="C163" s="16" t="n"/>
      <c r="D163" s="16" t="n"/>
      <c r="E163" s="16" t="n"/>
      <c r="F163" s="103" t="n"/>
      <c r="G163" s="16" t="n"/>
      <c r="I163" s="39" t="n"/>
      <c r="J163" s="39" t="n"/>
      <c r="K163" s="39" t="n"/>
      <c r="L163" s="39" t="n"/>
      <c r="M163" s="39" t="n"/>
      <c r="N163" s="39" t="n"/>
      <c r="O163" s="39" t="n"/>
    </row>
    <row r="164" ht="21" customHeight="1" s="65">
      <c r="C164" s="16" t="n"/>
      <c r="D164" s="16" t="n"/>
      <c r="E164" s="16" t="n"/>
      <c r="F164" s="103" t="n"/>
      <c r="G164" s="16" t="n"/>
      <c r="I164" s="39" t="n"/>
      <c r="J164" s="39" t="n"/>
      <c r="K164" s="39" t="n"/>
      <c r="L164" s="39" t="n"/>
      <c r="M164" s="39" t="n"/>
      <c r="N164" s="39" t="n"/>
      <c r="O164" s="39" t="n"/>
    </row>
    <row r="165" ht="21" customHeight="1" s="65">
      <c r="C165" s="16" t="n"/>
      <c r="D165" s="16" t="n"/>
      <c r="E165" s="16" t="n"/>
      <c r="F165" s="103" t="n"/>
      <c r="G165" s="16" t="n"/>
      <c r="I165" s="39" t="n"/>
      <c r="J165" s="39" t="n"/>
      <c r="K165" s="39" t="n"/>
      <c r="L165" s="39" t="n"/>
      <c r="M165" s="39" t="n"/>
      <c r="N165" s="39" t="n"/>
      <c r="O165" s="39" t="n"/>
    </row>
    <row r="166" ht="21" customHeight="1" s="65">
      <c r="C166" s="16" t="n"/>
      <c r="D166" s="16" t="n"/>
      <c r="E166" s="16" t="n"/>
      <c r="F166" s="103" t="n"/>
      <c r="G166" s="16" t="n"/>
      <c r="I166" s="39" t="n"/>
      <c r="J166" s="39" t="n"/>
      <c r="K166" s="39" t="n"/>
      <c r="L166" s="39" t="n"/>
      <c r="M166" s="39" t="n"/>
      <c r="N166" s="39" t="n"/>
      <c r="O166" s="39" t="n"/>
    </row>
    <row r="167" ht="21" customHeight="1" s="65">
      <c r="C167" s="16" t="n"/>
      <c r="D167" s="16" t="n"/>
      <c r="E167" s="16" t="n"/>
      <c r="F167" s="103" t="n"/>
      <c r="G167" s="16" t="n"/>
      <c r="I167" s="39" t="n"/>
      <c r="J167" s="39" t="n"/>
      <c r="K167" s="39" t="n"/>
      <c r="L167" s="39" t="n"/>
      <c r="M167" s="39" t="n"/>
      <c r="N167" s="39" t="n"/>
      <c r="O167" s="39" t="n"/>
    </row>
    <row r="168" ht="21" customHeight="1" s="65">
      <c r="C168" s="16" t="n"/>
      <c r="D168" s="16" t="n"/>
      <c r="E168" s="16" t="n"/>
      <c r="F168" s="103" t="n"/>
      <c r="G168" s="16" t="n"/>
      <c r="I168" s="39" t="n"/>
      <c r="J168" s="39" t="n"/>
      <c r="K168" s="39" t="n"/>
      <c r="L168" s="39" t="n"/>
      <c r="M168" s="39" t="n"/>
      <c r="N168" s="39" t="n"/>
      <c r="O168" s="39" t="n"/>
    </row>
    <row r="169" ht="21" customHeight="1" s="65">
      <c r="C169" s="16" t="n"/>
      <c r="D169" s="16" t="n"/>
      <c r="E169" s="16" t="n"/>
      <c r="F169" s="103" t="n"/>
      <c r="G169" s="16" t="n"/>
      <c r="I169" s="39" t="n"/>
      <c r="J169" s="39" t="n"/>
      <c r="K169" s="39" t="n"/>
      <c r="L169" s="39" t="n"/>
      <c r="M169" s="39" t="n"/>
      <c r="N169" s="39" t="n"/>
      <c r="O169" s="39" t="n"/>
    </row>
    <row r="170" ht="21" customHeight="1" s="65">
      <c r="C170" s="16" t="n"/>
      <c r="D170" s="16" t="n"/>
      <c r="E170" s="16" t="n"/>
      <c r="F170" s="103" t="n"/>
      <c r="G170" s="16" t="n"/>
      <c r="I170" s="39" t="n"/>
      <c r="J170" s="39" t="n"/>
      <c r="K170" s="39" t="n"/>
      <c r="L170" s="39" t="n"/>
      <c r="M170" s="39" t="n"/>
      <c r="N170" s="39" t="n"/>
      <c r="O170" s="39" t="n"/>
    </row>
    <row r="171" ht="21" customHeight="1" s="65">
      <c r="C171" s="16" t="n"/>
      <c r="D171" s="16" t="n"/>
      <c r="E171" s="16" t="n"/>
      <c r="F171" s="103" t="n"/>
      <c r="G171" s="16" t="n"/>
      <c r="I171" s="39" t="n"/>
      <c r="J171" s="39" t="n"/>
      <c r="K171" s="39" t="n"/>
      <c r="L171" s="39" t="n"/>
      <c r="M171" s="39" t="n"/>
      <c r="N171" s="39" t="n"/>
      <c r="O171" s="39" t="n"/>
    </row>
    <row r="172" ht="21" customHeight="1" s="65">
      <c r="C172" s="16" t="n"/>
      <c r="D172" s="16" t="n"/>
      <c r="E172" s="16" t="n"/>
      <c r="F172" s="103" t="n"/>
      <c r="G172" s="16" t="n"/>
      <c r="I172" s="39" t="n"/>
      <c r="J172" s="39" t="n"/>
      <c r="K172" s="39" t="n"/>
      <c r="L172" s="39" t="n"/>
      <c r="M172" s="39" t="n"/>
      <c r="N172" s="39" t="n"/>
      <c r="O172" s="39" t="n"/>
    </row>
    <row r="173" ht="21" customHeight="1" s="65">
      <c r="C173" s="16" t="n"/>
      <c r="D173" s="16" t="n"/>
      <c r="E173" s="16" t="n"/>
      <c r="F173" s="103" t="n"/>
      <c r="G173" s="16" t="n"/>
      <c r="I173" s="39" t="n"/>
      <c r="J173" s="39" t="n"/>
      <c r="K173" s="39" t="n"/>
      <c r="L173" s="39" t="n"/>
      <c r="M173" s="39" t="n"/>
      <c r="N173" s="39" t="n"/>
      <c r="O173" s="39" t="n"/>
    </row>
    <row r="174" ht="21" customHeight="1" s="65">
      <c r="C174" s="16" t="n"/>
      <c r="D174" s="16" t="n"/>
      <c r="E174" s="16" t="n"/>
      <c r="F174" s="103" t="n"/>
      <c r="G174" s="16" t="n"/>
      <c r="I174" s="39" t="n"/>
      <c r="J174" s="39" t="n"/>
      <c r="K174" s="39" t="n"/>
      <c r="L174" s="39" t="n"/>
      <c r="M174" s="39" t="n"/>
      <c r="N174" s="39" t="n"/>
      <c r="O174" s="39" t="n"/>
    </row>
    <row r="175" ht="21" customHeight="1" s="65">
      <c r="C175" s="16" t="n"/>
      <c r="D175" s="16" t="n"/>
      <c r="E175" s="16" t="n"/>
      <c r="F175" s="103" t="n"/>
      <c r="G175" s="16" t="n"/>
      <c r="I175" s="39" t="n"/>
      <c r="J175" s="39" t="n"/>
      <c r="K175" s="39" t="n"/>
      <c r="L175" s="39" t="n"/>
      <c r="M175" s="39" t="n"/>
      <c r="N175" s="39" t="n"/>
      <c r="O175" s="39" t="n"/>
    </row>
    <row r="176" ht="21" customHeight="1" s="65">
      <c r="C176" s="16" t="n"/>
      <c r="D176" s="16" t="n"/>
      <c r="E176" s="16" t="n"/>
      <c r="F176" s="103" t="n"/>
      <c r="G176" s="16" t="n"/>
      <c r="I176" s="39" t="n"/>
      <c r="J176" s="39" t="n"/>
      <c r="K176" s="39" t="n"/>
      <c r="L176" s="39" t="n"/>
      <c r="M176" s="39" t="n"/>
      <c r="N176" s="39" t="n"/>
      <c r="O176" s="39" t="n"/>
    </row>
    <row r="177" ht="21" customHeight="1" s="65">
      <c r="C177" s="16" t="n"/>
      <c r="D177" s="16" t="n"/>
      <c r="E177" s="16" t="n"/>
      <c r="F177" s="103" t="n"/>
      <c r="G177" s="16" t="n"/>
      <c r="I177" s="39" t="n"/>
      <c r="J177" s="39" t="n"/>
      <c r="K177" s="39" t="n"/>
      <c r="L177" s="39" t="n"/>
      <c r="M177" s="39" t="n"/>
      <c r="N177" s="39" t="n"/>
      <c r="O177" s="39" t="n"/>
    </row>
    <row r="178" ht="21" customHeight="1" s="65">
      <c r="C178" s="16" t="n"/>
      <c r="D178" s="16" t="n"/>
      <c r="E178" s="16" t="n"/>
      <c r="F178" s="103" t="n"/>
      <c r="G178" s="16" t="n"/>
      <c r="I178" s="39" t="n"/>
      <c r="J178" s="39" t="n"/>
      <c r="K178" s="39" t="n"/>
      <c r="L178" s="39" t="n"/>
      <c r="M178" s="39" t="n"/>
      <c r="N178" s="39" t="n"/>
      <c r="O178" s="39" t="n"/>
    </row>
    <row r="179" ht="21" customHeight="1" s="65">
      <c r="C179" s="16" t="n"/>
      <c r="D179" s="16" t="n"/>
      <c r="E179" s="16" t="n"/>
      <c r="F179" s="103" t="n"/>
      <c r="G179" s="16" t="n"/>
      <c r="I179" s="39" t="n"/>
      <c r="J179" s="39" t="n"/>
      <c r="K179" s="39" t="n"/>
      <c r="L179" s="39" t="n"/>
      <c r="M179" s="39" t="n"/>
      <c r="N179" s="39" t="n"/>
      <c r="O179" s="39" t="n"/>
    </row>
    <row r="180" ht="21" customHeight="1" s="65">
      <c r="C180" s="16" t="n"/>
      <c r="D180" s="16" t="n"/>
      <c r="E180" s="16" t="n"/>
      <c r="F180" s="103" t="n"/>
      <c r="G180" s="16" t="n"/>
      <c r="I180" s="39" t="n"/>
      <c r="J180" s="39" t="n"/>
      <c r="K180" s="39" t="n"/>
      <c r="L180" s="39" t="n"/>
      <c r="M180" s="39" t="n"/>
      <c r="N180" s="39" t="n"/>
      <c r="O180" s="39" t="n"/>
    </row>
    <row r="181" ht="21" customHeight="1" s="65">
      <c r="C181" s="16" t="n"/>
      <c r="D181" s="16" t="n"/>
      <c r="E181" s="16" t="n"/>
      <c r="F181" s="103" t="n"/>
      <c r="G181" s="16" t="n"/>
      <c r="I181" s="39" t="n"/>
      <c r="J181" s="39" t="n"/>
      <c r="K181" s="39" t="n"/>
      <c r="L181" s="39" t="n"/>
      <c r="M181" s="39" t="n"/>
      <c r="N181" s="39" t="n"/>
      <c r="O181" s="39" t="n"/>
    </row>
    <row r="182" ht="21" customHeight="1" s="65">
      <c r="C182" s="16" t="n"/>
      <c r="D182" s="16" t="n"/>
      <c r="E182" s="16" t="n"/>
      <c r="F182" s="103" t="n"/>
      <c r="G182" s="16" t="n"/>
      <c r="I182" s="39" t="n"/>
      <c r="J182" s="39" t="n"/>
      <c r="K182" s="39" t="n"/>
      <c r="L182" s="39" t="n"/>
      <c r="M182" s="39" t="n"/>
      <c r="N182" s="39" t="n"/>
      <c r="O182" s="39" t="n"/>
    </row>
    <row r="183" ht="21" customHeight="1" s="65">
      <c r="C183" s="16" t="n"/>
      <c r="D183" s="16" t="n"/>
      <c r="E183" s="16" t="n"/>
      <c r="F183" s="103" t="n"/>
      <c r="G183" s="16" t="n"/>
      <c r="I183" s="39" t="n"/>
      <c r="J183" s="39" t="n"/>
      <c r="K183" s="39" t="n"/>
      <c r="L183" s="39" t="n"/>
      <c r="M183" s="39" t="n"/>
      <c r="N183" s="39" t="n"/>
      <c r="O183" s="39" t="n"/>
    </row>
    <row r="184" ht="21" customHeight="1" s="65">
      <c r="C184" s="16" t="n"/>
      <c r="D184" s="16" t="n"/>
      <c r="E184" s="16" t="n"/>
      <c r="F184" s="103" t="n"/>
      <c r="G184" s="16" t="n"/>
      <c r="I184" s="39" t="n"/>
      <c r="J184" s="39" t="n"/>
      <c r="K184" s="39" t="n"/>
      <c r="L184" s="39" t="n"/>
      <c r="M184" s="39" t="n"/>
      <c r="N184" s="39" t="n"/>
      <c r="O184" s="39" t="n"/>
    </row>
    <row r="185" ht="21" customHeight="1" s="65">
      <c r="C185" s="16" t="n"/>
      <c r="D185" s="16" t="n"/>
      <c r="E185" s="16" t="n"/>
      <c r="F185" s="103" t="n"/>
      <c r="G185" s="16" t="n"/>
      <c r="I185" s="39" t="n"/>
      <c r="J185" s="39" t="n"/>
      <c r="K185" s="39" t="n"/>
      <c r="L185" s="39" t="n"/>
      <c r="M185" s="39" t="n"/>
      <c r="N185" s="39" t="n"/>
      <c r="O185" s="39" t="n"/>
    </row>
    <row r="186" ht="21" customHeight="1" s="65">
      <c r="C186" s="16" t="n"/>
      <c r="D186" s="16" t="n"/>
      <c r="E186" s="16" t="n"/>
      <c r="F186" s="103" t="n"/>
      <c r="G186" s="16" t="n"/>
      <c r="I186" s="39" t="n"/>
      <c r="J186" s="39" t="n"/>
      <c r="K186" s="39" t="n"/>
      <c r="L186" s="39" t="n"/>
      <c r="M186" s="39" t="n"/>
      <c r="N186" s="39" t="n"/>
      <c r="O186" s="39" t="n"/>
    </row>
    <row r="187" ht="21" customHeight="1" s="65">
      <c r="C187" s="16" t="n"/>
      <c r="D187" s="16" t="n"/>
      <c r="E187" s="16" t="n"/>
      <c r="F187" s="103" t="n"/>
      <c r="G187" s="16" t="n"/>
      <c r="I187" s="39" t="n"/>
      <c r="J187" s="39" t="n"/>
      <c r="K187" s="39" t="n"/>
      <c r="L187" s="39" t="n"/>
      <c r="M187" s="39" t="n"/>
      <c r="N187" s="39" t="n"/>
      <c r="O187" s="39" t="n"/>
    </row>
    <row r="188" ht="21" customHeight="1" s="65">
      <c r="C188" s="16" t="n"/>
      <c r="D188" s="16" t="n"/>
      <c r="E188" s="16" t="n"/>
      <c r="F188" s="103" t="n"/>
      <c r="G188" s="16" t="n"/>
      <c r="I188" s="39" t="n"/>
      <c r="J188" s="39" t="n"/>
      <c r="K188" s="39" t="n"/>
      <c r="L188" s="39" t="n"/>
      <c r="M188" s="39" t="n"/>
      <c r="N188" s="39" t="n"/>
      <c r="O188" s="39" t="n"/>
    </row>
    <row r="189" ht="21" customHeight="1" s="65">
      <c r="C189" s="16" t="n"/>
      <c r="D189" s="16" t="n"/>
      <c r="E189" s="16" t="n"/>
      <c r="F189" s="103" t="n"/>
      <c r="G189" s="16" t="n"/>
      <c r="I189" s="39" t="n"/>
      <c r="J189" s="39" t="n"/>
      <c r="K189" s="39" t="n"/>
      <c r="L189" s="39" t="n"/>
      <c r="M189" s="39" t="n"/>
      <c r="N189" s="39" t="n"/>
      <c r="O189" s="39" t="n"/>
    </row>
    <row r="190" ht="21" customHeight="1" s="65">
      <c r="C190" s="16" t="n"/>
      <c r="D190" s="16" t="n"/>
      <c r="E190" s="16" t="n"/>
      <c r="F190" s="103" t="n"/>
      <c r="G190" s="16" t="n"/>
      <c r="I190" s="39" t="n"/>
      <c r="J190" s="39" t="n"/>
      <c r="K190" s="39" t="n"/>
      <c r="L190" s="39" t="n"/>
      <c r="M190" s="39" t="n"/>
      <c r="N190" s="39" t="n"/>
      <c r="O190" s="39" t="n"/>
    </row>
    <row r="191" ht="21" customHeight="1" s="65">
      <c r="C191" s="16" t="n"/>
      <c r="D191" s="16" t="n"/>
      <c r="E191" s="16" t="n"/>
      <c r="F191" s="103" t="n"/>
      <c r="G191" s="16" t="n"/>
      <c r="I191" s="39" t="n"/>
      <c r="J191" s="39" t="n"/>
      <c r="K191" s="39" t="n"/>
      <c r="L191" s="39" t="n"/>
      <c r="M191" s="39" t="n"/>
      <c r="N191" s="39" t="n"/>
      <c r="O191" s="39" t="n"/>
    </row>
    <row r="192" ht="21" customHeight="1" s="65">
      <c r="C192" s="16" t="n"/>
      <c r="D192" s="16" t="n"/>
      <c r="E192" s="16" t="n"/>
      <c r="F192" s="103" t="n"/>
      <c r="G192" s="16" t="n"/>
      <c r="I192" s="39" t="n"/>
      <c r="J192" s="39" t="n"/>
      <c r="K192" s="39" t="n"/>
      <c r="L192" s="39" t="n"/>
      <c r="M192" s="39" t="n"/>
      <c r="N192" s="39" t="n"/>
      <c r="O192" s="39" t="n"/>
    </row>
    <row r="193" ht="21" customHeight="1" s="65">
      <c r="C193" s="16" t="n"/>
      <c r="D193" s="16" t="n"/>
      <c r="E193" s="16" t="n"/>
      <c r="F193" s="103" t="n"/>
      <c r="G193" s="16" t="n"/>
      <c r="I193" s="39" t="n"/>
      <c r="J193" s="39" t="n"/>
      <c r="K193" s="39" t="n"/>
      <c r="L193" s="39" t="n"/>
      <c r="M193" s="39" t="n"/>
      <c r="N193" s="39" t="n"/>
      <c r="O193" s="39" t="n"/>
    </row>
    <row r="194" ht="21" customHeight="1" s="65">
      <c r="C194" s="16" t="n"/>
      <c r="D194" s="16" t="n"/>
      <c r="E194" s="16" t="n"/>
      <c r="F194" s="103" t="n"/>
      <c r="G194" s="16" t="n"/>
      <c r="I194" s="39" t="n"/>
      <c r="J194" s="39" t="n"/>
      <c r="K194" s="39" t="n"/>
      <c r="L194" s="39" t="n"/>
      <c r="M194" s="39" t="n"/>
      <c r="N194" s="39" t="n"/>
      <c r="O194" s="39" t="n"/>
    </row>
    <row r="195" ht="21" customHeight="1" s="65">
      <c r="C195" s="16" t="n"/>
      <c r="D195" s="16" t="n"/>
      <c r="E195" s="16" t="n"/>
      <c r="F195" s="103" t="n"/>
      <c r="G195" s="16" t="n"/>
      <c r="I195" s="39" t="n"/>
      <c r="J195" s="39" t="n"/>
      <c r="K195" s="39" t="n"/>
      <c r="L195" s="39" t="n"/>
      <c r="M195" s="39" t="n"/>
      <c r="N195" s="39" t="n"/>
      <c r="O195" s="39" t="n"/>
    </row>
    <row r="196" ht="21" customHeight="1" s="65">
      <c r="C196" s="16" t="n"/>
      <c r="D196" s="16" t="n"/>
      <c r="E196" s="16" t="n"/>
      <c r="F196" s="103" t="n"/>
      <c r="G196" s="16" t="n"/>
      <c r="I196" s="39" t="n"/>
      <c r="J196" s="39" t="n"/>
      <c r="K196" s="39" t="n"/>
      <c r="L196" s="39" t="n"/>
      <c r="M196" s="39" t="n"/>
      <c r="N196" s="39" t="n"/>
      <c r="O196" s="39" t="n"/>
    </row>
    <row r="197" ht="21" customHeight="1" s="65">
      <c r="C197" s="16" t="n"/>
      <c r="D197" s="16" t="n"/>
      <c r="E197" s="16" t="n"/>
      <c r="F197" s="103" t="n"/>
      <c r="G197" s="16" t="n"/>
      <c r="I197" s="39" t="n"/>
      <c r="J197" s="39" t="n"/>
      <c r="K197" s="39" t="n"/>
      <c r="L197" s="39" t="n"/>
      <c r="M197" s="39" t="n"/>
      <c r="N197" s="39" t="n"/>
      <c r="O197" s="39" t="n"/>
    </row>
    <row r="198" ht="21" customHeight="1" s="65">
      <c r="C198" s="16" t="n"/>
      <c r="D198" s="16" t="n"/>
      <c r="E198" s="16" t="n"/>
      <c r="F198" s="103" t="n"/>
      <c r="G198" s="16" t="n"/>
      <c r="I198" s="39" t="n"/>
      <c r="J198" s="39" t="n"/>
      <c r="K198" s="39" t="n"/>
      <c r="L198" s="39" t="n"/>
      <c r="M198" s="39" t="n"/>
      <c r="N198" s="39" t="n"/>
      <c r="O198" s="39" t="n"/>
    </row>
    <row r="199" ht="21" customHeight="1" s="65">
      <c r="C199" s="16" t="n"/>
      <c r="D199" s="16" t="n"/>
      <c r="E199" s="16" t="n"/>
      <c r="F199" s="103" t="n"/>
      <c r="G199" s="16" t="n"/>
      <c r="I199" s="39" t="n"/>
      <c r="J199" s="39" t="n"/>
      <c r="K199" s="39" t="n"/>
      <c r="L199" s="39" t="n"/>
      <c r="M199" s="39" t="n"/>
      <c r="N199" s="39" t="n"/>
      <c r="O199" s="39" t="n"/>
    </row>
    <row r="200" ht="21" customHeight="1" s="65">
      <c r="C200" s="16" t="n"/>
      <c r="D200" s="16" t="n"/>
      <c r="E200" s="16" t="n"/>
      <c r="F200" s="103" t="n"/>
      <c r="G200" s="16" t="n"/>
      <c r="I200" s="39" t="n"/>
      <c r="J200" s="39" t="n"/>
      <c r="K200" s="39" t="n"/>
      <c r="L200" s="39" t="n"/>
      <c r="M200" s="39" t="n"/>
      <c r="N200" s="39" t="n"/>
      <c r="O200" s="39" t="n"/>
    </row>
    <row r="201" ht="21" customHeight="1" s="65">
      <c r="C201" s="16" t="n"/>
      <c r="D201" s="16" t="n"/>
      <c r="E201" s="16" t="n"/>
      <c r="F201" s="103" t="n"/>
      <c r="G201" s="16" t="n"/>
      <c r="I201" s="39" t="n"/>
      <c r="J201" s="39" t="n"/>
      <c r="K201" s="39" t="n"/>
      <c r="L201" s="39" t="n"/>
      <c r="M201" s="39" t="n"/>
      <c r="N201" s="39" t="n"/>
      <c r="O201" s="39" t="n"/>
    </row>
    <row r="202" ht="21" customHeight="1" s="65">
      <c r="C202" s="16" t="n"/>
      <c r="D202" s="16" t="n"/>
      <c r="E202" s="16" t="n"/>
      <c r="F202" s="103" t="n"/>
      <c r="G202" s="16" t="n"/>
      <c r="I202" s="39" t="n"/>
      <c r="J202" s="39" t="n"/>
      <c r="K202" s="39" t="n"/>
      <c r="L202" s="39" t="n"/>
      <c r="M202" s="39" t="n"/>
      <c r="N202" s="39" t="n"/>
      <c r="O202" s="39" t="n"/>
    </row>
    <row r="203" ht="21" customHeight="1" s="65">
      <c r="C203" s="16" t="n"/>
      <c r="D203" s="16" t="n"/>
      <c r="E203" s="16" t="n"/>
      <c r="F203" s="103" t="n"/>
      <c r="G203" s="16" t="n"/>
      <c r="I203" s="39" t="n"/>
      <c r="J203" s="39" t="n"/>
      <c r="K203" s="39" t="n"/>
      <c r="L203" s="39" t="n"/>
      <c r="M203" s="39" t="n"/>
      <c r="N203" s="39" t="n"/>
      <c r="O203" s="39" t="n"/>
    </row>
    <row r="204" ht="21" customHeight="1" s="65">
      <c r="C204" s="16" t="n"/>
      <c r="D204" s="16" t="n"/>
      <c r="E204" s="16" t="n"/>
      <c r="F204" s="103" t="n"/>
      <c r="G204" s="16" t="n"/>
      <c r="I204" s="39" t="n"/>
      <c r="J204" s="39" t="n"/>
      <c r="K204" s="39" t="n"/>
      <c r="L204" s="39" t="n"/>
      <c r="M204" s="39" t="n"/>
      <c r="N204" s="39" t="n"/>
      <c r="O204" s="39" t="n"/>
    </row>
    <row r="205" ht="21" customHeight="1" s="65">
      <c r="C205" s="16" t="n"/>
      <c r="D205" s="16" t="n"/>
      <c r="E205" s="16" t="n"/>
      <c r="F205" s="103" t="n"/>
      <c r="G205" s="16" t="n"/>
      <c r="I205" s="39" t="n"/>
      <c r="J205" s="39" t="n"/>
      <c r="K205" s="39" t="n"/>
      <c r="L205" s="39" t="n"/>
      <c r="M205" s="39" t="n"/>
      <c r="N205" s="39" t="n"/>
      <c r="O205" s="39" t="n"/>
    </row>
    <row r="206" ht="21" customHeight="1" s="65">
      <c r="C206" s="16" t="n"/>
      <c r="D206" s="16" t="n"/>
      <c r="E206" s="16" t="n"/>
      <c r="F206" s="103" t="n"/>
      <c r="G206" s="16" t="n"/>
      <c r="I206" s="39" t="n"/>
      <c r="J206" s="39" t="n"/>
      <c r="K206" s="39" t="n"/>
      <c r="L206" s="39" t="n"/>
      <c r="M206" s="39" t="n"/>
      <c r="N206" s="39" t="n"/>
      <c r="O206" s="39" t="n"/>
    </row>
    <row r="207" ht="21" customHeight="1" s="65">
      <c r="C207" s="16" t="n"/>
      <c r="D207" s="16" t="n"/>
      <c r="E207" s="16" t="n"/>
      <c r="F207" s="103" t="n"/>
      <c r="G207" s="16" t="n"/>
      <c r="I207" s="39" t="n"/>
      <c r="J207" s="39" t="n"/>
      <c r="K207" s="39" t="n"/>
      <c r="L207" s="39" t="n"/>
      <c r="M207" s="39" t="n"/>
      <c r="N207" s="39" t="n"/>
      <c r="O207" s="39" t="n"/>
    </row>
    <row r="208" ht="21" customHeight="1" s="65">
      <c r="C208" s="16" t="n"/>
      <c r="D208" s="16" t="n"/>
      <c r="E208" s="16" t="n"/>
      <c r="F208" s="103" t="n"/>
      <c r="G208" s="16" t="n"/>
      <c r="I208" s="39" t="n"/>
      <c r="J208" s="39" t="n"/>
      <c r="K208" s="39" t="n"/>
      <c r="L208" s="39" t="n"/>
      <c r="M208" s="39" t="n"/>
      <c r="N208" s="39" t="n"/>
      <c r="O208" s="39" t="n"/>
    </row>
    <row r="209" ht="21" customHeight="1" s="65">
      <c r="C209" s="16" t="n"/>
      <c r="D209" s="16" t="n"/>
      <c r="E209" s="16" t="n"/>
      <c r="F209" s="103" t="n"/>
      <c r="G209" s="16" t="n"/>
      <c r="I209" s="39" t="n"/>
      <c r="J209" s="39" t="n"/>
      <c r="K209" s="39" t="n"/>
      <c r="L209" s="39" t="n"/>
      <c r="M209" s="39" t="n"/>
      <c r="N209" s="39" t="n"/>
      <c r="O209" s="39" t="n"/>
    </row>
    <row r="210" ht="21" customHeight="1" s="65">
      <c r="C210" s="16" t="n"/>
      <c r="D210" s="16" t="n"/>
      <c r="E210" s="16" t="n"/>
      <c r="F210" s="103" t="n"/>
      <c r="G210" s="16" t="n"/>
      <c r="I210" s="39" t="n"/>
      <c r="J210" s="39" t="n"/>
      <c r="K210" s="39" t="n"/>
      <c r="L210" s="39" t="n"/>
      <c r="M210" s="39" t="n"/>
      <c r="N210" s="39" t="n"/>
      <c r="O210" s="39" t="n"/>
    </row>
    <row r="211" ht="21" customHeight="1" s="65">
      <c r="C211" s="16" t="n"/>
      <c r="D211" s="16" t="n"/>
      <c r="E211" s="16" t="n"/>
      <c r="F211" s="103" t="n"/>
      <c r="G211" s="16" t="n"/>
      <c r="I211" s="39" t="n"/>
      <c r="J211" s="39" t="n"/>
      <c r="K211" s="39" t="n"/>
      <c r="L211" s="39" t="n"/>
      <c r="M211" s="39" t="n"/>
      <c r="N211" s="39" t="n"/>
      <c r="O211" s="39" t="n"/>
    </row>
    <row r="212" ht="21" customHeight="1" s="65">
      <c r="C212" s="16" t="n"/>
      <c r="D212" s="16" t="n"/>
      <c r="E212" s="16" t="n"/>
      <c r="F212" s="103" t="n"/>
      <c r="G212" s="16" t="n"/>
      <c r="I212" s="39" t="n"/>
      <c r="J212" s="39" t="n"/>
      <c r="K212" s="39" t="n"/>
      <c r="L212" s="39" t="n"/>
      <c r="M212" s="39" t="n"/>
      <c r="N212" s="39" t="n"/>
      <c r="O212" s="39" t="n"/>
    </row>
    <row r="213" ht="21" customHeight="1" s="65">
      <c r="C213" s="16" t="n"/>
      <c r="D213" s="16" t="n"/>
      <c r="E213" s="16" t="n"/>
      <c r="F213" s="103" t="n"/>
      <c r="G213" s="16" t="n"/>
      <c r="I213" s="39" t="n"/>
      <c r="J213" s="39" t="n"/>
      <c r="K213" s="39" t="n"/>
      <c r="L213" s="39" t="n"/>
      <c r="M213" s="39" t="n"/>
      <c r="N213" s="39" t="n"/>
      <c r="O213" s="39" t="n"/>
    </row>
    <row r="214" ht="21" customHeight="1" s="65">
      <c r="C214" s="16" t="n"/>
      <c r="D214" s="16" t="n"/>
      <c r="E214" s="16" t="n"/>
      <c r="F214" s="103" t="n"/>
      <c r="G214" s="16" t="n"/>
      <c r="I214" s="39" t="n"/>
      <c r="J214" s="39" t="n"/>
      <c r="K214" s="39" t="n"/>
      <c r="L214" s="39" t="n"/>
      <c r="M214" s="39" t="n"/>
      <c r="N214" s="39" t="n"/>
      <c r="O214" s="39" t="n"/>
    </row>
    <row r="215" ht="21" customHeight="1" s="65">
      <c r="C215" s="16" t="n"/>
      <c r="D215" s="16" t="n"/>
      <c r="E215" s="16" t="n"/>
      <c r="F215" s="103" t="n"/>
      <c r="G215" s="16" t="n"/>
      <c r="I215" s="39" t="n"/>
      <c r="J215" s="39" t="n"/>
      <c r="K215" s="39" t="n"/>
      <c r="L215" s="39" t="n"/>
      <c r="M215" s="39" t="n"/>
      <c r="N215" s="39" t="n"/>
      <c r="O215" s="39" t="n"/>
    </row>
    <row r="216" ht="21" customHeight="1" s="65">
      <c r="C216" s="16" t="n"/>
      <c r="D216" s="16" t="n"/>
      <c r="E216" s="16" t="n"/>
      <c r="F216" s="103" t="n"/>
      <c r="G216" s="16" t="n"/>
      <c r="I216" s="39" t="n"/>
      <c r="J216" s="39" t="n"/>
      <c r="K216" s="39" t="n"/>
      <c r="L216" s="39" t="n"/>
      <c r="M216" s="39" t="n"/>
      <c r="N216" s="39" t="n"/>
      <c r="O216" s="39" t="n"/>
    </row>
    <row r="217" ht="21" customHeight="1" s="65">
      <c r="C217" s="16" t="n"/>
      <c r="D217" s="16" t="n"/>
      <c r="E217" s="16" t="n"/>
      <c r="F217" s="103" t="n"/>
      <c r="G217" s="16" t="n"/>
      <c r="I217" s="39" t="n"/>
      <c r="J217" s="39" t="n"/>
      <c r="K217" s="39" t="n"/>
      <c r="L217" s="39" t="n"/>
      <c r="M217" s="39" t="n"/>
      <c r="N217" s="39" t="n"/>
      <c r="O217" s="39" t="n"/>
    </row>
    <row r="218" ht="21" customHeight="1" s="65">
      <c r="C218" s="16" t="n"/>
      <c r="D218" s="16" t="n"/>
      <c r="E218" s="16" t="n"/>
      <c r="F218" s="103" t="n"/>
      <c r="G218" s="16" t="n"/>
      <c r="I218" s="39" t="n"/>
      <c r="J218" s="39" t="n"/>
      <c r="K218" s="39" t="n"/>
      <c r="L218" s="39" t="n"/>
      <c r="M218" s="39" t="n"/>
      <c r="N218" s="39" t="n"/>
      <c r="O218" s="39" t="n"/>
    </row>
    <row r="219" ht="21" customHeight="1" s="65">
      <c r="C219" s="16" t="n"/>
      <c r="D219" s="16" t="n"/>
      <c r="E219" s="16" t="n"/>
      <c r="F219" s="103" t="n"/>
      <c r="G219" s="16" t="n"/>
      <c r="I219" s="39" t="n"/>
      <c r="J219" s="39" t="n"/>
      <c r="K219" s="39" t="n"/>
      <c r="L219" s="39" t="n"/>
      <c r="M219" s="39" t="n"/>
      <c r="N219" s="39" t="n"/>
      <c r="O219" s="39" t="n"/>
    </row>
    <row r="220" ht="21" customHeight="1" s="65">
      <c r="C220" s="16" t="n"/>
      <c r="D220" s="16" t="n"/>
      <c r="E220" s="16" t="n"/>
      <c r="F220" s="103" t="n"/>
      <c r="G220" s="16" t="n"/>
      <c r="I220" s="39" t="n"/>
      <c r="J220" s="39" t="n"/>
      <c r="K220" s="39" t="n"/>
      <c r="L220" s="39" t="n"/>
      <c r="M220" s="39" t="n"/>
      <c r="N220" s="39" t="n"/>
      <c r="O220" s="39" t="n"/>
    </row>
    <row r="221" ht="21" customHeight="1" s="65">
      <c r="C221" s="16" t="n"/>
      <c r="D221" s="16" t="n"/>
      <c r="E221" s="16" t="n"/>
      <c r="F221" s="103" t="n"/>
      <c r="G221" s="16" t="n"/>
      <c r="I221" s="39" t="n"/>
      <c r="J221" s="39" t="n"/>
      <c r="K221" s="39" t="n"/>
      <c r="L221" s="39" t="n"/>
      <c r="M221" s="39" t="n"/>
      <c r="N221" s="39" t="n"/>
      <c r="O221" s="39" t="n"/>
    </row>
    <row r="222" ht="21" customHeight="1" s="65">
      <c r="C222" s="16" t="n"/>
      <c r="D222" s="16" t="n"/>
      <c r="E222" s="16" t="n"/>
      <c r="F222" s="103" t="n"/>
      <c r="G222" s="16" t="n"/>
      <c r="I222" s="39" t="n"/>
      <c r="J222" s="39" t="n"/>
      <c r="K222" s="39" t="n"/>
      <c r="L222" s="39" t="n"/>
      <c r="M222" s="39" t="n"/>
      <c r="N222" s="39" t="n"/>
      <c r="O222" s="39" t="n"/>
    </row>
    <row r="223" ht="21" customHeight="1" s="65">
      <c r="C223" s="16" t="n"/>
      <c r="D223" s="16" t="n"/>
      <c r="E223" s="16" t="n"/>
      <c r="F223" s="103" t="n"/>
      <c r="G223" s="16" t="n"/>
      <c r="I223" s="39" t="n"/>
      <c r="J223" s="39" t="n"/>
      <c r="K223" s="39" t="n"/>
      <c r="L223" s="39" t="n"/>
      <c r="M223" s="39" t="n"/>
      <c r="N223" s="39" t="n"/>
      <c r="O223" s="39" t="n"/>
    </row>
    <row r="224" ht="21" customHeight="1" s="65">
      <c r="C224" s="16" t="n"/>
      <c r="D224" s="16" t="n"/>
      <c r="E224" s="16" t="n"/>
      <c r="F224" s="103" t="n"/>
      <c r="G224" s="16" t="n"/>
      <c r="I224" s="39" t="n"/>
      <c r="J224" s="39" t="n"/>
      <c r="K224" s="39" t="n"/>
      <c r="L224" s="39" t="n"/>
      <c r="M224" s="39" t="n"/>
      <c r="N224" s="39" t="n"/>
      <c r="O224" s="39" t="n"/>
    </row>
    <row r="225" ht="21" customHeight="1" s="65">
      <c r="C225" s="16" t="n"/>
      <c r="D225" s="16" t="n"/>
      <c r="E225" s="16" t="n"/>
      <c r="F225" s="103" t="n"/>
      <c r="G225" s="16" t="n"/>
      <c r="I225" s="39" t="n"/>
      <c r="J225" s="39" t="n"/>
      <c r="K225" s="39" t="n"/>
      <c r="L225" s="39" t="n"/>
      <c r="M225" s="39" t="n"/>
      <c r="N225" s="39" t="n"/>
      <c r="O225" s="39" t="n"/>
    </row>
    <row r="226" ht="21" customHeight="1" s="65">
      <c r="C226" s="16" t="n"/>
      <c r="D226" s="16" t="n"/>
      <c r="E226" s="16" t="n"/>
      <c r="F226" s="103" t="n"/>
      <c r="G226" s="16" t="n"/>
      <c r="I226" s="39" t="n"/>
      <c r="J226" s="39" t="n"/>
      <c r="K226" s="39" t="n"/>
      <c r="L226" s="39" t="n"/>
      <c r="M226" s="39" t="n"/>
      <c r="N226" s="39" t="n"/>
      <c r="O226" s="39" t="n"/>
    </row>
    <row r="227" ht="21" customHeight="1" s="65">
      <c r="C227" s="16" t="n"/>
      <c r="D227" s="16" t="n"/>
      <c r="E227" s="16" t="n"/>
      <c r="F227" s="103" t="n"/>
      <c r="G227" s="16" t="n"/>
      <c r="I227" s="39" t="n"/>
      <c r="J227" s="39" t="n"/>
      <c r="K227" s="39" t="n"/>
      <c r="L227" s="39" t="n"/>
      <c r="M227" s="39" t="n"/>
      <c r="N227" s="39" t="n"/>
      <c r="O227" s="39" t="n"/>
    </row>
    <row r="228" ht="21" customHeight="1" s="65">
      <c r="C228" s="16" t="n"/>
      <c r="D228" s="16" t="n"/>
      <c r="E228" s="16" t="n"/>
      <c r="F228" s="103" t="n"/>
      <c r="G228" s="16" t="n"/>
      <c r="I228" s="39" t="n"/>
      <c r="J228" s="39" t="n"/>
      <c r="K228" s="39" t="n"/>
      <c r="L228" s="39" t="n"/>
      <c r="M228" s="39" t="n"/>
      <c r="N228" s="39" t="n"/>
      <c r="O228" s="39" t="n"/>
    </row>
    <row r="229" ht="21" customHeight="1" s="65">
      <c r="C229" s="16" t="n"/>
      <c r="D229" s="16" t="n"/>
      <c r="E229" s="16" t="n"/>
      <c r="F229" s="103" t="n"/>
      <c r="G229" s="16" t="n"/>
      <c r="I229" s="39" t="n"/>
      <c r="J229" s="39" t="n"/>
      <c r="K229" s="39" t="n"/>
      <c r="L229" s="39" t="n"/>
      <c r="M229" s="39" t="n"/>
      <c r="N229" s="39" t="n"/>
      <c r="O229" s="39" t="n"/>
    </row>
    <row r="230" ht="21" customHeight="1" s="65">
      <c r="C230" s="16" t="n"/>
      <c r="D230" s="16" t="n"/>
      <c r="E230" s="16" t="n"/>
      <c r="F230" s="103" t="n"/>
      <c r="G230" s="16" t="n"/>
      <c r="I230" s="39" t="n"/>
      <c r="J230" s="39" t="n"/>
      <c r="K230" s="39" t="n"/>
      <c r="L230" s="39" t="n"/>
      <c r="M230" s="39" t="n"/>
      <c r="N230" s="39" t="n"/>
      <c r="O230" s="39" t="n"/>
    </row>
    <row r="231" ht="21" customHeight="1" s="65">
      <c r="C231" s="16" t="n"/>
      <c r="D231" s="16" t="n"/>
      <c r="E231" s="16" t="n"/>
      <c r="F231" s="103" t="n"/>
      <c r="G231" s="16" t="n"/>
      <c r="I231" s="39" t="n"/>
      <c r="J231" s="39" t="n"/>
      <c r="K231" s="39" t="n"/>
      <c r="L231" s="39" t="n"/>
      <c r="M231" s="39" t="n"/>
      <c r="N231" s="39" t="n"/>
      <c r="O231" s="39" t="n"/>
    </row>
    <row r="232" ht="21" customHeight="1" s="65">
      <c r="C232" s="16" t="n"/>
      <c r="D232" s="16" t="n"/>
      <c r="E232" s="16" t="n"/>
      <c r="F232" s="103" t="n"/>
      <c r="G232" s="16" t="n"/>
      <c r="I232" s="39" t="n"/>
      <c r="J232" s="39" t="n"/>
      <c r="K232" s="39" t="n"/>
      <c r="L232" s="39" t="n"/>
      <c r="M232" s="39" t="n"/>
      <c r="N232" s="39" t="n"/>
      <c r="O232" s="39" t="n"/>
    </row>
    <row r="233" ht="21" customHeight="1" s="65">
      <c r="C233" s="16" t="n"/>
      <c r="D233" s="16" t="n"/>
      <c r="E233" s="16" t="n"/>
      <c r="F233" s="103" t="n"/>
      <c r="G233" s="16" t="n"/>
      <c r="I233" s="39" t="n"/>
      <c r="J233" s="39" t="n"/>
      <c r="K233" s="39" t="n"/>
      <c r="L233" s="39" t="n"/>
      <c r="M233" s="39" t="n"/>
      <c r="N233" s="39" t="n"/>
      <c r="O233" s="39" t="n"/>
    </row>
    <row r="234" ht="21" customHeight="1" s="65">
      <c r="C234" s="16" t="n"/>
      <c r="D234" s="16" t="n"/>
      <c r="E234" s="16" t="n"/>
      <c r="F234" s="103" t="n"/>
      <c r="G234" s="16" t="n"/>
      <c r="I234" s="39" t="n"/>
      <c r="J234" s="39" t="n"/>
      <c r="K234" s="39" t="n"/>
      <c r="L234" s="39" t="n"/>
      <c r="M234" s="39" t="n"/>
      <c r="N234" s="39" t="n"/>
      <c r="O234" s="39" t="n"/>
    </row>
    <row r="235" ht="21" customHeight="1" s="65">
      <c r="C235" s="16" t="n"/>
      <c r="D235" s="16" t="n"/>
      <c r="E235" s="16" t="n"/>
      <c r="F235" s="103" t="n"/>
      <c r="G235" s="16" t="n"/>
      <c r="I235" s="39" t="n"/>
      <c r="J235" s="39" t="n"/>
      <c r="K235" s="39" t="n"/>
      <c r="L235" s="39" t="n"/>
      <c r="M235" s="39" t="n"/>
      <c r="N235" s="39" t="n"/>
      <c r="O235" s="39" t="n"/>
    </row>
    <row r="236" ht="21" customHeight="1" s="65">
      <c r="C236" s="16" t="n"/>
      <c r="D236" s="16" t="n"/>
      <c r="E236" s="16" t="n"/>
      <c r="F236" s="103" t="n"/>
      <c r="G236" s="16" t="n"/>
      <c r="I236" s="39" t="n"/>
      <c r="J236" s="39" t="n"/>
      <c r="K236" s="39" t="n"/>
      <c r="L236" s="39" t="n"/>
      <c r="M236" s="39" t="n"/>
      <c r="N236" s="39" t="n"/>
      <c r="O236" s="39" t="n"/>
    </row>
    <row r="237" ht="21" customHeight="1" s="65">
      <c r="C237" s="16" t="n"/>
      <c r="D237" s="16" t="n"/>
      <c r="E237" s="16" t="n"/>
      <c r="F237" s="103" t="n"/>
      <c r="G237" s="16" t="n"/>
      <c r="I237" s="39" t="n"/>
      <c r="J237" s="39" t="n"/>
      <c r="K237" s="39" t="n"/>
      <c r="L237" s="39" t="n"/>
      <c r="M237" s="39" t="n"/>
      <c r="N237" s="39" t="n"/>
      <c r="O237" s="39" t="n"/>
    </row>
    <row r="238" ht="21" customHeight="1" s="65">
      <c r="C238" s="16" t="n"/>
      <c r="D238" s="16" t="n"/>
      <c r="E238" s="16" t="n"/>
      <c r="F238" s="103" t="n"/>
      <c r="G238" s="16" t="n"/>
      <c r="I238" s="39" t="n"/>
      <c r="J238" s="39" t="n"/>
      <c r="K238" s="39" t="n"/>
      <c r="L238" s="39" t="n"/>
      <c r="M238" s="39" t="n"/>
      <c r="N238" s="39" t="n"/>
      <c r="O238" s="39" t="n"/>
    </row>
    <row r="239" ht="21" customHeight="1" s="65">
      <c r="C239" s="16" t="n"/>
      <c r="D239" s="16" t="n"/>
      <c r="E239" s="16" t="n"/>
      <c r="F239" s="103" t="n"/>
      <c r="G239" s="16" t="n"/>
      <c r="I239" s="39" t="n"/>
      <c r="J239" s="39" t="n"/>
      <c r="K239" s="39" t="n"/>
      <c r="L239" s="39" t="n"/>
      <c r="M239" s="39" t="n"/>
      <c r="N239" s="39" t="n"/>
      <c r="O239" s="39" t="n"/>
    </row>
    <row r="240" ht="21" customHeight="1" s="65">
      <c r="C240" s="16" t="n"/>
      <c r="D240" s="16" t="n"/>
      <c r="E240" s="16" t="n"/>
      <c r="F240" s="103" t="n"/>
      <c r="G240" s="16" t="n"/>
      <c r="I240" s="39" t="n"/>
      <c r="J240" s="39" t="n"/>
      <c r="K240" s="39" t="n"/>
      <c r="L240" s="39" t="n"/>
      <c r="M240" s="39" t="n"/>
      <c r="N240" s="39" t="n"/>
      <c r="O240" s="39" t="n"/>
    </row>
    <row r="241" ht="21" customHeight="1" s="65">
      <c r="C241" s="16" t="n"/>
      <c r="D241" s="16" t="n"/>
      <c r="E241" s="16" t="n"/>
      <c r="F241" s="103" t="n"/>
      <c r="G241" s="16" t="n"/>
      <c r="I241" s="39" t="n"/>
      <c r="J241" s="39" t="n"/>
      <c r="K241" s="39" t="n"/>
      <c r="L241" s="39" t="n"/>
      <c r="M241" s="39" t="n"/>
      <c r="N241" s="39" t="n"/>
      <c r="O241" s="39" t="n"/>
    </row>
    <row r="242" ht="21" customHeight="1" s="65">
      <c r="C242" s="16" t="n"/>
      <c r="D242" s="16" t="n"/>
      <c r="E242" s="16" t="n"/>
      <c r="F242" s="103" t="n"/>
      <c r="G242" s="16" t="n"/>
      <c r="I242" s="39" t="n"/>
      <c r="J242" s="39" t="n"/>
      <c r="K242" s="39" t="n"/>
      <c r="L242" s="39" t="n"/>
      <c r="M242" s="39" t="n"/>
      <c r="N242" s="39" t="n"/>
      <c r="O242" s="39" t="n"/>
    </row>
    <row r="243" ht="21" customHeight="1" s="65">
      <c r="C243" s="16" t="n"/>
      <c r="D243" s="16" t="n"/>
      <c r="E243" s="16" t="n"/>
      <c r="F243" s="103" t="n"/>
      <c r="G243" s="16" t="n"/>
      <c r="I243" s="39" t="n"/>
      <c r="J243" s="39" t="n"/>
      <c r="K243" s="39" t="n"/>
      <c r="L243" s="39" t="n"/>
      <c r="M243" s="39" t="n"/>
      <c r="N243" s="39" t="n"/>
      <c r="O243" s="39" t="n"/>
    </row>
    <row r="244" ht="21" customHeight="1" s="65">
      <c r="C244" s="16" t="n"/>
      <c r="D244" s="16" t="n"/>
      <c r="E244" s="16" t="n"/>
      <c r="F244" s="103" t="n"/>
      <c r="G244" s="16" t="n"/>
      <c r="I244" s="39" t="n"/>
      <c r="J244" s="39" t="n"/>
      <c r="K244" s="39" t="n"/>
      <c r="L244" s="39" t="n"/>
      <c r="M244" s="39" t="n"/>
      <c r="N244" s="39" t="n"/>
      <c r="O244" s="39" t="n"/>
    </row>
    <row r="245" ht="21" customHeight="1" s="65">
      <c r="C245" s="16" t="n"/>
      <c r="D245" s="16" t="n"/>
      <c r="E245" s="16" t="n"/>
      <c r="F245" s="103" t="n"/>
      <c r="G245" s="16" t="n"/>
      <c r="I245" s="39" t="n"/>
      <c r="J245" s="39" t="n"/>
      <c r="K245" s="39" t="n"/>
      <c r="L245" s="39" t="n"/>
      <c r="M245" s="39" t="n"/>
      <c r="N245" s="39" t="n"/>
      <c r="O245" s="39" t="n"/>
    </row>
    <row r="246" ht="21" customHeight="1" s="65">
      <c r="C246" s="16" t="n"/>
      <c r="D246" s="16" t="n"/>
      <c r="E246" s="16" t="n"/>
      <c r="F246" s="103" t="n"/>
      <c r="G246" s="16" t="n"/>
      <c r="I246" s="39" t="n"/>
      <c r="J246" s="39" t="n"/>
      <c r="K246" s="39" t="n"/>
      <c r="L246" s="39" t="n"/>
      <c r="M246" s="39" t="n"/>
      <c r="N246" s="39" t="n"/>
      <c r="O246" s="39" t="n"/>
    </row>
    <row r="247" ht="21" customHeight="1" s="65">
      <c r="C247" s="16" t="n"/>
      <c r="D247" s="16" t="n"/>
      <c r="E247" s="16" t="n"/>
      <c r="F247" s="103" t="n"/>
      <c r="G247" s="16" t="n"/>
      <c r="I247" s="39" t="n"/>
      <c r="J247" s="39" t="n"/>
      <c r="K247" s="39" t="n"/>
      <c r="L247" s="39" t="n"/>
      <c r="M247" s="39" t="n"/>
      <c r="N247" s="39" t="n"/>
      <c r="O247" s="39" t="n"/>
    </row>
    <row r="248" ht="21" customHeight="1" s="65">
      <c r="C248" s="16" t="n"/>
      <c r="D248" s="16" t="n"/>
      <c r="E248" s="16" t="n"/>
      <c r="F248" s="103" t="n"/>
      <c r="G248" s="16" t="n"/>
      <c r="I248" s="39" t="n"/>
      <c r="J248" s="39" t="n"/>
      <c r="K248" s="39" t="n"/>
      <c r="L248" s="39" t="n"/>
      <c r="M248" s="39" t="n"/>
      <c r="N248" s="39" t="n"/>
      <c r="O248" s="39" t="n"/>
    </row>
    <row r="249" ht="21" customHeight="1" s="65">
      <c r="C249" s="16" t="n"/>
      <c r="D249" s="16" t="n"/>
      <c r="E249" s="16" t="n"/>
      <c r="F249" s="103" t="n"/>
      <c r="G249" s="16" t="n"/>
      <c r="I249" s="39" t="n"/>
      <c r="J249" s="39" t="n"/>
      <c r="K249" s="39" t="n"/>
      <c r="L249" s="39" t="n"/>
      <c r="M249" s="39" t="n"/>
      <c r="N249" s="39" t="n"/>
      <c r="O249" s="39" t="n"/>
    </row>
    <row r="250" ht="21" customHeight="1" s="65">
      <c r="C250" s="16" t="n"/>
      <c r="D250" s="16" t="n"/>
      <c r="E250" s="16" t="n"/>
      <c r="F250" s="103" t="n"/>
      <c r="G250" s="16" t="n"/>
      <c r="I250" s="39" t="n"/>
      <c r="J250" s="39" t="n"/>
      <c r="K250" s="39" t="n"/>
      <c r="L250" s="39" t="n"/>
      <c r="M250" s="39" t="n"/>
      <c r="N250" s="39" t="n"/>
      <c r="O250" s="39" t="n"/>
    </row>
    <row r="251" ht="21" customHeight="1" s="65">
      <c r="C251" s="16" t="n"/>
      <c r="D251" s="16" t="n"/>
      <c r="E251" s="16" t="n"/>
      <c r="F251" s="103" t="n"/>
      <c r="G251" s="16" t="n"/>
      <c r="I251" s="39" t="n"/>
      <c r="J251" s="39" t="n"/>
      <c r="K251" s="39" t="n"/>
      <c r="L251" s="39" t="n"/>
      <c r="M251" s="39" t="n"/>
      <c r="N251" s="39" t="n"/>
      <c r="O251" s="39" t="n"/>
    </row>
    <row r="252" ht="21" customHeight="1" s="65">
      <c r="C252" s="16" t="n"/>
      <c r="D252" s="16" t="n"/>
      <c r="E252" s="16" t="n"/>
      <c r="F252" s="103" t="n"/>
      <c r="G252" s="16" t="n"/>
      <c r="I252" s="39" t="n"/>
      <c r="J252" s="39" t="n"/>
      <c r="K252" s="39" t="n"/>
      <c r="L252" s="39" t="n"/>
      <c r="M252" s="39" t="n"/>
      <c r="N252" s="39" t="n"/>
      <c r="O252" s="39" t="n"/>
    </row>
    <row r="253" ht="21" customHeight="1" s="65">
      <c r="C253" s="16" t="n"/>
      <c r="D253" s="16" t="n"/>
      <c r="E253" s="16" t="n"/>
      <c r="F253" s="103" t="n"/>
      <c r="G253" s="16" t="n"/>
      <c r="I253" s="39" t="n"/>
      <c r="J253" s="39" t="n"/>
      <c r="K253" s="39" t="n"/>
      <c r="L253" s="39" t="n"/>
      <c r="M253" s="39" t="n"/>
      <c r="N253" s="39" t="n"/>
      <c r="O253" s="39" t="n"/>
    </row>
    <row r="254" ht="21" customHeight="1" s="65">
      <c r="C254" s="16" t="n"/>
      <c r="D254" s="16" t="n"/>
      <c r="E254" s="16" t="n"/>
      <c r="F254" s="103" t="n"/>
      <c r="G254" s="16" t="n"/>
      <c r="I254" s="39" t="n"/>
      <c r="J254" s="39" t="n"/>
      <c r="K254" s="39" t="n"/>
      <c r="L254" s="39" t="n"/>
      <c r="M254" s="39" t="n"/>
      <c r="N254" s="39" t="n"/>
      <c r="O254" s="39" t="n"/>
    </row>
    <row r="255" ht="21" customHeight="1" s="65">
      <c r="C255" s="16" t="n"/>
      <c r="D255" s="16" t="n"/>
      <c r="E255" s="16" t="n"/>
      <c r="F255" s="103" t="n"/>
      <c r="G255" s="16" t="n"/>
      <c r="I255" s="39" t="n"/>
      <c r="J255" s="39" t="n"/>
      <c r="K255" s="39" t="n"/>
      <c r="L255" s="39" t="n"/>
      <c r="M255" s="39" t="n"/>
      <c r="N255" s="39" t="n"/>
      <c r="O255" s="39" t="n"/>
    </row>
    <row r="256" ht="21" customHeight="1" s="65">
      <c r="C256" s="16" t="n"/>
      <c r="D256" s="16" t="n"/>
      <c r="E256" s="16" t="n"/>
      <c r="F256" s="103" t="n"/>
      <c r="G256" s="16" t="n"/>
      <c r="I256" s="39" t="n"/>
      <c r="J256" s="39" t="n"/>
      <c r="K256" s="39" t="n"/>
      <c r="L256" s="39" t="n"/>
      <c r="M256" s="39" t="n"/>
      <c r="N256" s="39" t="n"/>
      <c r="O256" s="39" t="n"/>
    </row>
    <row r="257" ht="21" customHeight="1" s="65">
      <c r="C257" s="16" t="n"/>
      <c r="D257" s="16" t="n"/>
      <c r="E257" s="16" t="n"/>
      <c r="F257" s="103" t="n"/>
      <c r="G257" s="16" t="n"/>
      <c r="I257" s="39" t="n"/>
      <c r="J257" s="39" t="n"/>
      <c r="K257" s="39" t="n"/>
      <c r="L257" s="39" t="n"/>
      <c r="M257" s="39" t="n"/>
      <c r="N257" s="39" t="n"/>
      <c r="O257" s="39" t="n"/>
    </row>
    <row r="258" ht="21" customHeight="1" s="65">
      <c r="C258" s="16" t="n"/>
      <c r="D258" s="16" t="n"/>
      <c r="E258" s="16" t="n"/>
      <c r="F258" s="103" t="n"/>
      <c r="G258" s="16" t="n"/>
      <c r="I258" s="39" t="n"/>
      <c r="J258" s="39" t="n"/>
      <c r="K258" s="39" t="n"/>
      <c r="L258" s="39" t="n"/>
      <c r="M258" s="39" t="n"/>
      <c r="N258" s="39" t="n"/>
      <c r="O258" s="39" t="n"/>
    </row>
    <row r="259" ht="21" customHeight="1" s="65">
      <c r="C259" s="16" t="n"/>
      <c r="D259" s="16" t="n"/>
      <c r="E259" s="16" t="n"/>
      <c r="F259" s="103" t="n"/>
      <c r="G259" s="16" t="n"/>
      <c r="I259" s="39" t="n"/>
      <c r="J259" s="39" t="n"/>
      <c r="K259" s="39" t="n"/>
      <c r="L259" s="39" t="n"/>
      <c r="M259" s="39" t="n"/>
      <c r="N259" s="39" t="n"/>
      <c r="O259" s="39" t="n"/>
    </row>
    <row r="260" ht="21" customHeight="1" s="65">
      <c r="C260" s="16" t="n"/>
      <c r="D260" s="16" t="n"/>
      <c r="E260" s="16" t="n"/>
      <c r="F260" s="103" t="n"/>
      <c r="G260" s="16" t="n"/>
      <c r="I260" s="39" t="n"/>
      <c r="J260" s="39" t="n"/>
      <c r="K260" s="39" t="n"/>
      <c r="L260" s="39" t="n"/>
      <c r="M260" s="39" t="n"/>
      <c r="N260" s="39" t="n"/>
      <c r="O260" s="39" t="n"/>
    </row>
    <row r="261" ht="21" customHeight="1" s="65">
      <c r="C261" s="16" t="n"/>
      <c r="D261" s="16" t="n"/>
      <c r="E261" s="16" t="n"/>
      <c r="F261" s="103" t="n"/>
      <c r="G261" s="16" t="n"/>
      <c r="I261" s="39" t="n"/>
      <c r="J261" s="39" t="n"/>
      <c r="K261" s="39" t="n"/>
      <c r="L261" s="39" t="n"/>
      <c r="M261" s="39" t="n"/>
      <c r="N261" s="39" t="n"/>
      <c r="O261" s="39" t="n"/>
    </row>
    <row r="262" ht="21" customHeight="1" s="65">
      <c r="C262" s="16" t="n"/>
      <c r="D262" s="16" t="n"/>
      <c r="E262" s="16" t="n"/>
      <c r="F262" s="103" t="n"/>
      <c r="G262" s="16" t="n"/>
      <c r="I262" s="39" t="n"/>
      <c r="J262" s="39" t="n"/>
      <c r="K262" s="39" t="n"/>
      <c r="L262" s="39" t="n"/>
      <c r="M262" s="39" t="n"/>
      <c r="N262" s="39" t="n"/>
      <c r="O262" s="39" t="n"/>
    </row>
    <row r="263" ht="21" customHeight="1" s="65">
      <c r="C263" s="16" t="n"/>
      <c r="D263" s="16" t="n"/>
      <c r="E263" s="16" t="n"/>
      <c r="F263" s="103" t="n"/>
      <c r="G263" s="16" t="n"/>
      <c r="I263" s="39" t="n"/>
      <c r="J263" s="39" t="n"/>
      <c r="K263" s="39" t="n"/>
      <c r="L263" s="39" t="n"/>
      <c r="M263" s="39" t="n"/>
      <c r="N263" s="39" t="n"/>
      <c r="O263" s="39" t="n"/>
    </row>
    <row r="264" ht="21" customHeight="1" s="65">
      <c r="C264" s="16" t="n"/>
      <c r="D264" s="16" t="n"/>
      <c r="E264" s="16" t="n"/>
      <c r="F264" s="103" t="n"/>
      <c r="G264" s="16" t="n"/>
      <c r="I264" s="39" t="n"/>
      <c r="J264" s="39" t="n"/>
      <c r="K264" s="39" t="n"/>
      <c r="L264" s="39" t="n"/>
      <c r="M264" s="39" t="n"/>
      <c r="N264" s="39" t="n"/>
      <c r="O264" s="39" t="n"/>
    </row>
    <row r="265" ht="21" customHeight="1" s="65">
      <c r="C265" s="16" t="n"/>
      <c r="D265" s="16" t="n"/>
      <c r="E265" s="16" t="n"/>
      <c r="F265" s="103" t="n"/>
      <c r="G265" s="16" t="n"/>
      <c r="I265" s="39" t="n"/>
      <c r="J265" s="39" t="n"/>
      <c r="K265" s="39" t="n"/>
      <c r="L265" s="39" t="n"/>
      <c r="M265" s="39" t="n"/>
      <c r="N265" s="39" t="n"/>
      <c r="O265" s="39" t="n"/>
    </row>
    <row r="266" ht="21" customHeight="1" s="65">
      <c r="C266" s="16" t="n"/>
      <c r="D266" s="16" t="n"/>
      <c r="E266" s="16" t="n"/>
      <c r="F266" s="103" t="n"/>
      <c r="G266" s="16" t="n"/>
      <c r="I266" s="39" t="n"/>
      <c r="J266" s="39" t="n"/>
      <c r="K266" s="39" t="n"/>
      <c r="L266" s="39" t="n"/>
      <c r="M266" s="39" t="n"/>
      <c r="N266" s="39" t="n"/>
      <c r="O266" s="39" t="n"/>
    </row>
    <row r="267" ht="21" customHeight="1" s="65">
      <c r="C267" s="16" t="n"/>
      <c r="D267" s="16" t="n"/>
      <c r="E267" s="16" t="n"/>
      <c r="F267" s="103" t="n"/>
      <c r="G267" s="16" t="n"/>
      <c r="I267" s="39" t="n"/>
      <c r="J267" s="39" t="n"/>
      <c r="K267" s="39" t="n"/>
      <c r="L267" s="39" t="n"/>
      <c r="M267" s="39" t="n"/>
      <c r="N267" s="39" t="n"/>
      <c r="O267" s="39" t="n"/>
    </row>
    <row r="268" ht="21" customHeight="1" s="65">
      <c r="C268" s="16" t="n"/>
      <c r="D268" s="16" t="n"/>
      <c r="E268" s="16" t="n"/>
      <c r="F268" s="103" t="n"/>
      <c r="G268" s="16" t="n"/>
      <c r="I268" s="39" t="n"/>
      <c r="J268" s="39" t="n"/>
      <c r="K268" s="39" t="n"/>
      <c r="L268" s="39" t="n"/>
      <c r="M268" s="39" t="n"/>
      <c r="N268" s="39" t="n"/>
      <c r="O268" s="39" t="n"/>
    </row>
    <row r="269" ht="21" customHeight="1" s="65">
      <c r="C269" s="16" t="n"/>
      <c r="D269" s="16" t="n"/>
      <c r="E269" s="16" t="n"/>
      <c r="F269" s="103" t="n"/>
      <c r="G269" s="16" t="n"/>
      <c r="I269" s="39" t="n"/>
      <c r="J269" s="39" t="n"/>
      <c r="K269" s="39" t="n"/>
      <c r="L269" s="39" t="n"/>
      <c r="M269" s="39" t="n"/>
      <c r="N269" s="39" t="n"/>
      <c r="O269" s="39" t="n"/>
    </row>
    <row r="270" ht="21" customHeight="1" s="65">
      <c r="C270" s="16" t="n"/>
      <c r="D270" s="16" t="n"/>
      <c r="E270" s="16" t="n"/>
      <c r="F270" s="103" t="n"/>
      <c r="G270" s="16" t="n"/>
      <c r="I270" s="39" t="n"/>
      <c r="J270" s="39" t="n"/>
      <c r="K270" s="39" t="n"/>
      <c r="L270" s="39" t="n"/>
      <c r="M270" s="39" t="n"/>
      <c r="N270" s="39" t="n"/>
      <c r="O270" s="39" t="n"/>
    </row>
    <row r="271" ht="21" customHeight="1" s="65">
      <c r="C271" s="16" t="n"/>
      <c r="D271" s="16" t="n"/>
      <c r="E271" s="16" t="n"/>
      <c r="F271" s="103" t="n"/>
      <c r="G271" s="16" t="n"/>
      <c r="I271" s="39" t="n"/>
      <c r="J271" s="39" t="n"/>
      <c r="K271" s="39" t="n"/>
      <c r="L271" s="39" t="n"/>
      <c r="M271" s="39" t="n"/>
      <c r="N271" s="39" t="n"/>
      <c r="O271" s="39" t="n"/>
    </row>
    <row r="272" ht="21" customHeight="1" s="65">
      <c r="C272" s="16" t="n"/>
      <c r="D272" s="16" t="n"/>
      <c r="E272" s="16" t="n"/>
      <c r="F272" s="103" t="n"/>
      <c r="G272" s="16" t="n"/>
      <c r="I272" s="39" t="n"/>
      <c r="J272" s="39" t="n"/>
      <c r="K272" s="39" t="n"/>
      <c r="L272" s="39" t="n"/>
      <c r="M272" s="39" t="n"/>
      <c r="N272" s="39" t="n"/>
      <c r="O272" s="39" t="n"/>
    </row>
    <row r="273" ht="21" customHeight="1" s="65">
      <c r="C273" s="16" t="n"/>
      <c r="D273" s="16" t="n"/>
      <c r="E273" s="16" t="n"/>
      <c r="F273" s="103" t="n"/>
      <c r="G273" s="16" t="n"/>
      <c r="I273" s="39" t="n"/>
      <c r="J273" s="39" t="n"/>
      <c r="K273" s="39" t="n"/>
      <c r="L273" s="39" t="n"/>
      <c r="M273" s="39" t="n"/>
      <c r="N273" s="39" t="n"/>
      <c r="O273" s="39" t="n"/>
    </row>
    <row r="274" ht="21" customHeight="1" s="65">
      <c r="C274" s="16" t="n"/>
      <c r="D274" s="16" t="n"/>
      <c r="E274" s="16" t="n"/>
      <c r="F274" s="103" t="n"/>
      <c r="G274" s="16" t="n"/>
      <c r="I274" s="39" t="n"/>
      <c r="J274" s="39" t="n"/>
      <c r="K274" s="39" t="n"/>
      <c r="L274" s="39" t="n"/>
      <c r="M274" s="39" t="n"/>
      <c r="N274" s="39" t="n"/>
      <c r="O274" s="39" t="n"/>
    </row>
    <row r="275" ht="21" customHeight="1" s="65">
      <c r="C275" s="16" t="n"/>
      <c r="D275" s="16" t="n"/>
      <c r="E275" s="16" t="n"/>
      <c r="F275" s="103" t="n"/>
      <c r="G275" s="16" t="n"/>
      <c r="I275" s="39" t="n"/>
      <c r="J275" s="39" t="n"/>
      <c r="K275" s="39" t="n"/>
      <c r="L275" s="39" t="n"/>
      <c r="M275" s="39" t="n"/>
      <c r="N275" s="39" t="n"/>
      <c r="O275" s="39" t="n"/>
    </row>
    <row r="276" ht="21" customHeight="1" s="65">
      <c r="C276" s="16" t="n"/>
      <c r="D276" s="16" t="n"/>
      <c r="E276" s="16" t="n"/>
      <c r="F276" s="103" t="n"/>
      <c r="G276" s="16" t="n"/>
      <c r="I276" s="39" t="n"/>
      <c r="J276" s="39" t="n"/>
      <c r="K276" s="39" t="n"/>
      <c r="L276" s="39" t="n"/>
      <c r="M276" s="39" t="n"/>
      <c r="N276" s="39" t="n"/>
      <c r="O276" s="39" t="n"/>
    </row>
    <row r="277" ht="21" customHeight="1" s="65">
      <c r="C277" s="16" t="n"/>
      <c r="D277" s="16" t="n"/>
      <c r="E277" s="16" t="n"/>
      <c r="F277" s="103" t="n"/>
      <c r="G277" s="16" t="n"/>
      <c r="I277" s="39" t="n"/>
      <c r="J277" s="39" t="n"/>
      <c r="K277" s="39" t="n"/>
      <c r="L277" s="39" t="n"/>
      <c r="M277" s="39" t="n"/>
      <c r="N277" s="39" t="n"/>
      <c r="O277" s="39" t="n"/>
    </row>
    <row r="278" ht="21" customHeight="1" s="65">
      <c r="C278" s="16" t="n"/>
      <c r="D278" s="16" t="n"/>
      <c r="E278" s="16" t="n"/>
      <c r="F278" s="103" t="n"/>
      <c r="G278" s="16" t="n"/>
      <c r="I278" s="39" t="n"/>
      <c r="J278" s="39" t="n"/>
      <c r="K278" s="39" t="n"/>
      <c r="L278" s="39" t="n"/>
      <c r="M278" s="39" t="n"/>
      <c r="N278" s="39" t="n"/>
      <c r="O278" s="39" t="n"/>
    </row>
    <row r="279" ht="21" customHeight="1" s="65">
      <c r="C279" s="16" t="n"/>
      <c r="D279" s="16" t="n"/>
      <c r="E279" s="16" t="n"/>
      <c r="F279" s="103" t="n"/>
      <c r="G279" s="16" t="n"/>
      <c r="I279" s="39" t="n"/>
      <c r="J279" s="39" t="n"/>
      <c r="K279" s="39" t="n"/>
      <c r="L279" s="39" t="n"/>
      <c r="M279" s="39" t="n"/>
      <c r="N279" s="39" t="n"/>
      <c r="O279" s="39" t="n"/>
    </row>
    <row r="280" ht="21" customHeight="1" s="65">
      <c r="C280" s="16" t="n"/>
      <c r="D280" s="16" t="n"/>
      <c r="E280" s="16" t="n"/>
      <c r="F280" s="103" t="n"/>
      <c r="G280" s="16" t="n"/>
      <c r="I280" s="39" t="n"/>
      <c r="J280" s="39" t="n"/>
      <c r="K280" s="39" t="n"/>
      <c r="L280" s="39" t="n"/>
      <c r="M280" s="39" t="n"/>
      <c r="N280" s="39" t="n"/>
      <c r="O280" s="39" t="n"/>
    </row>
    <row r="281" ht="21" customHeight="1" s="65">
      <c r="C281" s="16" t="n"/>
      <c r="D281" s="16" t="n"/>
      <c r="E281" s="16" t="n"/>
      <c r="F281" s="103" t="n"/>
      <c r="G281" s="16" t="n"/>
      <c r="I281" s="39" t="n"/>
      <c r="J281" s="39" t="n"/>
      <c r="K281" s="39" t="n"/>
      <c r="L281" s="39" t="n"/>
      <c r="M281" s="39" t="n"/>
      <c r="N281" s="39" t="n"/>
      <c r="O281" s="39" t="n"/>
    </row>
    <row r="282" ht="21" customHeight="1" s="65">
      <c r="C282" s="16" t="n"/>
      <c r="D282" s="16" t="n"/>
      <c r="E282" s="16" t="n"/>
      <c r="F282" s="103" t="n"/>
      <c r="G282" s="16" t="n"/>
      <c r="I282" s="39" t="n"/>
      <c r="J282" s="39" t="n"/>
      <c r="K282" s="39" t="n"/>
      <c r="L282" s="39" t="n"/>
      <c r="M282" s="39" t="n"/>
      <c r="N282" s="39" t="n"/>
      <c r="O282" s="39" t="n"/>
    </row>
    <row r="283" ht="21" customHeight="1" s="65">
      <c r="C283" s="16" t="n"/>
      <c r="D283" s="16" t="n"/>
      <c r="E283" s="16" t="n"/>
      <c r="F283" s="103" t="n"/>
      <c r="G283" s="16" t="n"/>
      <c r="I283" s="39" t="n"/>
      <c r="J283" s="39" t="n"/>
      <c r="K283" s="39" t="n"/>
      <c r="L283" s="39" t="n"/>
      <c r="M283" s="39" t="n"/>
      <c r="N283" s="39" t="n"/>
      <c r="O283" s="39" t="n"/>
    </row>
    <row r="284" ht="21" customHeight="1" s="65">
      <c r="C284" s="16" t="n"/>
      <c r="D284" s="16" t="n"/>
      <c r="E284" s="16" t="n"/>
      <c r="F284" s="103" t="n"/>
      <c r="G284" s="16" t="n"/>
      <c r="I284" s="39" t="n"/>
      <c r="J284" s="39" t="n"/>
      <c r="K284" s="39" t="n"/>
      <c r="L284" s="39" t="n"/>
      <c r="M284" s="39" t="n"/>
      <c r="N284" s="39" t="n"/>
      <c r="O284" s="39" t="n"/>
    </row>
    <row r="285" ht="21" customHeight="1" s="65">
      <c r="C285" s="16" t="n"/>
      <c r="D285" s="16" t="n"/>
      <c r="E285" s="16" t="n"/>
      <c r="F285" s="103" t="n"/>
      <c r="G285" s="16" t="n"/>
      <c r="I285" s="39" t="n"/>
      <c r="J285" s="39" t="n"/>
      <c r="K285" s="39" t="n"/>
      <c r="L285" s="39" t="n"/>
      <c r="M285" s="39" t="n"/>
      <c r="N285" s="39" t="n"/>
      <c r="O285" s="39" t="n"/>
    </row>
    <row r="286" ht="21" customHeight="1" s="65">
      <c r="C286" s="16" t="n"/>
      <c r="D286" s="16" t="n"/>
      <c r="E286" s="16" t="n"/>
      <c r="F286" s="103" t="n"/>
      <c r="G286" s="16" t="n"/>
      <c r="I286" s="39" t="n"/>
      <c r="J286" s="39" t="n"/>
      <c r="K286" s="39" t="n"/>
      <c r="L286" s="39" t="n"/>
      <c r="M286" s="39" t="n"/>
      <c r="N286" s="39" t="n"/>
      <c r="O286" s="39" t="n"/>
    </row>
    <row r="287" ht="21" customHeight="1" s="65">
      <c r="C287" s="16" t="n"/>
      <c r="D287" s="16" t="n"/>
      <c r="E287" s="16" t="n"/>
      <c r="F287" s="103" t="n"/>
      <c r="G287" s="16" t="n"/>
      <c r="I287" s="39" t="n"/>
      <c r="J287" s="39" t="n"/>
      <c r="K287" s="39" t="n"/>
      <c r="L287" s="39" t="n"/>
      <c r="M287" s="39" t="n"/>
      <c r="N287" s="39" t="n"/>
      <c r="O287" s="39" t="n"/>
    </row>
    <row r="288" ht="21" customHeight="1" s="65">
      <c r="C288" s="16" t="n"/>
      <c r="D288" s="16" t="n"/>
      <c r="E288" s="16" t="n"/>
      <c r="F288" s="103" t="n"/>
      <c r="G288" s="16" t="n"/>
      <c r="I288" s="39" t="n"/>
      <c r="J288" s="39" t="n"/>
      <c r="K288" s="39" t="n"/>
      <c r="L288" s="39" t="n"/>
      <c r="M288" s="39" t="n"/>
      <c r="N288" s="39" t="n"/>
      <c r="O288" s="39" t="n"/>
    </row>
    <row r="289" ht="21" customHeight="1" s="65">
      <c r="C289" s="16" t="n"/>
      <c r="D289" s="16" t="n"/>
      <c r="E289" s="16" t="n"/>
      <c r="F289" s="103" t="n"/>
      <c r="G289" s="16" t="n"/>
      <c r="I289" s="39" t="n"/>
      <c r="J289" s="39" t="n"/>
      <c r="K289" s="39" t="n"/>
      <c r="L289" s="39" t="n"/>
      <c r="M289" s="39" t="n"/>
      <c r="N289" s="39" t="n"/>
      <c r="O289" s="39" t="n"/>
    </row>
    <row r="290" ht="21" customHeight="1" s="65">
      <c r="C290" s="16" t="n"/>
      <c r="D290" s="16" t="n"/>
      <c r="E290" s="16" t="n"/>
      <c r="F290" s="103" t="n"/>
      <c r="G290" s="16" t="n"/>
      <c r="I290" s="39" t="n"/>
      <c r="J290" s="39" t="n"/>
      <c r="K290" s="39" t="n"/>
      <c r="L290" s="39" t="n"/>
      <c r="M290" s="39" t="n"/>
      <c r="N290" s="39" t="n"/>
      <c r="O290" s="39" t="n"/>
    </row>
    <row r="291" ht="21" customHeight="1" s="65">
      <c r="C291" s="16" t="n"/>
      <c r="D291" s="16" t="n"/>
      <c r="E291" s="16" t="n"/>
      <c r="F291" s="103" t="n"/>
      <c r="G291" s="16" t="n"/>
      <c r="I291" s="39" t="n"/>
      <c r="J291" s="39" t="n"/>
      <c r="K291" s="39" t="n"/>
      <c r="L291" s="39" t="n"/>
      <c r="M291" s="39" t="n"/>
      <c r="N291" s="39" t="n"/>
      <c r="O291" s="39" t="n"/>
    </row>
    <row r="292" ht="21" customHeight="1" s="65">
      <c r="C292" s="16" t="n"/>
      <c r="D292" s="16" t="n"/>
      <c r="E292" s="16" t="n"/>
      <c r="F292" s="103" t="n"/>
      <c r="G292" s="16" t="n"/>
      <c r="I292" s="39" t="n"/>
      <c r="J292" s="39" t="n"/>
      <c r="K292" s="39" t="n"/>
      <c r="L292" s="39" t="n"/>
      <c r="M292" s="39" t="n"/>
      <c r="N292" s="39" t="n"/>
      <c r="O292" s="39" t="n"/>
    </row>
    <row r="293" ht="21" customHeight="1" s="65">
      <c r="C293" s="16" t="n"/>
      <c r="D293" s="16" t="n"/>
      <c r="E293" s="16" t="n"/>
      <c r="F293" s="103" t="n"/>
      <c r="G293" s="16" t="n"/>
      <c r="I293" s="39" t="n"/>
      <c r="J293" s="39" t="n"/>
      <c r="K293" s="39" t="n"/>
      <c r="L293" s="39" t="n"/>
      <c r="M293" s="39" t="n"/>
      <c r="N293" s="39" t="n"/>
      <c r="O293" s="39" t="n"/>
    </row>
    <row r="294" ht="21" customHeight="1" s="65">
      <c r="C294" s="16" t="n"/>
      <c r="D294" s="16" t="n"/>
      <c r="E294" s="16" t="n"/>
      <c r="F294" s="103" t="n"/>
      <c r="G294" s="16" t="n"/>
      <c r="I294" s="39" t="n"/>
      <c r="J294" s="39" t="n"/>
      <c r="K294" s="39" t="n"/>
      <c r="L294" s="39" t="n"/>
      <c r="M294" s="39" t="n"/>
      <c r="N294" s="39" t="n"/>
      <c r="O294" s="39" t="n"/>
    </row>
    <row r="295" ht="21" customHeight="1" s="65">
      <c r="C295" s="16" t="n"/>
      <c r="D295" s="16" t="n"/>
      <c r="E295" s="16" t="n"/>
      <c r="F295" s="103" t="n"/>
      <c r="G295" s="16" t="n"/>
      <c r="I295" s="39" t="n"/>
      <c r="J295" s="39" t="n"/>
      <c r="K295" s="39" t="n"/>
      <c r="L295" s="39" t="n"/>
      <c r="M295" s="39" t="n"/>
      <c r="N295" s="39" t="n"/>
      <c r="O295" s="39" t="n"/>
    </row>
    <row r="296" ht="21" customHeight="1" s="65">
      <c r="C296" s="16" t="n"/>
      <c r="D296" s="16" t="n"/>
      <c r="E296" s="16" t="n"/>
      <c r="F296" s="103" t="n"/>
      <c r="G296" s="16" t="n"/>
      <c r="I296" s="39" t="n"/>
      <c r="J296" s="39" t="n"/>
      <c r="K296" s="39" t="n"/>
      <c r="L296" s="39" t="n"/>
      <c r="M296" s="39" t="n"/>
      <c r="N296" s="39" t="n"/>
      <c r="O296" s="39" t="n"/>
    </row>
    <row r="297" ht="21" customHeight="1" s="65">
      <c r="C297" s="16" t="n"/>
      <c r="D297" s="16" t="n"/>
      <c r="E297" s="16" t="n"/>
      <c r="F297" s="103" t="n"/>
      <c r="G297" s="16" t="n"/>
      <c r="I297" s="39" t="n"/>
      <c r="J297" s="39" t="n"/>
      <c r="K297" s="39" t="n"/>
      <c r="L297" s="39" t="n"/>
      <c r="M297" s="39" t="n"/>
      <c r="N297" s="39" t="n"/>
      <c r="O297" s="39" t="n"/>
    </row>
    <row r="298" ht="21" customHeight="1" s="65">
      <c r="C298" s="16" t="n"/>
      <c r="D298" s="16" t="n"/>
      <c r="E298" s="16" t="n"/>
      <c r="F298" s="103" t="n"/>
      <c r="G298" s="16" t="n"/>
      <c r="I298" s="39" t="n"/>
      <c r="J298" s="39" t="n"/>
      <c r="K298" s="39" t="n"/>
      <c r="L298" s="39" t="n"/>
      <c r="M298" s="39" t="n"/>
      <c r="N298" s="39" t="n"/>
      <c r="O298" s="39" t="n"/>
    </row>
    <row r="299" ht="21" customHeight="1" s="65">
      <c r="C299" s="16" t="n"/>
      <c r="D299" s="16" t="n"/>
      <c r="E299" s="16" t="n"/>
      <c r="F299" s="103" t="n"/>
      <c r="G299" s="16" t="n"/>
      <c r="I299" s="39" t="n"/>
      <c r="J299" s="39" t="n"/>
      <c r="K299" s="39" t="n"/>
      <c r="L299" s="39" t="n"/>
      <c r="M299" s="39" t="n"/>
      <c r="N299" s="39" t="n"/>
      <c r="O299" s="39" t="n"/>
    </row>
    <row r="300" ht="21" customHeight="1" s="65">
      <c r="C300" s="16" t="n"/>
      <c r="D300" s="16" t="n"/>
      <c r="E300" s="16" t="n"/>
      <c r="F300" s="103" t="n"/>
      <c r="G300" s="16" t="n"/>
      <c r="I300" s="39" t="n"/>
      <c r="J300" s="39" t="n"/>
      <c r="K300" s="39" t="n"/>
      <c r="L300" s="39" t="n"/>
      <c r="M300" s="39" t="n"/>
      <c r="N300" s="39" t="n"/>
      <c r="O300" s="39" t="n"/>
    </row>
    <row r="301" ht="21" customHeight="1" s="65">
      <c r="C301" s="16" t="n"/>
      <c r="D301" s="16" t="n"/>
      <c r="E301" s="16" t="n"/>
      <c r="F301" s="103" t="n"/>
      <c r="G301" s="16" t="n"/>
      <c r="I301" s="39" t="n"/>
      <c r="J301" s="39" t="n"/>
      <c r="K301" s="39" t="n"/>
      <c r="L301" s="39" t="n"/>
      <c r="M301" s="39" t="n"/>
      <c r="N301" s="39" t="n"/>
      <c r="O301" s="39" t="n"/>
    </row>
    <row r="302" ht="21" customHeight="1" s="65">
      <c r="C302" s="16" t="n"/>
      <c r="D302" s="16" t="n"/>
      <c r="E302" s="16" t="n"/>
      <c r="F302" s="103" t="n"/>
      <c r="G302" s="16" t="n"/>
      <c r="I302" s="39" t="n"/>
      <c r="J302" s="39" t="n"/>
      <c r="K302" s="39" t="n"/>
      <c r="L302" s="39" t="n"/>
      <c r="M302" s="39" t="n"/>
      <c r="N302" s="39" t="n"/>
      <c r="O302" s="39" t="n"/>
    </row>
    <row r="303" ht="21" customHeight="1" s="65">
      <c r="C303" s="16" t="n"/>
      <c r="D303" s="16" t="n"/>
      <c r="E303" s="16" t="n"/>
      <c r="F303" s="103" t="n"/>
      <c r="G303" s="16" t="n"/>
      <c r="I303" s="39" t="n"/>
      <c r="J303" s="39" t="n"/>
      <c r="K303" s="39" t="n"/>
      <c r="L303" s="39" t="n"/>
      <c r="M303" s="39" t="n"/>
      <c r="N303" s="39" t="n"/>
      <c r="O303" s="39" t="n"/>
    </row>
    <row r="304" ht="21" customHeight="1" s="65">
      <c r="C304" s="16" t="n"/>
      <c r="D304" s="16" t="n"/>
      <c r="E304" s="16" t="n"/>
      <c r="F304" s="103" t="n"/>
      <c r="G304" s="16" t="n"/>
      <c r="I304" s="39" t="n"/>
      <c r="J304" s="39" t="n"/>
      <c r="K304" s="39" t="n"/>
      <c r="L304" s="39" t="n"/>
      <c r="M304" s="39" t="n"/>
      <c r="N304" s="39" t="n"/>
      <c r="O304" s="39" t="n"/>
    </row>
    <row r="305" ht="21" customHeight="1" s="65">
      <c r="C305" s="16" t="n"/>
      <c r="D305" s="16" t="n"/>
      <c r="E305" s="16" t="n"/>
      <c r="F305" s="103" t="n"/>
      <c r="G305" s="16" t="n"/>
      <c r="I305" s="39" t="n"/>
      <c r="J305" s="39" t="n"/>
      <c r="K305" s="39" t="n"/>
      <c r="L305" s="39" t="n"/>
      <c r="M305" s="39" t="n"/>
      <c r="N305" s="39" t="n"/>
      <c r="O305" s="39" t="n"/>
    </row>
    <row r="306" ht="21" customHeight="1" s="65">
      <c r="C306" s="16" t="n"/>
      <c r="D306" s="16" t="n"/>
      <c r="E306" s="16" t="n"/>
      <c r="F306" s="103" t="n"/>
      <c r="G306" s="16" t="n"/>
      <c r="I306" s="39" t="n"/>
      <c r="J306" s="39" t="n"/>
      <c r="K306" s="39" t="n"/>
      <c r="L306" s="39" t="n"/>
      <c r="M306" s="39" t="n"/>
      <c r="N306" s="39" t="n"/>
      <c r="O306" s="39" t="n"/>
    </row>
    <row r="307" ht="21" customHeight="1" s="65">
      <c r="C307" s="16" t="n"/>
      <c r="D307" s="16" t="n"/>
      <c r="E307" s="16" t="n"/>
      <c r="F307" s="103" t="n"/>
      <c r="G307" s="16" t="n"/>
      <c r="I307" s="39" t="n"/>
      <c r="J307" s="39" t="n"/>
      <c r="K307" s="39" t="n"/>
      <c r="L307" s="39" t="n"/>
      <c r="M307" s="39" t="n"/>
      <c r="N307" s="39" t="n"/>
      <c r="O307" s="39" t="n"/>
    </row>
    <row r="308" ht="21" customHeight="1" s="65">
      <c r="C308" s="16" t="n"/>
      <c r="D308" s="16" t="n"/>
      <c r="E308" s="16" t="n"/>
      <c r="F308" s="103" t="n"/>
      <c r="G308" s="16" t="n"/>
      <c r="I308" s="39" t="n"/>
      <c r="J308" s="39" t="n"/>
      <c r="K308" s="39" t="n"/>
      <c r="L308" s="39" t="n"/>
      <c r="M308" s="39" t="n"/>
      <c r="N308" s="39" t="n"/>
      <c r="O308" s="39" t="n"/>
    </row>
    <row r="309" ht="21" customHeight="1" s="65">
      <c r="C309" s="16" t="n"/>
      <c r="D309" s="16" t="n"/>
      <c r="E309" s="16" t="n"/>
      <c r="F309" s="103" t="n"/>
      <c r="G309" s="16" t="n"/>
      <c r="I309" s="39" t="n"/>
      <c r="J309" s="39" t="n"/>
      <c r="K309" s="39" t="n"/>
      <c r="L309" s="39" t="n"/>
      <c r="M309" s="39" t="n"/>
      <c r="N309" s="39" t="n"/>
      <c r="O309" s="39" t="n"/>
    </row>
    <row r="310" ht="21" customHeight="1" s="65">
      <c r="C310" s="16" t="n"/>
      <c r="D310" s="16" t="n"/>
      <c r="E310" s="16" t="n"/>
      <c r="F310" s="103" t="n"/>
      <c r="G310" s="16" t="n"/>
      <c r="I310" s="39" t="n"/>
      <c r="J310" s="39" t="n"/>
      <c r="K310" s="39" t="n"/>
      <c r="L310" s="39" t="n"/>
      <c r="M310" s="39" t="n"/>
      <c r="N310" s="39" t="n"/>
      <c r="O310" s="39" t="n"/>
    </row>
    <row r="311" ht="21" customHeight="1" s="65">
      <c r="C311" s="16" t="n"/>
      <c r="D311" s="16" t="n"/>
      <c r="E311" s="16" t="n"/>
      <c r="F311" s="103" t="n"/>
      <c r="G311" s="16" t="n"/>
      <c r="I311" s="39" t="n"/>
      <c r="J311" s="39" t="n"/>
      <c r="K311" s="39" t="n"/>
      <c r="L311" s="39" t="n"/>
      <c r="M311" s="39" t="n"/>
      <c r="N311" s="39" t="n"/>
      <c r="O311" s="39" t="n"/>
    </row>
    <row r="312" ht="21" customHeight="1" s="65">
      <c r="C312" s="16" t="n"/>
      <c r="D312" s="16" t="n"/>
      <c r="E312" s="16" t="n"/>
      <c r="F312" s="103" t="n"/>
      <c r="G312" s="16" t="n"/>
      <c r="I312" s="39" t="n"/>
      <c r="J312" s="39" t="n"/>
      <c r="K312" s="39" t="n"/>
      <c r="L312" s="39" t="n"/>
      <c r="M312" s="39" t="n"/>
      <c r="N312" s="39" t="n"/>
      <c r="O312" s="39" t="n"/>
    </row>
    <row r="313" ht="21" customHeight="1" s="65">
      <c r="C313" s="16" t="n"/>
      <c r="D313" s="16" t="n"/>
      <c r="E313" s="16" t="n"/>
      <c r="F313" s="103" t="n"/>
      <c r="G313" s="16" t="n"/>
      <c r="I313" s="39" t="n"/>
      <c r="J313" s="39" t="n"/>
      <c r="K313" s="39" t="n"/>
      <c r="L313" s="39" t="n"/>
      <c r="M313" s="39" t="n"/>
      <c r="N313" s="39" t="n"/>
      <c r="O313" s="39" t="n"/>
    </row>
    <row r="314" ht="21" customHeight="1" s="65">
      <c r="C314" s="16" t="n"/>
      <c r="D314" s="16" t="n"/>
      <c r="E314" s="16" t="n"/>
      <c r="F314" s="103" t="n"/>
      <c r="G314" s="16" t="n"/>
      <c r="I314" s="39" t="n"/>
      <c r="J314" s="39" t="n"/>
      <c r="K314" s="39" t="n"/>
      <c r="L314" s="39" t="n"/>
      <c r="M314" s="39" t="n"/>
      <c r="N314" s="39" t="n"/>
      <c r="O314" s="39" t="n"/>
    </row>
    <row r="315" ht="21" customHeight="1" s="65">
      <c r="C315" s="16" t="n"/>
      <c r="D315" s="16" t="n"/>
      <c r="E315" s="16" t="n"/>
      <c r="F315" s="103" t="n"/>
      <c r="G315" s="16" t="n"/>
      <c r="I315" s="39" t="n"/>
      <c r="J315" s="39" t="n"/>
      <c r="K315" s="39" t="n"/>
      <c r="L315" s="39" t="n"/>
      <c r="M315" s="39" t="n"/>
      <c r="N315" s="39" t="n"/>
      <c r="O315" s="39" t="n"/>
    </row>
    <row r="316" ht="21" customHeight="1" s="65">
      <c r="C316" s="16" t="n"/>
      <c r="D316" s="16" t="n"/>
      <c r="E316" s="16" t="n"/>
      <c r="F316" s="103" t="n"/>
      <c r="G316" s="16" t="n"/>
      <c r="I316" s="39" t="n"/>
      <c r="J316" s="39" t="n"/>
      <c r="K316" s="39" t="n"/>
      <c r="L316" s="39" t="n"/>
      <c r="M316" s="39" t="n"/>
      <c r="N316" s="39" t="n"/>
      <c r="O316" s="39" t="n"/>
    </row>
    <row r="317" ht="21" customHeight="1" s="65">
      <c r="C317" s="16" t="n"/>
      <c r="D317" s="16" t="n"/>
      <c r="E317" s="16" t="n"/>
      <c r="F317" s="103" t="n"/>
      <c r="G317" s="16" t="n"/>
      <c r="I317" s="39" t="n"/>
      <c r="J317" s="39" t="n"/>
      <c r="K317" s="39" t="n"/>
      <c r="L317" s="39" t="n"/>
      <c r="M317" s="39" t="n"/>
      <c r="N317" s="39" t="n"/>
      <c r="O317" s="39" t="n"/>
    </row>
    <row r="318" ht="21" customHeight="1" s="65">
      <c r="C318" s="16" t="n"/>
      <c r="D318" s="16" t="n"/>
      <c r="E318" s="16" t="n"/>
      <c r="F318" s="103" t="n"/>
      <c r="G318" s="16" t="n"/>
      <c r="I318" s="39" t="n"/>
      <c r="J318" s="39" t="n"/>
      <c r="K318" s="39" t="n"/>
      <c r="L318" s="39" t="n"/>
      <c r="M318" s="39" t="n"/>
      <c r="N318" s="39" t="n"/>
      <c r="O318" s="39" t="n"/>
    </row>
    <row r="319" ht="21" customHeight="1" s="65">
      <c r="C319" s="16" t="n"/>
      <c r="D319" s="16" t="n"/>
      <c r="E319" s="16" t="n"/>
      <c r="F319" s="103" t="n"/>
      <c r="G319" s="16" t="n"/>
      <c r="I319" s="39" t="n"/>
      <c r="J319" s="39" t="n"/>
      <c r="K319" s="39" t="n"/>
      <c r="L319" s="39" t="n"/>
      <c r="M319" s="39" t="n"/>
      <c r="N319" s="39" t="n"/>
      <c r="O319" s="39" t="n"/>
    </row>
    <row r="320" ht="21" customHeight="1" s="65">
      <c r="C320" s="16" t="n"/>
      <c r="D320" s="16" t="n"/>
      <c r="E320" s="16" t="n"/>
      <c r="F320" s="103" t="n"/>
      <c r="G320" s="16" t="n"/>
      <c r="I320" s="39" t="n"/>
      <c r="J320" s="39" t="n"/>
      <c r="K320" s="39" t="n"/>
      <c r="L320" s="39" t="n"/>
      <c r="M320" s="39" t="n"/>
      <c r="N320" s="39" t="n"/>
      <c r="O320" s="39" t="n"/>
    </row>
    <row r="321" ht="21" customHeight="1" s="65">
      <c r="C321" s="16" t="n"/>
      <c r="D321" s="16" t="n"/>
      <c r="E321" s="16" t="n"/>
      <c r="F321" s="103" t="n"/>
      <c r="G321" s="16" t="n"/>
      <c r="I321" s="39" t="n"/>
      <c r="J321" s="39" t="n"/>
      <c r="K321" s="39" t="n"/>
      <c r="L321" s="39" t="n"/>
      <c r="M321" s="39" t="n"/>
      <c r="N321" s="39" t="n"/>
      <c r="O321" s="39" t="n"/>
    </row>
    <row r="322" ht="21" customHeight="1" s="65">
      <c r="C322" s="16" t="n"/>
      <c r="D322" s="16" t="n"/>
      <c r="E322" s="16" t="n"/>
      <c r="F322" s="103" t="n"/>
      <c r="G322" s="16" t="n"/>
      <c r="I322" s="39" t="n"/>
      <c r="J322" s="39" t="n"/>
      <c r="K322" s="39" t="n"/>
      <c r="L322" s="39" t="n"/>
      <c r="M322" s="39" t="n"/>
      <c r="N322" s="39" t="n"/>
      <c r="O322" s="39" t="n"/>
    </row>
    <row r="323" ht="21" customHeight="1" s="65">
      <c r="C323" s="16" t="n"/>
      <c r="D323" s="16" t="n"/>
      <c r="E323" s="16" t="n"/>
      <c r="F323" s="103" t="n"/>
      <c r="G323" s="16" t="n"/>
      <c r="I323" s="39" t="n"/>
      <c r="J323" s="39" t="n"/>
      <c r="K323" s="39" t="n"/>
      <c r="L323" s="39" t="n"/>
      <c r="M323" s="39" t="n"/>
      <c r="N323" s="39" t="n"/>
      <c r="O323" s="39" t="n"/>
    </row>
    <row r="324" ht="21" customHeight="1" s="65">
      <c r="C324" s="16" t="n"/>
      <c r="D324" s="16" t="n"/>
      <c r="E324" s="16" t="n"/>
      <c r="F324" s="103" t="n"/>
      <c r="G324" s="16" t="n"/>
      <c r="I324" s="39" t="n"/>
      <c r="J324" s="39" t="n"/>
      <c r="K324" s="39" t="n"/>
      <c r="L324" s="39" t="n"/>
      <c r="M324" s="39" t="n"/>
      <c r="N324" s="39" t="n"/>
      <c r="O324" s="39" t="n"/>
    </row>
    <row r="325" ht="21" customHeight="1" s="65">
      <c r="C325" s="16" t="n"/>
      <c r="D325" s="16" t="n"/>
      <c r="E325" s="16" t="n"/>
      <c r="F325" s="103" t="n"/>
      <c r="G325" s="16" t="n"/>
      <c r="I325" s="39" t="n"/>
      <c r="J325" s="39" t="n"/>
      <c r="K325" s="39" t="n"/>
      <c r="L325" s="39" t="n"/>
      <c r="M325" s="39" t="n"/>
      <c r="N325" s="39" t="n"/>
      <c r="O325" s="39" t="n"/>
    </row>
    <row r="326" ht="21" customHeight="1" s="65">
      <c r="C326" s="16" t="n"/>
      <c r="D326" s="16" t="n"/>
      <c r="E326" s="16" t="n"/>
      <c r="F326" s="103" t="n"/>
      <c r="G326" s="16" t="n"/>
      <c r="I326" s="39" t="n"/>
      <c r="J326" s="39" t="n"/>
      <c r="K326" s="39" t="n"/>
      <c r="L326" s="39" t="n"/>
      <c r="M326" s="39" t="n"/>
      <c r="N326" s="39" t="n"/>
      <c r="O326" s="39" t="n"/>
    </row>
    <row r="327" ht="21" customHeight="1" s="65">
      <c r="C327" s="16" t="n"/>
      <c r="D327" s="16" t="n"/>
      <c r="E327" s="16" t="n"/>
      <c r="F327" s="103" t="n"/>
      <c r="G327" s="16" t="n"/>
      <c r="I327" s="39" t="n"/>
      <c r="J327" s="39" t="n"/>
      <c r="K327" s="39" t="n"/>
      <c r="L327" s="39" t="n"/>
      <c r="M327" s="39" t="n"/>
      <c r="N327" s="39" t="n"/>
      <c r="O327" s="39" t="n"/>
    </row>
    <row r="328" ht="21" customHeight="1" s="65">
      <c r="C328" s="16" t="n"/>
      <c r="D328" s="16" t="n"/>
      <c r="E328" s="16" t="n"/>
      <c r="F328" s="103" t="n"/>
      <c r="G328" s="16" t="n"/>
      <c r="I328" s="39" t="n"/>
      <c r="J328" s="39" t="n"/>
      <c r="K328" s="39" t="n"/>
      <c r="L328" s="39" t="n"/>
      <c r="M328" s="39" t="n"/>
      <c r="N328" s="39" t="n"/>
      <c r="O328" s="39" t="n"/>
    </row>
    <row r="329" ht="21" customHeight="1" s="65">
      <c r="C329" s="16" t="n"/>
      <c r="D329" s="16" t="n"/>
      <c r="E329" s="16" t="n"/>
      <c r="F329" s="103" t="n"/>
      <c r="G329" s="16" t="n"/>
      <c r="I329" s="39" t="n"/>
      <c r="J329" s="39" t="n"/>
      <c r="K329" s="39" t="n"/>
      <c r="L329" s="39" t="n"/>
      <c r="M329" s="39" t="n"/>
      <c r="N329" s="39" t="n"/>
      <c r="O329" s="39" t="n"/>
    </row>
    <row r="330" ht="21" customHeight="1" s="65">
      <c r="C330" s="16" t="n"/>
      <c r="D330" s="16" t="n"/>
      <c r="E330" s="16" t="n"/>
      <c r="F330" s="103" t="n"/>
      <c r="G330" s="16" t="n"/>
      <c r="I330" s="39" t="n"/>
      <c r="J330" s="39" t="n"/>
      <c r="K330" s="39" t="n"/>
      <c r="L330" s="39" t="n"/>
      <c r="M330" s="39" t="n"/>
      <c r="N330" s="39" t="n"/>
      <c r="O330" s="39" t="n"/>
    </row>
    <row r="331" ht="21" customHeight="1" s="65">
      <c r="C331" s="16" t="n"/>
      <c r="D331" s="16" t="n"/>
      <c r="E331" s="16" t="n"/>
      <c r="F331" s="103" t="n"/>
      <c r="G331" s="16" t="n"/>
      <c r="I331" s="39" t="n"/>
      <c r="J331" s="39" t="n"/>
      <c r="K331" s="39" t="n"/>
      <c r="L331" s="39" t="n"/>
      <c r="M331" s="39" t="n"/>
      <c r="N331" s="39" t="n"/>
      <c r="O331" s="39" t="n"/>
    </row>
    <row r="332" ht="21" customHeight="1" s="65">
      <c r="C332" s="16" t="n"/>
      <c r="D332" s="16" t="n"/>
      <c r="E332" s="16" t="n"/>
      <c r="F332" s="103" t="n"/>
      <c r="G332" s="16" t="n"/>
      <c r="I332" s="39" t="n"/>
      <c r="J332" s="39" t="n"/>
      <c r="K332" s="39" t="n"/>
      <c r="L332" s="39" t="n"/>
      <c r="M332" s="39" t="n"/>
      <c r="N332" s="39" t="n"/>
      <c r="O332" s="39" t="n"/>
    </row>
    <row r="333" ht="21" customHeight="1" s="65">
      <c r="C333" s="16" t="n"/>
      <c r="D333" s="16" t="n"/>
      <c r="E333" s="16" t="n"/>
      <c r="F333" s="103" t="n"/>
      <c r="G333" s="16" t="n"/>
      <c r="I333" s="39" t="n"/>
      <c r="J333" s="39" t="n"/>
      <c r="K333" s="39" t="n"/>
      <c r="L333" s="39" t="n"/>
      <c r="M333" s="39" t="n"/>
      <c r="N333" s="39" t="n"/>
      <c r="O333" s="39" t="n"/>
    </row>
    <row r="334" ht="21" customHeight="1" s="65">
      <c r="C334" s="16" t="n"/>
      <c r="D334" s="16" t="n"/>
      <c r="E334" s="16" t="n"/>
      <c r="F334" s="103" t="n"/>
      <c r="G334" s="16" t="n"/>
      <c r="I334" s="39" t="n"/>
      <c r="J334" s="39" t="n"/>
      <c r="K334" s="39" t="n"/>
      <c r="L334" s="39" t="n"/>
      <c r="M334" s="39" t="n"/>
      <c r="N334" s="39" t="n"/>
      <c r="O334" s="39" t="n"/>
    </row>
    <row r="335" ht="21" customHeight="1" s="65">
      <c r="C335" s="16" t="n"/>
      <c r="D335" s="16" t="n"/>
      <c r="E335" s="16" t="n"/>
      <c r="F335" s="103" t="n"/>
      <c r="G335" s="16" t="n"/>
      <c r="I335" s="39" t="n"/>
      <c r="J335" s="39" t="n"/>
      <c r="K335" s="39" t="n"/>
      <c r="L335" s="39" t="n"/>
      <c r="M335" s="39" t="n"/>
      <c r="N335" s="39" t="n"/>
      <c r="O335" s="39" t="n"/>
    </row>
    <row r="336" ht="21" customHeight="1" s="65">
      <c r="C336" s="16" t="n"/>
      <c r="D336" s="16" t="n"/>
      <c r="E336" s="16" t="n"/>
      <c r="F336" s="103" t="n"/>
      <c r="G336" s="16" t="n"/>
      <c r="I336" s="39" t="n"/>
      <c r="J336" s="39" t="n"/>
      <c r="K336" s="39" t="n"/>
      <c r="L336" s="39" t="n"/>
      <c r="M336" s="39" t="n"/>
      <c r="N336" s="39" t="n"/>
      <c r="O336" s="39" t="n"/>
    </row>
    <row r="337" ht="21" customHeight="1" s="65">
      <c r="C337" s="16" t="n"/>
      <c r="D337" s="16" t="n"/>
      <c r="E337" s="16" t="n"/>
      <c r="F337" s="103" t="n"/>
      <c r="G337" s="16" t="n"/>
      <c r="I337" s="39" t="n"/>
      <c r="J337" s="39" t="n"/>
      <c r="K337" s="39" t="n"/>
      <c r="L337" s="39" t="n"/>
      <c r="M337" s="39" t="n"/>
      <c r="N337" s="39" t="n"/>
      <c r="O337" s="39" t="n"/>
    </row>
    <row r="338" ht="21" customHeight="1" s="65">
      <c r="C338" s="16" t="n"/>
      <c r="D338" s="16" t="n"/>
      <c r="E338" s="16" t="n"/>
      <c r="F338" s="103" t="n"/>
      <c r="G338" s="16" t="n"/>
      <c r="I338" s="39" t="n"/>
      <c r="J338" s="39" t="n"/>
      <c r="K338" s="39" t="n"/>
      <c r="L338" s="39" t="n"/>
      <c r="M338" s="39" t="n"/>
      <c r="N338" s="39" t="n"/>
      <c r="O338" s="39" t="n"/>
    </row>
    <row r="339" ht="21" customHeight="1" s="65">
      <c r="C339" s="16" t="n"/>
      <c r="D339" s="16" t="n"/>
      <c r="E339" s="16" t="n"/>
      <c r="F339" s="103" t="n"/>
      <c r="G339" s="16" t="n"/>
      <c r="I339" s="39" t="n"/>
      <c r="J339" s="39" t="n"/>
      <c r="K339" s="39" t="n"/>
      <c r="L339" s="39" t="n"/>
      <c r="M339" s="39" t="n"/>
      <c r="N339" s="39" t="n"/>
      <c r="O339" s="39" t="n"/>
    </row>
    <row r="340" ht="21" customHeight="1" s="65">
      <c r="C340" s="16" t="n"/>
      <c r="D340" s="16" t="n"/>
      <c r="E340" s="16" t="n"/>
      <c r="F340" s="103" t="n"/>
      <c r="G340" s="16" t="n"/>
      <c r="I340" s="39" t="n"/>
      <c r="J340" s="39" t="n"/>
      <c r="K340" s="39" t="n"/>
      <c r="L340" s="39" t="n"/>
      <c r="M340" s="39" t="n"/>
      <c r="N340" s="39" t="n"/>
      <c r="O340" s="39" t="n"/>
    </row>
    <row r="341" ht="21" customHeight="1" s="65">
      <c r="C341" s="16" t="n"/>
      <c r="D341" s="16" t="n"/>
      <c r="E341" s="16" t="n"/>
      <c r="F341" s="103" t="n"/>
      <c r="G341" s="16" t="n"/>
      <c r="I341" s="39" t="n"/>
      <c r="J341" s="39" t="n"/>
      <c r="K341" s="39" t="n"/>
      <c r="L341" s="39" t="n"/>
      <c r="M341" s="39" t="n"/>
      <c r="N341" s="39" t="n"/>
      <c r="O341" s="39" t="n"/>
    </row>
    <row r="342" ht="21" customHeight="1" s="65">
      <c r="C342" s="16" t="n"/>
      <c r="D342" s="16" t="n"/>
      <c r="E342" s="16" t="n"/>
      <c r="F342" s="103" t="n"/>
      <c r="G342" s="16" t="n"/>
      <c r="I342" s="39" t="n"/>
      <c r="J342" s="39" t="n"/>
      <c r="K342" s="39" t="n"/>
      <c r="L342" s="39" t="n"/>
      <c r="M342" s="39" t="n"/>
      <c r="N342" s="39" t="n"/>
      <c r="O342" s="39" t="n"/>
    </row>
    <row r="343" ht="21" customHeight="1" s="65">
      <c r="C343" s="16" t="n"/>
      <c r="D343" s="16" t="n"/>
      <c r="E343" s="16" t="n"/>
      <c r="F343" s="103" t="n"/>
      <c r="G343" s="16" t="n"/>
      <c r="I343" s="39" t="n"/>
      <c r="J343" s="39" t="n"/>
      <c r="K343" s="39" t="n"/>
      <c r="L343" s="39" t="n"/>
      <c r="M343" s="39" t="n"/>
      <c r="N343" s="39" t="n"/>
      <c r="O343" s="39" t="n"/>
    </row>
    <row r="344" ht="21" customHeight="1" s="65">
      <c r="C344" s="16" t="n"/>
      <c r="D344" s="16" t="n"/>
      <c r="E344" s="16" t="n"/>
      <c r="F344" s="103" t="n"/>
      <c r="G344" s="16" t="n"/>
      <c r="I344" s="39" t="n"/>
      <c r="J344" s="39" t="n"/>
      <c r="K344" s="39" t="n"/>
      <c r="L344" s="39" t="n"/>
      <c r="M344" s="39" t="n"/>
      <c r="N344" s="39" t="n"/>
      <c r="O344" s="39" t="n"/>
    </row>
    <row r="345" ht="21" customHeight="1" s="65">
      <c r="C345" s="16" t="n"/>
      <c r="D345" s="16" t="n"/>
      <c r="E345" s="16" t="n"/>
      <c r="F345" s="103" t="n"/>
      <c r="G345" s="16" t="n"/>
      <c r="I345" s="39" t="n"/>
      <c r="J345" s="39" t="n"/>
      <c r="K345" s="39" t="n"/>
      <c r="L345" s="39" t="n"/>
      <c r="M345" s="39" t="n"/>
      <c r="N345" s="39" t="n"/>
      <c r="O345" s="39" t="n"/>
    </row>
    <row r="346" ht="21" customHeight="1" s="65">
      <c r="C346" s="16" t="n"/>
      <c r="D346" s="16" t="n"/>
      <c r="E346" s="16" t="n"/>
      <c r="F346" s="103" t="n"/>
      <c r="G346" s="16" t="n"/>
      <c r="I346" s="39" t="n"/>
      <c r="J346" s="39" t="n"/>
      <c r="K346" s="39" t="n"/>
      <c r="L346" s="39" t="n"/>
      <c r="M346" s="39" t="n"/>
      <c r="N346" s="39" t="n"/>
      <c r="O346" s="39" t="n"/>
    </row>
    <row r="347" ht="21" customHeight="1" s="65">
      <c r="C347" s="16" t="n"/>
      <c r="D347" s="16" t="n"/>
      <c r="E347" s="16" t="n"/>
      <c r="F347" s="103" t="n"/>
      <c r="G347" s="16" t="n"/>
      <c r="I347" s="39" t="n"/>
      <c r="J347" s="39" t="n"/>
      <c r="K347" s="39" t="n"/>
      <c r="L347" s="39" t="n"/>
      <c r="M347" s="39" t="n"/>
      <c r="N347" s="39" t="n"/>
      <c r="O347" s="39" t="n"/>
    </row>
    <row r="348" ht="21" customHeight="1" s="65">
      <c r="C348" s="16" t="n"/>
      <c r="D348" s="16" t="n"/>
      <c r="E348" s="16" t="n"/>
      <c r="F348" s="103" t="n"/>
      <c r="G348" s="16" t="n"/>
      <c r="I348" s="39" t="n"/>
      <c r="J348" s="39" t="n"/>
      <c r="K348" s="39" t="n"/>
      <c r="L348" s="39" t="n"/>
      <c r="M348" s="39" t="n"/>
      <c r="N348" s="39" t="n"/>
      <c r="O348" s="39" t="n"/>
    </row>
    <row r="349" ht="21" customHeight="1" s="65">
      <c r="C349" s="16" t="n"/>
      <c r="D349" s="16" t="n"/>
      <c r="E349" s="16" t="n"/>
      <c r="F349" s="103" t="n"/>
      <c r="G349" s="16" t="n"/>
      <c r="I349" s="39" t="n"/>
      <c r="J349" s="39" t="n"/>
      <c r="K349" s="39" t="n"/>
      <c r="L349" s="39" t="n"/>
      <c r="M349" s="39" t="n"/>
      <c r="N349" s="39" t="n"/>
      <c r="O349" s="39" t="n"/>
    </row>
    <row r="350" ht="21" customHeight="1" s="65">
      <c r="C350" s="16" t="n"/>
      <c r="D350" s="16" t="n"/>
      <c r="E350" s="16" t="n"/>
      <c r="F350" s="103" t="n"/>
      <c r="G350" s="16" t="n"/>
      <c r="I350" s="39" t="n"/>
      <c r="J350" s="39" t="n"/>
      <c r="K350" s="39" t="n"/>
      <c r="L350" s="39" t="n"/>
      <c r="M350" s="39" t="n"/>
      <c r="N350" s="39" t="n"/>
      <c r="O350" s="39" t="n"/>
    </row>
    <row r="351" ht="21" customHeight="1" s="65">
      <c r="C351" s="16" t="n"/>
      <c r="D351" s="16" t="n"/>
      <c r="E351" s="16" t="n"/>
      <c r="F351" s="103" t="n"/>
      <c r="G351" s="16" t="n"/>
      <c r="I351" s="39" t="n"/>
      <c r="J351" s="39" t="n"/>
      <c r="K351" s="39" t="n"/>
      <c r="L351" s="39" t="n"/>
      <c r="M351" s="39" t="n"/>
      <c r="N351" s="39" t="n"/>
      <c r="O351" s="39" t="n"/>
    </row>
    <row r="352" ht="21" customHeight="1" s="65">
      <c r="C352" s="16" t="n"/>
      <c r="D352" s="16" t="n"/>
      <c r="E352" s="16" t="n"/>
      <c r="F352" s="103" t="n"/>
      <c r="G352" s="16" t="n"/>
      <c r="I352" s="39" t="n"/>
      <c r="J352" s="39" t="n"/>
      <c r="K352" s="39" t="n"/>
      <c r="L352" s="39" t="n"/>
      <c r="M352" s="39" t="n"/>
      <c r="N352" s="39" t="n"/>
      <c r="O352" s="39" t="n"/>
    </row>
    <row r="353" ht="21" customHeight="1" s="65">
      <c r="C353" s="16" t="n"/>
      <c r="D353" s="16" t="n"/>
      <c r="E353" s="16" t="n"/>
      <c r="F353" s="103" t="n"/>
      <c r="G353" s="16" t="n"/>
      <c r="I353" s="39" t="n"/>
      <c r="J353" s="39" t="n"/>
      <c r="K353" s="39" t="n"/>
      <c r="L353" s="39" t="n"/>
      <c r="M353" s="39" t="n"/>
      <c r="N353" s="39" t="n"/>
      <c r="O353" s="39" t="n"/>
    </row>
    <row r="354" ht="21" customHeight="1" s="65">
      <c r="C354" s="16" t="n"/>
      <c r="D354" s="16" t="n"/>
      <c r="E354" s="16" t="n"/>
      <c r="F354" s="103" t="n"/>
      <c r="G354" s="16" t="n"/>
      <c r="I354" s="39" t="n"/>
      <c r="J354" s="39" t="n"/>
      <c r="K354" s="39" t="n"/>
      <c r="L354" s="39" t="n"/>
      <c r="M354" s="39" t="n"/>
      <c r="N354" s="39" t="n"/>
      <c r="O354" s="39" t="n"/>
    </row>
    <row r="355" ht="21" customHeight="1" s="65">
      <c r="C355" s="16" t="n"/>
      <c r="D355" s="16" t="n"/>
      <c r="E355" s="16" t="n"/>
      <c r="F355" s="103" t="n"/>
      <c r="G355" s="16" t="n"/>
      <c r="I355" s="39" t="n"/>
      <c r="J355" s="39" t="n"/>
      <c r="K355" s="39" t="n"/>
      <c r="L355" s="39" t="n"/>
      <c r="M355" s="39" t="n"/>
      <c r="N355" s="39" t="n"/>
      <c r="O355" s="39" t="n"/>
    </row>
    <row r="356" ht="21" customHeight="1" s="65">
      <c r="C356" s="16" t="n"/>
      <c r="D356" s="16" t="n"/>
      <c r="E356" s="16" t="n"/>
      <c r="F356" s="103" t="n"/>
      <c r="G356" s="16" t="n"/>
      <c r="I356" s="39" t="n"/>
      <c r="J356" s="39" t="n"/>
      <c r="K356" s="39" t="n"/>
      <c r="L356" s="39" t="n"/>
      <c r="M356" s="39" t="n"/>
      <c r="N356" s="39" t="n"/>
      <c r="O356" s="39" t="n"/>
    </row>
    <row r="357" ht="21" customHeight="1" s="65">
      <c r="C357" s="16" t="n"/>
      <c r="D357" s="16" t="n"/>
      <c r="E357" s="16" t="n"/>
      <c r="F357" s="103" t="n"/>
      <c r="G357" s="16" t="n"/>
      <c r="I357" s="39" t="n"/>
      <c r="J357" s="39" t="n"/>
      <c r="K357" s="39" t="n"/>
      <c r="L357" s="39" t="n"/>
      <c r="M357" s="39" t="n"/>
      <c r="N357" s="39" t="n"/>
      <c r="O357" s="39" t="n"/>
    </row>
    <row r="358" ht="21" customHeight="1" s="65">
      <c r="C358" s="16" t="n"/>
      <c r="D358" s="16" t="n"/>
      <c r="E358" s="16" t="n"/>
      <c r="F358" s="103" t="n"/>
      <c r="G358" s="16" t="n"/>
      <c r="I358" s="39" t="n"/>
      <c r="J358" s="39" t="n"/>
      <c r="K358" s="39" t="n"/>
      <c r="L358" s="39" t="n"/>
      <c r="M358" s="39" t="n"/>
      <c r="N358" s="39" t="n"/>
      <c r="O358" s="39" t="n"/>
    </row>
    <row r="359" ht="21" customHeight="1" s="65">
      <c r="C359" s="16" t="n"/>
      <c r="D359" s="16" t="n"/>
      <c r="E359" s="16" t="n"/>
      <c r="F359" s="103" t="n"/>
      <c r="G359" s="16" t="n"/>
      <c r="I359" s="39" t="n"/>
      <c r="J359" s="39" t="n"/>
      <c r="K359" s="39" t="n"/>
      <c r="L359" s="39" t="n"/>
      <c r="M359" s="39" t="n"/>
      <c r="N359" s="39" t="n"/>
      <c r="O359" s="39" t="n"/>
    </row>
    <row r="360" ht="21" customHeight="1" s="65">
      <c r="C360" s="16" t="n"/>
      <c r="D360" s="16" t="n"/>
      <c r="E360" s="16" t="n"/>
      <c r="F360" s="103" t="n"/>
      <c r="G360" s="16" t="n"/>
      <c r="I360" s="39" t="n"/>
      <c r="J360" s="39" t="n"/>
      <c r="K360" s="39" t="n"/>
      <c r="L360" s="39" t="n"/>
      <c r="M360" s="39" t="n"/>
      <c r="N360" s="39" t="n"/>
      <c r="O360" s="39" t="n"/>
    </row>
    <row r="361" ht="21" customHeight="1" s="65">
      <c r="C361" s="16" t="n"/>
      <c r="D361" s="16" t="n"/>
      <c r="E361" s="16" t="n"/>
      <c r="F361" s="103" t="n"/>
      <c r="G361" s="16" t="n"/>
      <c r="I361" s="39" t="n"/>
      <c r="J361" s="39" t="n"/>
      <c r="K361" s="39" t="n"/>
      <c r="L361" s="39" t="n"/>
      <c r="M361" s="39" t="n"/>
      <c r="N361" s="39" t="n"/>
      <c r="O361" s="39" t="n"/>
    </row>
    <row r="362" ht="21" customHeight="1" s="65">
      <c r="C362" s="16" t="n"/>
      <c r="D362" s="16" t="n"/>
      <c r="E362" s="16" t="n"/>
      <c r="F362" s="103" t="n"/>
      <c r="G362" s="16" t="n"/>
      <c r="I362" s="39" t="n"/>
      <c r="J362" s="39" t="n"/>
      <c r="K362" s="39" t="n"/>
      <c r="L362" s="39" t="n"/>
      <c r="M362" s="39" t="n"/>
      <c r="N362" s="39" t="n"/>
      <c r="O362" s="39" t="n"/>
    </row>
    <row r="363" ht="21" customHeight="1" s="65">
      <c r="C363" s="16" t="n"/>
      <c r="D363" s="16" t="n"/>
      <c r="E363" s="16" t="n"/>
      <c r="F363" s="103" t="n"/>
      <c r="G363" s="16" t="n"/>
      <c r="I363" s="39" t="n"/>
      <c r="J363" s="39" t="n"/>
      <c r="K363" s="39" t="n"/>
      <c r="L363" s="39" t="n"/>
      <c r="M363" s="39" t="n"/>
      <c r="N363" s="39" t="n"/>
      <c r="O363" s="39" t="n"/>
    </row>
    <row r="364" ht="21" customHeight="1" s="65">
      <c r="C364" s="16" t="n"/>
      <c r="D364" s="16" t="n"/>
      <c r="E364" s="16" t="n"/>
      <c r="F364" s="103" t="n"/>
      <c r="G364" s="16" t="n"/>
      <c r="I364" s="39" t="n"/>
      <c r="J364" s="39" t="n"/>
      <c r="K364" s="39" t="n"/>
      <c r="L364" s="39" t="n"/>
      <c r="M364" s="39" t="n"/>
      <c r="N364" s="39" t="n"/>
      <c r="O364" s="39" t="n"/>
    </row>
    <row r="365" ht="21" customHeight="1" s="65">
      <c r="C365" s="16" t="n"/>
      <c r="D365" s="16" t="n"/>
      <c r="E365" s="16" t="n"/>
      <c r="F365" s="103" t="n"/>
      <c r="G365" s="16" t="n"/>
      <c r="I365" s="39" t="n"/>
      <c r="J365" s="39" t="n"/>
      <c r="K365" s="39" t="n"/>
      <c r="L365" s="39" t="n"/>
      <c r="M365" s="39" t="n"/>
      <c r="N365" s="39" t="n"/>
      <c r="O365" s="39" t="n"/>
    </row>
    <row r="366" ht="21" customHeight="1" s="65">
      <c r="C366" s="16" t="n"/>
      <c r="D366" s="16" t="n"/>
      <c r="E366" s="16" t="n"/>
      <c r="F366" s="103" t="n"/>
      <c r="G366" s="16" t="n"/>
      <c r="I366" s="39" t="n"/>
      <c r="J366" s="39" t="n"/>
      <c r="K366" s="39" t="n"/>
      <c r="L366" s="39" t="n"/>
      <c r="M366" s="39" t="n"/>
      <c r="N366" s="39" t="n"/>
      <c r="O366" s="39" t="n"/>
    </row>
    <row r="367" ht="21" customHeight="1" s="65">
      <c r="C367" s="16" t="n"/>
      <c r="D367" s="16" t="n"/>
      <c r="E367" s="16" t="n"/>
      <c r="F367" s="103" t="n"/>
      <c r="G367" s="16" t="n"/>
      <c r="I367" s="39" t="n"/>
      <c r="J367" s="39" t="n"/>
      <c r="K367" s="39" t="n"/>
      <c r="L367" s="39" t="n"/>
      <c r="M367" s="39" t="n"/>
      <c r="N367" s="39" t="n"/>
      <c r="O367" s="39" t="n"/>
    </row>
    <row r="368" ht="21" customHeight="1" s="65">
      <c r="C368" s="16" t="n"/>
      <c r="D368" s="16" t="n"/>
      <c r="E368" s="16" t="n"/>
      <c r="F368" s="103" t="n"/>
      <c r="G368" s="16" t="n"/>
      <c r="I368" s="39" t="n"/>
      <c r="J368" s="39" t="n"/>
      <c r="K368" s="39" t="n"/>
      <c r="L368" s="39" t="n"/>
      <c r="M368" s="39" t="n"/>
      <c r="N368" s="39" t="n"/>
      <c r="O368" s="39" t="n"/>
    </row>
    <row r="369" ht="21" customHeight="1" s="65">
      <c r="C369" s="16" t="n"/>
      <c r="D369" s="16" t="n"/>
      <c r="E369" s="16" t="n"/>
      <c r="F369" s="103" t="n"/>
      <c r="G369" s="16" t="n"/>
      <c r="I369" s="39" t="n"/>
      <c r="J369" s="39" t="n"/>
      <c r="K369" s="39" t="n"/>
      <c r="L369" s="39" t="n"/>
      <c r="M369" s="39" t="n"/>
      <c r="N369" s="39" t="n"/>
      <c r="O369" s="39" t="n"/>
    </row>
    <row r="370" ht="21" customHeight="1" s="65">
      <c r="C370" s="16" t="n"/>
      <c r="D370" s="16" t="n"/>
      <c r="E370" s="16" t="n"/>
      <c r="F370" s="103" t="n"/>
      <c r="G370" s="16" t="n"/>
      <c r="I370" s="39" t="n"/>
      <c r="J370" s="39" t="n"/>
      <c r="K370" s="39" t="n"/>
      <c r="L370" s="39" t="n"/>
      <c r="M370" s="39" t="n"/>
      <c r="N370" s="39" t="n"/>
      <c r="O370" s="39" t="n"/>
    </row>
    <row r="371" ht="21" customHeight="1" s="65">
      <c r="C371" s="16" t="n"/>
      <c r="D371" s="16" t="n"/>
      <c r="E371" s="16" t="n"/>
      <c r="F371" s="103" t="n"/>
      <c r="G371" s="16" t="n"/>
      <c r="I371" s="39" t="n"/>
      <c r="J371" s="39" t="n"/>
      <c r="K371" s="39" t="n"/>
      <c r="L371" s="39" t="n"/>
      <c r="M371" s="39" t="n"/>
      <c r="N371" s="39" t="n"/>
      <c r="O371" s="39" t="n"/>
    </row>
    <row r="372" ht="21" customHeight="1" s="65">
      <c r="C372" s="16" t="n"/>
      <c r="D372" s="16" t="n"/>
      <c r="E372" s="16" t="n"/>
      <c r="F372" s="103" t="n"/>
      <c r="G372" s="16" t="n"/>
      <c r="I372" s="39" t="n"/>
      <c r="J372" s="39" t="n"/>
      <c r="K372" s="39" t="n"/>
      <c r="L372" s="39" t="n"/>
      <c r="M372" s="39" t="n"/>
      <c r="N372" s="39" t="n"/>
      <c r="O372" s="39" t="n"/>
    </row>
    <row r="373" ht="21" customHeight="1" s="65">
      <c r="C373" s="16" t="n"/>
      <c r="D373" s="16" t="n"/>
      <c r="E373" s="16" t="n"/>
      <c r="F373" s="103" t="n"/>
      <c r="G373" s="16" t="n"/>
      <c r="I373" s="39" t="n"/>
      <c r="J373" s="39" t="n"/>
      <c r="K373" s="39" t="n"/>
      <c r="L373" s="39" t="n"/>
      <c r="M373" s="39" t="n"/>
      <c r="N373" s="39" t="n"/>
      <c r="O373" s="39" t="n"/>
    </row>
    <row r="374" ht="21" customHeight="1" s="65">
      <c r="C374" s="16" t="n"/>
      <c r="D374" s="16" t="n"/>
      <c r="E374" s="16" t="n"/>
      <c r="F374" s="103" t="n"/>
      <c r="G374" s="16" t="n"/>
      <c r="I374" s="39" t="n"/>
      <c r="J374" s="39" t="n"/>
      <c r="K374" s="39" t="n"/>
      <c r="L374" s="39" t="n"/>
      <c r="M374" s="39" t="n"/>
      <c r="N374" s="39" t="n"/>
      <c r="O374" s="39" t="n"/>
    </row>
    <row r="375" ht="21" customHeight="1" s="65">
      <c r="C375" s="16" t="n"/>
      <c r="D375" s="16" t="n"/>
      <c r="E375" s="16" t="n"/>
      <c r="F375" s="103" t="n"/>
      <c r="G375" s="16" t="n"/>
      <c r="I375" s="39" t="n"/>
      <c r="J375" s="39" t="n"/>
      <c r="K375" s="39" t="n"/>
      <c r="L375" s="39" t="n"/>
      <c r="M375" s="39" t="n"/>
      <c r="N375" s="39" t="n"/>
      <c r="O375" s="39" t="n"/>
    </row>
    <row r="376" ht="21" customHeight="1" s="65">
      <c r="C376" s="16" t="n"/>
      <c r="D376" s="16" t="n"/>
      <c r="E376" s="16" t="n"/>
      <c r="F376" s="103" t="n"/>
      <c r="G376" s="16" t="n"/>
      <c r="I376" s="39" t="n"/>
      <c r="J376" s="39" t="n"/>
      <c r="K376" s="39" t="n"/>
      <c r="L376" s="39" t="n"/>
      <c r="M376" s="39" t="n"/>
      <c r="N376" s="39" t="n"/>
      <c r="O376" s="39" t="n"/>
    </row>
    <row r="377" ht="21" customHeight="1" s="65">
      <c r="C377" s="16" t="n"/>
      <c r="D377" s="16" t="n"/>
      <c r="E377" s="16" t="n"/>
      <c r="F377" s="103" t="n"/>
      <c r="G377" s="16" t="n"/>
      <c r="I377" s="39" t="n"/>
      <c r="J377" s="39" t="n"/>
      <c r="K377" s="39" t="n"/>
      <c r="L377" s="39" t="n"/>
      <c r="M377" s="39" t="n"/>
      <c r="N377" s="39" t="n"/>
      <c r="O377" s="39" t="n"/>
    </row>
    <row r="378" ht="21" customHeight="1" s="65">
      <c r="C378" s="16" t="n"/>
      <c r="D378" s="16" t="n"/>
      <c r="E378" s="16" t="n"/>
      <c r="F378" s="103" t="n"/>
      <c r="G378" s="16" t="n"/>
      <c r="I378" s="39" t="n"/>
      <c r="J378" s="39" t="n"/>
      <c r="K378" s="39" t="n"/>
      <c r="L378" s="39" t="n"/>
      <c r="M378" s="39" t="n"/>
      <c r="N378" s="39" t="n"/>
      <c r="O378" s="39" t="n"/>
    </row>
    <row r="379" ht="21" customHeight="1" s="65">
      <c r="C379" s="16" t="n"/>
      <c r="D379" s="16" t="n"/>
      <c r="E379" s="16" t="n"/>
      <c r="F379" s="103" t="n"/>
      <c r="G379" s="16" t="n"/>
      <c r="I379" s="39" t="n"/>
      <c r="J379" s="39" t="n"/>
      <c r="K379" s="39" t="n"/>
      <c r="L379" s="39" t="n"/>
      <c r="M379" s="39" t="n"/>
      <c r="N379" s="39" t="n"/>
      <c r="O379" s="39" t="n"/>
    </row>
    <row r="380" ht="21" customHeight="1" s="65">
      <c r="C380" s="16" t="n"/>
      <c r="D380" s="16" t="n"/>
      <c r="E380" s="16" t="n"/>
      <c r="F380" s="103" t="n"/>
      <c r="G380" s="16" t="n"/>
      <c r="I380" s="39" t="n"/>
      <c r="J380" s="39" t="n"/>
      <c r="K380" s="39" t="n"/>
      <c r="L380" s="39" t="n"/>
      <c r="M380" s="39" t="n"/>
      <c r="N380" s="39" t="n"/>
      <c r="O380" s="39" t="n"/>
    </row>
    <row r="381" ht="21" customHeight="1" s="65">
      <c r="C381" s="16" t="n"/>
      <c r="D381" s="16" t="n"/>
      <c r="E381" s="16" t="n"/>
      <c r="F381" s="103" t="n"/>
      <c r="G381" s="16" t="n"/>
      <c r="I381" s="39" t="n"/>
      <c r="J381" s="39" t="n"/>
      <c r="K381" s="39" t="n"/>
      <c r="L381" s="39" t="n"/>
      <c r="M381" s="39" t="n"/>
      <c r="N381" s="39" t="n"/>
      <c r="O381" s="39" t="n"/>
    </row>
    <row r="382" ht="21" customHeight="1" s="65">
      <c r="C382" s="16" t="n"/>
      <c r="D382" s="16" t="n"/>
      <c r="E382" s="16" t="n"/>
      <c r="F382" s="103" t="n"/>
      <c r="G382" s="16" t="n"/>
      <c r="I382" s="39" t="n"/>
      <c r="J382" s="39" t="n"/>
      <c r="K382" s="39" t="n"/>
      <c r="L382" s="39" t="n"/>
      <c r="M382" s="39" t="n"/>
      <c r="N382" s="39" t="n"/>
      <c r="O382" s="39" t="n"/>
    </row>
    <row r="383" ht="21" customHeight="1" s="65">
      <c r="C383" s="16" t="n"/>
      <c r="D383" s="16" t="n"/>
      <c r="E383" s="16" t="n"/>
      <c r="F383" s="103" t="n"/>
      <c r="G383" s="16" t="n"/>
      <c r="I383" s="39" t="n"/>
      <c r="J383" s="39" t="n"/>
      <c r="K383" s="39" t="n"/>
      <c r="L383" s="39" t="n"/>
      <c r="M383" s="39" t="n"/>
      <c r="N383" s="39" t="n"/>
      <c r="O383" s="39" t="n"/>
    </row>
    <row r="384" ht="21" customHeight="1" s="65">
      <c r="C384" s="16" t="n"/>
      <c r="D384" s="16" t="n"/>
      <c r="E384" s="16" t="n"/>
      <c r="F384" s="103" t="n"/>
      <c r="G384" s="16" t="n"/>
      <c r="I384" s="39" t="n"/>
      <c r="J384" s="39" t="n"/>
      <c r="K384" s="39" t="n"/>
      <c r="L384" s="39" t="n"/>
      <c r="M384" s="39" t="n"/>
      <c r="N384" s="39" t="n"/>
      <c r="O384" s="39" t="n"/>
    </row>
    <row r="385" ht="21" customHeight="1" s="65">
      <c r="C385" s="16" t="n"/>
      <c r="D385" s="16" t="n"/>
      <c r="E385" s="16" t="n"/>
      <c r="F385" s="103" t="n"/>
      <c r="G385" s="16" t="n"/>
      <c r="I385" s="39" t="n"/>
      <c r="J385" s="39" t="n"/>
      <c r="K385" s="39" t="n"/>
      <c r="L385" s="39" t="n"/>
      <c r="M385" s="39" t="n"/>
      <c r="N385" s="39" t="n"/>
      <c r="O385" s="39" t="n"/>
    </row>
    <row r="386" ht="21" customHeight="1" s="65">
      <c r="C386" s="16" t="n"/>
      <c r="D386" s="16" t="n"/>
      <c r="E386" s="16" t="n"/>
      <c r="F386" s="103" t="n"/>
      <c r="G386" s="16" t="n"/>
      <c r="I386" s="39" t="n"/>
      <c r="J386" s="39" t="n"/>
      <c r="K386" s="39" t="n"/>
      <c r="L386" s="39" t="n"/>
      <c r="M386" s="39" t="n"/>
      <c r="N386" s="39" t="n"/>
      <c r="O386" s="39" t="n"/>
    </row>
    <row r="387" ht="21" customHeight="1" s="65">
      <c r="C387" s="16" t="n"/>
      <c r="D387" s="16" t="n"/>
      <c r="E387" s="16" t="n"/>
      <c r="F387" s="103" t="n"/>
      <c r="G387" s="16" t="n"/>
      <c r="I387" s="39" t="n"/>
      <c r="J387" s="39" t="n"/>
      <c r="K387" s="39" t="n"/>
      <c r="L387" s="39" t="n"/>
      <c r="M387" s="39" t="n"/>
      <c r="N387" s="39" t="n"/>
      <c r="O387" s="39" t="n"/>
    </row>
    <row r="388" ht="21" customHeight="1" s="65">
      <c r="C388" s="16" t="n"/>
      <c r="D388" s="16" t="n"/>
      <c r="E388" s="16" t="n"/>
      <c r="F388" s="103" t="n"/>
      <c r="G388" s="16" t="n"/>
      <c r="I388" s="39" t="n"/>
      <c r="J388" s="39" t="n"/>
      <c r="K388" s="39" t="n"/>
      <c r="L388" s="39" t="n"/>
      <c r="M388" s="39" t="n"/>
      <c r="N388" s="39" t="n"/>
      <c r="O388" s="39" t="n"/>
    </row>
    <row r="389" ht="21" customHeight="1" s="65">
      <c r="C389" s="16" t="n"/>
      <c r="D389" s="16" t="n"/>
      <c r="E389" s="16" t="n"/>
      <c r="F389" s="103" t="n"/>
      <c r="G389" s="16" t="n"/>
      <c r="I389" s="39" t="n"/>
      <c r="J389" s="39" t="n"/>
      <c r="K389" s="39" t="n"/>
      <c r="L389" s="39" t="n"/>
      <c r="M389" s="39" t="n"/>
      <c r="N389" s="39" t="n"/>
      <c r="O389" s="39" t="n"/>
    </row>
    <row r="390" ht="21" customHeight="1" s="65">
      <c r="C390" s="16" t="n"/>
      <c r="D390" s="16" t="n"/>
      <c r="E390" s="16" t="n"/>
      <c r="F390" s="103" t="n"/>
      <c r="G390" s="16" t="n"/>
      <c r="I390" s="39" t="n"/>
      <c r="J390" s="39" t="n"/>
      <c r="K390" s="39" t="n"/>
      <c r="L390" s="39" t="n"/>
      <c r="M390" s="39" t="n"/>
      <c r="N390" s="39" t="n"/>
      <c r="O390" s="39" t="n"/>
    </row>
    <row r="391" ht="21" customHeight="1" s="65">
      <c r="C391" s="16" t="n"/>
      <c r="D391" s="16" t="n"/>
      <c r="E391" s="16" t="n"/>
      <c r="F391" s="103" t="n"/>
      <c r="G391" s="16" t="n"/>
      <c r="I391" s="39" t="n"/>
      <c r="J391" s="39" t="n"/>
      <c r="K391" s="39" t="n"/>
      <c r="L391" s="39" t="n"/>
      <c r="M391" s="39" t="n"/>
      <c r="N391" s="39" t="n"/>
      <c r="O391" s="39" t="n"/>
    </row>
    <row r="392" ht="21" customHeight="1" s="65">
      <c r="C392" s="16" t="n"/>
      <c r="D392" s="16" t="n"/>
      <c r="E392" s="16" t="n"/>
      <c r="F392" s="103" t="n"/>
      <c r="G392" s="16" t="n"/>
      <c r="I392" s="39" t="n"/>
      <c r="J392" s="39" t="n"/>
      <c r="K392" s="39" t="n"/>
      <c r="L392" s="39" t="n"/>
      <c r="M392" s="39" t="n"/>
      <c r="N392" s="39" t="n"/>
      <c r="O392" s="39" t="n"/>
    </row>
    <row r="393" ht="21" customHeight="1" s="65">
      <c r="C393" s="16" t="n"/>
      <c r="D393" s="16" t="n"/>
      <c r="E393" s="16" t="n"/>
      <c r="F393" s="103" t="n"/>
      <c r="G393" s="16" t="n"/>
      <c r="I393" s="39" t="n"/>
      <c r="J393" s="39" t="n"/>
      <c r="K393" s="39" t="n"/>
      <c r="L393" s="39" t="n"/>
      <c r="M393" s="39" t="n"/>
      <c r="N393" s="39" t="n"/>
      <c r="O393" s="39" t="n"/>
    </row>
    <row r="394" ht="21" customHeight="1" s="65">
      <c r="C394" s="16" t="n"/>
      <c r="D394" s="16" t="n"/>
      <c r="E394" s="16" t="n"/>
      <c r="F394" s="103" t="n"/>
      <c r="G394" s="16" t="n"/>
      <c r="I394" s="39" t="n"/>
      <c r="J394" s="39" t="n"/>
      <c r="K394" s="39" t="n"/>
      <c r="L394" s="39" t="n"/>
      <c r="M394" s="39" t="n"/>
      <c r="N394" s="39" t="n"/>
      <c r="O394" s="39" t="n"/>
    </row>
    <row r="395" ht="21" customHeight="1" s="65">
      <c r="C395" s="16" t="n"/>
      <c r="D395" s="16" t="n"/>
      <c r="E395" s="16" t="n"/>
      <c r="F395" s="103" t="n"/>
      <c r="G395" s="16" t="n"/>
      <c r="I395" s="39" t="n"/>
      <c r="J395" s="39" t="n"/>
      <c r="K395" s="39" t="n"/>
      <c r="L395" s="39" t="n"/>
      <c r="M395" s="39" t="n"/>
      <c r="N395" s="39" t="n"/>
      <c r="O395" s="39" t="n"/>
    </row>
    <row r="396" ht="21" customHeight="1" s="65">
      <c r="C396" s="16" t="n"/>
      <c r="D396" s="16" t="n"/>
      <c r="E396" s="16" t="n"/>
      <c r="F396" s="103" t="n"/>
      <c r="G396" s="16" t="n"/>
      <c r="I396" s="39" t="n"/>
      <c r="J396" s="39" t="n"/>
      <c r="K396" s="39" t="n"/>
      <c r="L396" s="39" t="n"/>
      <c r="M396" s="39" t="n"/>
      <c r="N396" s="39" t="n"/>
      <c r="O396" s="39" t="n"/>
    </row>
    <row r="397" ht="21" customHeight="1" s="65">
      <c r="C397" s="16" t="n"/>
      <c r="D397" s="16" t="n"/>
      <c r="E397" s="16" t="n"/>
      <c r="F397" s="103" t="n"/>
      <c r="G397" s="16" t="n"/>
      <c r="I397" s="39" t="n"/>
      <c r="J397" s="39" t="n"/>
      <c r="K397" s="39" t="n"/>
      <c r="L397" s="39" t="n"/>
      <c r="M397" s="39" t="n"/>
      <c r="N397" s="39" t="n"/>
      <c r="O397" s="39" t="n"/>
    </row>
    <row r="398" ht="21" customHeight="1" s="65">
      <c r="C398" s="16" t="n"/>
      <c r="D398" s="16" t="n"/>
      <c r="E398" s="16" t="n"/>
      <c r="F398" s="103" t="n"/>
      <c r="G398" s="16" t="n"/>
      <c r="I398" s="39" t="n"/>
      <c r="J398" s="39" t="n"/>
      <c r="K398" s="39" t="n"/>
      <c r="L398" s="39" t="n"/>
      <c r="M398" s="39" t="n"/>
      <c r="N398" s="39" t="n"/>
      <c r="O398" s="39" t="n"/>
    </row>
    <row r="399" ht="21" customHeight="1" s="65">
      <c r="C399" s="16" t="n"/>
      <c r="D399" s="16" t="n"/>
      <c r="E399" s="16" t="n"/>
      <c r="F399" s="103" t="n"/>
      <c r="G399" s="16" t="n"/>
      <c r="I399" s="39" t="n"/>
      <c r="J399" s="39" t="n"/>
      <c r="K399" s="39" t="n"/>
      <c r="L399" s="39" t="n"/>
      <c r="M399" s="39" t="n"/>
      <c r="N399" s="39" t="n"/>
      <c r="O399" s="39" t="n"/>
    </row>
    <row r="400" ht="21" customHeight="1" s="65">
      <c r="C400" s="16" t="n"/>
      <c r="D400" s="16" t="n"/>
      <c r="E400" s="16" t="n"/>
      <c r="F400" s="103" t="n"/>
      <c r="G400" s="16" t="n"/>
      <c r="I400" s="39" t="n"/>
      <c r="J400" s="39" t="n"/>
      <c r="K400" s="39" t="n"/>
      <c r="L400" s="39" t="n"/>
      <c r="M400" s="39" t="n"/>
      <c r="N400" s="39" t="n"/>
      <c r="O400" s="39" t="n"/>
    </row>
    <row r="401" ht="21" customHeight="1" s="65">
      <c r="C401" s="16" t="n"/>
      <c r="D401" s="16" t="n"/>
      <c r="E401" s="16" t="n"/>
      <c r="F401" s="103" t="n"/>
      <c r="G401" s="16" t="n"/>
      <c r="I401" s="39" t="n"/>
      <c r="J401" s="39" t="n"/>
      <c r="K401" s="39" t="n"/>
      <c r="L401" s="39" t="n"/>
      <c r="M401" s="39" t="n"/>
      <c r="N401" s="39" t="n"/>
      <c r="O401" s="39" t="n"/>
    </row>
    <row r="402" ht="21" customHeight="1" s="65">
      <c r="C402" s="16" t="n"/>
      <c r="D402" s="16" t="n"/>
      <c r="E402" s="16" t="n"/>
      <c r="F402" s="103" t="n"/>
      <c r="G402" s="16" t="n"/>
      <c r="I402" s="39" t="n"/>
      <c r="J402" s="39" t="n"/>
      <c r="K402" s="39" t="n"/>
      <c r="L402" s="39" t="n"/>
      <c r="M402" s="39" t="n"/>
      <c r="N402" s="39" t="n"/>
      <c r="O402" s="39" t="n"/>
    </row>
    <row r="403" ht="21" customHeight="1" s="65">
      <c r="C403" s="16" t="n"/>
      <c r="D403" s="16" t="n"/>
      <c r="E403" s="16" t="n"/>
      <c r="F403" s="103" t="n"/>
      <c r="G403" s="16" t="n"/>
      <c r="I403" s="39" t="n"/>
      <c r="J403" s="39" t="n"/>
      <c r="K403" s="39" t="n"/>
      <c r="L403" s="39" t="n"/>
      <c r="M403" s="39" t="n"/>
      <c r="N403" s="39" t="n"/>
      <c r="O403" s="39" t="n"/>
    </row>
    <row r="404" ht="21" customHeight="1" s="65">
      <c r="C404" s="16" t="n"/>
      <c r="D404" s="16" t="n"/>
      <c r="E404" s="16" t="n"/>
      <c r="F404" s="103" t="n"/>
      <c r="G404" s="16" t="n"/>
      <c r="I404" s="39" t="n"/>
      <c r="J404" s="39" t="n"/>
      <c r="K404" s="39" t="n"/>
      <c r="L404" s="39" t="n"/>
      <c r="M404" s="39" t="n"/>
      <c r="N404" s="39" t="n"/>
      <c r="O404" s="39" t="n"/>
    </row>
    <row r="405" ht="21" customHeight="1" s="65">
      <c r="C405" s="16" t="n"/>
      <c r="D405" s="16" t="n"/>
      <c r="E405" s="16" t="n"/>
      <c r="F405" s="103" t="n"/>
      <c r="G405" s="16" t="n"/>
      <c r="I405" s="39" t="n"/>
      <c r="J405" s="39" t="n"/>
      <c r="K405" s="39" t="n"/>
      <c r="L405" s="39" t="n"/>
      <c r="M405" s="39" t="n"/>
      <c r="N405" s="39" t="n"/>
      <c r="O405" s="39" t="n"/>
    </row>
    <row r="406" ht="21" customHeight="1" s="65">
      <c r="C406" s="16" t="n"/>
      <c r="D406" s="16" t="n"/>
      <c r="E406" s="16" t="n"/>
      <c r="F406" s="103" t="n"/>
      <c r="G406" s="16" t="n"/>
      <c r="I406" s="39" t="n"/>
      <c r="J406" s="39" t="n"/>
      <c r="K406" s="39" t="n"/>
      <c r="L406" s="39" t="n"/>
      <c r="M406" s="39" t="n"/>
      <c r="N406" s="39" t="n"/>
      <c r="O406" s="39" t="n"/>
    </row>
    <row r="407" ht="21" customHeight="1" s="65">
      <c r="C407" s="16" t="n"/>
      <c r="D407" s="16" t="n"/>
      <c r="E407" s="16" t="n"/>
      <c r="F407" s="103" t="n"/>
      <c r="G407" s="16" t="n"/>
      <c r="I407" s="39" t="n"/>
      <c r="J407" s="39" t="n"/>
      <c r="K407" s="39" t="n"/>
      <c r="L407" s="39" t="n"/>
      <c r="M407" s="39" t="n"/>
      <c r="N407" s="39" t="n"/>
      <c r="O407" s="39" t="n"/>
    </row>
    <row r="408" ht="21" customHeight="1" s="65">
      <c r="C408" s="16" t="n"/>
      <c r="D408" s="16" t="n"/>
      <c r="E408" s="16" t="n"/>
      <c r="F408" s="103" t="n"/>
      <c r="G408" s="16" t="n"/>
      <c r="I408" s="39" t="n"/>
      <c r="J408" s="39" t="n"/>
      <c r="K408" s="39" t="n"/>
      <c r="L408" s="39" t="n"/>
      <c r="M408" s="39" t="n"/>
      <c r="N408" s="39" t="n"/>
      <c r="O408" s="39" t="n"/>
    </row>
    <row r="409" ht="21" customHeight="1" s="65">
      <c r="C409" s="16" t="n"/>
      <c r="D409" s="16" t="n"/>
      <c r="E409" s="16" t="n"/>
      <c r="F409" s="103" t="n"/>
      <c r="G409" s="16" t="n"/>
      <c r="I409" s="39" t="n"/>
      <c r="J409" s="39" t="n"/>
      <c r="K409" s="39" t="n"/>
      <c r="L409" s="39" t="n"/>
      <c r="M409" s="39" t="n"/>
      <c r="N409" s="39" t="n"/>
      <c r="O409" s="39" t="n"/>
    </row>
    <row r="410" ht="21" customHeight="1" s="65">
      <c r="C410" s="16" t="n"/>
      <c r="D410" s="16" t="n"/>
      <c r="E410" s="16" t="n"/>
      <c r="F410" s="103" t="n"/>
      <c r="G410" s="16" t="n"/>
      <c r="I410" s="39" t="n"/>
      <c r="J410" s="39" t="n"/>
      <c r="K410" s="39" t="n"/>
      <c r="L410" s="39" t="n"/>
      <c r="M410" s="39" t="n"/>
      <c r="N410" s="39" t="n"/>
      <c r="O410" s="39" t="n"/>
    </row>
    <row r="411" ht="21" customHeight="1" s="65">
      <c r="C411" s="16" t="n"/>
      <c r="D411" s="16" t="n"/>
      <c r="E411" s="16" t="n"/>
      <c r="F411" s="103" t="n"/>
      <c r="G411" s="16" t="n"/>
      <c r="I411" s="39" t="n"/>
      <c r="J411" s="39" t="n"/>
      <c r="K411" s="39" t="n"/>
      <c r="L411" s="39" t="n"/>
      <c r="M411" s="39" t="n"/>
      <c r="N411" s="39" t="n"/>
      <c r="O411" s="39" t="n"/>
    </row>
    <row r="412" ht="21" customHeight="1" s="65">
      <c r="C412" s="16" t="n"/>
      <c r="D412" s="16" t="n"/>
      <c r="E412" s="16" t="n"/>
      <c r="F412" s="103" t="n"/>
      <c r="G412" s="16" t="n"/>
      <c r="I412" s="39" t="n"/>
      <c r="J412" s="39" t="n"/>
      <c r="K412" s="39" t="n"/>
      <c r="L412" s="39" t="n"/>
      <c r="M412" s="39" t="n"/>
      <c r="N412" s="39" t="n"/>
      <c r="O412" s="39" t="n"/>
    </row>
    <row r="413" ht="21" customHeight="1" s="65">
      <c r="C413" s="16" t="n"/>
      <c r="D413" s="16" t="n"/>
      <c r="E413" s="16" t="n"/>
      <c r="F413" s="103" t="n"/>
      <c r="G413" s="16" t="n"/>
      <c r="I413" s="39" t="n"/>
      <c r="J413" s="39" t="n"/>
      <c r="K413" s="39" t="n"/>
      <c r="L413" s="39" t="n"/>
      <c r="M413" s="39" t="n"/>
      <c r="N413" s="39" t="n"/>
      <c r="O413" s="39" t="n"/>
    </row>
    <row r="414" ht="21" customHeight="1" s="65">
      <c r="C414" s="16" t="n"/>
      <c r="D414" s="16" t="n"/>
      <c r="E414" s="16" t="n"/>
      <c r="F414" s="103" t="n"/>
      <c r="G414" s="16" t="n"/>
      <c r="I414" s="39" t="n"/>
      <c r="J414" s="39" t="n"/>
      <c r="K414" s="39" t="n"/>
      <c r="L414" s="39" t="n"/>
      <c r="M414" s="39" t="n"/>
      <c r="N414" s="39" t="n"/>
      <c r="O414" s="39" t="n"/>
    </row>
    <row r="415" ht="21" customHeight="1" s="65">
      <c r="C415" s="16" t="n"/>
      <c r="D415" s="16" t="n"/>
      <c r="E415" s="16" t="n"/>
      <c r="F415" s="103" t="n"/>
      <c r="G415" s="16" t="n"/>
      <c r="I415" s="39" t="n"/>
      <c r="J415" s="39" t="n"/>
      <c r="K415" s="39" t="n"/>
      <c r="L415" s="39" t="n"/>
      <c r="M415" s="39" t="n"/>
      <c r="N415" s="39" t="n"/>
      <c r="O415" s="39" t="n"/>
    </row>
    <row r="416" ht="21" customHeight="1" s="65">
      <c r="C416" s="16" t="n"/>
      <c r="D416" s="16" t="n"/>
      <c r="E416" s="16" t="n"/>
      <c r="F416" s="103" t="n"/>
      <c r="G416" s="16" t="n"/>
      <c r="I416" s="39" t="n"/>
      <c r="J416" s="39" t="n"/>
      <c r="K416" s="39" t="n"/>
      <c r="L416" s="39" t="n"/>
      <c r="M416" s="39" t="n"/>
      <c r="N416" s="39" t="n"/>
      <c r="O416" s="39" t="n"/>
    </row>
    <row r="417" ht="21" customHeight="1" s="65">
      <c r="C417" s="16" t="n"/>
      <c r="D417" s="16" t="n"/>
      <c r="E417" s="16" t="n"/>
      <c r="F417" s="103" t="n"/>
      <c r="G417" s="16" t="n"/>
      <c r="I417" s="39" t="n"/>
      <c r="J417" s="39" t="n"/>
      <c r="K417" s="39" t="n"/>
      <c r="L417" s="39" t="n"/>
      <c r="M417" s="39" t="n"/>
      <c r="N417" s="39" t="n"/>
      <c r="O417" s="39" t="n"/>
    </row>
    <row r="418" ht="21" customHeight="1" s="65">
      <c r="C418" s="16" t="n"/>
      <c r="D418" s="16" t="n"/>
      <c r="E418" s="16" t="n"/>
      <c r="F418" s="103" t="n"/>
      <c r="G418" s="16" t="n"/>
      <c r="I418" s="39" t="n"/>
      <c r="J418" s="39" t="n"/>
      <c r="K418" s="39" t="n"/>
      <c r="L418" s="39" t="n"/>
      <c r="M418" s="39" t="n"/>
      <c r="N418" s="39" t="n"/>
      <c r="O418" s="39" t="n"/>
    </row>
    <row r="419" ht="21" customHeight="1" s="65">
      <c r="C419" s="16" t="n"/>
      <c r="D419" s="16" t="n"/>
      <c r="E419" s="16" t="n"/>
      <c r="F419" s="103" t="n"/>
      <c r="G419" s="16" t="n"/>
      <c r="I419" s="39" t="n"/>
      <c r="J419" s="39" t="n"/>
      <c r="K419" s="39" t="n"/>
      <c r="L419" s="39" t="n"/>
      <c r="M419" s="39" t="n"/>
      <c r="N419" s="39" t="n"/>
      <c r="O419" s="39" t="n"/>
    </row>
    <row r="420" ht="21" customHeight="1" s="65">
      <c r="C420" s="16" t="n"/>
      <c r="D420" s="16" t="n"/>
      <c r="E420" s="16" t="n"/>
      <c r="F420" s="103" t="n"/>
      <c r="G420" s="16" t="n"/>
      <c r="I420" s="39" t="n"/>
      <c r="J420" s="39" t="n"/>
      <c r="K420" s="39" t="n"/>
      <c r="L420" s="39" t="n"/>
      <c r="M420" s="39" t="n"/>
      <c r="N420" s="39" t="n"/>
      <c r="O420" s="39" t="n"/>
    </row>
    <row r="421" ht="21" customHeight="1" s="65">
      <c r="C421" s="16" t="n"/>
      <c r="D421" s="16" t="n"/>
      <c r="E421" s="16" t="n"/>
      <c r="F421" s="103" t="n"/>
      <c r="G421" s="16" t="n"/>
      <c r="I421" s="39" t="n"/>
      <c r="J421" s="39" t="n"/>
      <c r="K421" s="39" t="n"/>
      <c r="L421" s="39" t="n"/>
      <c r="M421" s="39" t="n"/>
      <c r="N421" s="39" t="n"/>
      <c r="O421" s="39" t="n"/>
    </row>
    <row r="422" ht="21" customHeight="1" s="65">
      <c r="C422" s="16" t="n"/>
      <c r="D422" s="16" t="n"/>
      <c r="E422" s="16" t="n"/>
      <c r="F422" s="103" t="n"/>
      <c r="G422" s="16" t="n"/>
      <c r="I422" s="39" t="n"/>
      <c r="J422" s="39" t="n"/>
      <c r="K422" s="39" t="n"/>
      <c r="L422" s="39" t="n"/>
      <c r="M422" s="39" t="n"/>
      <c r="N422" s="39" t="n"/>
      <c r="O422" s="39" t="n"/>
    </row>
    <row r="423" ht="21" customHeight="1" s="65">
      <c r="C423" s="16" t="n"/>
      <c r="D423" s="16" t="n"/>
      <c r="E423" s="16" t="n"/>
      <c r="F423" s="103" t="n"/>
      <c r="G423" s="16" t="n"/>
      <c r="I423" s="39" t="n"/>
      <c r="J423" s="39" t="n"/>
      <c r="K423" s="39" t="n"/>
      <c r="L423" s="39" t="n"/>
      <c r="M423" s="39" t="n"/>
      <c r="N423" s="39" t="n"/>
      <c r="O423" s="39" t="n"/>
    </row>
    <row r="424" ht="21" customHeight="1" s="65">
      <c r="C424" s="16" t="n"/>
      <c r="D424" s="16" t="n"/>
      <c r="E424" s="16" t="n"/>
      <c r="F424" s="103" t="n"/>
      <c r="G424" s="16" t="n"/>
      <c r="I424" s="39" t="n"/>
      <c r="J424" s="39" t="n"/>
      <c r="K424" s="39" t="n"/>
      <c r="L424" s="39" t="n"/>
      <c r="M424" s="39" t="n"/>
      <c r="N424" s="39" t="n"/>
      <c r="O424" s="39" t="n"/>
    </row>
    <row r="425" ht="21" customHeight="1" s="65">
      <c r="C425" s="16" t="n"/>
      <c r="D425" s="16" t="n"/>
      <c r="E425" s="16" t="n"/>
      <c r="F425" s="103" t="n"/>
      <c r="G425" s="16" t="n"/>
      <c r="I425" s="39" t="n"/>
      <c r="J425" s="39" t="n"/>
      <c r="K425" s="39" t="n"/>
      <c r="L425" s="39" t="n"/>
      <c r="M425" s="39" t="n"/>
      <c r="N425" s="39" t="n"/>
      <c r="O425" s="39" t="n"/>
    </row>
    <row r="426" ht="21" customHeight="1" s="65">
      <c r="C426" s="16" t="n"/>
      <c r="D426" s="16" t="n"/>
      <c r="E426" s="16" t="n"/>
      <c r="F426" s="103" t="n"/>
      <c r="G426" s="16" t="n"/>
      <c r="I426" s="39" t="n"/>
      <c r="J426" s="39" t="n"/>
      <c r="K426" s="39" t="n"/>
      <c r="L426" s="39" t="n"/>
      <c r="M426" s="39" t="n"/>
      <c r="N426" s="39" t="n"/>
      <c r="O426" s="39" t="n"/>
    </row>
    <row r="427" ht="21" customHeight="1" s="65">
      <c r="C427" s="16" t="n"/>
      <c r="D427" s="16" t="n"/>
      <c r="E427" s="16" t="n"/>
      <c r="F427" s="103" t="n"/>
      <c r="G427" s="16" t="n"/>
      <c r="I427" s="39" t="n"/>
      <c r="J427" s="39" t="n"/>
      <c r="K427" s="39" t="n"/>
      <c r="L427" s="39" t="n"/>
      <c r="M427" s="39" t="n"/>
      <c r="N427" s="39" t="n"/>
      <c r="O427" s="39" t="n"/>
    </row>
    <row r="428" ht="21" customHeight="1" s="65">
      <c r="C428" s="16" t="n"/>
      <c r="D428" s="16" t="n"/>
      <c r="E428" s="16" t="n"/>
      <c r="F428" s="103" t="n"/>
      <c r="G428" s="16" t="n"/>
      <c r="I428" s="39" t="n"/>
      <c r="J428" s="39" t="n"/>
      <c r="K428" s="39" t="n"/>
      <c r="L428" s="39" t="n"/>
      <c r="M428" s="39" t="n"/>
      <c r="N428" s="39" t="n"/>
      <c r="O428" s="39" t="n"/>
    </row>
    <row r="429" ht="21" customHeight="1" s="65">
      <c r="C429" s="16" t="n"/>
      <c r="D429" s="16" t="n"/>
      <c r="E429" s="16" t="n"/>
      <c r="F429" s="103" t="n"/>
      <c r="G429" s="16" t="n"/>
      <c r="I429" s="39" t="n"/>
      <c r="J429" s="39" t="n"/>
      <c r="K429" s="39" t="n"/>
      <c r="L429" s="39" t="n"/>
      <c r="M429" s="39" t="n"/>
      <c r="N429" s="39" t="n"/>
      <c r="O429" s="39" t="n"/>
    </row>
    <row r="430" ht="21" customHeight="1" s="65">
      <c r="C430" s="16" t="n"/>
      <c r="D430" s="16" t="n"/>
      <c r="E430" s="16" t="n"/>
      <c r="F430" s="103" t="n"/>
      <c r="G430" s="16" t="n"/>
      <c r="I430" s="39" t="n"/>
      <c r="J430" s="39" t="n"/>
      <c r="K430" s="39" t="n"/>
      <c r="L430" s="39" t="n"/>
      <c r="M430" s="39" t="n"/>
      <c r="N430" s="39" t="n"/>
      <c r="O430" s="39" t="n"/>
    </row>
    <row r="431" ht="21" customHeight="1" s="65">
      <c r="C431" s="16" t="n"/>
      <c r="D431" s="16" t="n"/>
      <c r="E431" s="16" t="n"/>
      <c r="F431" s="103" t="n"/>
      <c r="G431" s="16" t="n"/>
      <c r="I431" s="39" t="n"/>
      <c r="J431" s="39" t="n"/>
      <c r="K431" s="39" t="n"/>
      <c r="L431" s="39" t="n"/>
      <c r="M431" s="39" t="n"/>
      <c r="N431" s="39" t="n"/>
      <c r="O431" s="39" t="n"/>
    </row>
    <row r="432" ht="21" customHeight="1" s="65">
      <c r="C432" s="16" t="n"/>
      <c r="D432" s="16" t="n"/>
      <c r="E432" s="16" t="n"/>
      <c r="F432" s="103" t="n"/>
      <c r="G432" s="16" t="n"/>
      <c r="I432" s="39" t="n"/>
      <c r="J432" s="39" t="n"/>
      <c r="K432" s="39" t="n"/>
      <c r="L432" s="39" t="n"/>
      <c r="M432" s="39" t="n"/>
      <c r="N432" s="39" t="n"/>
      <c r="O432" s="39" t="n"/>
    </row>
    <row r="433" ht="21" customHeight="1" s="65">
      <c r="C433" s="16" t="n"/>
      <c r="D433" s="16" t="n"/>
      <c r="E433" s="16" t="n"/>
      <c r="F433" s="103" t="n"/>
      <c r="G433" s="16" t="n"/>
      <c r="I433" s="39" t="n"/>
      <c r="J433" s="39" t="n"/>
      <c r="K433" s="39" t="n"/>
      <c r="L433" s="39" t="n"/>
      <c r="M433" s="39" t="n"/>
      <c r="N433" s="39" t="n"/>
      <c r="O433" s="39" t="n"/>
    </row>
    <row r="434" ht="21" customHeight="1" s="65">
      <c r="C434" s="16" t="n"/>
      <c r="D434" s="16" t="n"/>
      <c r="E434" s="16" t="n"/>
      <c r="F434" s="103" t="n"/>
      <c r="G434" s="16" t="n"/>
      <c r="I434" s="39" t="n"/>
      <c r="J434" s="39" t="n"/>
      <c r="K434" s="39" t="n"/>
      <c r="L434" s="39" t="n"/>
      <c r="M434" s="39" t="n"/>
      <c r="N434" s="39" t="n"/>
      <c r="O434" s="39" t="n"/>
    </row>
    <row r="435" ht="21" customHeight="1" s="65">
      <c r="C435" s="16" t="n"/>
      <c r="D435" s="16" t="n"/>
      <c r="E435" s="16" t="n"/>
      <c r="F435" s="103" t="n"/>
      <c r="G435" s="16" t="n"/>
      <c r="I435" s="39" t="n"/>
      <c r="J435" s="39" t="n"/>
      <c r="K435" s="39" t="n"/>
      <c r="L435" s="39" t="n"/>
      <c r="M435" s="39" t="n"/>
      <c r="N435" s="39" t="n"/>
      <c r="O435" s="39" t="n"/>
    </row>
    <row r="436" ht="21" customHeight="1" s="65">
      <c r="C436" s="16" t="n"/>
      <c r="D436" s="16" t="n"/>
      <c r="E436" s="16" t="n"/>
      <c r="F436" s="103" t="n"/>
      <c r="G436" s="16" t="n"/>
      <c r="I436" s="39" t="n"/>
      <c r="J436" s="39" t="n"/>
      <c r="K436" s="39" t="n"/>
      <c r="L436" s="39" t="n"/>
      <c r="M436" s="39" t="n"/>
      <c r="N436" s="39" t="n"/>
      <c r="O436" s="39" t="n"/>
    </row>
    <row r="437" ht="21" customHeight="1" s="65">
      <c r="C437" s="16" t="n"/>
      <c r="D437" s="16" t="n"/>
      <c r="E437" s="16" t="n"/>
      <c r="F437" s="103" t="n"/>
      <c r="G437" s="16" t="n"/>
      <c r="I437" s="39" t="n"/>
      <c r="J437" s="39" t="n"/>
      <c r="K437" s="39" t="n"/>
      <c r="L437" s="39" t="n"/>
      <c r="M437" s="39" t="n"/>
      <c r="N437" s="39" t="n"/>
      <c r="O437" s="39" t="n"/>
    </row>
    <row r="438" ht="21" customHeight="1" s="65">
      <c r="C438" s="16" t="n"/>
      <c r="D438" s="16" t="n"/>
      <c r="E438" s="16" t="n"/>
      <c r="F438" s="103" t="n"/>
      <c r="G438" s="16" t="n"/>
      <c r="I438" s="39" t="n"/>
      <c r="J438" s="39" t="n"/>
      <c r="K438" s="39" t="n"/>
      <c r="L438" s="39" t="n"/>
      <c r="M438" s="39" t="n"/>
      <c r="N438" s="39" t="n"/>
      <c r="O438" s="39" t="n"/>
    </row>
    <row r="439" ht="21" customHeight="1" s="65">
      <c r="C439" s="16" t="n"/>
      <c r="D439" s="16" t="n"/>
      <c r="E439" s="16" t="n"/>
      <c r="F439" s="103" t="n"/>
      <c r="G439" s="16" t="n"/>
      <c r="I439" s="39" t="n"/>
      <c r="J439" s="39" t="n"/>
      <c r="K439" s="39" t="n"/>
      <c r="L439" s="39" t="n"/>
      <c r="M439" s="39" t="n"/>
      <c r="N439" s="39" t="n"/>
      <c r="O439" s="39" t="n"/>
    </row>
    <row r="440" ht="21" customHeight="1" s="65">
      <c r="C440" s="16" t="n"/>
      <c r="D440" s="16" t="n"/>
      <c r="E440" s="16" t="n"/>
      <c r="F440" s="103" t="n"/>
      <c r="G440" s="16" t="n"/>
      <c r="I440" s="39" t="n"/>
      <c r="J440" s="39" t="n"/>
      <c r="K440" s="39" t="n"/>
      <c r="L440" s="39" t="n"/>
      <c r="M440" s="39" t="n"/>
      <c r="N440" s="39" t="n"/>
      <c r="O440" s="39" t="n"/>
    </row>
    <row r="441" ht="21" customHeight="1" s="65">
      <c r="C441" s="16" t="n"/>
      <c r="D441" s="16" t="n"/>
      <c r="E441" s="16" t="n"/>
      <c r="F441" s="103" t="n"/>
      <c r="G441" s="16" t="n"/>
      <c r="I441" s="39" t="n"/>
      <c r="J441" s="39" t="n"/>
      <c r="K441" s="39" t="n"/>
      <c r="L441" s="39" t="n"/>
      <c r="M441" s="39" t="n"/>
      <c r="N441" s="39" t="n"/>
      <c r="O441" s="39" t="n"/>
    </row>
    <row r="442" ht="21" customHeight="1" s="65">
      <c r="C442" s="16" t="n"/>
      <c r="D442" s="16" t="n"/>
      <c r="E442" s="16" t="n"/>
      <c r="F442" s="103" t="n"/>
      <c r="G442" s="16" t="n"/>
      <c r="I442" s="39" t="n"/>
      <c r="J442" s="39" t="n"/>
      <c r="K442" s="39" t="n"/>
      <c r="L442" s="39" t="n"/>
      <c r="M442" s="39" t="n"/>
      <c r="N442" s="39" t="n"/>
      <c r="O442" s="39" t="n"/>
    </row>
    <row r="443" ht="21" customHeight="1" s="65">
      <c r="C443" s="16" t="n"/>
      <c r="D443" s="16" t="n"/>
      <c r="E443" s="16" t="n"/>
      <c r="F443" s="103" t="n"/>
      <c r="G443" s="16" t="n"/>
      <c r="I443" s="39" t="n"/>
      <c r="J443" s="39" t="n"/>
      <c r="K443" s="39" t="n"/>
      <c r="L443" s="39" t="n"/>
      <c r="M443" s="39" t="n"/>
      <c r="N443" s="39" t="n"/>
      <c r="O443" s="39" t="n"/>
    </row>
    <row r="444" ht="21" customHeight="1" s="65">
      <c r="C444" s="16" t="n"/>
      <c r="D444" s="16" t="n"/>
      <c r="E444" s="16" t="n"/>
      <c r="F444" s="103" t="n"/>
      <c r="G444" s="16" t="n"/>
      <c r="I444" s="39" t="n"/>
      <c r="J444" s="39" t="n"/>
      <c r="K444" s="39" t="n"/>
      <c r="L444" s="39" t="n"/>
      <c r="M444" s="39" t="n"/>
      <c r="N444" s="39" t="n"/>
      <c r="O444" s="39" t="n"/>
    </row>
    <row r="445" ht="21" customHeight="1" s="65">
      <c r="C445" s="16" t="n"/>
      <c r="D445" s="16" t="n"/>
      <c r="E445" s="16" t="n"/>
      <c r="F445" s="103" t="n"/>
      <c r="G445" s="16" t="n"/>
      <c r="I445" s="39" t="n"/>
      <c r="J445" s="39" t="n"/>
      <c r="K445" s="39" t="n"/>
      <c r="L445" s="39" t="n"/>
      <c r="M445" s="39" t="n"/>
      <c r="N445" s="39" t="n"/>
      <c r="O445" s="39" t="n"/>
    </row>
    <row r="446" ht="21" customHeight="1" s="65">
      <c r="C446" s="16" t="n"/>
      <c r="D446" s="16" t="n"/>
      <c r="E446" s="16" t="n"/>
      <c r="F446" s="103" t="n"/>
      <c r="G446" s="16" t="n"/>
      <c r="I446" s="39" t="n"/>
      <c r="J446" s="39" t="n"/>
      <c r="K446" s="39" t="n"/>
      <c r="L446" s="39" t="n"/>
      <c r="M446" s="39" t="n"/>
      <c r="N446" s="39" t="n"/>
      <c r="O446" s="39" t="n"/>
    </row>
    <row r="447" ht="21" customHeight="1" s="65">
      <c r="C447" s="16" t="n"/>
      <c r="D447" s="16" t="n"/>
      <c r="E447" s="16" t="n"/>
      <c r="F447" s="103" t="n"/>
      <c r="G447" s="16" t="n"/>
      <c r="I447" s="39" t="n"/>
      <c r="J447" s="39" t="n"/>
      <c r="K447" s="39" t="n"/>
      <c r="L447" s="39" t="n"/>
      <c r="M447" s="39" t="n"/>
      <c r="N447" s="39" t="n"/>
      <c r="O447" s="39" t="n"/>
    </row>
    <row r="448" ht="21" customHeight="1" s="65">
      <c r="C448" s="16" t="n"/>
      <c r="D448" s="16" t="n"/>
      <c r="E448" s="16" t="n"/>
      <c r="F448" s="103" t="n"/>
      <c r="G448" s="16" t="n"/>
      <c r="I448" s="39" t="n"/>
      <c r="J448" s="39" t="n"/>
      <c r="K448" s="39" t="n"/>
      <c r="L448" s="39" t="n"/>
      <c r="M448" s="39" t="n"/>
      <c r="N448" s="39" t="n"/>
      <c r="O448" s="39" t="n"/>
    </row>
    <row r="449" ht="21" customHeight="1" s="65">
      <c r="C449" s="16" t="n"/>
      <c r="D449" s="16" t="n"/>
      <c r="E449" s="16" t="n"/>
      <c r="F449" s="103" t="n"/>
      <c r="G449" s="16" t="n"/>
      <c r="I449" s="39" t="n"/>
      <c r="J449" s="39" t="n"/>
      <c r="K449" s="39" t="n"/>
      <c r="L449" s="39" t="n"/>
      <c r="M449" s="39" t="n"/>
      <c r="N449" s="39" t="n"/>
      <c r="O449" s="39" t="n"/>
    </row>
    <row r="450" ht="21" customHeight="1" s="65">
      <c r="C450" s="16" t="n"/>
      <c r="D450" s="16" t="n"/>
      <c r="E450" s="16" t="n"/>
      <c r="F450" s="103" t="n"/>
      <c r="G450" s="16" t="n"/>
      <c r="I450" s="39" t="n"/>
      <c r="J450" s="39" t="n"/>
      <c r="K450" s="39" t="n"/>
      <c r="L450" s="39" t="n"/>
      <c r="M450" s="39" t="n"/>
      <c r="N450" s="39" t="n"/>
      <c r="O450" s="39" t="n"/>
    </row>
    <row r="451" ht="21" customHeight="1" s="65">
      <c r="C451" s="16" t="n"/>
      <c r="D451" s="16" t="n"/>
      <c r="E451" s="16" t="n"/>
      <c r="F451" s="103" t="n"/>
      <c r="G451" s="16" t="n"/>
      <c r="I451" s="39" t="n"/>
      <c r="J451" s="39" t="n"/>
      <c r="K451" s="39" t="n"/>
      <c r="L451" s="39" t="n"/>
      <c r="M451" s="39" t="n"/>
      <c r="N451" s="39" t="n"/>
      <c r="O451" s="39" t="n"/>
    </row>
    <row r="452" ht="21" customHeight="1" s="65">
      <c r="C452" s="16" t="n"/>
      <c r="D452" s="16" t="n"/>
      <c r="E452" s="16" t="n"/>
      <c r="F452" s="103" t="n"/>
      <c r="G452" s="16" t="n"/>
      <c r="I452" s="39" t="n"/>
      <c r="J452" s="39" t="n"/>
      <c r="K452" s="39" t="n"/>
      <c r="L452" s="39" t="n"/>
      <c r="M452" s="39" t="n"/>
      <c r="N452" s="39" t="n"/>
      <c r="O452" s="39" t="n"/>
    </row>
    <row r="453" ht="21" customHeight="1" s="65">
      <c r="C453" s="16" t="n"/>
      <c r="D453" s="16" t="n"/>
      <c r="E453" s="16" t="n"/>
      <c r="F453" s="103" t="n"/>
      <c r="G453" s="16" t="n"/>
      <c r="I453" s="39" t="n"/>
      <c r="J453" s="39" t="n"/>
      <c r="K453" s="39" t="n"/>
      <c r="L453" s="39" t="n"/>
      <c r="M453" s="39" t="n"/>
      <c r="N453" s="39" t="n"/>
      <c r="O453" s="39" t="n"/>
    </row>
    <row r="454" ht="21" customHeight="1" s="65">
      <c r="C454" s="16" t="n"/>
      <c r="D454" s="16" t="n"/>
      <c r="E454" s="16" t="n"/>
      <c r="F454" s="103" t="n"/>
      <c r="G454" s="16" t="n"/>
      <c r="I454" s="39" t="n"/>
      <c r="J454" s="39" t="n"/>
      <c r="K454" s="39" t="n"/>
      <c r="L454" s="39" t="n"/>
      <c r="M454" s="39" t="n"/>
      <c r="N454" s="39" t="n"/>
      <c r="O454" s="39" t="n"/>
    </row>
    <row r="455" ht="21" customHeight="1" s="65">
      <c r="C455" s="16" t="n"/>
      <c r="D455" s="16" t="n"/>
      <c r="E455" s="16" t="n"/>
      <c r="F455" s="103" t="n"/>
      <c r="G455" s="16" t="n"/>
      <c r="I455" s="39" t="n"/>
      <c r="J455" s="39" t="n"/>
      <c r="K455" s="39" t="n"/>
      <c r="L455" s="39" t="n"/>
      <c r="M455" s="39" t="n"/>
      <c r="N455" s="39" t="n"/>
      <c r="O455" s="39" t="n"/>
    </row>
    <row r="456" ht="21" customHeight="1" s="65">
      <c r="C456" s="16" t="n"/>
      <c r="D456" s="16" t="n"/>
      <c r="E456" s="16" t="n"/>
      <c r="F456" s="103" t="n"/>
      <c r="G456" s="16" t="n"/>
      <c r="I456" s="39" t="n"/>
      <c r="J456" s="39" t="n"/>
      <c r="K456" s="39" t="n"/>
      <c r="L456" s="39" t="n"/>
      <c r="M456" s="39" t="n"/>
      <c r="N456" s="39" t="n"/>
      <c r="O456" s="39" t="n"/>
    </row>
    <row r="457" ht="21" customHeight="1" s="65">
      <c r="C457" s="16" t="n"/>
      <c r="D457" s="16" t="n"/>
      <c r="E457" s="16" t="n"/>
      <c r="F457" s="103" t="n"/>
      <c r="G457" s="16" t="n"/>
      <c r="I457" s="39" t="n"/>
      <c r="J457" s="39" t="n"/>
      <c r="K457" s="39" t="n"/>
      <c r="L457" s="39" t="n"/>
      <c r="M457" s="39" t="n"/>
      <c r="N457" s="39" t="n"/>
      <c r="O457" s="39" t="n"/>
    </row>
    <row r="458" ht="21" customHeight="1" s="65">
      <c r="C458" s="16" t="n"/>
      <c r="D458" s="16" t="n"/>
      <c r="E458" s="16" t="n"/>
      <c r="F458" s="103" t="n"/>
      <c r="G458" s="16" t="n"/>
      <c r="I458" s="39" t="n"/>
      <c r="J458" s="39" t="n"/>
      <c r="K458" s="39" t="n"/>
      <c r="L458" s="39" t="n"/>
      <c r="M458" s="39" t="n"/>
      <c r="N458" s="39" t="n"/>
      <c r="O458" s="39" t="n"/>
    </row>
    <row r="459" ht="21" customHeight="1" s="65">
      <c r="C459" s="16" t="n"/>
      <c r="D459" s="16" t="n"/>
      <c r="E459" s="16" t="n"/>
      <c r="F459" s="103" t="n"/>
      <c r="G459" s="16" t="n"/>
      <c r="I459" s="39" t="n"/>
      <c r="J459" s="39" t="n"/>
      <c r="K459" s="39" t="n"/>
      <c r="L459" s="39" t="n"/>
      <c r="M459" s="39" t="n"/>
      <c r="N459" s="39" t="n"/>
      <c r="O459" s="39" t="n"/>
    </row>
    <row r="460" ht="21" customHeight="1" s="65">
      <c r="C460" s="16" t="n"/>
      <c r="D460" s="16" t="n"/>
      <c r="E460" s="16" t="n"/>
      <c r="F460" s="103" t="n"/>
      <c r="G460" s="16" t="n"/>
      <c r="I460" s="39" t="n"/>
      <c r="J460" s="39" t="n"/>
      <c r="K460" s="39" t="n"/>
      <c r="L460" s="39" t="n"/>
      <c r="M460" s="39" t="n"/>
      <c r="N460" s="39" t="n"/>
      <c r="O460" s="39" t="n"/>
    </row>
    <row r="461" ht="21" customHeight="1" s="65">
      <c r="C461" s="16" t="n"/>
      <c r="D461" s="16" t="n"/>
      <c r="E461" s="16" t="n"/>
      <c r="F461" s="103" t="n"/>
      <c r="G461" s="16" t="n"/>
      <c r="I461" s="39" t="n"/>
      <c r="J461" s="39" t="n"/>
      <c r="K461" s="39" t="n"/>
      <c r="L461" s="39" t="n"/>
      <c r="M461" s="39" t="n"/>
      <c r="N461" s="39" t="n"/>
      <c r="O461" s="39" t="n"/>
    </row>
    <row r="462" ht="21" customHeight="1" s="65">
      <c r="C462" s="16" t="n"/>
      <c r="D462" s="16" t="n"/>
      <c r="E462" s="16" t="n"/>
      <c r="F462" s="103" t="n"/>
      <c r="G462" s="16" t="n"/>
      <c r="I462" s="39" t="n"/>
      <c r="J462" s="39" t="n"/>
      <c r="K462" s="39" t="n"/>
      <c r="L462" s="39" t="n"/>
      <c r="M462" s="39" t="n"/>
      <c r="N462" s="39" t="n"/>
      <c r="O462" s="39" t="n"/>
    </row>
    <row r="463" ht="21" customHeight="1" s="65">
      <c r="C463" s="16" t="n"/>
      <c r="D463" s="16" t="n"/>
      <c r="E463" s="16" t="n"/>
      <c r="F463" s="103" t="n"/>
      <c r="G463" s="16" t="n"/>
      <c r="I463" s="39" t="n"/>
      <c r="J463" s="39" t="n"/>
      <c r="K463" s="39" t="n"/>
      <c r="L463" s="39" t="n"/>
      <c r="M463" s="39" t="n"/>
      <c r="N463" s="39" t="n"/>
      <c r="O463" s="39" t="n"/>
    </row>
    <row r="464" ht="21" customHeight="1" s="65">
      <c r="C464" s="16" t="n"/>
      <c r="D464" s="16" t="n"/>
      <c r="E464" s="16" t="n"/>
      <c r="F464" s="103" t="n"/>
      <c r="G464" s="16" t="n"/>
      <c r="I464" s="39" t="n"/>
      <c r="J464" s="39" t="n"/>
      <c r="K464" s="39" t="n"/>
      <c r="L464" s="39" t="n"/>
      <c r="M464" s="39" t="n"/>
      <c r="N464" s="39" t="n"/>
      <c r="O464" s="39" t="n"/>
    </row>
    <row r="465" ht="21" customHeight="1" s="65">
      <c r="C465" s="16" t="n"/>
      <c r="D465" s="16" t="n"/>
      <c r="E465" s="16" t="n"/>
      <c r="F465" s="103" t="n"/>
      <c r="G465" s="16" t="n"/>
      <c r="I465" s="39" t="n"/>
      <c r="J465" s="39" t="n"/>
      <c r="K465" s="39" t="n"/>
      <c r="L465" s="39" t="n"/>
      <c r="M465" s="39" t="n"/>
      <c r="N465" s="39" t="n"/>
      <c r="O465" s="39" t="n"/>
    </row>
    <row r="466" ht="21" customHeight="1" s="65">
      <c r="C466" s="16" t="n"/>
      <c r="D466" s="16" t="n"/>
      <c r="E466" s="16" t="n"/>
      <c r="F466" s="103" t="n"/>
      <c r="G466" s="16" t="n"/>
      <c r="I466" s="39" t="n"/>
      <c r="J466" s="39" t="n"/>
      <c r="K466" s="39" t="n"/>
      <c r="L466" s="39" t="n"/>
      <c r="M466" s="39" t="n"/>
      <c r="N466" s="39" t="n"/>
      <c r="O466" s="39" t="n"/>
    </row>
    <row r="467" ht="21" customHeight="1" s="65">
      <c r="C467" s="16" t="n"/>
      <c r="D467" s="16" t="n"/>
      <c r="E467" s="16" t="n"/>
      <c r="F467" s="103" t="n"/>
      <c r="G467" s="16" t="n"/>
      <c r="I467" s="39" t="n"/>
      <c r="J467" s="39" t="n"/>
      <c r="K467" s="39" t="n"/>
      <c r="L467" s="39" t="n"/>
      <c r="M467" s="39" t="n"/>
      <c r="N467" s="39" t="n"/>
      <c r="O467" s="39" t="n"/>
    </row>
    <row r="468" ht="21" customHeight="1" s="65">
      <c r="C468" s="16" t="n"/>
      <c r="D468" s="16" t="n"/>
      <c r="E468" s="16" t="n"/>
      <c r="F468" s="103" t="n"/>
      <c r="G468" s="16" t="n"/>
      <c r="I468" s="39" t="n"/>
      <c r="J468" s="39" t="n"/>
      <c r="K468" s="39" t="n"/>
      <c r="L468" s="39" t="n"/>
      <c r="M468" s="39" t="n"/>
      <c r="N468" s="39" t="n"/>
      <c r="O468" s="39" t="n"/>
    </row>
    <row r="469" ht="21" customHeight="1" s="65">
      <c r="C469" s="16" t="n"/>
      <c r="D469" s="16" t="n"/>
      <c r="E469" s="16" t="n"/>
      <c r="F469" s="103" t="n"/>
      <c r="G469" s="16" t="n"/>
      <c r="I469" s="39" t="n"/>
      <c r="J469" s="39" t="n"/>
      <c r="K469" s="39" t="n"/>
      <c r="L469" s="39" t="n"/>
      <c r="M469" s="39" t="n"/>
      <c r="N469" s="39" t="n"/>
      <c r="O469" s="39" t="n"/>
    </row>
    <row r="470" ht="21" customHeight="1" s="65">
      <c r="C470" s="16" t="n"/>
      <c r="D470" s="16" t="n"/>
      <c r="E470" s="16" t="n"/>
      <c r="F470" s="103" t="n"/>
      <c r="G470" s="16" t="n"/>
      <c r="I470" s="39" t="n"/>
      <c r="J470" s="39" t="n"/>
      <c r="K470" s="39" t="n"/>
      <c r="L470" s="39" t="n"/>
      <c r="M470" s="39" t="n"/>
      <c r="N470" s="39" t="n"/>
      <c r="O470" s="39" t="n"/>
    </row>
    <row r="471" ht="21" customHeight="1" s="65">
      <c r="C471" s="16" t="n"/>
      <c r="D471" s="16" t="n"/>
      <c r="E471" s="16" t="n"/>
      <c r="F471" s="103" t="n"/>
      <c r="G471" s="16" t="n"/>
      <c r="I471" s="39" t="n"/>
      <c r="J471" s="39" t="n"/>
      <c r="K471" s="39" t="n"/>
      <c r="L471" s="39" t="n"/>
      <c r="M471" s="39" t="n"/>
      <c r="N471" s="39" t="n"/>
      <c r="O471" s="39" t="n"/>
    </row>
    <row r="472" ht="21" customHeight="1" s="65">
      <c r="C472" s="16" t="n"/>
      <c r="D472" s="16" t="n"/>
      <c r="E472" s="16" t="n"/>
      <c r="F472" s="103" t="n"/>
      <c r="G472" s="16" t="n"/>
      <c r="I472" s="39" t="n"/>
      <c r="J472" s="39" t="n"/>
      <c r="K472" s="39" t="n"/>
      <c r="L472" s="39" t="n"/>
      <c r="M472" s="39" t="n"/>
      <c r="N472" s="39" t="n"/>
      <c r="O472" s="39" t="n"/>
    </row>
    <row r="473" ht="21" customHeight="1" s="65">
      <c r="C473" s="16" t="n"/>
      <c r="D473" s="16" t="n"/>
      <c r="E473" s="16" t="n"/>
      <c r="F473" s="103" t="n"/>
      <c r="G473" s="16" t="n"/>
      <c r="I473" s="39" t="n"/>
      <c r="J473" s="39" t="n"/>
      <c r="K473" s="39" t="n"/>
      <c r="L473" s="39" t="n"/>
      <c r="M473" s="39" t="n"/>
      <c r="N473" s="39" t="n"/>
      <c r="O473" s="39" t="n"/>
    </row>
    <row r="474" ht="21" customHeight="1" s="65">
      <c r="C474" s="16" t="n"/>
      <c r="D474" s="16" t="n"/>
      <c r="E474" s="16" t="n"/>
      <c r="F474" s="103" t="n"/>
      <c r="G474" s="16" t="n"/>
      <c r="I474" s="39" t="n"/>
      <c r="J474" s="39" t="n"/>
      <c r="K474" s="39" t="n"/>
      <c r="L474" s="39" t="n"/>
      <c r="M474" s="39" t="n"/>
      <c r="N474" s="39" t="n"/>
      <c r="O474" s="39" t="n"/>
    </row>
    <row r="475" ht="21" customHeight="1" s="65">
      <c r="C475" s="16" t="n"/>
      <c r="D475" s="16" t="n"/>
      <c r="E475" s="16" t="n"/>
      <c r="F475" s="103" t="n"/>
      <c r="G475" s="16" t="n"/>
      <c r="I475" s="39" t="n"/>
      <c r="J475" s="39" t="n"/>
      <c r="K475" s="39" t="n"/>
      <c r="L475" s="39" t="n"/>
      <c r="M475" s="39" t="n"/>
      <c r="N475" s="39" t="n"/>
      <c r="O475" s="39" t="n"/>
    </row>
    <row r="476" ht="21" customHeight="1" s="65">
      <c r="C476" s="16" t="n"/>
      <c r="D476" s="16" t="n"/>
      <c r="E476" s="16" t="n"/>
      <c r="F476" s="103" t="n"/>
      <c r="G476" s="16" t="n"/>
      <c r="I476" s="39" t="n"/>
      <c r="J476" s="39" t="n"/>
      <c r="K476" s="39" t="n"/>
      <c r="L476" s="39" t="n"/>
      <c r="M476" s="39" t="n"/>
      <c r="N476" s="39" t="n"/>
      <c r="O476" s="39" t="n"/>
    </row>
    <row r="477" ht="21" customHeight="1" s="65">
      <c r="C477" s="16" t="n"/>
      <c r="D477" s="16" t="n"/>
      <c r="E477" s="16" t="n"/>
      <c r="F477" s="103" t="n"/>
      <c r="G477" s="16" t="n"/>
      <c r="I477" s="39" t="n"/>
      <c r="J477" s="39" t="n"/>
      <c r="K477" s="39" t="n"/>
      <c r="L477" s="39" t="n"/>
      <c r="M477" s="39" t="n"/>
      <c r="N477" s="39" t="n"/>
      <c r="O477" s="39" t="n"/>
    </row>
    <row r="478" ht="21" customHeight="1" s="65">
      <c r="C478" s="16" t="n"/>
      <c r="D478" s="16" t="n"/>
      <c r="E478" s="16" t="n"/>
      <c r="F478" s="103" t="n"/>
      <c r="G478" s="16" t="n"/>
      <c r="I478" s="39" t="n"/>
      <c r="J478" s="39" t="n"/>
      <c r="K478" s="39" t="n"/>
      <c r="L478" s="39" t="n"/>
      <c r="M478" s="39" t="n"/>
      <c r="N478" s="39" t="n"/>
      <c r="O478" s="39" t="n"/>
    </row>
    <row r="479" ht="21" customHeight="1" s="65">
      <c r="C479" s="16" t="n"/>
      <c r="D479" s="16" t="n"/>
      <c r="E479" s="16" t="n"/>
      <c r="F479" s="103" t="n"/>
      <c r="G479" s="16" t="n"/>
      <c r="I479" s="39" t="n"/>
      <c r="J479" s="39" t="n"/>
      <c r="K479" s="39" t="n"/>
      <c r="L479" s="39" t="n"/>
      <c r="M479" s="39" t="n"/>
      <c r="N479" s="39" t="n"/>
      <c r="O479" s="39" t="n"/>
    </row>
    <row r="480" ht="21" customHeight="1" s="65">
      <c r="C480" s="16" t="n"/>
      <c r="D480" s="16" t="n"/>
      <c r="E480" s="16" t="n"/>
      <c r="F480" s="103" t="n"/>
      <c r="G480" s="16" t="n"/>
      <c r="I480" s="39" t="n"/>
      <c r="J480" s="39" t="n"/>
      <c r="K480" s="39" t="n"/>
      <c r="L480" s="39" t="n"/>
      <c r="M480" s="39" t="n"/>
      <c r="N480" s="39" t="n"/>
      <c r="O480" s="39" t="n"/>
    </row>
    <row r="481" ht="21" customHeight="1" s="65">
      <c r="C481" s="16" t="n"/>
      <c r="D481" s="16" t="n"/>
      <c r="E481" s="16" t="n"/>
      <c r="F481" s="103" t="n"/>
      <c r="G481" s="16" t="n"/>
      <c r="I481" s="39" t="n"/>
      <c r="J481" s="39" t="n"/>
      <c r="K481" s="39" t="n"/>
      <c r="L481" s="39" t="n"/>
      <c r="M481" s="39" t="n"/>
      <c r="N481" s="39" t="n"/>
      <c r="O481" s="39" t="n"/>
    </row>
    <row r="482" ht="21" customHeight="1" s="65">
      <c r="C482" s="16" t="n"/>
      <c r="D482" s="16" t="n"/>
      <c r="E482" s="16" t="n"/>
      <c r="F482" s="103" t="n"/>
      <c r="G482" s="16" t="n"/>
      <c r="I482" s="39" t="n"/>
      <c r="J482" s="39" t="n"/>
      <c r="K482" s="39" t="n"/>
      <c r="L482" s="39" t="n"/>
      <c r="M482" s="39" t="n"/>
      <c r="N482" s="39" t="n"/>
      <c r="O482" s="39" t="n"/>
    </row>
    <row r="483" ht="21" customHeight="1" s="65">
      <c r="C483" s="16" t="n"/>
      <c r="D483" s="16" t="n"/>
      <c r="E483" s="16" t="n"/>
      <c r="F483" s="103" t="n"/>
      <c r="G483" s="16" t="n"/>
      <c r="I483" s="39" t="n"/>
      <c r="J483" s="39" t="n"/>
      <c r="K483" s="39" t="n"/>
      <c r="L483" s="39" t="n"/>
      <c r="M483" s="39" t="n"/>
      <c r="N483" s="39" t="n"/>
      <c r="O483" s="39" t="n"/>
    </row>
    <row r="484" ht="21" customHeight="1" s="65">
      <c r="C484" s="16" t="n"/>
      <c r="D484" s="16" t="n"/>
      <c r="E484" s="16" t="n"/>
      <c r="F484" s="103" t="n"/>
      <c r="G484" s="16" t="n"/>
      <c r="I484" s="39" t="n"/>
      <c r="J484" s="39" t="n"/>
      <c r="K484" s="39" t="n"/>
      <c r="L484" s="39" t="n"/>
      <c r="M484" s="39" t="n"/>
      <c r="N484" s="39" t="n"/>
      <c r="O484" s="39" t="n"/>
    </row>
    <row r="485" ht="21" customHeight="1" s="65">
      <c r="C485" s="16" t="n"/>
      <c r="D485" s="16" t="n"/>
      <c r="E485" s="16" t="n"/>
      <c r="F485" s="103" t="n"/>
      <c r="G485" s="16" t="n"/>
      <c r="I485" s="39" t="n"/>
      <c r="J485" s="39" t="n"/>
      <c r="K485" s="39" t="n"/>
      <c r="L485" s="39" t="n"/>
      <c r="M485" s="39" t="n"/>
      <c r="N485" s="39" t="n"/>
      <c r="O485" s="39" t="n"/>
    </row>
    <row r="486" ht="21" customHeight="1" s="65">
      <c r="C486" s="16" t="n"/>
      <c r="D486" s="16" t="n"/>
      <c r="E486" s="16" t="n"/>
      <c r="F486" s="103" t="n"/>
      <c r="G486" s="16" t="n"/>
      <c r="I486" s="39" t="n"/>
      <c r="J486" s="39" t="n"/>
      <c r="K486" s="39" t="n"/>
      <c r="L486" s="39" t="n"/>
      <c r="M486" s="39" t="n"/>
      <c r="N486" s="39" t="n"/>
      <c r="O486" s="39" t="n"/>
    </row>
    <row r="487" ht="21" customHeight="1" s="65">
      <c r="C487" s="16" t="n"/>
      <c r="D487" s="16" t="n"/>
      <c r="E487" s="16" t="n"/>
      <c r="F487" s="103" t="n"/>
      <c r="G487" s="16" t="n"/>
      <c r="I487" s="39" t="n"/>
      <c r="J487" s="39" t="n"/>
      <c r="K487" s="39" t="n"/>
      <c r="L487" s="39" t="n"/>
      <c r="M487" s="39" t="n"/>
      <c r="N487" s="39" t="n"/>
      <c r="O487" s="39" t="n"/>
    </row>
    <row r="488" ht="21" customHeight="1" s="65">
      <c r="C488" s="16" t="n"/>
      <c r="D488" s="16" t="n"/>
      <c r="E488" s="16" t="n"/>
      <c r="F488" s="103" t="n"/>
      <c r="G488" s="16" t="n"/>
      <c r="I488" s="39" t="n"/>
      <c r="J488" s="39" t="n"/>
      <c r="K488" s="39" t="n"/>
      <c r="L488" s="39" t="n"/>
      <c r="M488" s="39" t="n"/>
      <c r="N488" s="39" t="n"/>
      <c r="O488" s="39" t="n"/>
    </row>
    <row r="489" ht="21" customHeight="1" s="65">
      <c r="C489" s="16" t="n"/>
      <c r="D489" s="16" t="n"/>
      <c r="E489" s="16" t="n"/>
      <c r="F489" s="103" t="n"/>
      <c r="G489" s="16" t="n"/>
      <c r="I489" s="39" t="n"/>
      <c r="J489" s="39" t="n"/>
      <c r="K489" s="39" t="n"/>
      <c r="L489" s="39" t="n"/>
      <c r="M489" s="39" t="n"/>
      <c r="N489" s="39" t="n"/>
      <c r="O489" s="39" t="n"/>
    </row>
    <row r="490" ht="21" customHeight="1" s="65">
      <c r="C490" s="16" t="n"/>
      <c r="D490" s="16" t="n"/>
      <c r="E490" s="16" t="n"/>
      <c r="F490" s="103" t="n"/>
      <c r="G490" s="16" t="n"/>
      <c r="I490" s="39" t="n"/>
      <c r="J490" s="39" t="n"/>
      <c r="K490" s="39" t="n"/>
      <c r="L490" s="39" t="n"/>
      <c r="M490" s="39" t="n"/>
      <c r="N490" s="39" t="n"/>
      <c r="O490" s="39" t="n"/>
    </row>
    <row r="491" ht="21" customHeight="1" s="65">
      <c r="C491" s="16" t="n"/>
      <c r="D491" s="16" t="n"/>
      <c r="E491" s="16" t="n"/>
      <c r="F491" s="103" t="n"/>
      <c r="G491" s="16" t="n"/>
      <c r="I491" s="39" t="n"/>
      <c r="J491" s="39" t="n"/>
      <c r="K491" s="39" t="n"/>
      <c r="L491" s="39" t="n"/>
      <c r="M491" s="39" t="n"/>
      <c r="N491" s="39" t="n"/>
      <c r="O491" s="39" t="n"/>
    </row>
    <row r="492" ht="21" customHeight="1" s="65">
      <c r="C492" s="16" t="n"/>
      <c r="D492" s="16" t="n"/>
      <c r="E492" s="16" t="n"/>
      <c r="F492" s="103" t="n"/>
      <c r="G492" s="16" t="n"/>
      <c r="I492" s="39" t="n"/>
      <c r="J492" s="39" t="n"/>
      <c r="K492" s="39" t="n"/>
      <c r="L492" s="39" t="n"/>
      <c r="M492" s="39" t="n"/>
      <c r="N492" s="39" t="n"/>
      <c r="O492" s="39" t="n"/>
    </row>
    <row r="493" ht="21" customHeight="1" s="65">
      <c r="C493" s="16" t="n"/>
      <c r="D493" s="16" t="n"/>
      <c r="E493" s="16" t="n"/>
      <c r="F493" s="103" t="n"/>
      <c r="G493" s="16" t="n"/>
      <c r="I493" s="39" t="n"/>
      <c r="J493" s="39" t="n"/>
      <c r="K493" s="39" t="n"/>
      <c r="L493" s="39" t="n"/>
      <c r="M493" s="39" t="n"/>
      <c r="N493" s="39" t="n"/>
      <c r="O493" s="39" t="n"/>
    </row>
    <row r="494" ht="21" customHeight="1" s="65">
      <c r="C494" s="16" t="n"/>
      <c r="D494" s="16" t="n"/>
      <c r="E494" s="16" t="n"/>
      <c r="F494" s="103" t="n"/>
      <c r="G494" s="16" t="n"/>
      <c r="I494" s="39" t="n"/>
      <c r="J494" s="39" t="n"/>
      <c r="K494" s="39" t="n"/>
      <c r="L494" s="39" t="n"/>
      <c r="M494" s="39" t="n"/>
      <c r="N494" s="39" t="n"/>
      <c r="O494" s="39" t="n"/>
    </row>
    <row r="495" ht="21" customHeight="1" s="65">
      <c r="C495" s="16" t="n"/>
      <c r="D495" s="16" t="n"/>
      <c r="E495" s="16" t="n"/>
      <c r="F495" s="103" t="n"/>
      <c r="G495" s="16" t="n"/>
      <c r="I495" s="39" t="n"/>
      <c r="J495" s="39" t="n"/>
      <c r="K495" s="39" t="n"/>
      <c r="L495" s="39" t="n"/>
      <c r="M495" s="39" t="n"/>
      <c r="N495" s="39" t="n"/>
      <c r="O495" s="39" t="n"/>
    </row>
    <row r="496" ht="21" customHeight="1" s="65">
      <c r="C496" s="16" t="n"/>
      <c r="D496" s="16" t="n"/>
      <c r="E496" s="16" t="n"/>
      <c r="F496" s="103" t="n"/>
      <c r="G496" s="16" t="n"/>
      <c r="I496" s="39" t="n"/>
      <c r="J496" s="39" t="n"/>
      <c r="K496" s="39" t="n"/>
      <c r="L496" s="39" t="n"/>
      <c r="M496" s="39" t="n"/>
      <c r="N496" s="39" t="n"/>
      <c r="O496" s="39" t="n"/>
    </row>
    <row r="497" ht="21" customHeight="1" s="65">
      <c r="C497" s="16" t="n"/>
      <c r="D497" s="16" t="n"/>
      <c r="E497" s="16" t="n"/>
      <c r="F497" s="103" t="n"/>
      <c r="G497" s="16" t="n"/>
      <c r="I497" s="39" t="n"/>
      <c r="J497" s="39" t="n"/>
      <c r="K497" s="39" t="n"/>
      <c r="L497" s="39" t="n"/>
      <c r="M497" s="39" t="n"/>
      <c r="N497" s="39" t="n"/>
      <c r="O497" s="39" t="n"/>
    </row>
    <row r="498" ht="21" customHeight="1" s="65">
      <c r="C498" s="16" t="n"/>
      <c r="D498" s="16" t="n"/>
      <c r="E498" s="16" t="n"/>
      <c r="F498" s="103" t="n"/>
      <c r="G498" s="16" t="n"/>
      <c r="I498" s="39" t="n"/>
      <c r="J498" s="39" t="n"/>
      <c r="K498" s="39" t="n"/>
      <c r="L498" s="39" t="n"/>
      <c r="M498" s="39" t="n"/>
      <c r="N498" s="39" t="n"/>
      <c r="O498" s="39" t="n"/>
    </row>
    <row r="499" ht="21" customHeight="1" s="65">
      <c r="C499" s="16" t="n"/>
      <c r="D499" s="16" t="n"/>
      <c r="E499" s="16" t="n"/>
      <c r="F499" s="103" t="n"/>
      <c r="G499" s="16" t="n"/>
      <c r="I499" s="39" t="n"/>
      <c r="J499" s="39" t="n"/>
      <c r="K499" s="39" t="n"/>
      <c r="L499" s="39" t="n"/>
      <c r="M499" s="39" t="n"/>
      <c r="N499" s="39" t="n"/>
      <c r="O499" s="39" t="n"/>
    </row>
    <row r="500" ht="21" customHeight="1" s="65">
      <c r="C500" s="16" t="n"/>
      <c r="D500" s="16" t="n"/>
      <c r="E500" s="16" t="n"/>
      <c r="F500" s="103" t="n"/>
      <c r="G500" s="16" t="n"/>
      <c r="I500" s="39" t="n"/>
      <c r="J500" s="39" t="n"/>
      <c r="K500" s="39" t="n"/>
      <c r="L500" s="39" t="n"/>
      <c r="M500" s="39" t="n"/>
      <c r="N500" s="39" t="n"/>
      <c r="O500" s="39" t="n"/>
    </row>
    <row r="501" ht="21" customHeight="1" s="65">
      <c r="C501" s="16" t="n"/>
      <c r="D501" s="16" t="n"/>
      <c r="E501" s="16" t="n"/>
      <c r="F501" s="103" t="n"/>
      <c r="G501" s="16" t="n"/>
      <c r="I501" s="39" t="n"/>
      <c r="J501" s="39" t="n"/>
      <c r="K501" s="39" t="n"/>
      <c r="L501" s="39" t="n"/>
      <c r="M501" s="39" t="n"/>
      <c r="N501" s="39" t="n"/>
      <c r="O501" s="39" t="n"/>
    </row>
    <row r="502" ht="21" customHeight="1" s="65">
      <c r="C502" s="16" t="n"/>
      <c r="D502" s="16" t="n"/>
      <c r="E502" s="16" t="n"/>
      <c r="F502" s="103" t="n"/>
      <c r="G502" s="16" t="n"/>
      <c r="I502" s="39" t="n"/>
      <c r="J502" s="39" t="n"/>
      <c r="K502" s="39" t="n"/>
      <c r="L502" s="39" t="n"/>
      <c r="M502" s="39" t="n"/>
      <c r="N502" s="39" t="n"/>
      <c r="O502" s="39" t="n"/>
    </row>
    <row r="503" ht="21" customHeight="1" s="65">
      <c r="C503" s="16" t="n"/>
      <c r="D503" s="16" t="n"/>
      <c r="E503" s="16" t="n"/>
      <c r="F503" s="103" t="n"/>
      <c r="G503" s="16" t="n"/>
      <c r="I503" s="39" t="n"/>
      <c r="J503" s="39" t="n"/>
      <c r="K503" s="39" t="n"/>
      <c r="L503" s="39" t="n"/>
      <c r="M503" s="39" t="n"/>
      <c r="N503" s="39" t="n"/>
      <c r="O503" s="39" t="n"/>
    </row>
    <row r="504" ht="21" customHeight="1" s="65">
      <c r="C504" s="16" t="n"/>
      <c r="D504" s="16" t="n"/>
      <c r="E504" s="16" t="n"/>
      <c r="F504" s="103" t="n"/>
      <c r="G504" s="16" t="n"/>
      <c r="I504" s="39" t="n"/>
      <c r="J504" s="39" t="n"/>
      <c r="K504" s="39" t="n"/>
      <c r="L504" s="39" t="n"/>
      <c r="M504" s="39" t="n"/>
      <c r="N504" s="39" t="n"/>
      <c r="O504" s="39" t="n"/>
    </row>
    <row r="505" ht="21" customHeight="1" s="65">
      <c r="C505" s="16" t="n"/>
      <c r="D505" s="16" t="n"/>
      <c r="E505" s="16" t="n"/>
      <c r="F505" s="103" t="n"/>
      <c r="G505" s="16" t="n"/>
      <c r="I505" s="39" t="n"/>
      <c r="J505" s="39" t="n"/>
      <c r="K505" s="39" t="n"/>
      <c r="L505" s="39" t="n"/>
      <c r="M505" s="39" t="n"/>
      <c r="N505" s="39" t="n"/>
      <c r="O505" s="39" t="n"/>
    </row>
    <row r="506" ht="21" customHeight="1" s="65">
      <c r="C506" s="16" t="n"/>
      <c r="D506" s="16" t="n"/>
      <c r="E506" s="16" t="n"/>
      <c r="F506" s="103" t="n"/>
      <c r="G506" s="16" t="n"/>
      <c r="I506" s="39" t="n"/>
      <c r="J506" s="39" t="n"/>
      <c r="K506" s="39" t="n"/>
      <c r="L506" s="39" t="n"/>
      <c r="M506" s="39" t="n"/>
      <c r="N506" s="39" t="n"/>
      <c r="O506" s="39" t="n"/>
    </row>
    <row r="507" ht="21" customHeight="1" s="65">
      <c r="C507" s="16" t="n"/>
      <c r="D507" s="16" t="n"/>
      <c r="E507" s="16" t="n"/>
      <c r="F507" s="103" t="n"/>
      <c r="G507" s="16" t="n"/>
      <c r="I507" s="39" t="n"/>
      <c r="J507" s="39" t="n"/>
      <c r="K507" s="39" t="n"/>
      <c r="L507" s="39" t="n"/>
      <c r="M507" s="39" t="n"/>
      <c r="N507" s="39" t="n"/>
      <c r="O507" s="39" t="n"/>
    </row>
    <row r="508" ht="21" customHeight="1" s="65">
      <c r="C508" s="16" t="n"/>
      <c r="D508" s="16" t="n"/>
      <c r="E508" s="16" t="n"/>
      <c r="F508" s="103" t="n"/>
      <c r="G508" s="16" t="n"/>
      <c r="I508" s="39" t="n"/>
      <c r="J508" s="39" t="n"/>
      <c r="K508" s="39" t="n"/>
      <c r="L508" s="39" t="n"/>
      <c r="M508" s="39" t="n"/>
      <c r="N508" s="39" t="n"/>
      <c r="O508" s="39" t="n"/>
    </row>
    <row r="509" ht="21" customHeight="1" s="65">
      <c r="C509" s="16" t="n"/>
      <c r="D509" s="16" t="n"/>
      <c r="E509" s="16" t="n"/>
      <c r="F509" s="103" t="n"/>
      <c r="G509" s="16" t="n"/>
      <c r="I509" s="39" t="n"/>
      <c r="J509" s="39" t="n"/>
      <c r="K509" s="39" t="n"/>
      <c r="L509" s="39" t="n"/>
      <c r="M509" s="39" t="n"/>
      <c r="N509" s="39" t="n"/>
      <c r="O509" s="39" t="n"/>
    </row>
    <row r="510" ht="21" customHeight="1" s="65">
      <c r="C510" s="16" t="n"/>
      <c r="D510" s="16" t="n"/>
      <c r="E510" s="16" t="n"/>
      <c r="F510" s="103" t="n"/>
      <c r="G510" s="16" t="n"/>
      <c r="I510" s="39" t="n"/>
      <c r="J510" s="39" t="n"/>
      <c r="K510" s="39" t="n"/>
      <c r="L510" s="39" t="n"/>
      <c r="M510" s="39" t="n"/>
      <c r="N510" s="39" t="n"/>
      <c r="O510" s="39" t="n"/>
    </row>
    <row r="511" ht="21" customHeight="1" s="65">
      <c r="C511" s="39" t="n"/>
      <c r="D511" s="39" t="n"/>
      <c r="E511" s="39" t="n"/>
      <c r="F511" s="39" t="n"/>
      <c r="G511" s="39" t="n"/>
      <c r="I511" s="39" t="n"/>
      <c r="J511" s="39" t="n"/>
      <c r="K511" s="39" t="n"/>
      <c r="L511" s="39" t="n"/>
      <c r="M511" s="39" t="n"/>
      <c r="N511" s="39" t="n"/>
      <c r="O511" s="39" t="n"/>
    </row>
    <row r="512" ht="21" customHeight="1" s="65">
      <c r="C512" s="39" t="n"/>
      <c r="D512" s="39" t="n"/>
      <c r="E512" s="39" t="n"/>
      <c r="F512" s="39" t="n"/>
      <c r="G512" s="39" t="n"/>
      <c r="I512" s="39" t="n"/>
      <c r="J512" s="39" t="n"/>
      <c r="K512" s="39" t="n"/>
      <c r="L512" s="39" t="n"/>
      <c r="M512" s="39" t="n"/>
      <c r="N512" s="39" t="n"/>
      <c r="O512" s="39" t="n"/>
    </row>
    <row r="513" ht="21" customHeight="1" s="65">
      <c r="C513" s="39" t="n"/>
      <c r="D513" s="39" t="n"/>
      <c r="E513" s="39" t="n"/>
      <c r="F513" s="39" t="n"/>
      <c r="G513" s="39" t="n"/>
      <c r="I513" s="39" t="n"/>
      <c r="J513" s="39" t="n"/>
      <c r="K513" s="39" t="n"/>
      <c r="L513" s="39" t="n"/>
      <c r="M513" s="39" t="n"/>
      <c r="N513" s="39" t="n"/>
      <c r="O513" s="39" t="n"/>
    </row>
    <row r="514" ht="21" customHeight="1" s="65">
      <c r="C514" s="39" t="n"/>
      <c r="D514" s="39" t="n"/>
      <c r="E514" s="39" t="n"/>
      <c r="F514" s="39" t="n"/>
      <c r="G514" s="39" t="n"/>
      <c r="I514" s="39" t="n"/>
      <c r="J514" s="39" t="n"/>
      <c r="K514" s="39" t="n"/>
      <c r="L514" s="39" t="n"/>
      <c r="M514" s="39" t="n"/>
      <c r="N514" s="39" t="n"/>
      <c r="O514" s="39" t="n"/>
    </row>
    <row r="515" ht="21" customHeight="1" s="65">
      <c r="C515" s="39" t="n"/>
      <c r="D515" s="39" t="n"/>
      <c r="E515" s="39" t="n"/>
      <c r="F515" s="39" t="n"/>
      <c r="G515" s="39" t="n"/>
      <c r="I515" s="39" t="n"/>
      <c r="J515" s="39" t="n"/>
      <c r="K515" s="39" t="n"/>
      <c r="L515" s="39" t="n"/>
      <c r="M515" s="39" t="n"/>
      <c r="N515" s="39" t="n"/>
      <c r="O515" s="39" t="n"/>
    </row>
    <row r="516" ht="21" customHeight="1" s="65">
      <c r="C516" s="39" t="n"/>
      <c r="D516" s="39" t="n"/>
      <c r="E516" s="39" t="n"/>
      <c r="F516" s="39" t="n"/>
      <c r="G516" s="39" t="n"/>
      <c r="I516" s="39" t="n"/>
      <c r="J516" s="39" t="n"/>
      <c r="K516" s="39" t="n"/>
      <c r="L516" s="39" t="n"/>
      <c r="M516" s="39" t="n"/>
      <c r="N516" s="39" t="n"/>
      <c r="O516" s="39" t="n"/>
    </row>
    <row r="517" ht="21" customHeight="1" s="65">
      <c r="C517" s="39" t="n"/>
      <c r="D517" s="39" t="n"/>
      <c r="E517" s="39" t="n"/>
      <c r="F517" s="39" t="n"/>
      <c r="G517" s="39" t="n"/>
      <c r="I517" s="39" t="n"/>
      <c r="J517" s="39" t="n"/>
      <c r="K517" s="39" t="n"/>
      <c r="L517" s="39" t="n"/>
      <c r="M517" s="39" t="n"/>
      <c r="N517" s="39" t="n"/>
      <c r="O517" s="39" t="n"/>
    </row>
    <row r="518" ht="21" customHeight="1" s="65">
      <c r="C518" s="39" t="n"/>
      <c r="D518" s="39" t="n"/>
      <c r="E518" s="39" t="n"/>
      <c r="F518" s="39" t="n"/>
      <c r="G518" s="39" t="n"/>
      <c r="I518" s="39" t="n"/>
      <c r="J518" s="39" t="n"/>
      <c r="K518" s="39" t="n"/>
      <c r="L518" s="39" t="n"/>
      <c r="M518" s="39" t="n"/>
      <c r="N518" s="39" t="n"/>
      <c r="O518" s="39" t="n"/>
    </row>
    <row r="519" ht="21" customHeight="1" s="65">
      <c r="C519" s="39" t="n"/>
      <c r="D519" s="39" t="n"/>
      <c r="E519" s="39" t="n"/>
      <c r="F519" s="39" t="n"/>
      <c r="G519" s="39" t="n"/>
      <c r="I519" s="39" t="n"/>
      <c r="J519" s="39" t="n"/>
      <c r="K519" s="39" t="n"/>
      <c r="L519" s="39" t="n"/>
      <c r="M519" s="39" t="n"/>
      <c r="N519" s="39" t="n"/>
      <c r="O519" s="39" t="n"/>
    </row>
    <row r="520" ht="21" customHeight="1" s="65">
      <c r="C520" s="39" t="n"/>
      <c r="D520" s="39" t="n"/>
      <c r="E520" s="39" t="n"/>
      <c r="F520" s="39" t="n"/>
      <c r="G520" s="39" t="n"/>
      <c r="I520" s="39" t="n"/>
      <c r="J520" s="39" t="n"/>
      <c r="K520" s="39" t="n"/>
      <c r="L520" s="39" t="n"/>
      <c r="M520" s="39" t="n"/>
      <c r="N520" s="39" t="n"/>
      <c r="O520" s="39" t="n"/>
    </row>
    <row r="521" ht="21" customHeight="1" s="65">
      <c r="C521" s="39" t="n"/>
      <c r="D521" s="39" t="n"/>
      <c r="E521" s="39" t="n"/>
      <c r="F521" s="39" t="n"/>
      <c r="G521" s="39" t="n"/>
      <c r="I521" s="39" t="n"/>
      <c r="J521" s="39" t="n"/>
      <c r="K521" s="39" t="n"/>
      <c r="L521" s="39" t="n"/>
      <c r="M521" s="39" t="n"/>
      <c r="N521" s="39" t="n"/>
      <c r="O521" s="39" t="n"/>
    </row>
    <row r="522" ht="21" customHeight="1" s="65">
      <c r="C522" s="39" t="n"/>
      <c r="D522" s="39" t="n"/>
      <c r="E522" s="39" t="n"/>
      <c r="F522" s="39" t="n"/>
      <c r="G522" s="39" t="n"/>
      <c r="I522" s="39" t="n"/>
      <c r="J522" s="39" t="n"/>
      <c r="K522" s="39" t="n"/>
      <c r="L522" s="39" t="n"/>
      <c r="M522" s="39" t="n"/>
      <c r="N522" s="39" t="n"/>
      <c r="O522" s="39" t="n"/>
    </row>
    <row r="523" ht="21" customHeight="1" s="65">
      <c r="C523" s="39" t="n"/>
      <c r="D523" s="39" t="n"/>
      <c r="E523" s="39" t="n"/>
      <c r="F523" s="39" t="n"/>
      <c r="G523" s="39" t="n"/>
      <c r="I523" s="39" t="n"/>
      <c r="J523" s="39" t="n"/>
      <c r="K523" s="39" t="n"/>
      <c r="L523" s="39" t="n"/>
      <c r="M523" s="39" t="n"/>
      <c r="N523" s="39" t="n"/>
      <c r="O523" s="39" t="n"/>
    </row>
    <row r="524" ht="21" customHeight="1" s="65">
      <c r="C524" s="39" t="n"/>
      <c r="D524" s="39" t="n"/>
      <c r="E524" s="39" t="n"/>
      <c r="F524" s="39" t="n"/>
      <c r="G524" s="39" t="n"/>
      <c r="I524" s="39" t="n"/>
      <c r="J524" s="39" t="n"/>
      <c r="K524" s="39" t="n"/>
      <c r="L524" s="39" t="n"/>
      <c r="M524" s="39" t="n"/>
      <c r="N524" s="39" t="n"/>
      <c r="O524" s="39" t="n"/>
    </row>
    <row r="525" ht="21" customHeight="1" s="65">
      <c r="C525" s="39" t="n"/>
      <c r="D525" s="39" t="n"/>
      <c r="E525" s="39" t="n"/>
      <c r="F525" s="39" t="n"/>
      <c r="G525" s="39" t="n"/>
      <c r="I525" s="39" t="n"/>
      <c r="J525" s="39" t="n"/>
      <c r="K525" s="39" t="n"/>
      <c r="L525" s="39" t="n"/>
      <c r="M525" s="39" t="n"/>
      <c r="N525" s="39" t="n"/>
      <c r="O525" s="39" t="n"/>
    </row>
    <row r="526" ht="21" customHeight="1" s="65">
      <c r="C526" s="39" t="n"/>
      <c r="D526" s="39" t="n"/>
      <c r="E526" s="39" t="n"/>
      <c r="F526" s="39" t="n"/>
      <c r="G526" s="39" t="n"/>
      <c r="I526" s="39" t="n"/>
      <c r="J526" s="39" t="n"/>
      <c r="K526" s="39" t="n"/>
      <c r="L526" s="39" t="n"/>
      <c r="M526" s="39" t="n"/>
      <c r="N526" s="39" t="n"/>
      <c r="O526" s="39" t="n"/>
    </row>
    <row r="527" ht="21" customHeight="1" s="65">
      <c r="C527" s="39" t="n"/>
      <c r="D527" s="39" t="n"/>
      <c r="E527" s="39" t="n"/>
      <c r="F527" s="39" t="n"/>
      <c r="G527" s="39" t="n"/>
      <c r="I527" s="39" t="n"/>
      <c r="J527" s="39" t="n"/>
      <c r="K527" s="39" t="n"/>
      <c r="L527" s="39" t="n"/>
      <c r="M527" s="39" t="n"/>
      <c r="N527" s="39" t="n"/>
      <c r="O527" s="39" t="n"/>
    </row>
    <row r="528" ht="21" customHeight="1" s="65">
      <c r="C528" s="39" t="n"/>
      <c r="D528" s="39" t="n"/>
      <c r="E528" s="39" t="n"/>
      <c r="F528" s="39" t="n"/>
      <c r="G528" s="39" t="n"/>
      <c r="I528" s="39" t="n"/>
      <c r="J528" s="39" t="n"/>
      <c r="K528" s="39" t="n"/>
      <c r="L528" s="39" t="n"/>
      <c r="M528" s="39" t="n"/>
      <c r="N528" s="39" t="n"/>
      <c r="O528" s="39" t="n"/>
    </row>
    <row r="529" ht="21" customHeight="1" s="65">
      <c r="C529" s="39" t="n"/>
      <c r="D529" s="39" t="n"/>
      <c r="E529" s="39" t="n"/>
      <c r="F529" s="39" t="n"/>
      <c r="G529" s="39" t="n"/>
      <c r="I529" s="39" t="n"/>
      <c r="J529" s="39" t="n"/>
      <c r="K529" s="39" t="n"/>
      <c r="L529" s="39" t="n"/>
      <c r="M529" s="39" t="n"/>
      <c r="N529" s="39" t="n"/>
      <c r="O529" s="39" t="n"/>
    </row>
    <row r="530" ht="21" customHeight="1" s="65">
      <c r="C530" s="39" t="n"/>
      <c r="D530" s="39" t="n"/>
      <c r="E530" s="39" t="n"/>
      <c r="F530" s="39" t="n"/>
      <c r="G530" s="39" t="n"/>
      <c r="I530" s="39" t="n"/>
      <c r="J530" s="39" t="n"/>
      <c r="K530" s="39" t="n"/>
      <c r="L530" s="39" t="n"/>
      <c r="M530" s="39" t="n"/>
      <c r="N530" s="39" t="n"/>
      <c r="O530" s="39" t="n"/>
    </row>
    <row r="531" ht="21" customHeight="1" s="65">
      <c r="C531" s="39" t="n"/>
      <c r="D531" s="39" t="n"/>
      <c r="E531" s="39" t="n"/>
      <c r="F531" s="39" t="n"/>
      <c r="G531" s="39" t="n"/>
      <c r="I531" s="39" t="n"/>
      <c r="J531" s="39" t="n"/>
      <c r="K531" s="39" t="n"/>
      <c r="L531" s="39" t="n"/>
      <c r="M531" s="39" t="n"/>
      <c r="N531" s="39" t="n"/>
      <c r="O531" s="39" t="n"/>
    </row>
    <row r="532" ht="21" customHeight="1" s="65">
      <c r="C532" s="39" t="n"/>
      <c r="D532" s="39" t="n"/>
      <c r="E532" s="39" t="n"/>
      <c r="F532" s="39" t="n"/>
      <c r="G532" s="39" t="n"/>
      <c r="I532" s="39" t="n"/>
      <c r="J532" s="39" t="n"/>
      <c r="K532" s="39" t="n"/>
      <c r="L532" s="39" t="n"/>
      <c r="M532" s="39" t="n"/>
      <c r="N532" s="39" t="n"/>
      <c r="O532" s="39" t="n"/>
    </row>
    <row r="533" ht="21" customHeight="1" s="65">
      <c r="C533" s="39" t="n"/>
      <c r="D533" s="39" t="n"/>
      <c r="E533" s="39" t="n"/>
      <c r="F533" s="39" t="n"/>
      <c r="G533" s="39" t="n"/>
      <c r="I533" s="39" t="n"/>
      <c r="J533" s="39" t="n"/>
      <c r="K533" s="39" t="n"/>
      <c r="L533" s="39" t="n"/>
      <c r="M533" s="39" t="n"/>
      <c r="N533" s="39" t="n"/>
      <c r="O533" s="39" t="n"/>
    </row>
    <row r="534" ht="21" customHeight="1" s="65">
      <c r="C534" s="39" t="n"/>
      <c r="D534" s="39" t="n"/>
      <c r="E534" s="39" t="n"/>
      <c r="F534" s="39" t="n"/>
      <c r="G534" s="39" t="n"/>
      <c r="I534" s="39" t="n"/>
      <c r="J534" s="39" t="n"/>
      <c r="K534" s="39" t="n"/>
      <c r="L534" s="39" t="n"/>
      <c r="M534" s="39" t="n"/>
      <c r="N534" s="39" t="n"/>
      <c r="O534" s="39" t="n"/>
    </row>
    <row r="535" ht="21" customHeight="1" s="65">
      <c r="C535" s="39" t="n"/>
      <c r="D535" s="39" t="n"/>
      <c r="E535" s="39" t="n"/>
      <c r="F535" s="39" t="n"/>
      <c r="G535" s="39" t="n"/>
      <c r="I535" s="39" t="n"/>
      <c r="J535" s="39" t="n"/>
      <c r="K535" s="39" t="n"/>
      <c r="L535" s="39" t="n"/>
      <c r="M535" s="39" t="n"/>
      <c r="N535" s="39" t="n"/>
      <c r="O535" s="39" t="n"/>
    </row>
    <row r="536" ht="21" customHeight="1" s="65">
      <c r="C536" s="39" t="n"/>
      <c r="D536" s="39" t="n"/>
      <c r="E536" s="39" t="n"/>
      <c r="F536" s="39" t="n"/>
      <c r="G536" s="39" t="n"/>
      <c r="I536" s="39" t="n"/>
      <c r="J536" s="39" t="n"/>
      <c r="K536" s="39" t="n"/>
      <c r="L536" s="39" t="n"/>
      <c r="M536" s="39" t="n"/>
      <c r="N536" s="39" t="n"/>
      <c r="O536" s="39" t="n"/>
    </row>
    <row r="537" ht="21" customHeight="1" s="65">
      <c r="C537" s="39" t="n"/>
      <c r="D537" s="39" t="n"/>
      <c r="E537" s="39" t="n"/>
      <c r="F537" s="39" t="n"/>
      <c r="G537" s="39" t="n"/>
      <c r="I537" s="39" t="n"/>
      <c r="J537" s="39" t="n"/>
      <c r="K537" s="39" t="n"/>
      <c r="L537" s="39" t="n"/>
      <c r="M537" s="39" t="n"/>
      <c r="N537" s="39" t="n"/>
      <c r="O537" s="39" t="n"/>
    </row>
    <row r="538" ht="21" customHeight="1" s="65">
      <c r="C538" s="39" t="n"/>
      <c r="D538" s="39" t="n"/>
      <c r="E538" s="39" t="n"/>
      <c r="F538" s="39" t="n"/>
      <c r="G538" s="39" t="n"/>
    </row>
    <row r="539" ht="21" customHeight="1" s="65">
      <c r="C539" s="39" t="n"/>
      <c r="D539" s="39" t="n"/>
      <c r="E539" s="39" t="n"/>
      <c r="F539" s="39" t="n"/>
      <c r="G539" s="39" t="n"/>
    </row>
    <row r="540" ht="21" customHeight="1" s="65">
      <c r="C540" s="39" t="n"/>
      <c r="D540" s="39" t="n"/>
      <c r="E540" s="39" t="n"/>
      <c r="F540" s="39" t="n"/>
      <c r="G540" s="39" t="n"/>
    </row>
    <row r="541" ht="21" customHeight="1" s="65">
      <c r="C541" s="39" t="n"/>
      <c r="D541" s="39" t="n"/>
      <c r="E541" s="39" t="n"/>
      <c r="F541" s="39" t="n"/>
      <c r="G541" s="39" t="n"/>
    </row>
    <row r="542" ht="21" customHeight="1" s="65">
      <c r="C542" s="39" t="n"/>
      <c r="D542" s="39" t="n"/>
      <c r="E542" s="39" t="n"/>
      <c r="F542" s="39" t="n"/>
      <c r="G542" s="39" t="n"/>
    </row>
    <row r="543" ht="21" customHeight="1" s="65">
      <c r="C543" s="39" t="n"/>
      <c r="D543" s="39" t="n"/>
      <c r="E543" s="39" t="n"/>
      <c r="F543" s="39" t="n"/>
      <c r="G543" s="39" t="n"/>
    </row>
    <row r="544" ht="21" customHeight="1" s="65">
      <c r="C544" s="39" t="n"/>
      <c r="D544" s="39" t="n"/>
      <c r="E544" s="39" t="n"/>
      <c r="F544" s="39" t="n"/>
      <c r="G544" s="39" t="n"/>
    </row>
    <row r="545" ht="21" customHeight="1" s="65">
      <c r="C545" s="39" t="n"/>
      <c r="D545" s="39" t="n"/>
      <c r="E545" s="39" t="n"/>
      <c r="F545" s="39" t="n"/>
      <c r="G545" s="39" t="n"/>
    </row>
    <row r="546" ht="21" customHeight="1" s="65">
      <c r="C546" s="39" t="n"/>
      <c r="D546" s="39" t="n"/>
      <c r="E546" s="39" t="n"/>
      <c r="F546" s="39" t="n"/>
      <c r="G546" s="39" t="n"/>
    </row>
    <row r="547" ht="21" customHeight="1" s="65">
      <c r="C547" s="39" t="n"/>
      <c r="D547" s="39" t="n"/>
      <c r="E547" s="39" t="n"/>
      <c r="F547" s="39" t="n"/>
      <c r="G547" s="39" t="n"/>
    </row>
    <row r="548" ht="21" customHeight="1" s="65">
      <c r="C548" s="39" t="n"/>
      <c r="D548" s="39" t="n"/>
      <c r="E548" s="39" t="n"/>
      <c r="F548" s="39" t="n"/>
      <c r="G548" s="39" t="n"/>
    </row>
    <row r="549" ht="21" customHeight="1" s="65">
      <c r="C549" s="39" t="n"/>
      <c r="D549" s="39" t="n"/>
      <c r="E549" s="39" t="n"/>
      <c r="F549" s="39" t="n"/>
      <c r="G549" s="39" t="n"/>
    </row>
    <row r="550" ht="21" customHeight="1" s="65">
      <c r="C550" s="39" t="n"/>
      <c r="D550" s="39" t="n"/>
      <c r="E550" s="39" t="n"/>
      <c r="F550" s="39" t="n"/>
      <c r="G550" s="39" t="n"/>
    </row>
    <row r="551" ht="21" customHeight="1" s="65">
      <c r="C551" s="39" t="n"/>
      <c r="D551" s="39" t="n"/>
      <c r="E551" s="39" t="n"/>
      <c r="F551" s="39" t="n"/>
      <c r="G551" s="39" t="n"/>
    </row>
    <row r="552" ht="21" customHeight="1" s="65">
      <c r="C552" s="39" t="n"/>
      <c r="D552" s="39" t="n"/>
      <c r="E552" s="39" t="n"/>
      <c r="F552" s="39" t="n"/>
      <c r="G552" s="39" t="n"/>
    </row>
    <row r="553" ht="21" customHeight="1" s="65">
      <c r="C553" s="39" t="n"/>
      <c r="D553" s="39" t="n"/>
      <c r="E553" s="39" t="n"/>
      <c r="F553" s="39" t="n"/>
      <c r="G553" s="39" t="n"/>
    </row>
    <row r="554" ht="21" customHeight="1" s="65">
      <c r="C554" s="39" t="n"/>
      <c r="D554" s="39" t="n"/>
      <c r="E554" s="39" t="n"/>
      <c r="F554" s="39" t="n"/>
      <c r="G554" s="39" t="n"/>
    </row>
    <row r="555" ht="21" customHeight="1" s="65">
      <c r="C555" s="39" t="n"/>
      <c r="D555" s="39" t="n"/>
      <c r="E555" s="39" t="n"/>
      <c r="F555" s="39" t="n"/>
      <c r="G555" s="39" t="n"/>
    </row>
    <row r="556" ht="21" customHeight="1" s="65">
      <c r="C556" s="39" t="n"/>
      <c r="D556" s="39" t="n"/>
      <c r="E556" s="39" t="n"/>
      <c r="F556" s="39" t="n"/>
      <c r="G556" s="39" t="n"/>
    </row>
    <row r="557" ht="21" customHeight="1" s="65">
      <c r="C557" s="39" t="n"/>
      <c r="D557" s="39" t="n"/>
      <c r="E557" s="39" t="n"/>
      <c r="F557" s="39" t="n"/>
      <c r="G557" s="39" t="n"/>
    </row>
    <row r="558" ht="21" customHeight="1" s="65">
      <c r="C558" s="39" t="n"/>
      <c r="D558" s="39" t="n"/>
      <c r="E558" s="39" t="n"/>
      <c r="F558" s="39" t="n"/>
      <c r="G558" s="39" t="n"/>
    </row>
    <row r="559" ht="21" customHeight="1" s="65">
      <c r="C559" s="39" t="n"/>
      <c r="D559" s="39" t="n"/>
      <c r="E559" s="39" t="n"/>
      <c r="F559" s="39" t="n"/>
      <c r="G559" s="39" t="n"/>
    </row>
    <row r="560" ht="21" customHeight="1" s="65">
      <c r="C560" s="39" t="n"/>
      <c r="D560" s="39" t="n"/>
      <c r="E560" s="39" t="n"/>
      <c r="F560" s="39" t="n"/>
      <c r="G560" s="39" t="n"/>
    </row>
    <row r="561" ht="21" customHeight="1" s="65">
      <c r="C561" s="39" t="n"/>
      <c r="D561" s="39" t="n"/>
      <c r="E561" s="39" t="n"/>
      <c r="F561" s="39" t="n"/>
      <c r="G561" s="39" t="n"/>
    </row>
    <row r="562" ht="21" customHeight="1" s="65">
      <c r="C562" s="39" t="n"/>
      <c r="D562" s="39" t="n"/>
      <c r="E562" s="39" t="n"/>
      <c r="F562" s="39" t="n"/>
      <c r="G562" s="39" t="n"/>
    </row>
    <row r="563" ht="21" customHeight="1" s="65">
      <c r="C563" s="39" t="n"/>
      <c r="D563" s="39" t="n"/>
      <c r="E563" s="39" t="n"/>
      <c r="F563" s="39" t="n"/>
      <c r="G563" s="39" t="n"/>
    </row>
    <row r="564" ht="21" customHeight="1" s="65">
      <c r="C564" s="39" t="n"/>
      <c r="D564" s="39" t="n"/>
      <c r="E564" s="39" t="n"/>
      <c r="F564" s="39" t="n"/>
      <c r="G564" s="39" t="n"/>
    </row>
    <row r="565" ht="21" customHeight="1" s="65">
      <c r="C565" s="39" t="n"/>
      <c r="D565" s="39" t="n"/>
      <c r="E565" s="39" t="n"/>
      <c r="F565" s="39" t="n"/>
      <c r="G565" s="39" t="n"/>
    </row>
    <row r="566" ht="21" customHeight="1" s="65">
      <c r="C566" s="39" t="n"/>
      <c r="D566" s="39" t="n"/>
      <c r="E566" s="39" t="n"/>
      <c r="F566" s="39" t="n"/>
      <c r="G566" s="39" t="n"/>
    </row>
    <row r="567" ht="21" customHeight="1" s="65">
      <c r="C567" s="39" t="n"/>
      <c r="D567" s="39" t="n"/>
      <c r="E567" s="39" t="n"/>
      <c r="F567" s="39" t="n"/>
      <c r="G567" s="39" t="n"/>
    </row>
    <row r="568" ht="21" customHeight="1" s="65">
      <c r="C568" s="39" t="n"/>
      <c r="D568" s="39" t="n"/>
      <c r="E568" s="39" t="n"/>
      <c r="F568" s="39" t="n"/>
      <c r="G568" s="39" t="n"/>
    </row>
    <row r="569" ht="21" customHeight="1" s="65">
      <c r="C569" s="39" t="n"/>
      <c r="D569" s="39" t="n"/>
      <c r="E569" s="39" t="n"/>
      <c r="F569" s="39" t="n"/>
      <c r="G569" s="39" t="n"/>
    </row>
    <row r="570" ht="21" customHeight="1" s="65">
      <c r="C570" s="39" t="n"/>
      <c r="D570" s="39" t="n"/>
      <c r="E570" s="39" t="n"/>
      <c r="F570" s="39" t="n"/>
      <c r="G570" s="39" t="n"/>
    </row>
    <row r="571" ht="21" customHeight="1" s="65">
      <c r="C571" s="39" t="n"/>
      <c r="D571" s="39" t="n"/>
      <c r="E571" s="39" t="n"/>
      <c r="F571" s="39" t="n"/>
      <c r="G571" s="39" t="n"/>
    </row>
    <row r="572" ht="21" customHeight="1" s="65">
      <c r="C572" s="39" t="n"/>
      <c r="D572" s="39" t="n"/>
      <c r="E572" s="39" t="n"/>
      <c r="F572" s="39" t="n"/>
      <c r="G572" s="39" t="n"/>
    </row>
    <row r="573" ht="21" customHeight="1" s="65">
      <c r="C573" s="39" t="n"/>
      <c r="D573" s="39" t="n"/>
      <c r="E573" s="39" t="n"/>
      <c r="F573" s="39" t="n"/>
      <c r="G573" s="39" t="n"/>
    </row>
    <row r="574" ht="21" customHeight="1" s="65">
      <c r="C574" s="39" t="n"/>
      <c r="D574" s="39" t="n"/>
      <c r="E574" s="39" t="n"/>
      <c r="F574" s="39" t="n"/>
      <c r="G574" s="39" t="n"/>
    </row>
    <row r="575" ht="21" customHeight="1" s="65">
      <c r="C575" s="39" t="n"/>
      <c r="D575" s="39" t="n"/>
      <c r="E575" s="39" t="n"/>
      <c r="F575" s="39" t="n"/>
      <c r="G575" s="39" t="n"/>
    </row>
    <row r="576" ht="21" customHeight="1" s="65">
      <c r="C576" s="39" t="n"/>
      <c r="D576" s="39" t="n"/>
      <c r="E576" s="39" t="n"/>
      <c r="F576" s="39" t="n"/>
      <c r="G576" s="39" t="n"/>
    </row>
    <row r="577" ht="21" customHeight="1" s="65">
      <c r="C577" s="39" t="n"/>
      <c r="D577" s="39" t="n"/>
      <c r="E577" s="39" t="n"/>
      <c r="F577" s="39" t="n"/>
      <c r="G577" s="39" t="n"/>
    </row>
    <row r="578" ht="21" customHeight="1" s="65">
      <c r="C578" s="39" t="n"/>
      <c r="D578" s="39" t="n"/>
      <c r="E578" s="39" t="n"/>
      <c r="F578" s="39" t="n"/>
      <c r="G578" s="39" t="n"/>
    </row>
    <row r="579" ht="21" customHeight="1" s="65"/>
    <row r="580" ht="21" customHeight="1" s="65"/>
    <row r="581" ht="21" customHeight="1" s="65"/>
    <row r="582" ht="21" customHeight="1" s="65"/>
    <row r="583" ht="21" customHeight="1" s="65"/>
    <row r="584" ht="21" customHeight="1" s="65"/>
    <row r="585" ht="21" customHeight="1" s="65"/>
    <row r="586" ht="21" customHeight="1" s="65"/>
    <row r="587" ht="21" customHeight="1" s="65"/>
    <row r="588" ht="21" customHeight="1" s="65"/>
    <row r="589" ht="21" customHeight="1" s="65"/>
    <row r="590" ht="21" customHeight="1" s="65"/>
    <row r="591" ht="21" customHeight="1" s="65"/>
    <row r="592" ht="21" customHeight="1" s="65"/>
    <row r="593" ht="21" customHeight="1" s="65"/>
    <row r="594" ht="21" customHeight="1" s="65"/>
    <row r="595" ht="21" customHeight="1" s="65"/>
    <row r="596" ht="21" customHeight="1" s="65"/>
    <row r="597" ht="21" customHeight="1" s="65"/>
    <row r="598" ht="21" customHeight="1" s="65"/>
    <row r="599" ht="21" customHeight="1" s="65"/>
    <row r="600" ht="21" customHeight="1" s="65"/>
    <row r="601" ht="21" customHeight="1" s="65"/>
    <row r="602" ht="21" customHeight="1" s="65"/>
    <row r="603" ht="21" customHeight="1" s="65"/>
    <row r="604" ht="21" customHeight="1" s="65"/>
    <row r="605" ht="21" customHeight="1" s="65"/>
    <row r="606" ht="21" customHeight="1" s="65"/>
    <row r="607" ht="21" customHeight="1" s="65"/>
    <row r="608" ht="21" customHeight="1" s="65"/>
    <row r="609" ht="21" customHeight="1" s="65"/>
    <row r="610" ht="21" customHeight="1" s="65"/>
    <row r="611" ht="21" customHeight="1" s="65"/>
    <row r="612" ht="21" customHeight="1" s="65"/>
    <row r="613" ht="21" customHeight="1" s="65"/>
    <row r="614" ht="21" customHeight="1" s="65"/>
    <row r="615" ht="21" customHeight="1" s="65"/>
    <row r="616" ht="21" customHeight="1" s="65"/>
    <row r="617" ht="21" customHeight="1" s="65"/>
    <row r="618" ht="21" customHeight="1" s="65"/>
    <row r="619" ht="21" customHeight="1" s="65"/>
    <row r="620" ht="21" customHeight="1" s="65"/>
    <row r="621" ht="21" customHeight="1" s="65"/>
    <row r="622" ht="21" customHeight="1" s="65"/>
    <row r="623" ht="21" customHeight="1" s="65"/>
    <row r="624" ht="21" customHeight="1" s="65"/>
    <row r="625" ht="21" customHeight="1" s="65"/>
    <row r="626" ht="21" customHeight="1" s="65"/>
    <row r="627" ht="21" customHeight="1" s="65"/>
    <row r="628" ht="21" customHeight="1" s="65"/>
    <row r="629" ht="21" customHeight="1" s="65"/>
    <row r="630" ht="21" customHeight="1" s="65"/>
    <row r="631" ht="21" customHeight="1" s="65"/>
    <row r="632" ht="21" customHeight="1" s="65"/>
    <row r="633" ht="21" customHeight="1" s="65"/>
    <row r="634" ht="21" customHeight="1" s="65"/>
    <row r="635" ht="21" customHeight="1" s="65"/>
    <row r="636" ht="21" customHeight="1" s="65"/>
    <row r="637" ht="21" customHeight="1" s="65"/>
    <row r="638" ht="21" customHeight="1" s="65"/>
    <row r="639" ht="21" customHeight="1" s="65"/>
    <row r="640" ht="21" customHeight="1" s="65"/>
    <row r="641" ht="21" customHeight="1" s="65"/>
    <row r="642" ht="21" customHeight="1" s="65"/>
    <row r="643" ht="21" customHeight="1" s="65"/>
    <row r="644" ht="21" customHeight="1" s="65"/>
    <row r="645" ht="21" customHeight="1" s="65"/>
    <row r="646" ht="21" customHeight="1" s="65"/>
    <row r="647" ht="21" customHeight="1" s="65"/>
    <row r="648" ht="21" customHeight="1" s="65"/>
    <row r="649" ht="21" customHeight="1" s="65"/>
    <row r="650" ht="21" customHeight="1" s="65"/>
    <row r="651" ht="21" customHeight="1" s="65"/>
    <row r="652" ht="21" customHeight="1" s="65"/>
    <row r="653" ht="21" customHeight="1" s="65"/>
    <row r="654" ht="21" customHeight="1" s="65"/>
    <row r="655" ht="21" customHeight="1" s="65"/>
    <row r="656" ht="21" customHeight="1" s="65"/>
    <row r="657" ht="21" customHeight="1" s="65"/>
    <row r="658" ht="21" customHeight="1" s="65"/>
    <row r="659" ht="21" customHeight="1" s="65"/>
    <row r="660" ht="21" customHeight="1" s="65"/>
    <row r="661" ht="21" customHeight="1" s="65"/>
    <row r="662" ht="21" customHeight="1" s="65"/>
    <row r="663" ht="21" customHeight="1" s="65"/>
    <row r="664" ht="21" customHeight="1" s="65"/>
    <row r="665" ht="21" customHeight="1" s="65"/>
    <row r="666" ht="21" customHeight="1" s="65"/>
    <row r="667" ht="21" customHeight="1" s="65"/>
    <row r="668" ht="21" customHeight="1" s="65"/>
    <row r="669" ht="21" customHeight="1" s="65"/>
    <row r="670" ht="21" customHeight="1" s="65"/>
    <row r="671" ht="21" customHeight="1" s="65"/>
    <row r="672" ht="21" customHeight="1" s="65"/>
    <row r="673" ht="21" customHeight="1" s="65"/>
    <row r="674" ht="21" customHeight="1" s="65"/>
    <row r="675" ht="21" customHeight="1" s="65"/>
    <row r="676" ht="21" customHeight="1" s="65"/>
    <row r="677" ht="21" customHeight="1" s="65"/>
    <row r="678" ht="21" customHeight="1" s="65"/>
    <row r="679" ht="21" customHeight="1" s="65"/>
    <row r="680" ht="21" customHeight="1" s="65"/>
    <row r="681" ht="21" customHeight="1" s="65"/>
    <row r="682" ht="21" customHeight="1" s="65"/>
    <row r="683" ht="21" customHeight="1" s="65"/>
    <row r="684" ht="21" customHeight="1" s="65"/>
    <row r="685" ht="21" customHeight="1" s="65"/>
    <row r="686" ht="21" customHeight="1" s="65"/>
    <row r="687" ht="21" customHeight="1" s="65"/>
    <row r="688" ht="21" customHeight="1" s="65"/>
    <row r="689" ht="21" customHeight="1" s="65"/>
    <row r="690" ht="21" customHeight="1" s="65"/>
    <row r="691" ht="21" customHeight="1" s="65"/>
    <row r="692" ht="21" customHeight="1" s="65"/>
    <row r="693" ht="21" customHeight="1" s="65"/>
    <row r="694" ht="21" customHeight="1" s="65"/>
    <row r="695" ht="21" customHeight="1" s="65"/>
    <row r="696" ht="21" customHeight="1" s="65"/>
    <row r="697" ht="21" customHeight="1" s="65"/>
    <row r="698" ht="21" customHeight="1" s="65"/>
    <row r="699" ht="21" customHeight="1" s="65"/>
    <row r="700" ht="21" customHeight="1" s="65"/>
    <row r="701" ht="21" customHeight="1" s="65"/>
    <row r="702" ht="21" customHeight="1" s="65"/>
    <row r="703" ht="21" customHeight="1" s="65"/>
    <row r="704" ht="21" customHeight="1" s="65"/>
    <row r="705" ht="21" customHeight="1" s="65"/>
    <row r="706" ht="21" customHeight="1" s="65"/>
    <row r="707" ht="21" customHeight="1" s="65"/>
    <row r="708" ht="21" customHeight="1" s="65"/>
    <row r="709" ht="21" customHeight="1" s="65"/>
    <row r="710" ht="21" customHeight="1" s="65"/>
    <row r="711" ht="21" customHeight="1" s="65"/>
    <row r="712" ht="21" customHeight="1" s="65"/>
    <row r="713" ht="21" customHeight="1" s="65"/>
    <row r="714" ht="21" customHeight="1" s="65"/>
    <row r="715" ht="21" customHeight="1" s="65"/>
    <row r="716" ht="21" customHeight="1" s="65"/>
    <row r="717" ht="21" customHeight="1" s="65"/>
    <row r="718" ht="21" customHeight="1" s="65"/>
    <row r="719" ht="21" customHeight="1" s="65"/>
    <row r="720" ht="21" customHeight="1" s="65"/>
    <row r="721" ht="21" customHeight="1" s="65"/>
    <row r="722" ht="21" customHeight="1" s="65"/>
    <row r="723" ht="21" customHeight="1" s="65"/>
    <row r="724" ht="21" customHeight="1" s="65"/>
    <row r="725" ht="21" customHeight="1" s="65"/>
    <row r="726" ht="21" customHeight="1" s="65"/>
    <row r="727" ht="21" customHeight="1" s="65"/>
    <row r="728" ht="21" customHeight="1" s="65"/>
    <row r="729" ht="21" customHeight="1" s="65"/>
    <row r="730" ht="21" customHeight="1" s="65"/>
    <row r="731" ht="21" customHeight="1" s="65"/>
    <row r="732" ht="21" customHeight="1" s="65"/>
    <row r="733" ht="21" customHeight="1" s="65"/>
    <row r="734" ht="21" customHeight="1" s="65"/>
    <row r="735" ht="21" customHeight="1" s="65"/>
    <row r="736" ht="21" customHeight="1" s="65"/>
    <row r="737" ht="21" customHeight="1" s="65"/>
    <row r="738" ht="21" customHeight="1" s="65"/>
    <row r="739" ht="21" customHeight="1" s="65"/>
    <row r="740" ht="21" customHeight="1" s="65"/>
    <row r="741" ht="21" customHeight="1" s="65"/>
    <row r="742" ht="21" customHeight="1" s="65"/>
    <row r="743" ht="21" customHeight="1" s="65"/>
    <row r="744" ht="21" customHeight="1" s="65"/>
    <row r="745" ht="21" customHeight="1" s="65"/>
    <row r="746" ht="21" customHeight="1" s="65"/>
    <row r="747" ht="21" customHeight="1" s="65"/>
    <row r="748" ht="21" customHeight="1" s="65"/>
    <row r="749" ht="21" customHeight="1" s="65"/>
  </sheetData>
  <mergeCells count="7">
    <mergeCell ref="C2:G2"/>
    <mergeCell ref="C1:G1"/>
    <mergeCell ref="I21:O21"/>
    <mergeCell ref="I10:M10"/>
    <mergeCell ref="I20:O20"/>
    <mergeCell ref="I11:M17"/>
    <mergeCell ref="I19:O19"/>
  </mergeCells>
  <dataValidations count="1">
    <dataValidation sqref="C11:C510" showDropDown="0" showInputMessage="0" showErrorMessage="0" allowBlank="1" type="list">
      <formula1>"Ingreso,Costo,Gasto"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00000"/>
    <outlinePr summaryBelow="1" summaryRight="1"/>
    <pageSetUpPr/>
  </sheetPr>
  <dimension ref="C1:P331"/>
  <sheetViews>
    <sheetView workbookViewId="0">
      <selection activeCell="A1" sqref="A1"/>
    </sheetView>
  </sheetViews>
  <sheetFormatPr baseColWidth="10" defaultColWidth="9.140625" defaultRowHeight="15"/>
  <cols>
    <col width="9.140625" customWidth="1" style="39" min="1" max="1"/>
    <col width="7.5703125" customWidth="1" style="39" min="2" max="2"/>
    <col width="3" customWidth="1" style="65" min="3" max="3"/>
    <col width="34" customWidth="1" style="65" min="4" max="4"/>
    <col width="18" customWidth="1" style="65" min="5" max="5"/>
    <col width="3" customWidth="1" style="65" min="6" max="7"/>
    <col width="36" customWidth="1" style="65" min="8" max="8"/>
    <col width="18" customWidth="1" style="65" min="9" max="9"/>
    <col width="4.85546875" customWidth="1" style="65" min="10" max="10"/>
    <col width="9.140625" customWidth="1" style="39" min="11" max="11"/>
    <col width="13.5703125" customWidth="1" style="65" min="12" max="12"/>
    <col width="15.28515625" customWidth="1" style="65" min="13" max="13"/>
    <col width="10.140625" customWidth="1" style="65" min="14" max="14"/>
    <col width="21.42578125" customWidth="1" style="65" min="15" max="15"/>
    <col width="17.5703125" customWidth="1" style="65" min="16" max="16"/>
    <col width="9.140625" customWidth="1" style="39" min="17" max="24"/>
  </cols>
  <sheetData>
    <row r="1" ht="21" customHeight="1" s="65">
      <c r="C1" s="66" t="inlineStr">
        <is>
          <t>BALANCE GENERAL HORIZONTAL</t>
        </is>
      </c>
      <c r="D1" s="98" t="n"/>
      <c r="E1" s="98" t="n"/>
      <c r="F1" s="98" t="n"/>
      <c r="G1" s="98" t="n"/>
      <c r="H1" s="98" t="n"/>
      <c r="I1" s="98" t="n"/>
      <c r="J1" s="99" t="n"/>
      <c r="L1" s="39" t="n"/>
      <c r="M1" s="39" t="n"/>
      <c r="N1" s="39" t="n"/>
      <c r="O1" s="39" t="n"/>
      <c r="P1" s="39" t="n"/>
    </row>
    <row r="2" ht="21" customHeight="1" s="65">
      <c r="C2" s="64" t="inlineStr">
        <is>
          <t>Formato horizontal automático: activos a la izquierda y patrimonio + pasivos a la derecha.</t>
        </is>
      </c>
      <c r="D2" s="100" t="n"/>
      <c r="E2" s="100" t="n"/>
      <c r="F2" s="100" t="n"/>
      <c r="G2" s="100" t="n"/>
      <c r="H2" s="100" t="n"/>
      <c r="I2" s="100" t="n"/>
      <c r="J2" s="101" t="n"/>
      <c r="L2" s="39" t="n"/>
      <c r="M2" s="39" t="n"/>
      <c r="N2" s="39" t="n"/>
      <c r="O2" s="39" t="n"/>
      <c r="P2" s="39" t="n"/>
    </row>
    <row r="3" ht="21" customFormat="1" customHeight="1" s="39"/>
    <row r="4" ht="21" customHeight="1" s="65">
      <c r="C4" s="39" t="n"/>
      <c r="D4" s="78">
        <f>Configuracion!D5</f>
        <v/>
      </c>
      <c r="E4" s="89" t="n"/>
      <c r="F4" s="89" t="n"/>
      <c r="G4" s="89" t="n"/>
      <c r="H4" s="89" t="n"/>
      <c r="I4" s="90" t="n"/>
      <c r="J4" s="39" t="n"/>
      <c r="L4" s="70" t="inlineStr">
        <is>
          <t>Esta hoja se completa automáticamente con la información ingresada en Activos, Pasivos, Patrimonio y Resultado Ejercicio. No es necesario escribir datos directamente aquí. Revise que el Total Activo sea igual al Total Pasivo + Patrimonio. Si aparece una diferencia, significa que falta registrar información o que algún monto fue ingresado en una categoría incorrecta.</t>
        </is>
      </c>
      <c r="M4" s="91" t="n"/>
      <c r="N4" s="92" t="n"/>
      <c r="O4" s="39" t="n"/>
      <c r="P4" s="39" t="n"/>
    </row>
    <row r="5" ht="21" customHeight="1" s="65">
      <c r="C5" s="39" t="n"/>
      <c r="D5" s="76">
        <f>Configuracion!D6</f>
        <v/>
      </c>
      <c r="E5" s="89" t="n"/>
      <c r="F5" s="89" t="n"/>
      <c r="G5" s="89" t="n"/>
      <c r="H5" s="89" t="n"/>
      <c r="I5" s="90" t="n"/>
      <c r="J5" s="39" t="n"/>
      <c r="L5" s="96" t="n"/>
      <c r="N5" s="97" t="n"/>
      <c r="O5" s="39" t="n"/>
      <c r="P5" s="39" t="n"/>
    </row>
    <row r="6" ht="21" customHeight="1" s="65">
      <c r="C6" s="39" t="n"/>
      <c r="D6" s="76">
        <f>"Fecha de corte: "&amp;TEXT(Configuracion!D7,"dd-mm-yyyy")</f>
        <v/>
      </c>
      <c r="E6" s="89" t="n"/>
      <c r="F6" s="89" t="n"/>
      <c r="G6" s="89" t="n"/>
      <c r="H6" s="89" t="n"/>
      <c r="I6" s="90" t="n"/>
      <c r="J6" s="39" t="n"/>
      <c r="L6" s="96" t="n"/>
      <c r="N6" s="97" t="n"/>
      <c r="O6" s="39" t="n"/>
      <c r="P6" s="39" t="n"/>
    </row>
    <row r="7" ht="21" customHeight="1" s="65">
      <c r="C7" s="39" t="n"/>
      <c r="D7" s="39" t="n"/>
      <c r="E7" s="39" t="n"/>
      <c r="F7" s="39" t="n"/>
      <c r="G7" s="39" t="n"/>
      <c r="H7" s="39" t="n"/>
      <c r="I7" s="39" t="n"/>
      <c r="J7" s="39" t="n"/>
      <c r="L7" s="96" t="n"/>
      <c r="N7" s="97" t="n"/>
      <c r="O7" s="39" t="n"/>
      <c r="P7" s="39" t="n"/>
    </row>
    <row r="8" ht="21" customHeight="1" s="65">
      <c r="C8" s="39" t="n"/>
      <c r="D8" s="74" t="inlineStr">
        <is>
          <t>ACTIVO</t>
        </is>
      </c>
      <c r="E8" s="90" t="n"/>
      <c r="F8" s="39" t="n"/>
      <c r="G8" s="39" t="n"/>
      <c r="H8" s="74" t="inlineStr">
        <is>
          <t>PATRIMONIO NETO Y PASIVO</t>
        </is>
      </c>
      <c r="I8" s="90" t="n"/>
      <c r="J8" s="39" t="n"/>
      <c r="L8" s="96" t="n"/>
      <c r="N8" s="97" t="n"/>
      <c r="O8" s="39" t="n"/>
      <c r="P8" s="39" t="n"/>
    </row>
    <row r="9" ht="21" customHeight="1" s="65">
      <c r="C9" s="39" t="n"/>
      <c r="D9" s="12" t="inlineStr">
        <is>
          <t>A) ACTIVO CORRIENTE</t>
        </is>
      </c>
      <c r="E9" s="12" t="inlineStr">
        <is>
          <t>Monto</t>
        </is>
      </c>
      <c r="F9" s="39" t="n"/>
      <c r="G9" s="39" t="n"/>
      <c r="H9" s="12" t="inlineStr">
        <is>
          <t>A) PATRIMONIO NETO</t>
        </is>
      </c>
      <c r="I9" s="12" t="inlineStr">
        <is>
          <t>Monto</t>
        </is>
      </c>
      <c r="J9" s="39" t="n"/>
      <c r="L9" s="96" t="n"/>
      <c r="N9" s="97" t="n"/>
      <c r="O9" s="39" t="n"/>
      <c r="P9" s="39" t="n"/>
    </row>
    <row r="10" ht="21" customHeight="1" s="65">
      <c r="C10" s="39" t="n"/>
      <c r="D10" s="30">
        <f>IFERROR(INDEX(Activos!$D$5:$D$504,MATCH("Activo corriente|1",Activos!$I$5:$I$504,0)),"")</f>
        <v/>
      </c>
      <c r="E10" s="107">
        <f>IFERROR(INDEX(Activos!$F$5:$F$504,MATCH("Activo corriente|1",Activos!$I$5:$I$504,0)),"")</f>
        <v/>
      </c>
      <c r="F10" s="39" t="n"/>
      <c r="G10" s="39" t="n"/>
      <c r="H10" s="30">
        <f>IFERROR(INDEX(Patrimonio!$C$6:$C$505,MATCH("Patrimonio|1",Patrimonio!$H$6:$H$505,0)),"")</f>
        <v/>
      </c>
      <c r="I10" s="107">
        <f>IFERROR(INDEX(Patrimonio!$E$6:$E$505,MATCH("Patrimonio|1",Patrimonio!$H$6:$H$505,0)),"")</f>
        <v/>
      </c>
      <c r="J10" s="39" t="n"/>
      <c r="L10" s="96" t="n"/>
      <c r="N10" s="97" t="n"/>
      <c r="O10" s="39" t="n"/>
      <c r="P10" s="39" t="n"/>
    </row>
    <row r="11" ht="21" customHeight="1" s="65">
      <c r="C11" s="39" t="n"/>
      <c r="D11" s="30">
        <f>IFERROR(INDEX(Activos!$D$5:$D$504,MATCH("Activo corriente|2",Activos!$I$5:$I$504,0)),"")</f>
        <v/>
      </c>
      <c r="E11" s="107">
        <f>IFERROR(INDEX(Activos!$F$5:$F$504,MATCH("Activo corriente|2",Activos!$I$5:$I$504,0)),"")</f>
        <v/>
      </c>
      <c r="F11" s="39" t="n"/>
      <c r="G11" s="39" t="n"/>
      <c r="H11" s="30">
        <f>IFERROR(INDEX(Patrimonio!$C$6:$C$505,MATCH("Patrimonio|2",Patrimonio!$H$6:$H$505,0)),"")</f>
        <v/>
      </c>
      <c r="I11" s="107">
        <f>IFERROR(INDEX(Patrimonio!$E$6:$E$505,MATCH("Patrimonio|2",Patrimonio!$H$6:$H$505,0)),"")</f>
        <v/>
      </c>
      <c r="J11" s="39" t="n"/>
      <c r="L11" s="93" t="n"/>
      <c r="M11" s="94" t="n"/>
      <c r="N11" s="95" t="n"/>
      <c r="O11" s="39" t="n"/>
      <c r="P11" s="39" t="n"/>
    </row>
    <row r="12" ht="21" customHeight="1" s="65">
      <c r="C12" s="39" t="n"/>
      <c r="D12" s="30">
        <f>IFERROR(INDEX(Activos!$D$5:$D$504,MATCH("Activo corriente|3",Activos!$I$5:$I$504,0)),"")</f>
        <v/>
      </c>
      <c r="E12" s="107">
        <f>IFERROR(INDEX(Activos!$F$5:$F$504,MATCH("Activo corriente|3",Activos!$I$5:$I$504,0)),"")</f>
        <v/>
      </c>
      <c r="F12" s="39" t="n"/>
      <c r="G12" s="39" t="n"/>
      <c r="H12" s="30">
        <f>IFERROR(INDEX(Patrimonio!$C$6:$C$505,MATCH("Patrimonio|3",Patrimonio!$H$6:$H$505,0)),"")</f>
        <v/>
      </c>
      <c r="I12" s="107">
        <f>IFERROR(INDEX(Patrimonio!$E$6:$E$505,MATCH("Patrimonio|3",Patrimonio!$H$6:$H$505,0)),"")</f>
        <v/>
      </c>
      <c r="J12" s="39" t="n"/>
      <c r="L12" s="39" t="n"/>
      <c r="M12" s="39" t="n"/>
      <c r="N12" s="39" t="n"/>
      <c r="O12" s="39" t="n"/>
      <c r="P12" s="39" t="n"/>
    </row>
    <row r="13" ht="22.5" customHeight="1" s="65">
      <c r="C13" s="39" t="n"/>
      <c r="D13" s="30">
        <f>IFERROR(INDEX(Activos!$D$5:$D$504,MATCH("Activo corriente|4",Activos!$I$5:$I$504,0)),"")</f>
        <v/>
      </c>
      <c r="E13" s="107">
        <f>IFERROR(INDEX(Activos!$F$5:$F$504,MATCH("Activo corriente|4",Activos!$I$5:$I$504,0)),"")</f>
        <v/>
      </c>
      <c r="F13" s="39" t="n"/>
      <c r="G13" s="39" t="n"/>
      <c r="H13" s="30">
        <f>IFERROR(INDEX(Patrimonio!$C$6:$C$505,MATCH("Patrimonio|4",Patrimonio!$H$6:$H$505,0)),"")</f>
        <v/>
      </c>
      <c r="I13" s="107">
        <f>IFERROR(INDEX(Patrimonio!$E$6:$E$505,MATCH("Patrimonio|4",Patrimonio!$H$6:$H$505,0)),"")</f>
        <v/>
      </c>
      <c r="J13" s="39" t="n"/>
      <c r="L13" s="39" t="n"/>
      <c r="M13" s="108" t="n"/>
      <c r="N13" s="39" t="n"/>
      <c r="O13" s="2" t="inlineStr">
        <is>
          <t>TOTAL PASIVO</t>
        </is>
      </c>
      <c r="P13" s="109">
        <f>I79+I117</f>
        <v/>
      </c>
    </row>
    <row r="14" ht="25.5" customHeight="1" s="65">
      <c r="C14" s="39" t="n"/>
      <c r="D14" s="30">
        <f>IFERROR(INDEX(Activos!$D$5:$D$504,MATCH("Activo corriente|5",Activos!$I$5:$I$504,0)),"")</f>
        <v/>
      </c>
      <c r="E14" s="107">
        <f>IFERROR(INDEX(Activos!$F$5:$F$504,MATCH("Activo corriente|5",Activos!$I$5:$I$504,0)),"")</f>
        <v/>
      </c>
      <c r="F14" s="39" t="n"/>
      <c r="G14" s="39" t="n"/>
      <c r="H14" s="30">
        <f>IFERROR(INDEX(Patrimonio!$C$6:$C$505,MATCH("Patrimonio|5",Patrimonio!$H$6:$H$505,0)),"")</f>
        <v/>
      </c>
      <c r="I14" s="107">
        <f>IFERROR(INDEX(Patrimonio!$E$6:$E$505,MATCH("Patrimonio|5",Patrimonio!$H$6:$H$505,0)),"")</f>
        <v/>
      </c>
      <c r="J14" s="39" t="n"/>
      <c r="L14" s="2" t="inlineStr">
        <is>
          <t>TOTAL ACTIVO</t>
        </is>
      </c>
      <c r="M14" s="109">
        <f>P19</f>
        <v/>
      </c>
      <c r="N14" s="39" t="n"/>
      <c r="O14" s="39" t="n"/>
      <c r="P14" s="108" t="n"/>
    </row>
    <row r="15" ht="24.75" customHeight="1" s="65">
      <c r="C15" s="39" t="n"/>
      <c r="D15" s="30">
        <f>IFERROR(INDEX(Activos!$D$5:$D$504,MATCH("Activo corriente|6",Activos!$I$5:$I$504,0)),"")</f>
        <v/>
      </c>
      <c r="E15" s="107">
        <f>IFERROR(INDEX(Activos!$F$5:$F$504,MATCH("Activo corriente|6",Activos!$I$5:$I$504,0)),"")</f>
        <v/>
      </c>
      <c r="F15" s="39" t="n"/>
      <c r="G15" s="39" t="n"/>
      <c r="H15" s="30">
        <f>IFERROR(INDEX(Patrimonio!$C$6:$C$505,MATCH("Patrimonio|6",Patrimonio!$H$6:$H$505,0)),"")</f>
        <v/>
      </c>
      <c r="I15" s="107">
        <f>IFERROR(INDEX(Patrimonio!$E$6:$E$505,MATCH("Patrimonio|6",Patrimonio!$H$6:$H$505,0)),"")</f>
        <v/>
      </c>
      <c r="J15" s="39" t="n"/>
      <c r="L15" s="39" t="n"/>
      <c r="M15" s="108" t="n"/>
      <c r="N15" s="39" t="n"/>
      <c r="O15" s="2" t="inlineStr">
        <is>
          <t>TOTAL PASIVO + PATRIMONIO</t>
        </is>
      </c>
      <c r="P15" s="109">
        <f>P13+I41</f>
        <v/>
      </c>
    </row>
    <row r="16" ht="24.75" customHeight="1" s="65">
      <c r="C16" s="39" t="n"/>
      <c r="D16" s="30">
        <f>IFERROR(INDEX(Activos!$D$5:$D$504,MATCH("Activo corriente|7",Activos!$I$5:$I$504,0)),"")</f>
        <v/>
      </c>
      <c r="E16" s="107">
        <f>IFERROR(INDEX(Activos!$F$5:$F$504,MATCH("Activo corriente|7",Activos!$I$5:$I$504,0)),"")</f>
        <v/>
      </c>
      <c r="F16" s="39" t="n"/>
      <c r="G16" s="39" t="n"/>
      <c r="H16" s="30">
        <f>IFERROR(INDEX(Patrimonio!$C$6:$C$505,MATCH("Patrimonio|7",Patrimonio!$H$6:$H$505,0)),"")</f>
        <v/>
      </c>
      <c r="I16" s="107">
        <f>IFERROR(INDEX(Patrimonio!$E$6:$E$505,MATCH("Patrimonio|7",Patrimonio!$H$6:$H$505,0)),"")</f>
        <v/>
      </c>
      <c r="J16" s="39" t="n"/>
      <c r="L16" s="2" t="inlineStr">
        <is>
          <t>DIFERENCIA</t>
        </is>
      </c>
      <c r="M16" s="109">
        <f>M14-P15</f>
        <v/>
      </c>
      <c r="N16" s="39" t="n"/>
      <c r="O16" s="39" t="n"/>
      <c r="P16" s="108" t="n"/>
    </row>
    <row r="17" ht="24.75" customHeight="1" s="65">
      <c r="C17" s="39" t="n"/>
      <c r="D17" s="30">
        <f>IFERROR(INDEX(Activos!$D$5:$D$504,MATCH("Activo corriente|8",Activos!$I$5:$I$504,0)),"")</f>
        <v/>
      </c>
      <c r="E17" s="107">
        <f>IFERROR(INDEX(Activos!$F$5:$F$504,MATCH("Activo corriente|8",Activos!$I$5:$I$504,0)),"")</f>
        <v/>
      </c>
      <c r="F17" s="39" t="n"/>
      <c r="G17" s="39" t="n"/>
      <c r="H17" s="30">
        <f>IFERROR(INDEX(Patrimonio!$C$6:$C$505,MATCH("Patrimonio|8",Patrimonio!$H$6:$H$505,0)),"")</f>
        <v/>
      </c>
      <c r="I17" s="107">
        <f>IFERROR(INDEX(Patrimonio!$E$6:$E$505,MATCH("Patrimonio|8",Patrimonio!$H$6:$H$505,0)),"")</f>
        <v/>
      </c>
      <c r="J17" s="39" t="n"/>
      <c r="L17" s="39" t="n"/>
      <c r="M17" s="39" t="n"/>
      <c r="N17" s="39" t="n"/>
      <c r="O17" s="2" t="inlineStr">
        <is>
          <t>ESTADO DEL BALANCE</t>
        </is>
      </c>
      <c r="P17" s="109">
        <f>IF(ABS(M16)&lt;1,"Balance cuadrado","Revisar diferencia")</f>
        <v/>
      </c>
    </row>
    <row r="18" ht="27.75" customHeight="1" s="65">
      <c r="C18" s="39" t="n"/>
      <c r="D18" s="30">
        <f>IFERROR(INDEX(Activos!$D$5:$D$504,MATCH("Activo corriente|9",Activos!$I$5:$I$504,0)),"")</f>
        <v/>
      </c>
      <c r="E18" s="107">
        <f>IFERROR(INDEX(Activos!$F$5:$F$504,MATCH("Activo corriente|9",Activos!$I$5:$I$504,0)),"")</f>
        <v/>
      </c>
      <c r="F18" s="39" t="n"/>
      <c r="G18" s="39" t="n"/>
      <c r="H18" s="30">
        <f>IFERROR(INDEX(Patrimonio!$C$6:$C$505,MATCH("Patrimonio|9",Patrimonio!$H$6:$H$505,0)),"")</f>
        <v/>
      </c>
      <c r="I18" s="107">
        <f>IFERROR(INDEX(Patrimonio!$E$6:$E$505,MATCH("Patrimonio|9",Patrimonio!$H$6:$H$505,0)),"")</f>
        <v/>
      </c>
      <c r="J18" s="39" t="n"/>
      <c r="L18" s="39" t="n"/>
      <c r="M18" s="39" t="n"/>
      <c r="N18" s="39" t="n"/>
      <c r="O18" s="39" t="n"/>
      <c r="P18" s="39" t="n"/>
    </row>
    <row r="19" ht="21.75" customHeight="1" s="65">
      <c r="C19" s="39" t="n"/>
      <c r="D19" s="30">
        <f>IFERROR(INDEX(Activos!$D$5:$D$504,MATCH("Activo corriente|10",Activos!$I$5:$I$504,0)),"")</f>
        <v/>
      </c>
      <c r="E19" s="107">
        <f>IFERROR(INDEX(Activos!$F$5:$F$504,MATCH("Activo corriente|10",Activos!$I$5:$I$504,0)),"")</f>
        <v/>
      </c>
      <c r="F19" s="39" t="n"/>
      <c r="G19" s="39" t="n"/>
      <c r="H19" s="30">
        <f>IFERROR(INDEX(Patrimonio!$C$6:$C$505,MATCH("Patrimonio|10",Patrimonio!$H$6:$H$505,0)),"")</f>
        <v/>
      </c>
      <c r="I19" s="107">
        <f>IFERROR(INDEX(Patrimonio!$E$6:$E$505,MATCH("Patrimonio|10",Patrimonio!$H$6:$H$505,0)),"")</f>
        <v/>
      </c>
      <c r="J19" s="39" t="n"/>
      <c r="L19" s="39" t="n"/>
      <c r="M19" s="39" t="n"/>
      <c r="N19" s="39" t="n"/>
      <c r="O19" s="2" t="inlineStr">
        <is>
          <t>TOTAL ACTIVO</t>
        </is>
      </c>
      <c r="P19" s="109">
        <f>E45+E83+E101</f>
        <v/>
      </c>
    </row>
    <row r="20" ht="28.5" customHeight="1" s="65">
      <c r="C20" s="39" t="n"/>
      <c r="D20" s="30">
        <f>IFERROR(INDEX(Activos!$D$5:$D$504,MATCH("Activo corriente|11",Activos!$I$5:$I$504,0)),"")</f>
        <v/>
      </c>
      <c r="E20" s="107">
        <f>IFERROR(INDEX(Activos!$F$5:$F$504,MATCH("Activo corriente|11",Activos!$I$5:$I$504,0)),"")</f>
        <v/>
      </c>
      <c r="F20" s="39" t="n"/>
      <c r="G20" s="39" t="n"/>
      <c r="H20" s="30">
        <f>IFERROR(INDEX(Patrimonio!$C$6:$C$505,MATCH("Patrimonio|11",Patrimonio!$H$6:$H$505,0)),"")</f>
        <v/>
      </c>
      <c r="I20" s="107">
        <f>IFERROR(INDEX(Patrimonio!$E$6:$E$505,MATCH("Patrimonio|11",Patrimonio!$H$6:$H$505,0)),"")</f>
        <v/>
      </c>
      <c r="J20" s="39" t="n"/>
      <c r="L20" s="39" t="n"/>
      <c r="M20" s="39" t="n"/>
      <c r="N20" s="39" t="n"/>
      <c r="O20" s="39" t="n"/>
      <c r="P20" s="39" t="n"/>
    </row>
    <row r="21" ht="21" customHeight="1" s="65">
      <c r="C21" s="39" t="n"/>
      <c r="D21" s="30">
        <f>IFERROR(INDEX(Activos!$D$5:$D$504,MATCH("Activo corriente|12",Activos!$I$5:$I$504,0)),"")</f>
        <v/>
      </c>
      <c r="E21" s="107">
        <f>IFERROR(INDEX(Activos!$F$5:$F$504,MATCH("Activo corriente|12",Activos!$I$5:$I$504,0)),"")</f>
        <v/>
      </c>
      <c r="F21" s="39" t="n"/>
      <c r="G21" s="39" t="n"/>
      <c r="H21" s="30">
        <f>IFERROR(INDEX(Patrimonio!$C$6:$C$505,MATCH("Patrimonio|12",Patrimonio!$H$6:$H$505,0)),"")</f>
        <v/>
      </c>
      <c r="I21" s="107">
        <f>IFERROR(INDEX(Patrimonio!$E$6:$E$505,MATCH("Patrimonio|12",Patrimonio!$H$6:$H$505,0)),"")</f>
        <v/>
      </c>
      <c r="J21" s="39" t="n"/>
      <c r="L21" s="39" t="n"/>
      <c r="M21" s="39" t="n"/>
      <c r="N21" s="39" t="n"/>
      <c r="O21" s="39" t="n"/>
      <c r="P21" s="39" t="n"/>
    </row>
    <row r="22" ht="21" customHeight="1" s="65">
      <c r="C22" s="39" t="n"/>
      <c r="D22" s="30">
        <f>IFERROR(INDEX(Activos!$D$5:$D$504,MATCH("Activo corriente|13",Activos!$I$5:$I$504,0)),"")</f>
        <v/>
      </c>
      <c r="E22" s="107">
        <f>IFERROR(INDEX(Activos!$F$5:$F$504,MATCH("Activo corriente|13",Activos!$I$5:$I$504,0)),"")</f>
        <v/>
      </c>
      <c r="F22" s="39" t="n"/>
      <c r="G22" s="39" t="n"/>
      <c r="H22" s="30">
        <f>IFERROR(INDEX(Patrimonio!$C$6:$C$505,MATCH("Patrimonio|13",Patrimonio!$H$6:$H$505,0)),"")</f>
        <v/>
      </c>
      <c r="I22" s="107">
        <f>IFERROR(INDEX(Patrimonio!$E$6:$E$505,MATCH("Patrimonio|13",Patrimonio!$H$6:$H$505,0)),"")</f>
        <v/>
      </c>
      <c r="J22" s="39" t="n"/>
      <c r="L22" s="39" t="n"/>
      <c r="M22" s="39" t="n"/>
      <c r="N22" s="39" t="n"/>
      <c r="O22" s="39" t="n"/>
      <c r="P22" s="39" t="n"/>
    </row>
    <row r="23" ht="21" customHeight="1" s="65">
      <c r="C23" s="39" t="n"/>
      <c r="D23" s="30">
        <f>IFERROR(INDEX(Activos!$D$5:$D$504,MATCH("Activo corriente|14",Activos!$I$5:$I$504,0)),"")</f>
        <v/>
      </c>
      <c r="E23" s="107">
        <f>IFERROR(INDEX(Activos!$F$5:$F$504,MATCH("Activo corriente|14",Activos!$I$5:$I$504,0)),"")</f>
        <v/>
      </c>
      <c r="F23" s="39" t="n"/>
      <c r="G23" s="39" t="n"/>
      <c r="H23" s="30">
        <f>IFERROR(INDEX(Patrimonio!$C$6:$C$505,MATCH("Patrimonio|14",Patrimonio!$H$6:$H$505,0)),"")</f>
        <v/>
      </c>
      <c r="I23" s="107">
        <f>IFERROR(INDEX(Patrimonio!$E$6:$E$505,MATCH("Patrimonio|14",Patrimonio!$H$6:$H$505,0)),"")</f>
        <v/>
      </c>
      <c r="J23" s="39" t="n"/>
      <c r="L23" s="39" t="n"/>
      <c r="M23" s="39" t="n"/>
      <c r="N23" s="39" t="n"/>
      <c r="O23" s="39" t="n"/>
      <c r="P23" s="39" t="n"/>
    </row>
    <row r="24" ht="21" customHeight="1" s="65">
      <c r="C24" s="39" t="n"/>
      <c r="D24" s="30">
        <f>IFERROR(INDEX(Activos!$D$5:$D$504,MATCH("Activo corriente|15",Activos!$I$5:$I$504,0)),"")</f>
        <v/>
      </c>
      <c r="E24" s="107">
        <f>IFERROR(INDEX(Activos!$F$5:$F$504,MATCH("Activo corriente|15",Activos!$I$5:$I$504,0)),"")</f>
        <v/>
      </c>
      <c r="F24" s="39" t="n"/>
      <c r="G24" s="39" t="n"/>
      <c r="H24" s="30">
        <f>IFERROR(INDEX(Patrimonio!$C$6:$C$505,MATCH("Patrimonio|15",Patrimonio!$H$6:$H$505,0)),"")</f>
        <v/>
      </c>
      <c r="I24" s="107">
        <f>IFERROR(INDEX(Patrimonio!$E$6:$E$505,MATCH("Patrimonio|15",Patrimonio!$H$6:$H$505,0)),"")</f>
        <v/>
      </c>
      <c r="J24" s="39" t="n"/>
      <c r="L24" s="39" t="n"/>
      <c r="M24" s="39" t="n"/>
      <c r="N24" s="39" t="n"/>
      <c r="O24" s="39" t="n"/>
      <c r="P24" s="39" t="n"/>
    </row>
    <row r="25" ht="21" customHeight="1" s="65">
      <c r="C25" s="39" t="n"/>
      <c r="D25" s="30">
        <f>IFERROR(INDEX(Activos!$D$5:$D$504,MATCH("Activo corriente|16",Activos!$I$5:$I$504,0)),"")</f>
        <v/>
      </c>
      <c r="E25" s="107">
        <f>IFERROR(INDEX(Activos!$F$5:$F$504,MATCH("Activo corriente|16",Activos!$I$5:$I$504,0)),"")</f>
        <v/>
      </c>
      <c r="F25" s="39" t="n"/>
      <c r="G25" s="39" t="n"/>
      <c r="H25" s="30">
        <f>IFERROR(INDEX(Patrimonio!$C$6:$C$505,MATCH("Patrimonio|16",Patrimonio!$H$6:$H$505,0)),"")</f>
        <v/>
      </c>
      <c r="I25" s="107">
        <f>IFERROR(INDEX(Patrimonio!$E$6:$E$505,MATCH("Patrimonio|16",Patrimonio!$H$6:$H$505,0)),"")</f>
        <v/>
      </c>
      <c r="J25" s="39" t="n"/>
      <c r="L25" s="39" t="n"/>
      <c r="M25" s="39" t="n"/>
      <c r="N25" s="39" t="n"/>
      <c r="O25" s="39" t="n"/>
      <c r="P25" s="39" t="n"/>
    </row>
    <row r="26" ht="21" customHeight="1" s="65">
      <c r="C26" s="39" t="n"/>
      <c r="D26" s="30">
        <f>IFERROR(INDEX(Activos!$D$5:$D$504,MATCH("Activo corriente|17",Activos!$I$5:$I$504,0)),"")</f>
        <v/>
      </c>
      <c r="E26" s="107">
        <f>IFERROR(INDEX(Activos!$F$5:$F$504,MATCH("Activo corriente|17",Activos!$I$5:$I$504,0)),"")</f>
        <v/>
      </c>
      <c r="F26" s="39" t="n"/>
      <c r="G26" s="39" t="n"/>
      <c r="H26" s="30">
        <f>IFERROR(INDEX(Patrimonio!$C$6:$C$505,MATCH("Patrimonio|17",Patrimonio!$H$6:$H$505,0)),"")</f>
        <v/>
      </c>
      <c r="I26" s="107">
        <f>IFERROR(INDEX(Patrimonio!$E$6:$E$505,MATCH("Patrimonio|17",Patrimonio!$H$6:$H$505,0)),"")</f>
        <v/>
      </c>
      <c r="J26" s="39" t="n"/>
      <c r="L26" s="39" t="n"/>
      <c r="M26" s="39" t="n"/>
      <c r="N26" s="39" t="n"/>
      <c r="O26" s="39" t="n"/>
      <c r="P26" s="39" t="n"/>
    </row>
    <row r="27" ht="21" customHeight="1" s="65">
      <c r="C27" s="39" t="n"/>
      <c r="D27" s="30">
        <f>IFERROR(INDEX(Activos!$D$5:$D$504,MATCH("Activo corriente|18",Activos!$I$5:$I$504,0)),"")</f>
        <v/>
      </c>
      <c r="E27" s="107">
        <f>IFERROR(INDEX(Activos!$F$5:$F$504,MATCH("Activo corriente|18",Activos!$I$5:$I$504,0)),"")</f>
        <v/>
      </c>
      <c r="F27" s="39" t="n"/>
      <c r="G27" s="39" t="n"/>
      <c r="H27" s="30">
        <f>IFERROR(INDEX(Patrimonio!$C$6:$C$505,MATCH("Patrimonio|18",Patrimonio!$H$6:$H$505,0)),"")</f>
        <v/>
      </c>
      <c r="I27" s="107">
        <f>IFERROR(INDEX(Patrimonio!$E$6:$E$505,MATCH("Patrimonio|18",Patrimonio!$H$6:$H$505,0)),"")</f>
        <v/>
      </c>
      <c r="J27" s="39" t="n"/>
      <c r="L27" s="39" t="n"/>
      <c r="M27" s="39" t="n"/>
      <c r="N27" s="39" t="n"/>
      <c r="O27" s="39" t="n"/>
      <c r="P27" s="39" t="n"/>
    </row>
    <row r="28" ht="21" customHeight="1" s="65">
      <c r="C28" s="39" t="n"/>
      <c r="D28" s="30">
        <f>IFERROR(INDEX(Activos!$D$5:$D$504,MATCH("Activo corriente|19",Activos!$I$5:$I$504,0)),"")</f>
        <v/>
      </c>
      <c r="E28" s="107">
        <f>IFERROR(INDEX(Activos!$F$5:$F$504,MATCH("Activo corriente|19",Activos!$I$5:$I$504,0)),"")</f>
        <v/>
      </c>
      <c r="F28" s="39" t="n"/>
      <c r="G28" s="39" t="n"/>
      <c r="H28" s="30">
        <f>IFERROR(INDEX(Patrimonio!$C$6:$C$505,MATCH("Patrimonio|19",Patrimonio!$H$6:$H$505,0)),"")</f>
        <v/>
      </c>
      <c r="I28" s="107">
        <f>IFERROR(INDEX(Patrimonio!$E$6:$E$505,MATCH("Patrimonio|19",Patrimonio!$H$6:$H$505,0)),"")</f>
        <v/>
      </c>
      <c r="J28" s="39" t="n"/>
      <c r="L28" s="39" t="n"/>
      <c r="M28" s="39" t="n"/>
      <c r="N28" s="39" t="n"/>
      <c r="O28" s="39" t="n"/>
      <c r="P28" s="39" t="n"/>
    </row>
    <row r="29" ht="21" customHeight="1" s="65">
      <c r="C29" s="39" t="n"/>
      <c r="D29" s="30">
        <f>IFERROR(INDEX(Activos!$D$5:$D$504,MATCH("Activo corriente|20",Activos!$I$5:$I$504,0)),"")</f>
        <v/>
      </c>
      <c r="E29" s="107">
        <f>IFERROR(INDEX(Activos!$F$5:$F$504,MATCH("Activo corriente|20",Activos!$I$5:$I$504,0)),"")</f>
        <v/>
      </c>
      <c r="F29" s="39" t="n"/>
      <c r="G29" s="39" t="n"/>
      <c r="H29" s="30">
        <f>IFERROR(INDEX(Patrimonio!$C$6:$C$505,MATCH("Patrimonio|20",Patrimonio!$H$6:$H$505,0)),"")</f>
        <v/>
      </c>
      <c r="I29" s="107">
        <f>IFERROR(INDEX(Patrimonio!$E$6:$E$505,MATCH("Patrimonio|20",Patrimonio!$H$6:$H$505,0)),"")</f>
        <v/>
      </c>
      <c r="J29" s="39" t="n"/>
      <c r="L29" s="39" t="n"/>
      <c r="M29" s="39" t="n"/>
      <c r="N29" s="39" t="n"/>
      <c r="O29" s="39" t="n"/>
      <c r="P29" s="39" t="n"/>
    </row>
    <row r="30" ht="21" customHeight="1" s="65">
      <c r="C30" s="39" t="n"/>
      <c r="D30" s="30">
        <f>IFERROR(INDEX(Activos!$D$5:$D$504,MATCH("Activo corriente|21",Activos!$I$5:$I$504,0)),"")</f>
        <v/>
      </c>
      <c r="E30" s="107">
        <f>IFERROR(INDEX(Activos!$F$5:$F$504,MATCH("Activo corriente|21",Activos!$I$5:$I$504,0)),"")</f>
        <v/>
      </c>
      <c r="F30" s="39" t="n"/>
      <c r="G30" s="39" t="n"/>
      <c r="H30" s="30">
        <f>IFERROR(INDEX(Patrimonio!$C$6:$C$505,MATCH("Patrimonio|21",Patrimonio!$H$6:$H$505,0)),"")</f>
        <v/>
      </c>
      <c r="I30" s="107">
        <f>IFERROR(INDEX(Patrimonio!$E$6:$E$505,MATCH("Patrimonio|21",Patrimonio!$H$6:$H$505,0)),"")</f>
        <v/>
      </c>
      <c r="J30" s="39" t="n"/>
      <c r="L30" s="39" t="n"/>
      <c r="M30" s="39" t="n"/>
      <c r="N30" s="39" t="n"/>
      <c r="O30" s="39" t="n"/>
      <c r="P30" s="39" t="n"/>
    </row>
    <row r="31" ht="21" customHeight="1" s="65">
      <c r="C31" s="39" t="n"/>
      <c r="D31" s="30">
        <f>IFERROR(INDEX(Activos!$D$5:$D$504,MATCH("Activo corriente|22",Activos!$I$5:$I$504,0)),"")</f>
        <v/>
      </c>
      <c r="E31" s="107">
        <f>IFERROR(INDEX(Activos!$F$5:$F$504,MATCH("Activo corriente|22",Activos!$I$5:$I$504,0)),"")</f>
        <v/>
      </c>
      <c r="F31" s="39" t="n"/>
      <c r="G31" s="39" t="n"/>
      <c r="H31" s="30">
        <f>IFERROR(INDEX(Patrimonio!$C$6:$C$505,MATCH("Patrimonio|22",Patrimonio!$H$6:$H$505,0)),"")</f>
        <v/>
      </c>
      <c r="I31" s="107">
        <f>IFERROR(INDEX(Patrimonio!$E$6:$E$505,MATCH("Patrimonio|22",Patrimonio!$H$6:$H$505,0)),"")</f>
        <v/>
      </c>
      <c r="J31" s="39" t="n"/>
      <c r="L31" s="39" t="n"/>
      <c r="M31" s="39" t="n"/>
      <c r="N31" s="39" t="n"/>
      <c r="O31" s="39" t="n"/>
      <c r="P31" s="39" t="n"/>
    </row>
    <row r="32" ht="21" customHeight="1" s="65">
      <c r="C32" s="39" t="n"/>
      <c r="D32" s="30">
        <f>IFERROR(INDEX(Activos!$D$5:$D$504,MATCH("Activo corriente|23",Activos!$I$5:$I$504,0)),"")</f>
        <v/>
      </c>
      <c r="E32" s="107">
        <f>IFERROR(INDEX(Activos!$F$5:$F$504,MATCH("Activo corriente|23",Activos!$I$5:$I$504,0)),"")</f>
        <v/>
      </c>
      <c r="F32" s="39" t="n"/>
      <c r="G32" s="39" t="n"/>
      <c r="H32" s="30">
        <f>IFERROR(INDEX(Patrimonio!$C$6:$C$505,MATCH("Patrimonio|23",Patrimonio!$H$6:$H$505,0)),"")</f>
        <v/>
      </c>
      <c r="I32" s="107">
        <f>IFERROR(INDEX(Patrimonio!$E$6:$E$505,MATCH("Patrimonio|23",Patrimonio!$H$6:$H$505,0)),"")</f>
        <v/>
      </c>
      <c r="J32" s="39" t="n"/>
      <c r="L32" s="39" t="n"/>
      <c r="M32" s="39" t="n"/>
      <c r="N32" s="39" t="n"/>
      <c r="O32" s="39" t="n"/>
      <c r="P32" s="39" t="n"/>
    </row>
    <row r="33" ht="21" customHeight="1" s="65">
      <c r="C33" s="39" t="n"/>
      <c r="D33" s="30">
        <f>IFERROR(INDEX(Activos!$D$5:$D$504,MATCH("Activo corriente|24",Activos!$I$5:$I$504,0)),"")</f>
        <v/>
      </c>
      <c r="E33" s="107">
        <f>IFERROR(INDEX(Activos!$F$5:$F$504,MATCH("Activo corriente|24",Activos!$I$5:$I$504,0)),"")</f>
        <v/>
      </c>
      <c r="F33" s="39" t="n"/>
      <c r="G33" s="39" t="n"/>
      <c r="H33" s="30">
        <f>IFERROR(INDEX(Patrimonio!$C$6:$C$505,MATCH("Patrimonio|24",Patrimonio!$H$6:$H$505,0)),"")</f>
        <v/>
      </c>
      <c r="I33" s="107">
        <f>IFERROR(INDEX(Patrimonio!$E$6:$E$505,MATCH("Patrimonio|24",Patrimonio!$H$6:$H$505,0)),"")</f>
        <v/>
      </c>
      <c r="J33" s="39" t="n"/>
      <c r="L33" s="39" t="n"/>
      <c r="M33" s="39" t="n"/>
      <c r="N33" s="39" t="n"/>
      <c r="O33" s="39" t="n"/>
      <c r="P33" s="39" t="n"/>
    </row>
    <row r="34" ht="21" customHeight="1" s="65">
      <c r="C34" s="39" t="n"/>
      <c r="D34" s="30">
        <f>IFERROR(INDEX(Activos!$D$5:$D$504,MATCH("Activo corriente|25",Activos!$I$5:$I$504,0)),"")</f>
        <v/>
      </c>
      <c r="E34" s="107">
        <f>IFERROR(INDEX(Activos!$F$5:$F$504,MATCH("Activo corriente|25",Activos!$I$5:$I$504,0)),"")</f>
        <v/>
      </c>
      <c r="F34" s="39" t="n"/>
      <c r="G34" s="39" t="n"/>
      <c r="H34" s="30">
        <f>IFERROR(INDEX(Patrimonio!$C$6:$C$505,MATCH("Patrimonio|25",Patrimonio!$H$6:$H$505,0)),"")</f>
        <v/>
      </c>
      <c r="I34" s="107">
        <f>IFERROR(INDEX(Patrimonio!$E$6:$E$505,MATCH("Patrimonio|25",Patrimonio!$H$6:$H$505,0)),"")</f>
        <v/>
      </c>
      <c r="J34" s="39" t="n"/>
      <c r="L34" s="39" t="n"/>
      <c r="M34" s="39" t="n"/>
      <c r="N34" s="39" t="n"/>
      <c r="O34" s="39" t="n"/>
      <c r="P34" s="39" t="n"/>
    </row>
    <row r="35" ht="21" customHeight="1" s="65">
      <c r="C35" s="39" t="n"/>
      <c r="D35" s="30">
        <f>IFERROR(INDEX(Activos!$D$5:$D$504,MATCH("Activo corriente|26",Activos!$I$5:$I$504,0)),"")</f>
        <v/>
      </c>
      <c r="E35" s="107">
        <f>IFERROR(INDEX(Activos!$F$5:$F$504,MATCH("Activo corriente|26",Activos!$I$5:$I$504,0)),"")</f>
        <v/>
      </c>
      <c r="F35" s="39" t="n"/>
      <c r="G35" s="39" t="n"/>
      <c r="H35" s="30">
        <f>IFERROR(INDEX(Patrimonio!$C$6:$C$505,MATCH("Patrimonio|26",Patrimonio!$H$6:$H$505,0)),"")</f>
        <v/>
      </c>
      <c r="I35" s="107">
        <f>IFERROR(INDEX(Patrimonio!$E$6:$E$505,MATCH("Patrimonio|26",Patrimonio!$H$6:$H$505,0)),"")</f>
        <v/>
      </c>
      <c r="J35" s="39" t="n"/>
      <c r="L35" s="39" t="n"/>
      <c r="M35" s="39" t="n"/>
      <c r="N35" s="39" t="n"/>
      <c r="O35" s="39" t="n"/>
      <c r="P35" s="39" t="n"/>
    </row>
    <row r="36" ht="21" customHeight="1" s="65">
      <c r="C36" s="39" t="n"/>
      <c r="D36" s="30">
        <f>IFERROR(INDEX(Activos!$D$5:$D$504,MATCH("Activo corriente|27",Activos!$I$5:$I$504,0)),"")</f>
        <v/>
      </c>
      <c r="E36" s="107">
        <f>IFERROR(INDEX(Activos!$F$5:$F$504,MATCH("Activo corriente|27",Activos!$I$5:$I$504,0)),"")</f>
        <v/>
      </c>
      <c r="F36" s="39" t="n"/>
      <c r="G36" s="39" t="n"/>
      <c r="H36" s="30">
        <f>IFERROR(INDEX(Patrimonio!$C$6:$C$505,MATCH("Patrimonio|27",Patrimonio!$H$6:$H$505,0)),"")</f>
        <v/>
      </c>
      <c r="I36" s="107">
        <f>IFERROR(INDEX(Patrimonio!$E$6:$E$505,MATCH("Patrimonio|27",Patrimonio!$H$6:$H$505,0)),"")</f>
        <v/>
      </c>
      <c r="J36" s="39" t="n"/>
      <c r="L36" s="39" t="n"/>
      <c r="M36" s="39" t="n"/>
      <c r="N36" s="39" t="n"/>
      <c r="O36" s="39" t="n"/>
      <c r="P36" s="39" t="n"/>
    </row>
    <row r="37" ht="21" customHeight="1" s="65">
      <c r="C37" s="39" t="n"/>
      <c r="D37" s="30">
        <f>IFERROR(INDEX(Activos!$D$5:$D$504,MATCH("Activo corriente|28",Activos!$I$5:$I$504,0)),"")</f>
        <v/>
      </c>
      <c r="E37" s="107">
        <f>IFERROR(INDEX(Activos!$F$5:$F$504,MATCH("Activo corriente|28",Activos!$I$5:$I$504,0)),"")</f>
        <v/>
      </c>
      <c r="F37" s="39" t="n"/>
      <c r="G37" s="39" t="n"/>
      <c r="H37" s="30">
        <f>IFERROR(INDEX(Patrimonio!$C$6:$C$505,MATCH("Patrimonio|28",Patrimonio!$H$6:$H$505,0)),"")</f>
        <v/>
      </c>
      <c r="I37" s="107">
        <f>IFERROR(INDEX(Patrimonio!$E$6:$E$505,MATCH("Patrimonio|28",Patrimonio!$H$6:$H$505,0)),"")</f>
        <v/>
      </c>
      <c r="J37" s="39" t="n"/>
      <c r="L37" s="39" t="n"/>
      <c r="M37" s="39" t="n"/>
      <c r="N37" s="39" t="n"/>
      <c r="O37" s="39" t="n"/>
      <c r="P37" s="39" t="n"/>
    </row>
    <row r="38" ht="21" customHeight="1" s="65">
      <c r="C38" s="39" t="n"/>
      <c r="D38" s="30">
        <f>IFERROR(INDEX(Activos!$D$5:$D$504,MATCH("Activo corriente|29",Activos!$I$5:$I$504,0)),"")</f>
        <v/>
      </c>
      <c r="E38" s="107">
        <f>IFERROR(INDEX(Activos!$F$5:$F$504,MATCH("Activo corriente|29",Activos!$I$5:$I$504,0)),"")</f>
        <v/>
      </c>
      <c r="F38" s="39" t="n"/>
      <c r="G38" s="39" t="n"/>
      <c r="H38" s="30">
        <f>IFERROR(INDEX(Patrimonio!$C$6:$C$505,MATCH("Patrimonio|29",Patrimonio!$H$6:$H$505,0)),"")</f>
        <v/>
      </c>
      <c r="I38" s="107">
        <f>IFERROR(INDEX(Patrimonio!$E$6:$E$505,MATCH("Patrimonio|29",Patrimonio!$H$6:$H$505,0)),"")</f>
        <v/>
      </c>
      <c r="J38" s="39" t="n"/>
      <c r="L38" s="39" t="n"/>
      <c r="M38" s="39" t="n"/>
      <c r="N38" s="39" t="n"/>
      <c r="O38" s="39" t="n"/>
      <c r="P38" s="39" t="n"/>
    </row>
    <row r="39" ht="21" customHeight="1" s="65">
      <c r="C39" s="39" t="n"/>
      <c r="D39" s="30">
        <f>IFERROR(INDEX(Activos!$D$5:$D$504,MATCH("Activo corriente|30",Activos!$I$5:$I$504,0)),"")</f>
        <v/>
      </c>
      <c r="E39" s="107">
        <f>IFERROR(INDEX(Activos!$F$5:$F$504,MATCH("Activo corriente|30",Activos!$I$5:$I$504,0)),"")</f>
        <v/>
      </c>
      <c r="F39" s="39" t="n"/>
      <c r="G39" s="39" t="n"/>
      <c r="H39" s="30">
        <f>IFERROR(INDEX(Patrimonio!$C$6:$C$505,MATCH("Patrimonio|30",Patrimonio!$H$6:$H$505,0)),"")</f>
        <v/>
      </c>
      <c r="I39" s="107">
        <f>IFERROR(INDEX(Patrimonio!$E$6:$E$505,MATCH("Patrimonio|30",Patrimonio!$H$6:$H$505,0)),"")</f>
        <v/>
      </c>
      <c r="J39" s="39" t="n"/>
      <c r="L39" s="39" t="n"/>
      <c r="M39" s="39" t="n"/>
      <c r="N39" s="39" t="n"/>
      <c r="O39" s="39" t="n"/>
      <c r="P39" s="39" t="n"/>
    </row>
    <row r="40" ht="21" customHeight="1" s="65">
      <c r="C40" s="39" t="n"/>
      <c r="D40" s="30">
        <f>IFERROR(INDEX(Activos!$D$5:$D$504,MATCH("Activo corriente|31",Activos!$I$5:$I$504,0)),"")</f>
        <v/>
      </c>
      <c r="E40" s="107">
        <f>IFERROR(INDEX(Activos!$F$5:$F$504,MATCH("Activo corriente|31",Activos!$I$5:$I$504,0)),"")</f>
        <v/>
      </c>
      <c r="F40" s="39" t="n"/>
      <c r="G40" s="39" t="n"/>
      <c r="H40" s="30" t="inlineStr">
        <is>
          <t>Resultado del ejercicio</t>
        </is>
      </c>
      <c r="I40" s="107">
        <f>'Resultado Ejercicio'!E8</f>
        <v/>
      </c>
      <c r="J40" s="39" t="n"/>
      <c r="L40" s="39" t="n"/>
      <c r="M40" s="39" t="n"/>
      <c r="N40" s="39" t="n"/>
      <c r="O40" s="39" t="n"/>
      <c r="P40" s="39" t="n"/>
    </row>
    <row r="41" ht="21" customHeight="1" s="65">
      <c r="C41" s="39" t="n"/>
      <c r="D41" s="30">
        <f>IFERROR(INDEX(Activos!$D$5:$D$504,MATCH("Activo corriente|32",Activos!$I$5:$I$504,0)),"")</f>
        <v/>
      </c>
      <c r="E41" s="107">
        <f>IFERROR(INDEX(Activos!$F$5:$F$504,MATCH("Activo corriente|32",Activos!$I$5:$I$504,0)),"")</f>
        <v/>
      </c>
      <c r="F41" s="39" t="n"/>
      <c r="G41" s="39" t="n"/>
      <c r="H41" s="10" t="inlineStr">
        <is>
          <t>TOTAL PATRIMONIO</t>
        </is>
      </c>
      <c r="I41" s="106">
        <f>SUM(Patrimonio!$E$6:$E$505)+I40</f>
        <v/>
      </c>
      <c r="J41" s="39" t="n"/>
      <c r="L41" s="39" t="n"/>
      <c r="M41" s="39" t="n"/>
      <c r="N41" s="39" t="n"/>
      <c r="O41" s="39" t="n"/>
      <c r="P41" s="39" t="n"/>
    </row>
    <row r="42" ht="21" customHeight="1" s="65">
      <c r="C42" s="39" t="n"/>
      <c r="D42" s="30">
        <f>IFERROR(INDEX(Activos!$D$5:$D$504,MATCH("Activo corriente|33",Activos!$I$5:$I$504,0)),"")</f>
        <v/>
      </c>
      <c r="E42" s="107">
        <f>IFERROR(INDEX(Activos!$F$5:$F$504,MATCH("Activo corriente|33",Activos!$I$5:$I$504,0)),"")</f>
        <v/>
      </c>
      <c r="F42" s="39" t="n"/>
      <c r="G42" s="39" t="n"/>
      <c r="I42" s="110" t="n"/>
      <c r="J42" s="39" t="n"/>
      <c r="L42" s="39" t="n"/>
      <c r="M42" s="39" t="n"/>
      <c r="N42" s="39" t="n"/>
      <c r="O42" s="39" t="n"/>
      <c r="P42" s="39" t="n"/>
    </row>
    <row r="43" ht="21" customHeight="1" s="65">
      <c r="C43" s="39" t="n"/>
      <c r="D43" s="30">
        <f>IFERROR(INDEX(Activos!$D$5:$D$504,MATCH("Activo corriente|34",Activos!$I$5:$I$504,0)),"")</f>
        <v/>
      </c>
      <c r="E43" s="107">
        <f>IFERROR(INDEX(Activos!$F$5:$F$504,MATCH("Activo corriente|34",Activos!$I$5:$I$504,0)),"")</f>
        <v/>
      </c>
      <c r="F43" s="39" t="n"/>
      <c r="G43" s="39" t="n"/>
      <c r="H43" s="32" t="inlineStr">
        <is>
          <t>B) PASIVO CORRIENTE</t>
        </is>
      </c>
      <c r="I43" s="111" t="inlineStr">
        <is>
          <t>Monto</t>
        </is>
      </c>
      <c r="J43" s="39" t="n"/>
      <c r="L43" s="39" t="n"/>
      <c r="M43" s="39" t="n"/>
      <c r="N43" s="39" t="n"/>
      <c r="O43" s="39" t="n"/>
      <c r="P43" s="39" t="n"/>
    </row>
    <row r="44" ht="21" customHeight="1" s="65">
      <c r="C44" s="39" t="n"/>
      <c r="D44" s="30">
        <f>IFERROR(INDEX(Activos!$D$5:$D$504,MATCH("Activo corriente|35",Activos!$I$5:$I$504,0)),"")</f>
        <v/>
      </c>
      <c r="E44" s="107">
        <f>IFERROR(INDEX(Activos!$F$5:$F$504,MATCH("Activo corriente|35",Activos!$I$5:$I$504,0)),"")</f>
        <v/>
      </c>
      <c r="F44" s="39" t="n"/>
      <c r="G44" s="39" t="n"/>
      <c r="H44" s="30">
        <f>IFERROR(INDEX(Pasivos!$D$5:$D$504,MATCH("Pasivo corriente|1",Pasivos!$I$5:$I$504,0)),"")</f>
        <v/>
      </c>
      <c r="I44" s="107">
        <f>IFERROR(INDEX(Pasivos!$F$5:$F$504,MATCH("Pasivo corriente|1",Pasivos!$I$5:$I$504,0)),"")</f>
        <v/>
      </c>
      <c r="J44" s="39" t="n"/>
      <c r="L44" s="39" t="n"/>
      <c r="M44" s="39" t="n"/>
      <c r="N44" s="39" t="n"/>
      <c r="O44" s="39" t="n"/>
      <c r="P44" s="39" t="n"/>
    </row>
    <row r="45" ht="21" customHeight="1" s="65">
      <c r="C45" s="39" t="n"/>
      <c r="D45" s="10" t="inlineStr">
        <is>
          <t>TOTAL ACTIVO CORRIENTE</t>
        </is>
      </c>
      <c r="E45" s="106">
        <f>SUMIF(Activos!$C$5:$C$504,"Activo corriente",Activos!$F$5:$F$504)</f>
        <v/>
      </c>
      <c r="F45" s="39" t="n"/>
      <c r="G45" s="39" t="n"/>
      <c r="H45" s="30">
        <f>IFERROR(INDEX(Pasivos!$D$5:$D$504,MATCH("Pasivo corriente|2",Pasivos!$I$5:$I$504,0)),"")</f>
        <v/>
      </c>
      <c r="I45" s="107">
        <f>IFERROR(INDEX(Pasivos!$F$5:$F$504,MATCH("Pasivo corriente|2",Pasivos!$I$5:$I$504,0)),"")</f>
        <v/>
      </c>
      <c r="J45" s="39" t="n"/>
      <c r="L45" s="39" t="n"/>
      <c r="M45" s="39" t="n"/>
      <c r="N45" s="39" t="n"/>
      <c r="O45" s="39" t="n"/>
      <c r="P45" s="39" t="n"/>
    </row>
    <row r="46" ht="21" customHeight="1" s="65">
      <c r="C46" s="39" t="n"/>
      <c r="E46" s="110" t="n"/>
      <c r="F46" s="39" t="n"/>
      <c r="G46" s="39" t="n"/>
      <c r="H46" s="30">
        <f>IFERROR(INDEX(Pasivos!$D$5:$D$504,MATCH("Pasivo corriente|3",Pasivos!$I$5:$I$504,0)),"")</f>
        <v/>
      </c>
      <c r="I46" s="107">
        <f>IFERROR(INDEX(Pasivos!$F$5:$F$504,MATCH("Pasivo corriente|3",Pasivos!$I$5:$I$504,0)),"")</f>
        <v/>
      </c>
      <c r="J46" s="39" t="n"/>
      <c r="L46" s="39" t="n"/>
      <c r="M46" s="39" t="n"/>
      <c r="N46" s="39" t="n"/>
      <c r="O46" s="39" t="n"/>
      <c r="P46" s="39" t="n"/>
    </row>
    <row r="47" ht="21" customHeight="1" s="65">
      <c r="C47" s="39" t="n"/>
      <c r="D47" s="12" t="inlineStr">
        <is>
          <t>B) ACTIVO NO CORRIENTE</t>
        </is>
      </c>
      <c r="E47" s="112" t="inlineStr">
        <is>
          <t>Monto</t>
        </is>
      </c>
      <c r="F47" s="39" t="n"/>
      <c r="G47" s="39" t="n"/>
      <c r="H47" s="30">
        <f>IFERROR(INDEX(Pasivos!$D$5:$D$504,MATCH("Pasivo corriente|4",Pasivos!$I$5:$I$504,0)),"")</f>
        <v/>
      </c>
      <c r="I47" s="107">
        <f>IFERROR(INDEX(Pasivos!$F$5:$F$504,MATCH("Pasivo corriente|4",Pasivos!$I$5:$I$504,0)),"")</f>
        <v/>
      </c>
      <c r="J47" s="39" t="n"/>
      <c r="L47" s="39" t="n"/>
      <c r="M47" s="39" t="n"/>
      <c r="N47" s="39" t="n"/>
      <c r="O47" s="39" t="n"/>
      <c r="P47" s="39" t="n"/>
    </row>
    <row r="48" ht="21" customHeight="1" s="65">
      <c r="C48" s="39" t="n"/>
      <c r="D48" s="30">
        <f>IFERROR(INDEX(Activos!$D$5:$D$504,MATCH("Activo no corriente|1",Activos!$I$5:$I$504,0)),"")</f>
        <v/>
      </c>
      <c r="E48" s="107">
        <f>IFERROR(INDEX(Activos!$F$5:$F$504,MATCH("Activo no corriente|1",Activos!$I$5:$I$504,0)),"")</f>
        <v/>
      </c>
      <c r="F48" s="39" t="n"/>
      <c r="G48" s="39" t="n"/>
      <c r="H48" s="30">
        <f>IFERROR(INDEX(Pasivos!$D$5:$D$504,MATCH("Pasivo corriente|5",Pasivos!$I$5:$I$504,0)),"")</f>
        <v/>
      </c>
      <c r="I48" s="107">
        <f>IFERROR(INDEX(Pasivos!$F$5:$F$504,MATCH("Pasivo corriente|5",Pasivos!$I$5:$I$504,0)),"")</f>
        <v/>
      </c>
      <c r="J48" s="39" t="n"/>
      <c r="L48" s="39" t="n"/>
      <c r="M48" s="39" t="n"/>
      <c r="N48" s="39" t="n"/>
      <c r="O48" s="39" t="n"/>
      <c r="P48" s="39" t="n"/>
    </row>
    <row r="49" ht="21" customHeight="1" s="65">
      <c r="C49" s="39" t="n"/>
      <c r="D49" s="30">
        <f>IFERROR(INDEX(Activos!$D$5:$D$504,MATCH("Activo no corriente|2",Activos!$I$5:$I$504,0)),"")</f>
        <v/>
      </c>
      <c r="E49" s="107">
        <f>IFERROR(INDEX(Activos!$F$5:$F$504,MATCH("Activo no corriente|2",Activos!$I$5:$I$504,0)),"")</f>
        <v/>
      </c>
      <c r="F49" s="39" t="n"/>
      <c r="G49" s="39" t="n"/>
      <c r="H49" s="30">
        <f>IFERROR(INDEX(Pasivos!$D$5:$D$504,MATCH("Pasivo corriente|6",Pasivos!$I$5:$I$504,0)),"")</f>
        <v/>
      </c>
      <c r="I49" s="107">
        <f>IFERROR(INDEX(Pasivos!$F$5:$F$504,MATCH("Pasivo corriente|6",Pasivos!$I$5:$I$504,0)),"")</f>
        <v/>
      </c>
      <c r="J49" s="39" t="n"/>
      <c r="L49" s="39" t="n"/>
      <c r="M49" s="39" t="n"/>
      <c r="N49" s="39" t="n"/>
      <c r="O49" s="39" t="n"/>
      <c r="P49" s="39" t="n"/>
    </row>
    <row r="50" ht="21" customHeight="1" s="65">
      <c r="C50" s="39" t="n"/>
      <c r="D50" s="30">
        <f>IFERROR(INDEX(Activos!$D$5:$D$504,MATCH("Activo no corriente|3",Activos!$I$5:$I$504,0)),"")</f>
        <v/>
      </c>
      <c r="E50" s="107">
        <f>IFERROR(INDEX(Activos!$F$5:$F$504,MATCH("Activo no corriente|3",Activos!$I$5:$I$504,0)),"")</f>
        <v/>
      </c>
      <c r="F50" s="39" t="n"/>
      <c r="G50" s="39" t="n"/>
      <c r="H50" s="30">
        <f>IFERROR(INDEX(Pasivos!$D$5:$D$504,MATCH("Pasivo corriente|7",Pasivos!$I$5:$I$504,0)),"")</f>
        <v/>
      </c>
      <c r="I50" s="107">
        <f>IFERROR(INDEX(Pasivos!$F$5:$F$504,MATCH("Pasivo corriente|7",Pasivos!$I$5:$I$504,0)),"")</f>
        <v/>
      </c>
      <c r="J50" s="39" t="n"/>
      <c r="L50" s="39" t="n"/>
      <c r="M50" s="39" t="n"/>
      <c r="N50" s="39" t="n"/>
      <c r="O50" s="39" t="n"/>
      <c r="P50" s="39" t="n"/>
    </row>
    <row r="51" ht="21" customHeight="1" s="65">
      <c r="C51" s="39" t="n"/>
      <c r="D51" s="30">
        <f>IFERROR(INDEX(Activos!$D$5:$D$504,MATCH("Activo no corriente|4",Activos!$I$5:$I$504,0)),"")</f>
        <v/>
      </c>
      <c r="E51" s="107">
        <f>IFERROR(INDEX(Activos!$F$5:$F$504,MATCH("Activo no corriente|4",Activos!$I$5:$I$504,0)),"")</f>
        <v/>
      </c>
      <c r="F51" s="39" t="n"/>
      <c r="G51" s="39" t="n"/>
      <c r="H51" s="30">
        <f>IFERROR(INDEX(Pasivos!$D$5:$D$504,MATCH("Pasivo corriente|8",Pasivos!$I$5:$I$504,0)),"")</f>
        <v/>
      </c>
      <c r="I51" s="107">
        <f>IFERROR(INDEX(Pasivos!$F$5:$F$504,MATCH("Pasivo corriente|8",Pasivos!$I$5:$I$504,0)),"")</f>
        <v/>
      </c>
      <c r="J51" s="39" t="n"/>
      <c r="L51" s="39" t="n"/>
      <c r="M51" s="39" t="n"/>
      <c r="N51" s="39" t="n"/>
      <c r="O51" s="39" t="n"/>
      <c r="P51" s="39" t="n"/>
    </row>
    <row r="52" ht="21" customHeight="1" s="65">
      <c r="C52" s="39" t="n"/>
      <c r="D52" s="30">
        <f>IFERROR(INDEX(Activos!$D$5:$D$504,MATCH("Activo no corriente|5",Activos!$I$5:$I$504,0)),"")</f>
        <v/>
      </c>
      <c r="E52" s="107">
        <f>IFERROR(INDEX(Activos!$F$5:$F$504,MATCH("Activo no corriente|5",Activos!$I$5:$I$504,0)),"")</f>
        <v/>
      </c>
      <c r="F52" s="39" t="n"/>
      <c r="G52" s="39" t="n"/>
      <c r="H52" s="30">
        <f>IFERROR(INDEX(Pasivos!$D$5:$D$504,MATCH("Pasivo corriente|9",Pasivos!$I$5:$I$504,0)),"")</f>
        <v/>
      </c>
      <c r="I52" s="107">
        <f>IFERROR(INDEX(Pasivos!$F$5:$F$504,MATCH("Pasivo corriente|9",Pasivos!$I$5:$I$504,0)),"")</f>
        <v/>
      </c>
      <c r="J52" s="39" t="n"/>
      <c r="L52" s="39" t="n"/>
      <c r="M52" s="39" t="n"/>
      <c r="N52" s="39" t="n"/>
      <c r="O52" s="39" t="n"/>
      <c r="P52" s="39" t="n"/>
    </row>
    <row r="53" ht="21" customHeight="1" s="65">
      <c r="C53" s="39" t="n"/>
      <c r="D53" s="30">
        <f>IFERROR(INDEX(Activos!$D$5:$D$504,MATCH("Activo no corriente|6",Activos!$I$5:$I$504,0)),"")</f>
        <v/>
      </c>
      <c r="E53" s="107">
        <f>IFERROR(INDEX(Activos!$F$5:$F$504,MATCH("Activo no corriente|6",Activos!$I$5:$I$504,0)),"")</f>
        <v/>
      </c>
      <c r="F53" s="39" t="n"/>
      <c r="G53" s="39" t="n"/>
      <c r="H53" s="30">
        <f>IFERROR(INDEX(Pasivos!$D$5:$D$504,MATCH("Pasivo corriente|10",Pasivos!$I$5:$I$504,0)),"")</f>
        <v/>
      </c>
      <c r="I53" s="107">
        <f>IFERROR(INDEX(Pasivos!$F$5:$F$504,MATCH("Pasivo corriente|10",Pasivos!$I$5:$I$504,0)),"")</f>
        <v/>
      </c>
      <c r="J53" s="39" t="n"/>
      <c r="L53" s="39" t="n"/>
      <c r="M53" s="39" t="n"/>
      <c r="N53" s="39" t="n"/>
      <c r="O53" s="39" t="n"/>
      <c r="P53" s="39" t="n"/>
    </row>
    <row r="54" ht="21" customHeight="1" s="65">
      <c r="C54" s="39" t="n"/>
      <c r="D54" s="30">
        <f>IFERROR(INDEX(Activos!$D$5:$D$504,MATCH("Activo no corriente|7",Activos!$I$5:$I$504,0)),"")</f>
        <v/>
      </c>
      <c r="E54" s="107">
        <f>IFERROR(INDEX(Activos!$F$5:$F$504,MATCH("Activo no corriente|7",Activos!$I$5:$I$504,0)),"")</f>
        <v/>
      </c>
      <c r="F54" s="39" t="n"/>
      <c r="G54" s="39" t="n"/>
      <c r="H54" s="30">
        <f>IFERROR(INDEX(Pasivos!$D$5:$D$504,MATCH("Pasivo corriente|11",Pasivos!$I$5:$I$504,0)),"")</f>
        <v/>
      </c>
      <c r="I54" s="107">
        <f>IFERROR(INDEX(Pasivos!$F$5:$F$504,MATCH("Pasivo corriente|11",Pasivos!$I$5:$I$504,0)),"")</f>
        <v/>
      </c>
      <c r="J54" s="39" t="n"/>
      <c r="L54" s="39" t="n"/>
      <c r="M54" s="39" t="n"/>
      <c r="N54" s="39" t="n"/>
      <c r="O54" s="39" t="n"/>
      <c r="P54" s="39" t="n"/>
    </row>
    <row r="55" ht="21" customHeight="1" s="65">
      <c r="C55" s="39" t="n"/>
      <c r="D55" s="30">
        <f>IFERROR(INDEX(Activos!$D$5:$D$504,MATCH("Activo no corriente|8",Activos!$I$5:$I$504,0)),"")</f>
        <v/>
      </c>
      <c r="E55" s="107">
        <f>IFERROR(INDEX(Activos!$F$5:$F$504,MATCH("Activo no corriente|8",Activos!$I$5:$I$504,0)),"")</f>
        <v/>
      </c>
      <c r="F55" s="39" t="n"/>
      <c r="G55" s="39" t="n"/>
      <c r="H55" s="30">
        <f>IFERROR(INDEX(Pasivos!$D$5:$D$504,MATCH("Pasivo corriente|12",Pasivos!$I$5:$I$504,0)),"")</f>
        <v/>
      </c>
      <c r="I55" s="107">
        <f>IFERROR(INDEX(Pasivos!$F$5:$F$504,MATCH("Pasivo corriente|12",Pasivos!$I$5:$I$504,0)),"")</f>
        <v/>
      </c>
      <c r="J55" s="39" t="n"/>
      <c r="L55" s="39" t="n"/>
      <c r="M55" s="39" t="n"/>
      <c r="N55" s="39" t="n"/>
      <c r="O55" s="39" t="n"/>
      <c r="P55" s="39" t="n"/>
    </row>
    <row r="56" ht="21" customHeight="1" s="65">
      <c r="C56" s="39" t="n"/>
      <c r="D56" s="30">
        <f>IFERROR(INDEX(Activos!$D$5:$D$504,MATCH("Activo no corriente|9",Activos!$I$5:$I$504,0)),"")</f>
        <v/>
      </c>
      <c r="E56" s="107">
        <f>IFERROR(INDEX(Activos!$F$5:$F$504,MATCH("Activo no corriente|9",Activos!$I$5:$I$504,0)),"")</f>
        <v/>
      </c>
      <c r="F56" s="39" t="n"/>
      <c r="G56" s="39" t="n"/>
      <c r="H56" s="30">
        <f>IFERROR(INDEX(Pasivos!$D$5:$D$504,MATCH("Pasivo corriente|13",Pasivos!$I$5:$I$504,0)),"")</f>
        <v/>
      </c>
      <c r="I56" s="107">
        <f>IFERROR(INDEX(Pasivos!$F$5:$F$504,MATCH("Pasivo corriente|13",Pasivos!$I$5:$I$504,0)),"")</f>
        <v/>
      </c>
      <c r="J56" s="39" t="n"/>
      <c r="L56" s="39" t="n"/>
      <c r="M56" s="39" t="n"/>
      <c r="N56" s="39" t="n"/>
      <c r="O56" s="39" t="n"/>
      <c r="P56" s="39" t="n"/>
    </row>
    <row r="57" ht="21" customHeight="1" s="65">
      <c r="C57" s="39" t="n"/>
      <c r="D57" s="30">
        <f>IFERROR(INDEX(Activos!$D$5:$D$504,MATCH("Activo no corriente|10",Activos!$I$5:$I$504,0)),"")</f>
        <v/>
      </c>
      <c r="E57" s="107">
        <f>IFERROR(INDEX(Activos!$F$5:$F$504,MATCH("Activo no corriente|10",Activos!$I$5:$I$504,0)),"")</f>
        <v/>
      </c>
      <c r="F57" s="39" t="n"/>
      <c r="G57" s="39" t="n"/>
      <c r="H57" s="30">
        <f>IFERROR(INDEX(Pasivos!$D$5:$D$504,MATCH("Pasivo corriente|14",Pasivos!$I$5:$I$504,0)),"")</f>
        <v/>
      </c>
      <c r="I57" s="107">
        <f>IFERROR(INDEX(Pasivos!$F$5:$F$504,MATCH("Pasivo corriente|14",Pasivos!$I$5:$I$504,0)),"")</f>
        <v/>
      </c>
      <c r="J57" s="39" t="n"/>
      <c r="L57" s="39" t="n"/>
      <c r="M57" s="39" t="n"/>
      <c r="N57" s="39" t="n"/>
      <c r="O57" s="39" t="n"/>
      <c r="P57" s="39" t="n"/>
    </row>
    <row r="58" ht="21" customHeight="1" s="65">
      <c r="C58" s="39" t="n"/>
      <c r="D58" s="30">
        <f>IFERROR(INDEX(Activos!$D$5:$D$504,MATCH("Activo no corriente|11",Activos!$I$5:$I$504,0)),"")</f>
        <v/>
      </c>
      <c r="E58" s="107">
        <f>IFERROR(INDEX(Activos!$F$5:$F$504,MATCH("Activo no corriente|11",Activos!$I$5:$I$504,0)),"")</f>
        <v/>
      </c>
      <c r="F58" s="39" t="n"/>
      <c r="G58" s="39" t="n"/>
      <c r="H58" s="30">
        <f>IFERROR(INDEX(Pasivos!$D$5:$D$504,MATCH("Pasivo corriente|15",Pasivos!$I$5:$I$504,0)),"")</f>
        <v/>
      </c>
      <c r="I58" s="107">
        <f>IFERROR(INDEX(Pasivos!$F$5:$F$504,MATCH("Pasivo corriente|15",Pasivos!$I$5:$I$504,0)),"")</f>
        <v/>
      </c>
      <c r="J58" s="39" t="n"/>
      <c r="L58" s="39" t="n"/>
      <c r="M58" s="39" t="n"/>
      <c r="N58" s="39" t="n"/>
      <c r="O58" s="39" t="n"/>
      <c r="P58" s="39" t="n"/>
    </row>
    <row r="59" ht="21" customHeight="1" s="65">
      <c r="C59" s="39" t="n"/>
      <c r="D59" s="30">
        <f>IFERROR(INDEX(Activos!$D$5:$D$504,MATCH("Activo no corriente|12",Activos!$I$5:$I$504,0)),"")</f>
        <v/>
      </c>
      <c r="E59" s="107">
        <f>IFERROR(INDEX(Activos!$F$5:$F$504,MATCH("Activo no corriente|12",Activos!$I$5:$I$504,0)),"")</f>
        <v/>
      </c>
      <c r="F59" s="39" t="n"/>
      <c r="G59" s="39" t="n"/>
      <c r="H59" s="30">
        <f>IFERROR(INDEX(Pasivos!$D$5:$D$504,MATCH("Pasivo corriente|16",Pasivos!$I$5:$I$504,0)),"")</f>
        <v/>
      </c>
      <c r="I59" s="107">
        <f>IFERROR(INDEX(Pasivos!$F$5:$F$504,MATCH("Pasivo corriente|16",Pasivos!$I$5:$I$504,0)),"")</f>
        <v/>
      </c>
      <c r="J59" s="39" t="n"/>
      <c r="L59" s="39" t="n"/>
      <c r="M59" s="39" t="n"/>
      <c r="N59" s="39" t="n"/>
      <c r="O59" s="39" t="n"/>
      <c r="P59" s="39" t="n"/>
    </row>
    <row r="60" ht="21" customHeight="1" s="65">
      <c r="C60" s="39" t="n"/>
      <c r="D60" s="30">
        <f>IFERROR(INDEX(Activos!$D$5:$D$504,MATCH("Activo no corriente|13",Activos!$I$5:$I$504,0)),"")</f>
        <v/>
      </c>
      <c r="E60" s="107">
        <f>IFERROR(INDEX(Activos!$F$5:$F$504,MATCH("Activo no corriente|13",Activos!$I$5:$I$504,0)),"")</f>
        <v/>
      </c>
      <c r="F60" s="39" t="n"/>
      <c r="G60" s="39" t="n"/>
      <c r="H60" s="30">
        <f>IFERROR(INDEX(Pasivos!$D$5:$D$504,MATCH("Pasivo corriente|17",Pasivos!$I$5:$I$504,0)),"")</f>
        <v/>
      </c>
      <c r="I60" s="107">
        <f>IFERROR(INDEX(Pasivos!$F$5:$F$504,MATCH("Pasivo corriente|17",Pasivos!$I$5:$I$504,0)),"")</f>
        <v/>
      </c>
      <c r="J60" s="39" t="n"/>
      <c r="L60" s="39" t="n"/>
      <c r="M60" s="39" t="n"/>
      <c r="N60" s="39" t="n"/>
      <c r="O60" s="39" t="n"/>
      <c r="P60" s="39" t="n"/>
    </row>
    <row r="61" ht="21" customHeight="1" s="65">
      <c r="C61" s="39" t="n"/>
      <c r="D61" s="30">
        <f>IFERROR(INDEX(Activos!$D$5:$D$504,MATCH("Activo no corriente|14",Activos!$I$5:$I$504,0)),"")</f>
        <v/>
      </c>
      <c r="E61" s="107">
        <f>IFERROR(INDEX(Activos!$F$5:$F$504,MATCH("Activo no corriente|14",Activos!$I$5:$I$504,0)),"")</f>
        <v/>
      </c>
      <c r="F61" s="39" t="n"/>
      <c r="G61" s="39" t="n"/>
      <c r="H61" s="30">
        <f>IFERROR(INDEX(Pasivos!$D$5:$D$504,MATCH("Pasivo corriente|18",Pasivos!$I$5:$I$504,0)),"")</f>
        <v/>
      </c>
      <c r="I61" s="107">
        <f>IFERROR(INDEX(Pasivos!$F$5:$F$504,MATCH("Pasivo corriente|18",Pasivos!$I$5:$I$504,0)),"")</f>
        <v/>
      </c>
      <c r="J61" s="39" t="n"/>
      <c r="L61" s="39" t="n"/>
      <c r="M61" s="39" t="n"/>
      <c r="N61" s="39" t="n"/>
      <c r="O61" s="39" t="n"/>
      <c r="P61" s="39" t="n"/>
    </row>
    <row r="62" ht="21" customHeight="1" s="65">
      <c r="C62" s="39" t="n"/>
      <c r="D62" s="30">
        <f>IFERROR(INDEX(Activos!$D$5:$D$504,MATCH("Activo no corriente|15",Activos!$I$5:$I$504,0)),"")</f>
        <v/>
      </c>
      <c r="E62" s="107">
        <f>IFERROR(INDEX(Activos!$F$5:$F$504,MATCH("Activo no corriente|15",Activos!$I$5:$I$504,0)),"")</f>
        <v/>
      </c>
      <c r="F62" s="39" t="n"/>
      <c r="G62" s="39" t="n"/>
      <c r="H62" s="30">
        <f>IFERROR(INDEX(Pasivos!$D$5:$D$504,MATCH("Pasivo corriente|19",Pasivos!$I$5:$I$504,0)),"")</f>
        <v/>
      </c>
      <c r="I62" s="107">
        <f>IFERROR(INDEX(Pasivos!$F$5:$F$504,MATCH("Pasivo corriente|19",Pasivos!$I$5:$I$504,0)),"")</f>
        <v/>
      </c>
      <c r="J62" s="39" t="n"/>
      <c r="L62" s="39" t="n"/>
      <c r="M62" s="39" t="n"/>
      <c r="N62" s="39" t="n"/>
      <c r="O62" s="39" t="n"/>
      <c r="P62" s="39" t="n"/>
    </row>
    <row r="63" ht="21" customHeight="1" s="65">
      <c r="C63" s="39" t="n"/>
      <c r="D63" s="30">
        <f>IFERROR(INDEX(Activos!$D$5:$D$504,MATCH("Activo no corriente|16",Activos!$I$5:$I$504,0)),"")</f>
        <v/>
      </c>
      <c r="E63" s="107">
        <f>IFERROR(INDEX(Activos!$F$5:$F$504,MATCH("Activo no corriente|16",Activos!$I$5:$I$504,0)),"")</f>
        <v/>
      </c>
      <c r="F63" s="39" t="n"/>
      <c r="G63" s="39" t="n"/>
      <c r="H63" s="30">
        <f>IFERROR(INDEX(Pasivos!$D$5:$D$504,MATCH("Pasivo corriente|20",Pasivos!$I$5:$I$504,0)),"")</f>
        <v/>
      </c>
      <c r="I63" s="107">
        <f>IFERROR(INDEX(Pasivos!$F$5:$F$504,MATCH("Pasivo corriente|20",Pasivos!$I$5:$I$504,0)),"")</f>
        <v/>
      </c>
      <c r="J63" s="39" t="n"/>
      <c r="L63" s="39" t="n"/>
      <c r="M63" s="39" t="n"/>
      <c r="N63" s="39" t="n"/>
      <c r="O63" s="39" t="n"/>
      <c r="P63" s="39" t="n"/>
    </row>
    <row r="64" ht="21" customHeight="1" s="65">
      <c r="C64" s="39" t="n"/>
      <c r="D64" s="30">
        <f>IFERROR(INDEX(Activos!$D$5:$D$504,MATCH("Activo no corriente|17",Activos!$I$5:$I$504,0)),"")</f>
        <v/>
      </c>
      <c r="E64" s="107">
        <f>IFERROR(INDEX(Activos!$F$5:$F$504,MATCH("Activo no corriente|17",Activos!$I$5:$I$504,0)),"")</f>
        <v/>
      </c>
      <c r="F64" s="39" t="n"/>
      <c r="G64" s="39" t="n"/>
      <c r="H64" s="30">
        <f>IFERROR(INDEX(Pasivos!$D$5:$D$504,MATCH("Pasivo corriente|21",Pasivos!$I$5:$I$504,0)),"")</f>
        <v/>
      </c>
      <c r="I64" s="107">
        <f>IFERROR(INDEX(Pasivos!$F$5:$F$504,MATCH("Pasivo corriente|21",Pasivos!$I$5:$I$504,0)),"")</f>
        <v/>
      </c>
      <c r="J64" s="39" t="n"/>
      <c r="L64" s="39" t="n"/>
      <c r="M64" s="39" t="n"/>
      <c r="N64" s="39" t="n"/>
      <c r="O64" s="39" t="n"/>
      <c r="P64" s="39" t="n"/>
    </row>
    <row r="65" ht="21" customHeight="1" s="65">
      <c r="C65" s="39" t="n"/>
      <c r="D65" s="30">
        <f>IFERROR(INDEX(Activos!$D$5:$D$504,MATCH("Activo no corriente|18",Activos!$I$5:$I$504,0)),"")</f>
        <v/>
      </c>
      <c r="E65" s="107">
        <f>IFERROR(INDEX(Activos!$F$5:$F$504,MATCH("Activo no corriente|18",Activos!$I$5:$I$504,0)),"")</f>
        <v/>
      </c>
      <c r="F65" s="39" t="n"/>
      <c r="G65" s="39" t="n"/>
      <c r="H65" s="30">
        <f>IFERROR(INDEX(Pasivos!$D$5:$D$504,MATCH("Pasivo corriente|22",Pasivos!$I$5:$I$504,0)),"")</f>
        <v/>
      </c>
      <c r="I65" s="107">
        <f>IFERROR(INDEX(Pasivos!$F$5:$F$504,MATCH("Pasivo corriente|22",Pasivos!$I$5:$I$504,0)),"")</f>
        <v/>
      </c>
      <c r="J65" s="39" t="n"/>
      <c r="L65" s="39" t="n"/>
      <c r="M65" s="39" t="n"/>
      <c r="N65" s="39" t="n"/>
      <c r="O65" s="39" t="n"/>
      <c r="P65" s="39" t="n"/>
    </row>
    <row r="66" ht="21" customHeight="1" s="65">
      <c r="C66" s="39" t="n"/>
      <c r="D66" s="30">
        <f>IFERROR(INDEX(Activos!$D$5:$D$504,MATCH("Activo no corriente|19",Activos!$I$5:$I$504,0)),"")</f>
        <v/>
      </c>
      <c r="E66" s="107">
        <f>IFERROR(INDEX(Activos!$F$5:$F$504,MATCH("Activo no corriente|19",Activos!$I$5:$I$504,0)),"")</f>
        <v/>
      </c>
      <c r="F66" s="39" t="n"/>
      <c r="G66" s="39" t="n"/>
      <c r="H66" s="30">
        <f>IFERROR(INDEX(Pasivos!$D$5:$D$504,MATCH("Pasivo corriente|23",Pasivos!$I$5:$I$504,0)),"")</f>
        <v/>
      </c>
      <c r="I66" s="107">
        <f>IFERROR(INDEX(Pasivos!$F$5:$F$504,MATCH("Pasivo corriente|23",Pasivos!$I$5:$I$504,0)),"")</f>
        <v/>
      </c>
      <c r="J66" s="39" t="n"/>
      <c r="L66" s="39" t="n"/>
      <c r="M66" s="39" t="n"/>
      <c r="N66" s="39" t="n"/>
      <c r="O66" s="39" t="n"/>
      <c r="P66" s="39" t="n"/>
    </row>
    <row r="67" ht="21" customHeight="1" s="65">
      <c r="C67" s="39" t="n"/>
      <c r="D67" s="30">
        <f>IFERROR(INDEX(Activos!$D$5:$D$504,MATCH("Activo no corriente|20",Activos!$I$5:$I$504,0)),"")</f>
        <v/>
      </c>
      <c r="E67" s="107">
        <f>IFERROR(INDEX(Activos!$F$5:$F$504,MATCH("Activo no corriente|20",Activos!$I$5:$I$504,0)),"")</f>
        <v/>
      </c>
      <c r="F67" s="39" t="n"/>
      <c r="G67" s="39" t="n"/>
      <c r="H67" s="30">
        <f>IFERROR(INDEX(Pasivos!$D$5:$D$504,MATCH("Pasivo corriente|24",Pasivos!$I$5:$I$504,0)),"")</f>
        <v/>
      </c>
      <c r="I67" s="107">
        <f>IFERROR(INDEX(Pasivos!$F$5:$F$504,MATCH("Pasivo corriente|24",Pasivos!$I$5:$I$504,0)),"")</f>
        <v/>
      </c>
      <c r="J67" s="39" t="n"/>
      <c r="L67" s="39" t="n"/>
      <c r="M67" s="39" t="n"/>
      <c r="N67" s="39" t="n"/>
      <c r="O67" s="39" t="n"/>
      <c r="P67" s="39" t="n"/>
    </row>
    <row r="68" ht="21" customHeight="1" s="65">
      <c r="C68" s="39" t="n"/>
      <c r="D68" s="30">
        <f>IFERROR(INDEX(Activos!$D$5:$D$504,MATCH("Activo no corriente|21",Activos!$I$5:$I$504,0)),"")</f>
        <v/>
      </c>
      <c r="E68" s="107">
        <f>IFERROR(INDEX(Activos!$F$5:$F$504,MATCH("Activo no corriente|21",Activos!$I$5:$I$504,0)),"")</f>
        <v/>
      </c>
      <c r="F68" s="39" t="n"/>
      <c r="G68" s="39" t="n"/>
      <c r="H68" s="30">
        <f>IFERROR(INDEX(Pasivos!$D$5:$D$504,MATCH("Pasivo corriente|25",Pasivos!$I$5:$I$504,0)),"")</f>
        <v/>
      </c>
      <c r="I68" s="107">
        <f>IFERROR(INDEX(Pasivos!$F$5:$F$504,MATCH("Pasivo corriente|25",Pasivos!$I$5:$I$504,0)),"")</f>
        <v/>
      </c>
      <c r="J68" s="39" t="n"/>
      <c r="L68" s="39" t="n"/>
      <c r="M68" s="39" t="n"/>
      <c r="N68" s="39" t="n"/>
      <c r="O68" s="39" t="n"/>
      <c r="P68" s="39" t="n"/>
    </row>
    <row r="69" ht="21" customHeight="1" s="65">
      <c r="C69" s="39" t="n"/>
      <c r="D69" s="30">
        <f>IFERROR(INDEX(Activos!$D$5:$D$504,MATCH("Activo no corriente|22",Activos!$I$5:$I$504,0)),"")</f>
        <v/>
      </c>
      <c r="E69" s="107">
        <f>IFERROR(INDEX(Activos!$F$5:$F$504,MATCH("Activo no corriente|22",Activos!$I$5:$I$504,0)),"")</f>
        <v/>
      </c>
      <c r="F69" s="39" t="n"/>
      <c r="G69" s="39" t="n"/>
      <c r="H69" s="30">
        <f>IFERROR(INDEX(Pasivos!$D$5:$D$504,MATCH("Pasivo corriente|26",Pasivos!$I$5:$I$504,0)),"")</f>
        <v/>
      </c>
      <c r="I69" s="107">
        <f>IFERROR(INDEX(Pasivos!$F$5:$F$504,MATCH("Pasivo corriente|26",Pasivos!$I$5:$I$504,0)),"")</f>
        <v/>
      </c>
      <c r="J69" s="39" t="n"/>
      <c r="L69" s="39" t="n"/>
      <c r="M69" s="39" t="n"/>
      <c r="N69" s="39" t="n"/>
      <c r="O69" s="39" t="n"/>
      <c r="P69" s="39" t="n"/>
    </row>
    <row r="70" ht="21" customHeight="1" s="65">
      <c r="C70" s="39" t="n"/>
      <c r="D70" s="30">
        <f>IFERROR(INDEX(Activos!$D$5:$D$504,MATCH("Activo no corriente|23",Activos!$I$5:$I$504,0)),"")</f>
        <v/>
      </c>
      <c r="E70" s="107">
        <f>IFERROR(INDEX(Activos!$F$5:$F$504,MATCH("Activo no corriente|23",Activos!$I$5:$I$504,0)),"")</f>
        <v/>
      </c>
      <c r="F70" s="39" t="n"/>
      <c r="G70" s="39" t="n"/>
      <c r="H70" s="30">
        <f>IFERROR(INDEX(Pasivos!$D$5:$D$504,MATCH("Pasivo corriente|27",Pasivos!$I$5:$I$504,0)),"")</f>
        <v/>
      </c>
      <c r="I70" s="107">
        <f>IFERROR(INDEX(Pasivos!$F$5:$F$504,MATCH("Pasivo corriente|27",Pasivos!$I$5:$I$504,0)),"")</f>
        <v/>
      </c>
      <c r="J70" s="39" t="n"/>
      <c r="L70" s="39" t="n"/>
      <c r="M70" s="39" t="n"/>
      <c r="N70" s="39" t="n"/>
      <c r="O70" s="39" t="n"/>
      <c r="P70" s="39" t="n"/>
    </row>
    <row r="71" ht="21" customHeight="1" s="65">
      <c r="C71" s="39" t="n"/>
      <c r="D71" s="30">
        <f>IFERROR(INDEX(Activos!$D$5:$D$504,MATCH("Activo no corriente|24",Activos!$I$5:$I$504,0)),"")</f>
        <v/>
      </c>
      <c r="E71" s="107">
        <f>IFERROR(INDEX(Activos!$F$5:$F$504,MATCH("Activo no corriente|24",Activos!$I$5:$I$504,0)),"")</f>
        <v/>
      </c>
      <c r="F71" s="39" t="n"/>
      <c r="G71" s="39" t="n"/>
      <c r="H71" s="30">
        <f>IFERROR(INDEX(Pasivos!$D$5:$D$504,MATCH("Pasivo corriente|28",Pasivos!$I$5:$I$504,0)),"")</f>
        <v/>
      </c>
      <c r="I71" s="107">
        <f>IFERROR(INDEX(Pasivos!$F$5:$F$504,MATCH("Pasivo corriente|28",Pasivos!$I$5:$I$504,0)),"")</f>
        <v/>
      </c>
      <c r="J71" s="39" t="n"/>
      <c r="L71" s="39" t="n"/>
      <c r="M71" s="39" t="n"/>
      <c r="N71" s="39" t="n"/>
      <c r="O71" s="39" t="n"/>
      <c r="P71" s="39" t="n"/>
    </row>
    <row r="72" ht="21" customHeight="1" s="65">
      <c r="C72" s="39" t="n"/>
      <c r="D72" s="30">
        <f>IFERROR(INDEX(Activos!$D$5:$D$504,MATCH("Activo no corriente|25",Activos!$I$5:$I$504,0)),"")</f>
        <v/>
      </c>
      <c r="E72" s="107">
        <f>IFERROR(INDEX(Activos!$F$5:$F$504,MATCH("Activo no corriente|25",Activos!$I$5:$I$504,0)),"")</f>
        <v/>
      </c>
      <c r="F72" s="39" t="n"/>
      <c r="G72" s="39" t="n"/>
      <c r="H72" s="30">
        <f>IFERROR(INDEX(Pasivos!$D$5:$D$504,MATCH("Pasivo corriente|29",Pasivos!$I$5:$I$504,0)),"")</f>
        <v/>
      </c>
      <c r="I72" s="107">
        <f>IFERROR(INDEX(Pasivos!$F$5:$F$504,MATCH("Pasivo corriente|29",Pasivos!$I$5:$I$504,0)),"")</f>
        <v/>
      </c>
      <c r="J72" s="39" t="n"/>
      <c r="L72" s="39" t="n"/>
      <c r="M72" s="39" t="n"/>
      <c r="N72" s="39" t="n"/>
      <c r="O72" s="39" t="n"/>
      <c r="P72" s="39" t="n"/>
    </row>
    <row r="73" ht="21" customHeight="1" s="65">
      <c r="C73" s="39" t="n"/>
      <c r="D73" s="30">
        <f>IFERROR(INDEX(Activos!$D$5:$D$504,MATCH("Activo no corriente|26",Activos!$I$5:$I$504,0)),"")</f>
        <v/>
      </c>
      <c r="E73" s="107">
        <f>IFERROR(INDEX(Activos!$F$5:$F$504,MATCH("Activo no corriente|26",Activos!$I$5:$I$504,0)),"")</f>
        <v/>
      </c>
      <c r="F73" s="39" t="n"/>
      <c r="G73" s="39" t="n"/>
      <c r="H73" s="30">
        <f>IFERROR(INDEX(Pasivos!$D$5:$D$504,MATCH("Pasivo corriente|30",Pasivos!$I$5:$I$504,0)),"")</f>
        <v/>
      </c>
      <c r="I73" s="107">
        <f>IFERROR(INDEX(Pasivos!$F$5:$F$504,MATCH("Pasivo corriente|30",Pasivos!$I$5:$I$504,0)),"")</f>
        <v/>
      </c>
      <c r="J73" s="39" t="n"/>
      <c r="L73" s="39" t="n"/>
      <c r="M73" s="39" t="n"/>
      <c r="N73" s="39" t="n"/>
      <c r="O73" s="39" t="n"/>
      <c r="P73" s="39" t="n"/>
    </row>
    <row r="74" ht="21" customHeight="1" s="65">
      <c r="C74" s="39" t="n"/>
      <c r="D74" s="30">
        <f>IFERROR(INDEX(Activos!$D$5:$D$504,MATCH("Activo no corriente|27",Activos!$I$5:$I$504,0)),"")</f>
        <v/>
      </c>
      <c r="E74" s="107">
        <f>IFERROR(INDEX(Activos!$F$5:$F$504,MATCH("Activo no corriente|27",Activos!$I$5:$I$504,0)),"")</f>
        <v/>
      </c>
      <c r="F74" s="39" t="n"/>
      <c r="G74" s="39" t="n"/>
      <c r="H74" s="30">
        <f>IFERROR(INDEX(Pasivos!$D$5:$D$504,MATCH("Pasivo corriente|31",Pasivos!$I$5:$I$504,0)),"")</f>
        <v/>
      </c>
      <c r="I74" s="107">
        <f>IFERROR(INDEX(Pasivos!$F$5:$F$504,MATCH("Pasivo corriente|31",Pasivos!$I$5:$I$504,0)),"")</f>
        <v/>
      </c>
      <c r="J74" s="39" t="n"/>
      <c r="L74" s="39" t="n"/>
      <c r="M74" s="39" t="n"/>
      <c r="N74" s="39" t="n"/>
      <c r="O74" s="39" t="n"/>
      <c r="P74" s="39" t="n"/>
    </row>
    <row r="75" ht="21" customHeight="1" s="65">
      <c r="C75" s="39" t="n"/>
      <c r="D75" s="30">
        <f>IFERROR(INDEX(Activos!$D$5:$D$504,MATCH("Activo no corriente|28",Activos!$I$5:$I$504,0)),"")</f>
        <v/>
      </c>
      <c r="E75" s="107">
        <f>IFERROR(INDEX(Activos!$F$5:$F$504,MATCH("Activo no corriente|28",Activos!$I$5:$I$504,0)),"")</f>
        <v/>
      </c>
      <c r="F75" s="39" t="n"/>
      <c r="G75" s="39" t="n"/>
      <c r="H75" s="30">
        <f>IFERROR(INDEX(Pasivos!$D$5:$D$504,MATCH("Pasivo corriente|32",Pasivos!$I$5:$I$504,0)),"")</f>
        <v/>
      </c>
      <c r="I75" s="107">
        <f>IFERROR(INDEX(Pasivos!$F$5:$F$504,MATCH("Pasivo corriente|32",Pasivos!$I$5:$I$504,0)),"")</f>
        <v/>
      </c>
      <c r="J75" s="39" t="n"/>
      <c r="L75" s="39" t="n"/>
      <c r="M75" s="39" t="n"/>
      <c r="N75" s="39" t="n"/>
      <c r="O75" s="39" t="n"/>
      <c r="P75" s="39" t="n"/>
    </row>
    <row r="76" ht="21" customHeight="1" s="65">
      <c r="C76" s="39" t="n"/>
      <c r="D76" s="30">
        <f>IFERROR(INDEX(Activos!$D$5:$D$504,MATCH("Activo no corriente|29",Activos!$I$5:$I$504,0)),"")</f>
        <v/>
      </c>
      <c r="E76" s="107">
        <f>IFERROR(INDEX(Activos!$F$5:$F$504,MATCH("Activo no corriente|29",Activos!$I$5:$I$504,0)),"")</f>
        <v/>
      </c>
      <c r="F76" s="39" t="n"/>
      <c r="G76" s="39" t="n"/>
      <c r="H76" s="30">
        <f>IFERROR(INDEX(Pasivos!$D$5:$D$504,MATCH("Pasivo corriente|33",Pasivos!$I$5:$I$504,0)),"")</f>
        <v/>
      </c>
      <c r="I76" s="107">
        <f>IFERROR(INDEX(Pasivos!$F$5:$F$504,MATCH("Pasivo corriente|33",Pasivos!$I$5:$I$504,0)),"")</f>
        <v/>
      </c>
      <c r="J76" s="39" t="n"/>
      <c r="L76" s="39" t="n"/>
      <c r="M76" s="39" t="n"/>
      <c r="N76" s="39" t="n"/>
      <c r="O76" s="39" t="n"/>
      <c r="P76" s="39" t="n"/>
    </row>
    <row r="77" ht="21" customHeight="1" s="65">
      <c r="C77" s="39" t="n"/>
      <c r="D77" s="30">
        <f>IFERROR(INDEX(Activos!$D$5:$D$504,MATCH("Activo no corriente|30",Activos!$I$5:$I$504,0)),"")</f>
        <v/>
      </c>
      <c r="E77" s="107">
        <f>IFERROR(INDEX(Activos!$F$5:$F$504,MATCH("Activo no corriente|30",Activos!$I$5:$I$504,0)),"")</f>
        <v/>
      </c>
      <c r="F77" s="39" t="n"/>
      <c r="G77" s="39" t="n"/>
      <c r="H77" s="30">
        <f>IFERROR(INDEX(Pasivos!$D$5:$D$504,MATCH("Pasivo corriente|34",Pasivos!$I$5:$I$504,0)),"")</f>
        <v/>
      </c>
      <c r="I77" s="107">
        <f>IFERROR(INDEX(Pasivos!$F$5:$F$504,MATCH("Pasivo corriente|34",Pasivos!$I$5:$I$504,0)),"")</f>
        <v/>
      </c>
      <c r="J77" s="39" t="n"/>
      <c r="L77" s="39" t="n"/>
      <c r="M77" s="39" t="n"/>
      <c r="N77" s="39" t="n"/>
      <c r="O77" s="39" t="n"/>
      <c r="P77" s="39" t="n"/>
    </row>
    <row r="78" ht="21" customHeight="1" s="65">
      <c r="C78" s="39" t="n"/>
      <c r="D78" s="30">
        <f>IFERROR(INDEX(Activos!$D$5:$D$504,MATCH("Activo no corriente|31",Activos!$I$5:$I$504,0)),"")</f>
        <v/>
      </c>
      <c r="E78" s="107">
        <f>IFERROR(INDEX(Activos!$F$5:$F$504,MATCH("Activo no corriente|31",Activos!$I$5:$I$504,0)),"")</f>
        <v/>
      </c>
      <c r="F78" s="39" t="n"/>
      <c r="G78" s="39" t="n"/>
      <c r="H78" s="30">
        <f>IFERROR(INDEX(Pasivos!$D$5:$D$504,MATCH("Pasivo corriente|35",Pasivos!$I$5:$I$504,0)),"")</f>
        <v/>
      </c>
      <c r="I78" s="107">
        <f>IFERROR(INDEX(Pasivos!$F$5:$F$504,MATCH("Pasivo corriente|35",Pasivos!$I$5:$I$504,0)),"")</f>
        <v/>
      </c>
      <c r="J78" s="39" t="n"/>
      <c r="L78" s="39" t="n"/>
      <c r="M78" s="39" t="n"/>
      <c r="N78" s="39" t="n"/>
      <c r="O78" s="39" t="n"/>
      <c r="P78" s="39" t="n"/>
    </row>
    <row r="79" ht="21" customHeight="1" s="65">
      <c r="C79" s="39" t="n"/>
      <c r="D79" s="30">
        <f>IFERROR(INDEX(Activos!$D$5:$D$504,MATCH("Activo no corriente|32",Activos!$I$5:$I$504,0)),"")</f>
        <v/>
      </c>
      <c r="E79" s="107">
        <f>IFERROR(INDEX(Activos!$F$5:$F$504,MATCH("Activo no corriente|32",Activos!$I$5:$I$504,0)),"")</f>
        <v/>
      </c>
      <c r="F79" s="39" t="n"/>
      <c r="G79" s="39" t="n"/>
      <c r="H79" s="34" t="inlineStr">
        <is>
          <t>TOTAL PASIVO CORRIENTE</t>
        </is>
      </c>
      <c r="I79" s="113">
        <f>SUMIF(Pasivos!$C$5:$C$504,"Pasivo corriente",Pasivos!$F$5:$F$504)</f>
        <v/>
      </c>
      <c r="J79" s="39" t="n"/>
      <c r="L79" s="39" t="n"/>
      <c r="M79" s="39" t="n"/>
      <c r="N79" s="39" t="n"/>
      <c r="O79" s="39" t="n"/>
      <c r="P79" s="39" t="n"/>
    </row>
    <row r="80" ht="21" customHeight="1" s="65">
      <c r="C80" s="39" t="n"/>
      <c r="D80" s="30">
        <f>IFERROR(INDEX(Activos!$D$5:$D$504,MATCH("Activo no corriente|33",Activos!$I$5:$I$504,0)),"")</f>
        <v/>
      </c>
      <c r="E80" s="107">
        <f>IFERROR(INDEX(Activos!$F$5:$F$504,MATCH("Activo no corriente|33",Activos!$I$5:$I$504,0)),"")</f>
        <v/>
      </c>
      <c r="F80" s="39" t="n"/>
      <c r="G80" s="39" t="n"/>
      <c r="I80" s="110" t="n"/>
      <c r="J80" s="39" t="n"/>
      <c r="L80" s="39" t="n"/>
      <c r="M80" s="39" t="n"/>
      <c r="N80" s="39" t="n"/>
      <c r="O80" s="39" t="n"/>
      <c r="P80" s="39" t="n"/>
    </row>
    <row r="81" ht="21" customHeight="1" s="65">
      <c r="C81" s="39" t="n"/>
      <c r="D81" s="30">
        <f>IFERROR(INDEX(Activos!$D$5:$D$504,MATCH("Activo no corriente|34",Activos!$I$5:$I$504,0)),"")</f>
        <v/>
      </c>
      <c r="E81" s="107">
        <f>IFERROR(INDEX(Activos!$F$5:$F$504,MATCH("Activo no corriente|34",Activos!$I$5:$I$504,0)),"")</f>
        <v/>
      </c>
      <c r="F81" s="39" t="n"/>
      <c r="G81" s="39" t="n"/>
      <c r="H81" s="32" t="inlineStr">
        <is>
          <t>C) PASIVO NO CORRIENTE</t>
        </is>
      </c>
      <c r="I81" s="111" t="inlineStr">
        <is>
          <t>Monto</t>
        </is>
      </c>
      <c r="J81" s="39" t="n"/>
      <c r="L81" s="39" t="n"/>
      <c r="M81" s="39" t="n"/>
      <c r="N81" s="39" t="n"/>
      <c r="O81" s="39" t="n"/>
      <c r="P81" s="39" t="n"/>
    </row>
    <row r="82" ht="21" customHeight="1" s="65">
      <c r="C82" s="39" t="n"/>
      <c r="D82" s="30">
        <f>IFERROR(INDEX(Activos!$D$5:$D$504,MATCH("Activo no corriente|35",Activos!$I$5:$I$504,0)),"")</f>
        <v/>
      </c>
      <c r="E82" s="107">
        <f>IFERROR(INDEX(Activos!$F$5:$F$504,MATCH("Activo no corriente|35",Activos!$I$5:$I$504,0)),"")</f>
        <v/>
      </c>
      <c r="F82" s="39" t="n"/>
      <c r="G82" s="39" t="n"/>
      <c r="H82" s="30">
        <f>IFERROR(INDEX(Pasivos!$D$5:$D$504,MATCH("Pasivo no corriente|1",Pasivos!$I$5:$I$504,0)),"")</f>
        <v/>
      </c>
      <c r="I82" s="107">
        <f>IFERROR(INDEX(Pasivos!$F$5:$F$504,MATCH("Pasivo no corriente|1",Pasivos!$I$5:$I$504,0)),"")</f>
        <v/>
      </c>
      <c r="J82" s="39" t="n"/>
      <c r="L82" s="39" t="n"/>
      <c r="M82" s="39" t="n"/>
      <c r="N82" s="39" t="n"/>
      <c r="O82" s="39" t="n"/>
      <c r="P82" s="39" t="n"/>
    </row>
    <row r="83" ht="21" customHeight="1" s="65">
      <c r="C83" s="39" t="n"/>
      <c r="D83" s="10" t="inlineStr">
        <is>
          <t>TOTAL ACTIVO NO CORRIENTE</t>
        </is>
      </c>
      <c r="E83" s="106">
        <f>SUMIF(Activos!$C$5:$C$504,"Activo no corriente",Activos!$F$5:$F$504)</f>
        <v/>
      </c>
      <c r="F83" s="39" t="n"/>
      <c r="G83" s="39" t="n"/>
      <c r="H83" s="30">
        <f>IFERROR(INDEX(Pasivos!$D$5:$D$504,MATCH("Pasivo no corriente|2",Pasivos!$I$5:$I$504,0)),"")</f>
        <v/>
      </c>
      <c r="I83" s="107">
        <f>IFERROR(INDEX(Pasivos!$F$5:$F$504,MATCH("Pasivo no corriente|2",Pasivos!$I$5:$I$504,0)),"")</f>
        <v/>
      </c>
      <c r="J83" s="39" t="n"/>
      <c r="L83" s="39" t="n"/>
      <c r="M83" s="39" t="n"/>
      <c r="N83" s="39" t="n"/>
      <c r="O83" s="39" t="n"/>
      <c r="P83" s="39" t="n"/>
    </row>
    <row r="84" ht="21" customHeight="1" s="65">
      <c r="C84" s="39" t="n"/>
      <c r="E84" s="110" t="n"/>
      <c r="F84" s="39" t="n"/>
      <c r="G84" s="39" t="n"/>
      <c r="H84" s="30">
        <f>IFERROR(INDEX(Pasivos!$D$5:$D$504,MATCH("Pasivo no corriente|3",Pasivos!$I$5:$I$504,0)),"")</f>
        <v/>
      </c>
      <c r="I84" s="107">
        <f>IFERROR(INDEX(Pasivos!$F$5:$F$504,MATCH("Pasivo no corriente|3",Pasivos!$I$5:$I$504,0)),"")</f>
        <v/>
      </c>
      <c r="J84" s="39" t="n"/>
      <c r="L84" s="39" t="n"/>
      <c r="M84" s="39" t="n"/>
      <c r="N84" s="39" t="n"/>
      <c r="O84" s="39" t="n"/>
      <c r="P84" s="39" t="n"/>
    </row>
    <row r="85" ht="21" customHeight="1" s="65">
      <c r="C85" s="39" t="n"/>
      <c r="D85" s="32" t="inlineStr">
        <is>
          <t>C) OTROS ACTIVOS</t>
        </is>
      </c>
      <c r="E85" s="111" t="inlineStr">
        <is>
          <t>Monto</t>
        </is>
      </c>
      <c r="F85" s="39" t="n"/>
      <c r="G85" s="39" t="n"/>
      <c r="H85" s="30">
        <f>IFERROR(INDEX(Pasivos!$D$5:$D$504,MATCH("Pasivo no corriente|4",Pasivos!$I$5:$I$504,0)),"")</f>
        <v/>
      </c>
      <c r="I85" s="107">
        <f>IFERROR(INDEX(Pasivos!$F$5:$F$504,MATCH("Pasivo no corriente|4",Pasivos!$I$5:$I$504,0)),"")</f>
        <v/>
      </c>
      <c r="J85" s="39" t="n"/>
      <c r="L85" s="39" t="n"/>
      <c r="M85" s="39" t="n"/>
      <c r="N85" s="39" t="n"/>
      <c r="O85" s="39" t="n"/>
      <c r="P85" s="39" t="n"/>
    </row>
    <row r="86" ht="21" customHeight="1" s="65">
      <c r="C86" s="39" t="n"/>
      <c r="D86" s="30">
        <f>IFERROR(INDEX(Activos!$D$5:$D$504,MATCH("Otros activos|1",Activos!$I$5:$I$504,0)),"")</f>
        <v/>
      </c>
      <c r="E86" s="107">
        <f>IFERROR(INDEX(Activos!$F$5:$F$504,MATCH("Otros activos|1",Activos!$I$5:$I$504,0)),"")</f>
        <v/>
      </c>
      <c r="F86" s="39" t="n"/>
      <c r="G86" s="39" t="n"/>
      <c r="H86" s="30">
        <f>IFERROR(INDEX(Pasivos!$D$5:$D$504,MATCH("Pasivo no corriente|5",Pasivos!$I$5:$I$504,0)),"")</f>
        <v/>
      </c>
      <c r="I86" s="107">
        <f>IFERROR(INDEX(Pasivos!$F$5:$F$504,MATCH("Pasivo no corriente|5",Pasivos!$I$5:$I$504,0)),"")</f>
        <v/>
      </c>
      <c r="J86" s="39" t="n"/>
      <c r="L86" s="39" t="n"/>
      <c r="M86" s="39" t="n"/>
      <c r="N86" s="39" t="n"/>
      <c r="O86" s="39" t="n"/>
      <c r="P86" s="39" t="n"/>
    </row>
    <row r="87" ht="21" customHeight="1" s="65">
      <c r="C87" s="39" t="n"/>
      <c r="D87" s="30">
        <f>IFERROR(INDEX(Activos!$D$5:$D$504,MATCH("Otros activos|2",Activos!$I$5:$I$504,0)),"")</f>
        <v/>
      </c>
      <c r="E87" s="107">
        <f>IFERROR(INDEX(Activos!$F$5:$F$504,MATCH("Otros activos|2",Activos!$I$5:$I$504,0)),"")</f>
        <v/>
      </c>
      <c r="F87" s="39" t="n"/>
      <c r="G87" s="39" t="n"/>
      <c r="H87" s="30">
        <f>IFERROR(INDEX(Pasivos!$D$5:$D$504,MATCH("Pasivo no corriente|6",Pasivos!$I$5:$I$504,0)),"")</f>
        <v/>
      </c>
      <c r="I87" s="107">
        <f>IFERROR(INDEX(Pasivos!$F$5:$F$504,MATCH("Pasivo no corriente|6",Pasivos!$I$5:$I$504,0)),"")</f>
        <v/>
      </c>
      <c r="J87" s="39" t="n"/>
      <c r="L87" s="39" t="n"/>
      <c r="M87" s="39" t="n"/>
      <c r="N87" s="39" t="n"/>
      <c r="O87" s="39" t="n"/>
      <c r="P87" s="39" t="n"/>
    </row>
    <row r="88" ht="21" customHeight="1" s="65">
      <c r="C88" s="39" t="n"/>
      <c r="D88" s="30">
        <f>IFERROR(INDEX(Activos!$D$5:$D$504,MATCH("Otros activos|3",Activos!$I$5:$I$504,0)),"")</f>
        <v/>
      </c>
      <c r="E88" s="107">
        <f>IFERROR(INDEX(Activos!$F$5:$F$504,MATCH("Otros activos|3",Activos!$I$5:$I$504,0)),"")</f>
        <v/>
      </c>
      <c r="F88" s="39" t="n"/>
      <c r="G88" s="39" t="n"/>
      <c r="H88" s="30">
        <f>IFERROR(INDEX(Pasivos!$D$5:$D$504,MATCH("Pasivo no corriente|7",Pasivos!$I$5:$I$504,0)),"")</f>
        <v/>
      </c>
      <c r="I88" s="107">
        <f>IFERROR(INDEX(Pasivos!$F$5:$F$504,MATCH("Pasivo no corriente|7",Pasivos!$I$5:$I$504,0)),"")</f>
        <v/>
      </c>
      <c r="J88" s="39" t="n"/>
      <c r="L88" s="39" t="n"/>
      <c r="M88" s="39" t="n"/>
      <c r="N88" s="39" t="n"/>
      <c r="O88" s="39" t="n"/>
      <c r="P88" s="39" t="n"/>
    </row>
    <row r="89" ht="21" customHeight="1" s="65">
      <c r="C89" s="39" t="n"/>
      <c r="D89" s="30">
        <f>IFERROR(INDEX(Activos!$D$5:$D$504,MATCH("Otros activos|4",Activos!$I$5:$I$504,0)),"")</f>
        <v/>
      </c>
      <c r="E89" s="107">
        <f>IFERROR(INDEX(Activos!$F$5:$F$504,MATCH("Otros activos|4",Activos!$I$5:$I$504,0)),"")</f>
        <v/>
      </c>
      <c r="F89" s="39" t="n"/>
      <c r="G89" s="39" t="n"/>
      <c r="H89" s="30">
        <f>IFERROR(INDEX(Pasivos!$D$5:$D$504,MATCH("Pasivo no corriente|8",Pasivos!$I$5:$I$504,0)),"")</f>
        <v/>
      </c>
      <c r="I89" s="107">
        <f>IFERROR(INDEX(Pasivos!$F$5:$F$504,MATCH("Pasivo no corriente|8",Pasivos!$I$5:$I$504,0)),"")</f>
        <v/>
      </c>
      <c r="J89" s="39" t="n"/>
      <c r="L89" s="39" t="n"/>
      <c r="M89" s="39" t="n"/>
      <c r="N89" s="39" t="n"/>
      <c r="O89" s="39" t="n"/>
      <c r="P89" s="39" t="n"/>
    </row>
    <row r="90" ht="21" customHeight="1" s="65">
      <c r="C90" s="39" t="n"/>
      <c r="D90" s="30">
        <f>IFERROR(INDEX(Activos!$D$5:$D$504,MATCH("Otros activos|5",Activos!$I$5:$I$504,0)),"")</f>
        <v/>
      </c>
      <c r="E90" s="107">
        <f>IFERROR(INDEX(Activos!$F$5:$F$504,MATCH("Otros activos|5",Activos!$I$5:$I$504,0)),"")</f>
        <v/>
      </c>
      <c r="F90" s="39" t="n"/>
      <c r="G90" s="39" t="n"/>
      <c r="H90" s="30">
        <f>IFERROR(INDEX(Pasivos!$D$5:$D$504,MATCH("Pasivo no corriente|9",Pasivos!$I$5:$I$504,0)),"")</f>
        <v/>
      </c>
      <c r="I90" s="107">
        <f>IFERROR(INDEX(Pasivos!$F$5:$F$504,MATCH("Pasivo no corriente|9",Pasivos!$I$5:$I$504,0)),"")</f>
        <v/>
      </c>
      <c r="J90" s="39" t="n"/>
      <c r="L90" s="39" t="n"/>
      <c r="M90" s="39" t="n"/>
      <c r="N90" s="39" t="n"/>
      <c r="O90" s="39" t="n"/>
      <c r="P90" s="39" t="n"/>
    </row>
    <row r="91" ht="21" customHeight="1" s="65">
      <c r="C91" s="39" t="n"/>
      <c r="D91" s="30">
        <f>IFERROR(INDEX(Activos!$D$5:$D$504,MATCH("Otros activos|6",Activos!$I$5:$I$504,0)),"")</f>
        <v/>
      </c>
      <c r="E91" s="107">
        <f>IFERROR(INDEX(Activos!$F$5:$F$504,MATCH("Otros activos|6",Activos!$I$5:$I$504,0)),"")</f>
        <v/>
      </c>
      <c r="F91" s="39" t="n"/>
      <c r="G91" s="39" t="n"/>
      <c r="H91" s="30">
        <f>IFERROR(INDEX(Pasivos!$D$5:$D$504,MATCH("Pasivo no corriente|10",Pasivos!$I$5:$I$504,0)),"")</f>
        <v/>
      </c>
      <c r="I91" s="107">
        <f>IFERROR(INDEX(Pasivos!$F$5:$F$504,MATCH("Pasivo no corriente|10",Pasivos!$I$5:$I$504,0)),"")</f>
        <v/>
      </c>
      <c r="J91" s="39" t="n"/>
      <c r="L91" s="39" t="n"/>
      <c r="M91" s="39" t="n"/>
      <c r="N91" s="39" t="n"/>
      <c r="O91" s="39" t="n"/>
      <c r="P91" s="39" t="n"/>
    </row>
    <row r="92" ht="21" customHeight="1" s="65">
      <c r="C92" s="39" t="n"/>
      <c r="D92" s="30">
        <f>IFERROR(INDEX(Activos!$D$5:$D$504,MATCH("Otros activos|7",Activos!$I$5:$I$504,0)),"")</f>
        <v/>
      </c>
      <c r="E92" s="107">
        <f>IFERROR(INDEX(Activos!$F$5:$F$504,MATCH("Otros activos|7",Activos!$I$5:$I$504,0)),"")</f>
        <v/>
      </c>
      <c r="F92" s="39" t="n"/>
      <c r="G92" s="39" t="n"/>
      <c r="H92" s="30">
        <f>IFERROR(INDEX(Pasivos!$D$5:$D$504,MATCH("Pasivo no corriente|11",Pasivos!$I$5:$I$504,0)),"")</f>
        <v/>
      </c>
      <c r="I92" s="107">
        <f>IFERROR(INDEX(Pasivos!$F$5:$F$504,MATCH("Pasivo no corriente|11",Pasivos!$I$5:$I$504,0)),"")</f>
        <v/>
      </c>
      <c r="J92" s="39" t="n"/>
      <c r="L92" s="39" t="n"/>
      <c r="M92" s="39" t="n"/>
      <c r="N92" s="39" t="n"/>
      <c r="O92" s="39" t="n"/>
      <c r="P92" s="39" t="n"/>
    </row>
    <row r="93" ht="21" customHeight="1" s="65">
      <c r="C93" s="39" t="n"/>
      <c r="D93" s="30">
        <f>IFERROR(INDEX(Activos!$D$5:$D$504,MATCH("Otros activos|8",Activos!$I$5:$I$504,0)),"")</f>
        <v/>
      </c>
      <c r="E93" s="107">
        <f>IFERROR(INDEX(Activos!$F$5:$F$504,MATCH("Otros activos|8",Activos!$I$5:$I$504,0)),"")</f>
        <v/>
      </c>
      <c r="F93" s="39" t="n"/>
      <c r="G93" s="39" t="n"/>
      <c r="H93" s="30">
        <f>IFERROR(INDEX(Pasivos!$D$5:$D$504,MATCH("Pasivo no corriente|12",Pasivos!$I$5:$I$504,0)),"")</f>
        <v/>
      </c>
      <c r="I93" s="107">
        <f>IFERROR(INDEX(Pasivos!$F$5:$F$504,MATCH("Pasivo no corriente|12",Pasivos!$I$5:$I$504,0)),"")</f>
        <v/>
      </c>
      <c r="J93" s="39" t="n"/>
      <c r="L93" s="39" t="n"/>
      <c r="M93" s="39" t="n"/>
      <c r="N93" s="39" t="n"/>
      <c r="O93" s="39" t="n"/>
      <c r="P93" s="39" t="n"/>
    </row>
    <row r="94" ht="21" customHeight="1" s="65">
      <c r="C94" s="39" t="n"/>
      <c r="D94" s="30">
        <f>IFERROR(INDEX(Activos!$D$5:$D$504,MATCH("Otros activos|9",Activos!$I$5:$I$504,0)),"")</f>
        <v/>
      </c>
      <c r="E94" s="107">
        <f>IFERROR(INDEX(Activos!$F$5:$F$504,MATCH("Otros activos|9",Activos!$I$5:$I$504,0)),"")</f>
        <v/>
      </c>
      <c r="F94" s="39" t="n"/>
      <c r="G94" s="39" t="n"/>
      <c r="H94" s="30">
        <f>IFERROR(INDEX(Pasivos!$D$5:$D$504,MATCH("Pasivo no corriente|13",Pasivos!$I$5:$I$504,0)),"")</f>
        <v/>
      </c>
      <c r="I94" s="107">
        <f>IFERROR(INDEX(Pasivos!$F$5:$F$504,MATCH("Pasivo no corriente|13",Pasivos!$I$5:$I$504,0)),"")</f>
        <v/>
      </c>
      <c r="J94" s="39" t="n"/>
      <c r="L94" s="39" t="n"/>
      <c r="M94" s="39" t="n"/>
      <c r="N94" s="39" t="n"/>
      <c r="O94" s="39" t="n"/>
      <c r="P94" s="39" t="n"/>
    </row>
    <row r="95" ht="21" customHeight="1" s="65">
      <c r="C95" s="39" t="n"/>
      <c r="D95" s="30">
        <f>IFERROR(INDEX(Activos!$D$5:$D$504,MATCH("Otros activos|10",Activos!$I$5:$I$504,0)),"")</f>
        <v/>
      </c>
      <c r="E95" s="107">
        <f>IFERROR(INDEX(Activos!$F$5:$F$504,MATCH("Otros activos|10",Activos!$I$5:$I$504,0)),"")</f>
        <v/>
      </c>
      <c r="F95" s="39" t="n"/>
      <c r="G95" s="39" t="n"/>
      <c r="H95" s="30">
        <f>IFERROR(INDEX(Pasivos!$D$5:$D$504,MATCH("Pasivo no corriente|14",Pasivos!$I$5:$I$504,0)),"")</f>
        <v/>
      </c>
      <c r="I95" s="107">
        <f>IFERROR(INDEX(Pasivos!$F$5:$F$504,MATCH("Pasivo no corriente|14",Pasivos!$I$5:$I$504,0)),"")</f>
        <v/>
      </c>
      <c r="J95" s="39" t="n"/>
      <c r="L95" s="39" t="n"/>
      <c r="M95" s="39" t="n"/>
      <c r="N95" s="39" t="n"/>
      <c r="O95" s="39" t="n"/>
      <c r="P95" s="39" t="n"/>
    </row>
    <row r="96" ht="21" customHeight="1" s="65">
      <c r="C96" s="39" t="n"/>
      <c r="D96" s="30">
        <f>IFERROR(INDEX(Activos!$D$5:$D$504,MATCH("Otros activos|11",Activos!$I$5:$I$504,0)),"")</f>
        <v/>
      </c>
      <c r="E96" s="107">
        <f>IFERROR(INDEX(Activos!$F$5:$F$504,MATCH("Otros activos|11",Activos!$I$5:$I$504,0)),"")</f>
        <v/>
      </c>
      <c r="F96" s="39" t="n"/>
      <c r="G96" s="39" t="n"/>
      <c r="H96" s="30">
        <f>IFERROR(INDEX(Pasivos!$D$5:$D$504,MATCH("Pasivo no corriente|15",Pasivos!$I$5:$I$504,0)),"")</f>
        <v/>
      </c>
      <c r="I96" s="107">
        <f>IFERROR(INDEX(Pasivos!$F$5:$F$504,MATCH("Pasivo no corriente|15",Pasivos!$I$5:$I$504,0)),"")</f>
        <v/>
      </c>
      <c r="J96" s="39" t="n"/>
      <c r="L96" s="39" t="n"/>
      <c r="M96" s="39" t="n"/>
      <c r="N96" s="39" t="n"/>
      <c r="O96" s="39" t="n"/>
      <c r="P96" s="39" t="n"/>
    </row>
    <row r="97" ht="21" customHeight="1" s="65">
      <c r="C97" s="39" t="n"/>
      <c r="D97" s="30">
        <f>IFERROR(INDEX(Activos!$D$5:$D$504,MATCH("Otros activos|12",Activos!$I$5:$I$504,0)),"")</f>
        <v/>
      </c>
      <c r="E97" s="107">
        <f>IFERROR(INDEX(Activos!$F$5:$F$504,MATCH("Otros activos|12",Activos!$I$5:$I$504,0)),"")</f>
        <v/>
      </c>
      <c r="F97" s="39" t="n"/>
      <c r="G97" s="39" t="n"/>
      <c r="H97" s="30">
        <f>IFERROR(INDEX(Pasivos!$D$5:$D$504,MATCH("Pasivo no corriente|16",Pasivos!$I$5:$I$504,0)),"")</f>
        <v/>
      </c>
      <c r="I97" s="107">
        <f>IFERROR(INDEX(Pasivos!$F$5:$F$504,MATCH("Pasivo no corriente|16",Pasivos!$I$5:$I$504,0)),"")</f>
        <v/>
      </c>
      <c r="J97" s="39" t="n"/>
      <c r="L97" s="39" t="n"/>
      <c r="M97" s="39" t="n"/>
      <c r="N97" s="39" t="n"/>
      <c r="O97" s="39" t="n"/>
      <c r="P97" s="39" t="n"/>
    </row>
    <row r="98" ht="21" customHeight="1" s="65">
      <c r="C98" s="39" t="n"/>
      <c r="D98" s="30">
        <f>IFERROR(INDEX(Activos!$D$5:$D$504,MATCH("Otros activos|13",Activos!$I$5:$I$504,0)),"")</f>
        <v/>
      </c>
      <c r="E98" s="107">
        <f>IFERROR(INDEX(Activos!$F$5:$F$504,MATCH("Otros activos|13",Activos!$I$5:$I$504,0)),"")</f>
        <v/>
      </c>
      <c r="F98" s="39" t="n"/>
      <c r="G98" s="39" t="n"/>
      <c r="H98" s="30">
        <f>IFERROR(INDEX(Pasivos!$D$5:$D$504,MATCH("Pasivo no corriente|17",Pasivos!$I$5:$I$504,0)),"")</f>
        <v/>
      </c>
      <c r="I98" s="107">
        <f>IFERROR(INDEX(Pasivos!$F$5:$F$504,MATCH("Pasivo no corriente|17",Pasivos!$I$5:$I$504,0)),"")</f>
        <v/>
      </c>
      <c r="J98" s="39" t="n"/>
      <c r="L98" s="39" t="n"/>
      <c r="M98" s="39" t="n"/>
      <c r="N98" s="39" t="n"/>
      <c r="O98" s="39" t="n"/>
      <c r="P98" s="39" t="n"/>
    </row>
    <row r="99" ht="21" customHeight="1" s="65">
      <c r="C99" s="39" t="n"/>
      <c r="D99" s="30">
        <f>IFERROR(INDEX(Activos!$D$5:$D$504,MATCH("Otros activos|14",Activos!$I$5:$I$504,0)),"")</f>
        <v/>
      </c>
      <c r="E99" s="107">
        <f>IFERROR(INDEX(Activos!$F$5:$F$504,MATCH("Otros activos|14",Activos!$I$5:$I$504,0)),"")</f>
        <v/>
      </c>
      <c r="F99" s="39" t="n"/>
      <c r="G99" s="39" t="n"/>
      <c r="H99" s="30">
        <f>IFERROR(INDEX(Pasivos!$D$5:$D$504,MATCH("Pasivo no corriente|18",Pasivos!$I$5:$I$504,0)),"")</f>
        <v/>
      </c>
      <c r="I99" s="107">
        <f>IFERROR(INDEX(Pasivos!$F$5:$F$504,MATCH("Pasivo no corriente|18",Pasivos!$I$5:$I$504,0)),"")</f>
        <v/>
      </c>
      <c r="J99" s="39" t="n"/>
      <c r="L99" s="39" t="n"/>
      <c r="M99" s="39" t="n"/>
      <c r="N99" s="39" t="n"/>
      <c r="O99" s="39" t="n"/>
      <c r="P99" s="39" t="n"/>
    </row>
    <row r="100" ht="21" customHeight="1" s="65">
      <c r="C100" s="39" t="n"/>
      <c r="D100" s="30">
        <f>IFERROR(INDEX(Activos!$D$5:$D$504,MATCH("Otros activos|15",Activos!$I$5:$I$504,0)),"")</f>
        <v/>
      </c>
      <c r="E100" s="107">
        <f>IFERROR(INDEX(Activos!$F$5:$F$504,MATCH("Otros activos|15",Activos!$I$5:$I$504,0)),"")</f>
        <v/>
      </c>
      <c r="F100" s="39" t="n"/>
      <c r="G100" s="39" t="n"/>
      <c r="H100" s="30">
        <f>IFERROR(INDEX(Pasivos!$D$5:$D$504,MATCH("Pasivo no corriente|19",Pasivos!$I$5:$I$504,0)),"")</f>
        <v/>
      </c>
      <c r="I100" s="107">
        <f>IFERROR(INDEX(Pasivos!$F$5:$F$504,MATCH("Pasivo no corriente|19",Pasivos!$I$5:$I$504,0)),"")</f>
        <v/>
      </c>
      <c r="J100" s="39" t="n"/>
      <c r="L100" s="39" t="n"/>
      <c r="M100" s="39" t="n"/>
      <c r="N100" s="39" t="n"/>
      <c r="O100" s="39" t="n"/>
      <c r="P100" s="39" t="n"/>
    </row>
    <row r="101" ht="21" customHeight="1" s="65">
      <c r="C101" s="39" t="n"/>
      <c r="D101" s="34" t="inlineStr">
        <is>
          <t>TOTAL OTROS ACTIVOS</t>
        </is>
      </c>
      <c r="E101" s="113">
        <f>SUMIF(Activos!$C$5:$C$504,"Otros activos",Activos!$F$5:$F$504)</f>
        <v/>
      </c>
      <c r="F101" s="39" t="n"/>
      <c r="G101" s="39" t="n"/>
      <c r="H101" s="30">
        <f>IFERROR(INDEX(Pasivos!$D$5:$D$504,MATCH("Pasivo no corriente|20",Pasivos!$I$5:$I$504,0)),"")</f>
        <v/>
      </c>
      <c r="I101" s="107">
        <f>IFERROR(INDEX(Pasivos!$F$5:$F$504,MATCH("Pasivo no corriente|20",Pasivos!$I$5:$I$504,0)),"")</f>
        <v/>
      </c>
      <c r="J101" s="39" t="n"/>
      <c r="L101" s="39" t="n"/>
      <c r="M101" s="39" t="n"/>
      <c r="N101" s="39" t="n"/>
      <c r="O101" s="39" t="n"/>
      <c r="P101" s="39" t="n"/>
    </row>
    <row r="102" ht="21" customHeight="1" s="65">
      <c r="C102" s="39" t="n"/>
      <c r="D102" s="39" t="n"/>
      <c r="E102" s="108" t="n"/>
      <c r="F102" s="39" t="n"/>
      <c r="G102" s="39" t="n"/>
      <c r="H102" s="30">
        <f>IFERROR(INDEX(Pasivos!$D$5:$D$504,MATCH("Pasivo no corriente|21",Pasivos!$I$5:$I$504,0)),"")</f>
        <v/>
      </c>
      <c r="I102" s="107">
        <f>IFERROR(INDEX(Pasivos!$F$5:$F$504,MATCH("Pasivo no corriente|21",Pasivos!$I$5:$I$504,0)),"")</f>
        <v/>
      </c>
      <c r="J102" s="39" t="n"/>
      <c r="L102" s="39" t="n"/>
      <c r="M102" s="39" t="n"/>
      <c r="N102" s="39" t="n"/>
      <c r="O102" s="39" t="n"/>
      <c r="P102" s="39" t="n"/>
    </row>
    <row r="103" ht="21" customHeight="1" s="65">
      <c r="C103" s="39" t="n"/>
      <c r="D103" s="39" t="n"/>
      <c r="E103" s="39" t="n"/>
      <c r="F103" s="39" t="n"/>
      <c r="G103" s="39" t="n"/>
      <c r="H103" s="30">
        <f>IFERROR(INDEX(Pasivos!$D$5:$D$504,MATCH("Pasivo no corriente|22",Pasivos!$I$5:$I$504,0)),"")</f>
        <v/>
      </c>
      <c r="I103" s="107">
        <f>IFERROR(INDEX(Pasivos!$F$5:$F$504,MATCH("Pasivo no corriente|22",Pasivos!$I$5:$I$504,0)),"")</f>
        <v/>
      </c>
      <c r="J103" s="39" t="n"/>
      <c r="L103" s="39" t="n"/>
      <c r="M103" s="39" t="n"/>
      <c r="N103" s="39" t="n"/>
      <c r="O103" s="39" t="n"/>
      <c r="P103" s="39" t="n"/>
    </row>
    <row r="104" ht="21" customHeight="1" s="65">
      <c r="C104" s="39" t="n"/>
      <c r="D104" s="39" t="n"/>
      <c r="E104" s="108" t="n"/>
      <c r="F104" s="39" t="n"/>
      <c r="G104" s="39" t="n"/>
      <c r="H104" s="30">
        <f>IFERROR(INDEX(Pasivos!$D$5:$D$504,MATCH("Pasivo no corriente|23",Pasivos!$I$5:$I$504,0)),"")</f>
        <v/>
      </c>
      <c r="I104" s="107">
        <f>IFERROR(INDEX(Pasivos!$F$5:$F$504,MATCH("Pasivo no corriente|23",Pasivos!$I$5:$I$504,0)),"")</f>
        <v/>
      </c>
      <c r="J104" s="39" t="n"/>
      <c r="L104" s="39" t="n"/>
      <c r="M104" s="39" t="n"/>
      <c r="N104" s="39" t="n"/>
      <c r="O104" s="39" t="n"/>
      <c r="P104" s="39" t="n"/>
    </row>
    <row r="105" ht="21" customHeight="1" s="65">
      <c r="C105" s="39" t="n"/>
      <c r="D105" s="39" t="n"/>
      <c r="E105" s="108" t="n"/>
      <c r="F105" s="39" t="n"/>
      <c r="G105" s="39" t="n"/>
      <c r="H105" s="30">
        <f>IFERROR(INDEX(Pasivos!$D$5:$D$504,MATCH("Pasivo no corriente|24",Pasivos!$I$5:$I$504,0)),"")</f>
        <v/>
      </c>
      <c r="I105" s="107">
        <f>IFERROR(INDEX(Pasivos!$F$5:$F$504,MATCH("Pasivo no corriente|24",Pasivos!$I$5:$I$504,0)),"")</f>
        <v/>
      </c>
      <c r="J105" s="39" t="n"/>
      <c r="L105" s="39" t="n"/>
      <c r="M105" s="39" t="n"/>
      <c r="N105" s="39" t="n"/>
      <c r="O105" s="39" t="n"/>
      <c r="P105" s="39" t="n"/>
    </row>
    <row r="106" ht="21" customHeight="1" s="65">
      <c r="C106" s="39" t="n"/>
      <c r="D106" s="39" t="n"/>
      <c r="E106" s="108" t="n"/>
      <c r="F106" s="39" t="n"/>
      <c r="G106" s="39" t="n"/>
      <c r="H106" s="30">
        <f>IFERROR(INDEX(Pasivos!$D$5:$D$504,MATCH("Pasivo no corriente|25",Pasivos!$I$5:$I$504,0)),"")</f>
        <v/>
      </c>
      <c r="I106" s="107">
        <f>IFERROR(INDEX(Pasivos!$F$5:$F$504,MATCH("Pasivo no corriente|25",Pasivos!$I$5:$I$504,0)),"")</f>
        <v/>
      </c>
      <c r="J106" s="39" t="n"/>
      <c r="L106" s="39" t="n"/>
      <c r="M106" s="39" t="n"/>
      <c r="N106" s="39" t="n"/>
      <c r="O106" s="39" t="n"/>
      <c r="P106" s="39" t="n"/>
    </row>
    <row r="107" ht="21" customHeight="1" s="65">
      <c r="C107" s="39" t="n"/>
      <c r="D107" s="39" t="n"/>
      <c r="E107" s="108" t="n"/>
      <c r="F107" s="39" t="n"/>
      <c r="G107" s="39" t="n"/>
      <c r="H107" s="30">
        <f>IFERROR(INDEX(Pasivos!$D$5:$D$504,MATCH("Pasivo no corriente|26",Pasivos!$I$5:$I$504,0)),"")</f>
        <v/>
      </c>
      <c r="I107" s="107">
        <f>IFERROR(INDEX(Pasivos!$F$5:$F$504,MATCH("Pasivo no corriente|26",Pasivos!$I$5:$I$504,0)),"")</f>
        <v/>
      </c>
      <c r="J107" s="39" t="n"/>
      <c r="L107" s="39" t="n"/>
      <c r="M107" s="39" t="n"/>
      <c r="N107" s="39" t="n"/>
      <c r="O107" s="39" t="n"/>
      <c r="P107" s="39" t="n"/>
    </row>
    <row r="108" ht="21" customHeight="1" s="65">
      <c r="C108" s="39" t="n"/>
      <c r="D108" s="39" t="n"/>
      <c r="E108" s="108" t="n"/>
      <c r="F108" s="39" t="n"/>
      <c r="G108" s="39" t="n"/>
      <c r="H108" s="30">
        <f>IFERROR(INDEX(Pasivos!$D$5:$D$504,MATCH("Pasivo no corriente|27",Pasivos!$I$5:$I$504,0)),"")</f>
        <v/>
      </c>
      <c r="I108" s="107">
        <f>IFERROR(INDEX(Pasivos!$F$5:$F$504,MATCH("Pasivo no corriente|27",Pasivos!$I$5:$I$504,0)),"")</f>
        <v/>
      </c>
      <c r="J108" s="39" t="n"/>
      <c r="L108" s="39" t="n"/>
      <c r="M108" s="39" t="n"/>
      <c r="N108" s="39" t="n"/>
      <c r="O108" s="39" t="n"/>
      <c r="P108" s="39" t="n"/>
    </row>
    <row r="109" ht="21" customHeight="1" s="65">
      <c r="C109" s="39" t="n"/>
      <c r="D109" s="39" t="n"/>
      <c r="E109" s="108" t="n"/>
      <c r="F109" s="39" t="n"/>
      <c r="G109" s="39" t="n"/>
      <c r="H109" s="30">
        <f>IFERROR(INDEX(Pasivos!$D$5:$D$504,MATCH("Pasivo no corriente|28",Pasivos!$I$5:$I$504,0)),"")</f>
        <v/>
      </c>
      <c r="I109" s="107">
        <f>IFERROR(INDEX(Pasivos!$F$5:$F$504,MATCH("Pasivo no corriente|28",Pasivos!$I$5:$I$504,0)),"")</f>
        <v/>
      </c>
      <c r="J109" s="39" t="n"/>
      <c r="L109" s="39" t="n"/>
      <c r="M109" s="39" t="n"/>
      <c r="N109" s="39" t="n"/>
      <c r="O109" s="39" t="n"/>
      <c r="P109" s="39" t="n"/>
    </row>
    <row r="110" ht="21" customHeight="1" s="65">
      <c r="C110" s="39" t="n"/>
      <c r="D110" s="39" t="n"/>
      <c r="E110" s="108" t="n"/>
      <c r="F110" s="39" t="n"/>
      <c r="G110" s="39" t="n"/>
      <c r="H110" s="30">
        <f>IFERROR(INDEX(Pasivos!$D$5:$D$504,MATCH("Pasivo no corriente|29",Pasivos!$I$5:$I$504,0)),"")</f>
        <v/>
      </c>
      <c r="I110" s="107">
        <f>IFERROR(INDEX(Pasivos!$F$5:$F$504,MATCH("Pasivo no corriente|29",Pasivos!$I$5:$I$504,0)),"")</f>
        <v/>
      </c>
      <c r="J110" s="39" t="n"/>
      <c r="L110" s="39" t="n"/>
      <c r="M110" s="39" t="n"/>
      <c r="N110" s="39" t="n"/>
      <c r="O110" s="39" t="n"/>
      <c r="P110" s="39" t="n"/>
    </row>
    <row r="111" ht="21" customHeight="1" s="65">
      <c r="C111" s="39" t="n"/>
      <c r="D111" s="39" t="n"/>
      <c r="E111" s="108" t="n"/>
      <c r="F111" s="39" t="n"/>
      <c r="G111" s="39" t="n"/>
      <c r="H111" s="30">
        <f>IFERROR(INDEX(Pasivos!$D$5:$D$504,MATCH("Pasivo no corriente|30",Pasivos!$I$5:$I$504,0)),"")</f>
        <v/>
      </c>
      <c r="I111" s="107">
        <f>IFERROR(INDEX(Pasivos!$F$5:$F$504,MATCH("Pasivo no corriente|30",Pasivos!$I$5:$I$504,0)),"")</f>
        <v/>
      </c>
      <c r="J111" s="39" t="n"/>
      <c r="L111" s="39" t="n"/>
      <c r="M111" s="39" t="n"/>
      <c r="N111" s="39" t="n"/>
      <c r="O111" s="39" t="n"/>
      <c r="P111" s="39" t="n"/>
    </row>
    <row r="112" ht="21" customHeight="1" s="65">
      <c r="C112" s="39" t="n"/>
      <c r="D112" s="39" t="n"/>
      <c r="E112" s="108" t="n"/>
      <c r="F112" s="39" t="n"/>
      <c r="G112" s="39" t="n"/>
      <c r="H112" s="30">
        <f>IFERROR(INDEX(Pasivos!$D$5:$D$504,MATCH("Pasivo no corriente|31",Pasivos!$I$5:$I$504,0)),"")</f>
        <v/>
      </c>
      <c r="I112" s="107">
        <f>IFERROR(INDEX(Pasivos!$F$5:$F$504,MATCH("Pasivo no corriente|31",Pasivos!$I$5:$I$504,0)),"")</f>
        <v/>
      </c>
      <c r="J112" s="39" t="n"/>
      <c r="L112" s="39" t="n"/>
      <c r="M112" s="39" t="n"/>
      <c r="N112" s="39" t="n"/>
      <c r="O112" s="39" t="n"/>
      <c r="P112" s="39" t="n"/>
    </row>
    <row r="113" ht="21" customHeight="1" s="65">
      <c r="C113" s="39" t="n"/>
      <c r="D113" s="39" t="n"/>
      <c r="E113" s="108" t="n"/>
      <c r="F113" s="39" t="n"/>
      <c r="G113" s="39" t="n"/>
      <c r="H113" s="30">
        <f>IFERROR(INDEX(Pasivos!$D$5:$D$504,MATCH("Pasivo no corriente|32",Pasivos!$I$5:$I$504,0)),"")</f>
        <v/>
      </c>
      <c r="I113" s="107">
        <f>IFERROR(INDEX(Pasivos!$F$5:$F$504,MATCH("Pasivo no corriente|32",Pasivos!$I$5:$I$504,0)),"")</f>
        <v/>
      </c>
      <c r="J113" s="39" t="n"/>
      <c r="L113" s="39" t="n"/>
      <c r="M113" s="39" t="n"/>
      <c r="N113" s="39" t="n"/>
      <c r="O113" s="39" t="n"/>
      <c r="P113" s="39" t="n"/>
    </row>
    <row r="114" ht="21" customHeight="1" s="65">
      <c r="C114" s="39" t="n"/>
      <c r="D114" s="39" t="n"/>
      <c r="E114" s="108" t="n"/>
      <c r="F114" s="39" t="n"/>
      <c r="G114" s="39" t="n"/>
      <c r="H114" s="30">
        <f>IFERROR(INDEX(Pasivos!$D$5:$D$504,MATCH("Pasivo no corriente|33",Pasivos!$I$5:$I$504,0)),"")</f>
        <v/>
      </c>
      <c r="I114" s="107">
        <f>IFERROR(INDEX(Pasivos!$F$5:$F$504,MATCH("Pasivo no corriente|33",Pasivos!$I$5:$I$504,0)),"")</f>
        <v/>
      </c>
      <c r="J114" s="39" t="n"/>
      <c r="L114" s="39" t="n"/>
      <c r="M114" s="39" t="n"/>
      <c r="N114" s="39" t="n"/>
      <c r="O114" s="39" t="n"/>
      <c r="P114" s="39" t="n"/>
    </row>
    <row r="115" ht="21" customHeight="1" s="65">
      <c r="C115" s="39" t="n"/>
      <c r="D115" s="39" t="n"/>
      <c r="E115" s="108" t="n"/>
      <c r="F115" s="39" t="n"/>
      <c r="G115" s="39" t="n"/>
      <c r="H115" s="30">
        <f>IFERROR(INDEX(Pasivos!$D$5:$D$504,MATCH("Pasivo no corriente|34",Pasivos!$I$5:$I$504,0)),"")</f>
        <v/>
      </c>
      <c r="I115" s="107">
        <f>IFERROR(INDEX(Pasivos!$F$5:$F$504,MATCH("Pasivo no corriente|34",Pasivos!$I$5:$I$504,0)),"")</f>
        <v/>
      </c>
      <c r="J115" s="39" t="n"/>
      <c r="L115" s="39" t="n"/>
      <c r="M115" s="39" t="n"/>
      <c r="N115" s="39" t="n"/>
      <c r="O115" s="39" t="n"/>
      <c r="P115" s="39" t="n"/>
    </row>
    <row r="116" ht="21" customHeight="1" s="65">
      <c r="C116" s="39" t="n"/>
      <c r="D116" s="39" t="n"/>
      <c r="E116" s="108" t="n"/>
      <c r="F116" s="39" t="n"/>
      <c r="G116" s="39" t="n"/>
      <c r="H116" s="30">
        <f>IFERROR(INDEX(Pasivos!$D$5:$D$504,MATCH("Pasivo no corriente|35",Pasivos!$I$5:$I$504,0)),"")</f>
        <v/>
      </c>
      <c r="I116" s="107">
        <f>IFERROR(INDEX(Pasivos!$F$5:$F$504,MATCH("Pasivo no corriente|35",Pasivos!$I$5:$I$504,0)),"")</f>
        <v/>
      </c>
      <c r="J116" s="39" t="n"/>
      <c r="L116" s="39" t="n"/>
      <c r="M116" s="39" t="n"/>
      <c r="N116" s="39" t="n"/>
      <c r="O116" s="39" t="n"/>
      <c r="P116" s="39" t="n"/>
    </row>
    <row r="117" ht="21" customHeight="1" s="65">
      <c r="C117" s="39" t="n"/>
      <c r="D117" s="39" t="n"/>
      <c r="E117" s="108" t="n"/>
      <c r="F117" s="39" t="n"/>
      <c r="G117" s="39" t="n"/>
      <c r="H117" s="34" t="inlineStr">
        <is>
          <t>TOTAL PASIVO NO CORRIENTE</t>
        </is>
      </c>
      <c r="I117" s="113">
        <f>SUMIF(Pasivos!$C$5:$C$504,"Pasivo no corriente",Pasivos!$F$5:$F$504)</f>
        <v/>
      </c>
      <c r="J117" s="39" t="n"/>
      <c r="L117" s="39" t="n"/>
      <c r="M117" s="39" t="n"/>
      <c r="N117" s="39" t="n"/>
      <c r="O117" s="39" t="n"/>
      <c r="P117" s="39" t="n"/>
    </row>
    <row r="118" ht="21" customHeight="1" s="65">
      <c r="C118" s="39" t="n"/>
      <c r="D118" s="39" t="n"/>
      <c r="E118" s="108" t="n"/>
      <c r="F118" s="39" t="n"/>
      <c r="G118" s="39" t="n"/>
      <c r="H118" s="39" t="n"/>
      <c r="I118" s="108" t="n"/>
      <c r="J118" s="39" t="n"/>
      <c r="L118" s="39" t="n"/>
      <c r="M118" s="39" t="n"/>
      <c r="N118" s="39" t="n"/>
      <c r="O118" s="39" t="n"/>
      <c r="P118" s="39" t="n"/>
    </row>
    <row r="119" ht="21" customHeight="1" s="65">
      <c r="C119" s="39" t="n"/>
      <c r="D119" s="39" t="n"/>
      <c r="E119" s="39" t="n"/>
      <c r="F119" s="39" t="n"/>
      <c r="G119" s="39" t="n"/>
      <c r="H119" s="39" t="n"/>
      <c r="I119" s="39" t="n"/>
      <c r="J119" s="39" t="n"/>
      <c r="L119" s="39" t="n"/>
      <c r="M119" s="39" t="n"/>
      <c r="N119" s="39" t="n"/>
      <c r="O119" s="39" t="n"/>
      <c r="P119" s="39" t="n"/>
    </row>
    <row r="120" ht="21" customHeight="1" s="65">
      <c r="C120" s="39" t="n"/>
      <c r="D120" s="39" t="n"/>
      <c r="E120" s="39" t="n"/>
      <c r="F120" s="39" t="n"/>
      <c r="G120" s="39" t="n"/>
      <c r="H120" s="39" t="n"/>
      <c r="I120" s="39" t="n"/>
      <c r="J120" s="39" t="n"/>
      <c r="L120" s="39" t="n"/>
      <c r="M120" s="39" t="n"/>
      <c r="N120" s="39" t="n"/>
      <c r="O120" s="39" t="n"/>
      <c r="P120" s="39" t="n"/>
    </row>
    <row r="121" ht="21" customHeight="1" s="65">
      <c r="C121" s="39" t="n"/>
      <c r="D121" s="39" t="n"/>
      <c r="E121" s="39" t="n"/>
      <c r="F121" s="39" t="n"/>
      <c r="G121" s="39" t="n"/>
      <c r="H121" s="39" t="n"/>
      <c r="I121" s="39" t="n"/>
      <c r="J121" s="39" t="n"/>
      <c r="L121" s="39" t="n"/>
      <c r="M121" s="39" t="n"/>
      <c r="N121" s="39" t="n"/>
      <c r="O121" s="39" t="n"/>
      <c r="P121" s="39" t="n"/>
    </row>
    <row r="122" ht="21" customHeight="1" s="65">
      <c r="C122" s="39" t="n"/>
      <c r="D122" s="39" t="n"/>
      <c r="E122" s="39" t="n"/>
      <c r="F122" s="39" t="n"/>
      <c r="G122" s="39" t="n"/>
      <c r="H122" s="39" t="n"/>
      <c r="I122" s="39" t="n"/>
      <c r="J122" s="39" t="n"/>
      <c r="L122" s="39" t="n"/>
      <c r="M122" s="39" t="n"/>
      <c r="N122" s="39" t="n"/>
      <c r="O122" s="39" t="n"/>
      <c r="P122" s="39" t="n"/>
    </row>
    <row r="123" ht="21" customHeight="1" s="65">
      <c r="C123" s="39" t="n"/>
      <c r="D123" s="39" t="n"/>
      <c r="E123" s="39" t="n"/>
      <c r="F123" s="39" t="n"/>
      <c r="G123" s="39" t="n"/>
      <c r="H123" s="39" t="n"/>
      <c r="I123" s="39" t="n"/>
      <c r="J123" s="39" t="n"/>
      <c r="L123" s="39" t="n"/>
      <c r="M123" s="39" t="n"/>
      <c r="N123" s="39" t="n"/>
      <c r="O123" s="39" t="n"/>
      <c r="P123" s="39" t="n"/>
    </row>
    <row r="124" ht="21" customHeight="1" s="65">
      <c r="D124" s="39" t="n"/>
      <c r="E124" s="39" t="n"/>
      <c r="F124" s="39" t="n"/>
      <c r="G124" s="39" t="n"/>
      <c r="H124" s="39" t="n"/>
      <c r="I124" s="39" t="n"/>
      <c r="J124" s="39" t="n"/>
      <c r="L124" s="39" t="n"/>
      <c r="M124" s="39" t="n"/>
      <c r="N124" s="39" t="n"/>
      <c r="O124" s="39" t="n"/>
      <c r="P124" s="39" t="n"/>
    </row>
    <row r="125" ht="21" customHeight="1" s="65">
      <c r="D125" s="39" t="n"/>
      <c r="E125" s="39" t="n"/>
      <c r="F125" s="39" t="n"/>
      <c r="G125" s="39" t="n"/>
      <c r="H125" s="39" t="n"/>
      <c r="I125" s="39" t="n"/>
      <c r="J125" s="39" t="n"/>
      <c r="L125" s="39" t="n"/>
      <c r="M125" s="39" t="n"/>
      <c r="N125" s="39" t="n"/>
      <c r="O125" s="39" t="n"/>
      <c r="P125" s="39" t="n"/>
    </row>
    <row r="126" ht="44.1" customHeight="1" s="65">
      <c r="D126" s="39" t="n"/>
      <c r="E126" s="43" t="n"/>
      <c r="F126" s="43" t="n"/>
      <c r="G126" s="43" t="n"/>
      <c r="H126" s="43" t="n"/>
      <c r="I126" s="43" t="n"/>
      <c r="J126" s="39" t="n"/>
      <c r="L126" s="39" t="n"/>
      <c r="M126" s="39" t="n"/>
      <c r="N126" s="39" t="n"/>
      <c r="O126" s="39" t="n"/>
      <c r="P126" s="39" t="n"/>
    </row>
    <row r="127" ht="21" customHeight="1" s="65">
      <c r="D127" s="39" t="n"/>
      <c r="E127" s="39" t="n"/>
      <c r="F127" s="39" t="n"/>
      <c r="G127" s="39" t="n"/>
      <c r="H127" s="39" t="n"/>
      <c r="I127" s="39" t="n"/>
      <c r="J127" s="39" t="n"/>
      <c r="L127" s="39" t="n"/>
      <c r="M127" s="39" t="n"/>
      <c r="N127" s="39" t="n"/>
      <c r="O127" s="39" t="n"/>
      <c r="P127" s="39" t="n"/>
    </row>
    <row r="128" ht="21" customHeight="1" s="65">
      <c r="D128" s="39" t="n"/>
      <c r="E128" s="39" t="n"/>
      <c r="F128" s="39" t="n"/>
      <c r="G128" s="39" t="n"/>
      <c r="H128" s="39" t="n"/>
      <c r="I128" s="39" t="n"/>
      <c r="J128" s="39" t="n"/>
      <c r="L128" s="39" t="n"/>
      <c r="M128" s="39" t="n"/>
      <c r="N128" s="39" t="n"/>
      <c r="O128" s="39" t="n"/>
      <c r="P128" s="39" t="n"/>
    </row>
    <row r="129" ht="21" customHeight="1" s="65">
      <c r="D129" s="39" t="n"/>
      <c r="E129" s="39" t="n"/>
      <c r="F129" s="39" t="n"/>
      <c r="G129" s="39" t="n"/>
      <c r="H129" s="39" t="n"/>
      <c r="I129" s="39" t="n"/>
      <c r="J129" s="39" t="n"/>
      <c r="L129" s="39" t="n"/>
      <c r="M129" s="39" t="n"/>
      <c r="N129" s="39" t="n"/>
      <c r="O129" s="39" t="n"/>
      <c r="P129" s="39" t="n"/>
    </row>
    <row r="130" ht="21" customHeight="1" s="65">
      <c r="D130" s="39" t="n"/>
      <c r="E130" s="39" t="n"/>
      <c r="F130" s="39" t="n"/>
      <c r="G130" s="39" t="n"/>
      <c r="H130" s="39" t="n"/>
      <c r="I130" s="39" t="n"/>
      <c r="J130" s="39" t="n"/>
      <c r="L130" s="39" t="n"/>
      <c r="M130" s="39" t="n"/>
      <c r="N130" s="39" t="n"/>
      <c r="O130" s="39" t="n"/>
      <c r="P130" s="39" t="n"/>
    </row>
    <row r="131" ht="21" customHeight="1" s="65">
      <c r="D131" s="39" t="n"/>
      <c r="E131" s="39" t="n"/>
      <c r="F131" s="39" t="n"/>
      <c r="G131" s="39" t="n"/>
      <c r="H131" s="39" t="n"/>
      <c r="I131" s="39" t="n"/>
      <c r="J131" s="39" t="n"/>
      <c r="L131" s="39" t="n"/>
      <c r="M131" s="39" t="n"/>
      <c r="N131" s="39" t="n"/>
      <c r="O131" s="39" t="n"/>
      <c r="P131" s="39" t="n"/>
    </row>
    <row r="132" ht="21" customHeight="1" s="65">
      <c r="D132" s="39" t="n"/>
      <c r="E132" s="39" t="n"/>
      <c r="F132" s="39" t="n"/>
      <c r="G132" s="39" t="n"/>
      <c r="H132" s="39" t="n"/>
      <c r="I132" s="39" t="n"/>
      <c r="J132" s="39" t="n"/>
      <c r="L132" s="39" t="n"/>
      <c r="M132" s="39" t="n"/>
      <c r="N132" s="39" t="n"/>
      <c r="O132" s="39" t="n"/>
      <c r="P132" s="39" t="n"/>
    </row>
    <row r="133" ht="21" customHeight="1" s="65">
      <c r="D133" s="39" t="n"/>
      <c r="E133" s="39" t="n"/>
      <c r="F133" s="39" t="n"/>
      <c r="G133" s="39" t="n"/>
      <c r="H133" s="39" t="n"/>
      <c r="I133" s="39" t="n"/>
      <c r="J133" s="39" t="n"/>
      <c r="L133" s="39" t="n"/>
      <c r="M133" s="39" t="n"/>
      <c r="N133" s="39" t="n"/>
      <c r="O133" s="39" t="n"/>
      <c r="P133" s="39" t="n"/>
    </row>
    <row r="134" ht="21" customHeight="1" s="65">
      <c r="D134" s="39" t="n"/>
      <c r="E134" s="39" t="n"/>
      <c r="F134" s="39" t="n"/>
      <c r="G134" s="39" t="n"/>
      <c r="H134" s="39" t="n"/>
      <c r="I134" s="39" t="n"/>
      <c r="J134" s="39" t="n"/>
      <c r="L134" s="39" t="n"/>
      <c r="M134" s="39" t="n"/>
      <c r="N134" s="39" t="n"/>
      <c r="O134" s="39" t="n"/>
      <c r="P134" s="39" t="n"/>
    </row>
    <row r="135" ht="21" customHeight="1" s="65">
      <c r="D135" s="39" t="n"/>
      <c r="E135" s="39" t="n"/>
      <c r="F135" s="39" t="n"/>
      <c r="G135" s="39" t="n"/>
      <c r="H135" s="39" t="n"/>
      <c r="I135" s="39" t="n"/>
      <c r="J135" s="39" t="n"/>
    </row>
    <row r="136" ht="21" customHeight="1" s="65">
      <c r="D136" s="39" t="n"/>
      <c r="E136" s="39" t="n"/>
      <c r="F136" s="39" t="n"/>
      <c r="G136" s="39" t="n"/>
      <c r="H136" s="39" t="n"/>
      <c r="I136" s="39" t="n"/>
      <c r="J136" s="39" t="n"/>
    </row>
    <row r="137" ht="21" customHeight="1" s="65">
      <c r="D137" s="39" t="n"/>
      <c r="E137" s="39" t="n"/>
      <c r="F137" s="39" t="n"/>
      <c r="G137" s="39" t="n"/>
      <c r="H137" s="39" t="n"/>
      <c r="I137" s="39" t="n"/>
      <c r="J137" s="39" t="n"/>
    </row>
    <row r="138" ht="21" customHeight="1" s="65">
      <c r="D138" s="39" t="n"/>
      <c r="E138" s="39" t="n"/>
      <c r="F138" s="39" t="n"/>
      <c r="G138" s="39" t="n"/>
      <c r="H138" s="39" t="n"/>
      <c r="I138" s="39" t="n"/>
      <c r="J138" s="39" t="n"/>
    </row>
    <row r="139" ht="21" customHeight="1" s="65">
      <c r="D139" s="39" t="n"/>
      <c r="E139" s="39" t="n"/>
      <c r="F139" s="39" t="n"/>
      <c r="G139" s="39" t="n"/>
      <c r="H139" s="39" t="n"/>
      <c r="I139" s="39" t="n"/>
      <c r="J139" s="39" t="n"/>
    </row>
    <row r="140" ht="21" customHeight="1" s="65">
      <c r="D140" s="39" t="n"/>
      <c r="E140" s="39" t="n"/>
      <c r="F140" s="39" t="n"/>
      <c r="G140" s="39" t="n"/>
      <c r="H140" s="39" t="n"/>
      <c r="I140" s="39" t="n"/>
      <c r="J140" s="39" t="n"/>
    </row>
    <row r="141" ht="21" customHeight="1" s="65">
      <c r="D141" s="39" t="n"/>
      <c r="E141" s="39" t="n"/>
      <c r="F141" s="39" t="n"/>
      <c r="G141" s="39" t="n"/>
      <c r="H141" s="39" t="n"/>
      <c r="I141" s="39" t="n"/>
      <c r="J141" s="39" t="n"/>
    </row>
    <row r="142" ht="21" customHeight="1" s="65">
      <c r="D142" s="39" t="n"/>
      <c r="E142" s="39" t="n"/>
      <c r="F142" s="39" t="n"/>
      <c r="G142" s="39" t="n"/>
      <c r="H142" s="39" t="n"/>
      <c r="I142" s="39" t="n"/>
      <c r="J142" s="39" t="n"/>
    </row>
    <row r="143" ht="21" customHeight="1" s="65">
      <c r="D143" s="39" t="n"/>
      <c r="E143" s="39" t="n"/>
      <c r="F143" s="39" t="n"/>
      <c r="G143" s="39" t="n"/>
      <c r="H143" s="39" t="n"/>
      <c r="I143" s="39" t="n"/>
      <c r="J143" s="39" t="n"/>
    </row>
    <row r="144" ht="21" customHeight="1" s="65">
      <c r="D144" s="39" t="n"/>
      <c r="E144" s="39" t="n"/>
      <c r="F144" s="39" t="n"/>
      <c r="G144" s="39" t="n"/>
      <c r="H144" s="39" t="n"/>
      <c r="I144" s="39" t="n"/>
      <c r="J144" s="39" t="n"/>
    </row>
    <row r="145" ht="21" customHeight="1" s="65">
      <c r="D145" s="39" t="n"/>
      <c r="E145" s="39" t="n"/>
      <c r="F145" s="39" t="n"/>
      <c r="G145" s="39" t="n"/>
      <c r="H145" s="39" t="n"/>
      <c r="I145" s="39" t="n"/>
      <c r="J145" s="39" t="n"/>
    </row>
    <row r="146" ht="21" customHeight="1" s="65">
      <c r="D146" s="39" t="n"/>
      <c r="E146" s="39" t="n"/>
      <c r="F146" s="39" t="n"/>
      <c r="G146" s="39" t="n"/>
      <c r="H146" s="39" t="n"/>
      <c r="I146" s="39" t="n"/>
      <c r="J146" s="39" t="n"/>
    </row>
    <row r="147" ht="21" customHeight="1" s="65">
      <c r="D147" s="39" t="n"/>
      <c r="E147" s="39" t="n"/>
      <c r="F147" s="39" t="n"/>
      <c r="G147" s="39" t="n"/>
      <c r="H147" s="39" t="n"/>
      <c r="I147" s="39" t="n"/>
      <c r="J147" s="39" t="n"/>
    </row>
    <row r="148" ht="21" customHeight="1" s="65">
      <c r="D148" s="39" t="n"/>
      <c r="E148" s="39" t="n"/>
      <c r="F148" s="39" t="n"/>
      <c r="G148" s="39" t="n"/>
      <c r="H148" s="39" t="n"/>
      <c r="I148" s="39" t="n"/>
      <c r="J148" s="39" t="n"/>
    </row>
    <row r="149" ht="21" customHeight="1" s="65">
      <c r="D149" s="39" t="n"/>
      <c r="E149" s="39" t="n"/>
      <c r="F149" s="39" t="n"/>
      <c r="G149" s="39" t="n"/>
      <c r="H149" s="39" t="n"/>
      <c r="I149" s="39" t="n"/>
      <c r="J149" s="39" t="n"/>
    </row>
    <row r="150" ht="21" customHeight="1" s="65">
      <c r="D150" s="39" t="n"/>
      <c r="E150" s="39" t="n"/>
      <c r="F150" s="39" t="n"/>
      <c r="G150" s="39" t="n"/>
      <c r="H150" s="39" t="n"/>
      <c r="I150" s="39" t="n"/>
      <c r="J150" s="39" t="n"/>
    </row>
    <row r="151" ht="21" customHeight="1" s="65">
      <c r="D151" s="39" t="n"/>
      <c r="E151" s="39" t="n"/>
      <c r="F151" s="39" t="n"/>
      <c r="G151" s="39" t="n"/>
      <c r="H151" s="39" t="n"/>
      <c r="I151" s="39" t="n"/>
      <c r="J151" s="39" t="n"/>
    </row>
    <row r="152" ht="21" customHeight="1" s="65">
      <c r="D152" s="39" t="n"/>
      <c r="E152" s="39" t="n"/>
      <c r="F152" s="39" t="n"/>
      <c r="G152" s="39" t="n"/>
      <c r="H152" s="39" t="n"/>
      <c r="I152" s="39" t="n"/>
      <c r="J152" s="39" t="n"/>
    </row>
    <row r="153" ht="21" customHeight="1" s="65">
      <c r="D153" s="39" t="n"/>
      <c r="E153" s="39" t="n"/>
      <c r="F153" s="39" t="n"/>
      <c r="G153" s="39" t="n"/>
      <c r="H153" s="39" t="n"/>
      <c r="I153" s="39" t="n"/>
      <c r="J153" s="39" t="n"/>
    </row>
    <row r="154" ht="21" customHeight="1" s="65">
      <c r="D154" s="39" t="n"/>
      <c r="E154" s="39" t="n"/>
      <c r="F154" s="39" t="n"/>
      <c r="G154" s="39" t="n"/>
      <c r="H154" s="39" t="n"/>
      <c r="I154" s="39" t="n"/>
      <c r="J154" s="39" t="n"/>
    </row>
    <row r="155" ht="21" customHeight="1" s="65">
      <c r="D155" s="39" t="n"/>
      <c r="E155" s="39" t="n"/>
      <c r="F155" s="39" t="n"/>
      <c r="G155" s="39" t="n"/>
      <c r="H155" s="39" t="n"/>
      <c r="I155" s="39" t="n"/>
      <c r="J155" s="39" t="n"/>
    </row>
    <row r="156" ht="21" customHeight="1" s="65">
      <c r="D156" s="39" t="n"/>
      <c r="E156" s="39" t="n"/>
      <c r="F156" s="39" t="n"/>
      <c r="G156" s="39" t="n"/>
      <c r="H156" s="39" t="n"/>
      <c r="I156" s="39" t="n"/>
      <c r="J156" s="39" t="n"/>
    </row>
    <row r="157" ht="21" customHeight="1" s="65">
      <c r="D157" s="39" t="n"/>
      <c r="E157" s="39" t="n"/>
      <c r="F157" s="39" t="n"/>
      <c r="G157" s="39" t="n"/>
      <c r="H157" s="39" t="n"/>
      <c r="I157" s="39" t="n"/>
      <c r="J157" s="39" t="n"/>
    </row>
    <row r="158" ht="21" customHeight="1" s="65">
      <c r="D158" s="39" t="n"/>
      <c r="E158" s="39" t="n"/>
      <c r="F158" s="39" t="n"/>
      <c r="G158" s="39" t="n"/>
      <c r="H158" s="39" t="n"/>
      <c r="I158" s="39" t="n"/>
      <c r="J158" s="39" t="n"/>
    </row>
    <row r="159" ht="21" customHeight="1" s="65">
      <c r="D159" s="39" t="n"/>
      <c r="E159" s="39" t="n"/>
      <c r="F159" s="39" t="n"/>
      <c r="G159" s="39" t="n"/>
      <c r="H159" s="39" t="n"/>
      <c r="I159" s="39" t="n"/>
      <c r="J159" s="39" t="n"/>
    </row>
    <row r="160" ht="21" customHeight="1" s="65">
      <c r="D160" s="39" t="n"/>
      <c r="E160" s="39" t="n"/>
      <c r="F160" s="39" t="n"/>
      <c r="G160" s="39" t="n"/>
      <c r="H160" s="39" t="n"/>
      <c r="I160" s="39" t="n"/>
      <c r="J160" s="39" t="n"/>
    </row>
    <row r="161" ht="21" customHeight="1" s="65">
      <c r="D161" s="39" t="n"/>
      <c r="E161" s="39" t="n"/>
      <c r="F161" s="39" t="n"/>
      <c r="G161" s="39" t="n"/>
      <c r="H161" s="39" t="n"/>
      <c r="I161" s="39" t="n"/>
      <c r="J161" s="39" t="n"/>
    </row>
    <row r="162" ht="21" customHeight="1" s="65">
      <c r="D162" s="39" t="n"/>
      <c r="E162" s="39" t="n"/>
      <c r="F162" s="39" t="n"/>
      <c r="G162" s="39" t="n"/>
      <c r="H162" s="39" t="n"/>
      <c r="I162" s="39" t="n"/>
      <c r="J162" s="39" t="n"/>
    </row>
    <row r="163" ht="21" customHeight="1" s="65">
      <c r="D163" s="39" t="n"/>
      <c r="E163" s="39" t="n"/>
      <c r="F163" s="39" t="n"/>
      <c r="G163" s="39" t="n"/>
      <c r="H163" s="39" t="n"/>
      <c r="I163" s="39" t="n"/>
      <c r="J163" s="39" t="n"/>
    </row>
    <row r="164" ht="21" customHeight="1" s="65">
      <c r="D164" s="39" t="n"/>
      <c r="E164" s="39" t="n"/>
      <c r="F164" s="39" t="n"/>
      <c r="G164" s="39" t="n"/>
      <c r="H164" s="39" t="n"/>
      <c r="I164" s="39" t="n"/>
      <c r="J164" s="39" t="n"/>
    </row>
    <row r="165" ht="21" customHeight="1" s="65">
      <c r="D165" s="39" t="n"/>
      <c r="E165" s="39" t="n"/>
      <c r="F165" s="39" t="n"/>
      <c r="G165" s="39" t="n"/>
      <c r="H165" s="39" t="n"/>
      <c r="I165" s="39" t="n"/>
      <c r="J165" s="39" t="n"/>
    </row>
    <row r="166" ht="21" customHeight="1" s="65">
      <c r="D166" s="39" t="n"/>
      <c r="E166" s="39" t="n"/>
      <c r="F166" s="39" t="n"/>
      <c r="G166" s="39" t="n"/>
      <c r="H166" s="39" t="n"/>
      <c r="I166" s="39" t="n"/>
      <c r="J166" s="39" t="n"/>
    </row>
    <row r="167" ht="21" customHeight="1" s="65">
      <c r="D167" s="39" t="n"/>
      <c r="E167" s="39" t="n"/>
      <c r="F167" s="39" t="n"/>
      <c r="G167" s="39" t="n"/>
      <c r="H167" s="39" t="n"/>
      <c r="I167" s="39" t="n"/>
      <c r="J167" s="39" t="n"/>
    </row>
    <row r="168" ht="21" customHeight="1" s="65">
      <c r="D168" s="39" t="n"/>
      <c r="E168" s="39" t="n"/>
      <c r="F168" s="39" t="n"/>
      <c r="G168" s="39" t="n"/>
      <c r="H168" s="39" t="n"/>
      <c r="I168" s="39" t="n"/>
      <c r="J168" s="39" t="n"/>
    </row>
    <row r="169" ht="21" customHeight="1" s="65">
      <c r="D169" s="39" t="n"/>
      <c r="E169" s="39" t="n"/>
      <c r="F169" s="39" t="n"/>
      <c r="G169" s="39" t="n"/>
      <c r="H169" s="39" t="n"/>
      <c r="I169" s="39" t="n"/>
      <c r="J169" s="39" t="n"/>
    </row>
    <row r="170" ht="21" customHeight="1" s="65">
      <c r="D170" s="39" t="n"/>
      <c r="E170" s="39" t="n"/>
      <c r="F170" s="39" t="n"/>
      <c r="G170" s="39" t="n"/>
      <c r="H170" s="39" t="n"/>
      <c r="I170" s="39" t="n"/>
      <c r="J170" s="39" t="n"/>
    </row>
    <row r="171" ht="21" customHeight="1" s="65">
      <c r="D171" s="39" t="n"/>
      <c r="E171" s="39" t="n"/>
      <c r="F171" s="39" t="n"/>
      <c r="G171" s="39" t="n"/>
      <c r="H171" s="39" t="n"/>
      <c r="I171" s="39" t="n"/>
      <c r="J171" s="39" t="n"/>
    </row>
    <row r="172" ht="21" customHeight="1" s="65">
      <c r="D172" s="39" t="n"/>
      <c r="E172" s="39" t="n"/>
      <c r="F172" s="39" t="n"/>
      <c r="G172" s="39" t="n"/>
      <c r="H172" s="39" t="n"/>
      <c r="I172" s="39" t="n"/>
      <c r="J172" s="39" t="n"/>
    </row>
    <row r="173" ht="21" customHeight="1" s="65">
      <c r="D173" s="39" t="n"/>
      <c r="E173" s="39" t="n"/>
      <c r="F173" s="39" t="n"/>
      <c r="G173" s="39" t="n"/>
      <c r="H173" s="39" t="n"/>
      <c r="I173" s="39" t="n"/>
      <c r="J173" s="39" t="n"/>
    </row>
    <row r="174" ht="21" customHeight="1" s="65">
      <c r="D174" s="39" t="n"/>
      <c r="E174" s="39" t="n"/>
      <c r="F174" s="39" t="n"/>
      <c r="G174" s="39" t="n"/>
      <c r="H174" s="39" t="n"/>
      <c r="I174" s="39" t="n"/>
      <c r="J174" s="39" t="n"/>
    </row>
    <row r="175" ht="21" customHeight="1" s="65">
      <c r="D175" s="39" t="n"/>
      <c r="E175" s="39" t="n"/>
      <c r="F175" s="39" t="n"/>
      <c r="G175" s="39" t="n"/>
      <c r="H175" s="39" t="n"/>
      <c r="I175" s="39" t="n"/>
      <c r="J175" s="39" t="n"/>
    </row>
    <row r="176" ht="21" customHeight="1" s="65">
      <c r="D176" s="39" t="n"/>
      <c r="E176" s="39" t="n"/>
      <c r="F176" s="39" t="n"/>
      <c r="G176" s="39" t="n"/>
      <c r="H176" s="39" t="n"/>
      <c r="I176" s="39" t="n"/>
      <c r="J176" s="39" t="n"/>
    </row>
    <row r="177" ht="21" customHeight="1" s="65">
      <c r="D177" s="39" t="n"/>
      <c r="E177" s="39" t="n"/>
      <c r="F177" s="39" t="n"/>
      <c r="G177" s="39" t="n"/>
      <c r="H177" s="39" t="n"/>
      <c r="I177" s="39" t="n"/>
      <c r="J177" s="39" t="n"/>
    </row>
    <row r="178" ht="21" customHeight="1" s="65">
      <c r="D178" s="39" t="n"/>
      <c r="E178" s="39" t="n"/>
      <c r="F178" s="39" t="n"/>
      <c r="G178" s="39" t="n"/>
      <c r="H178" s="39" t="n"/>
      <c r="I178" s="39" t="n"/>
      <c r="J178" s="39" t="n"/>
    </row>
    <row r="179" ht="21" customHeight="1" s="65">
      <c r="D179" s="39" t="n"/>
      <c r="E179" s="39" t="n"/>
      <c r="F179" s="39" t="n"/>
      <c r="G179" s="39" t="n"/>
      <c r="H179" s="39" t="n"/>
      <c r="I179" s="39" t="n"/>
      <c r="J179" s="39" t="n"/>
    </row>
    <row r="180" ht="21" customHeight="1" s="65">
      <c r="D180" s="39" t="n"/>
      <c r="E180" s="39" t="n"/>
      <c r="F180" s="39" t="n"/>
      <c r="G180" s="39" t="n"/>
      <c r="H180" s="39" t="n"/>
      <c r="I180" s="39" t="n"/>
      <c r="J180" s="39" t="n"/>
    </row>
    <row r="181" ht="21" customHeight="1" s="65">
      <c r="D181" s="39" t="n"/>
      <c r="E181" s="39" t="n"/>
      <c r="F181" s="39" t="n"/>
      <c r="G181" s="39" t="n"/>
      <c r="H181" s="39" t="n"/>
      <c r="I181" s="39" t="n"/>
      <c r="J181" s="39" t="n"/>
    </row>
    <row r="182" ht="21" customHeight="1" s="65">
      <c r="D182" s="39" t="n"/>
      <c r="E182" s="39" t="n"/>
      <c r="F182" s="39" t="n"/>
      <c r="G182" s="39" t="n"/>
      <c r="H182" s="39" t="n"/>
      <c r="I182" s="39" t="n"/>
      <c r="J182" s="39" t="n"/>
    </row>
    <row r="183" ht="21" customHeight="1" s="65">
      <c r="D183" s="39" t="n"/>
      <c r="E183" s="39" t="n"/>
      <c r="F183" s="39" t="n"/>
      <c r="G183" s="39" t="n"/>
      <c r="H183" s="39" t="n"/>
      <c r="I183" s="39" t="n"/>
      <c r="J183" s="39" t="n"/>
    </row>
    <row r="184" ht="21" customHeight="1" s="65">
      <c r="D184" s="39" t="n"/>
      <c r="E184" s="39" t="n"/>
      <c r="F184" s="39" t="n"/>
      <c r="G184" s="39" t="n"/>
      <c r="H184" s="39" t="n"/>
      <c r="I184" s="39" t="n"/>
      <c r="J184" s="39" t="n"/>
    </row>
    <row r="185" ht="21" customHeight="1" s="65">
      <c r="D185" s="39" t="n"/>
      <c r="E185" s="39" t="n"/>
      <c r="F185" s="39" t="n"/>
      <c r="G185" s="39" t="n"/>
      <c r="H185" s="39" t="n"/>
      <c r="I185" s="39" t="n"/>
      <c r="J185" s="39" t="n"/>
    </row>
    <row r="186" ht="21" customHeight="1" s="65">
      <c r="D186" s="39" t="n"/>
      <c r="E186" s="39" t="n"/>
      <c r="F186" s="39" t="n"/>
      <c r="G186" s="39" t="n"/>
      <c r="H186" s="39" t="n"/>
      <c r="I186" s="39" t="n"/>
      <c r="J186" s="39" t="n"/>
    </row>
    <row r="187" ht="21" customHeight="1" s="65">
      <c r="D187" s="39" t="n"/>
      <c r="E187" s="39" t="n"/>
      <c r="F187" s="39" t="n"/>
      <c r="G187" s="39" t="n"/>
      <c r="H187" s="39" t="n"/>
      <c r="I187" s="39" t="n"/>
      <c r="J187" s="39" t="n"/>
    </row>
    <row r="188" ht="21" customHeight="1" s="65">
      <c r="D188" s="39" t="n"/>
      <c r="E188" s="39" t="n"/>
      <c r="F188" s="39" t="n"/>
      <c r="G188" s="39" t="n"/>
      <c r="H188" s="39" t="n"/>
      <c r="I188" s="39" t="n"/>
      <c r="J188" s="39" t="n"/>
    </row>
    <row r="189" ht="21" customHeight="1" s="65">
      <c r="D189" s="39" t="n"/>
      <c r="E189" s="39" t="n"/>
      <c r="F189" s="39" t="n"/>
      <c r="G189" s="39" t="n"/>
      <c r="H189" s="39" t="n"/>
      <c r="I189" s="39" t="n"/>
      <c r="J189" s="39" t="n"/>
    </row>
    <row r="190" ht="21" customHeight="1" s="65">
      <c r="D190" s="39" t="n"/>
      <c r="E190" s="39" t="n"/>
      <c r="F190" s="39" t="n"/>
      <c r="G190" s="39" t="n"/>
      <c r="H190" s="39" t="n"/>
      <c r="I190" s="39" t="n"/>
      <c r="J190" s="39" t="n"/>
    </row>
    <row r="191" ht="21" customHeight="1" s="65">
      <c r="D191" s="39" t="n"/>
      <c r="E191" s="39" t="n"/>
      <c r="F191" s="39" t="n"/>
      <c r="G191" s="39" t="n"/>
      <c r="H191" s="39" t="n"/>
      <c r="I191" s="39" t="n"/>
      <c r="J191" s="39" t="n"/>
    </row>
    <row r="192" ht="21" customHeight="1" s="65">
      <c r="D192" s="39" t="n"/>
      <c r="E192" s="39" t="n"/>
      <c r="F192" s="39" t="n"/>
      <c r="G192" s="39" t="n"/>
      <c r="H192" s="39" t="n"/>
      <c r="I192" s="39" t="n"/>
      <c r="J192" s="39" t="n"/>
    </row>
    <row r="193" ht="21" customHeight="1" s="65">
      <c r="D193" s="39" t="n"/>
      <c r="E193" s="39" t="n"/>
      <c r="F193" s="39" t="n"/>
      <c r="G193" s="39" t="n"/>
      <c r="H193" s="39" t="n"/>
      <c r="I193" s="39" t="n"/>
      <c r="J193" s="39" t="n"/>
    </row>
    <row r="194" ht="21" customHeight="1" s="65">
      <c r="D194" s="39" t="n"/>
      <c r="E194" s="39" t="n"/>
      <c r="F194" s="39" t="n"/>
      <c r="G194" s="39" t="n"/>
      <c r="H194" s="39" t="n"/>
      <c r="I194" s="39" t="n"/>
      <c r="J194" s="39" t="n"/>
    </row>
    <row r="195" ht="21" customHeight="1" s="65">
      <c r="D195" s="39" t="n"/>
      <c r="E195" s="39" t="n"/>
      <c r="F195" s="39" t="n"/>
      <c r="G195" s="39" t="n"/>
      <c r="H195" s="39" t="n"/>
      <c r="I195" s="39" t="n"/>
      <c r="J195" s="39" t="n"/>
    </row>
    <row r="196" ht="21" customHeight="1" s="65">
      <c r="D196" s="39" t="n"/>
      <c r="E196" s="39" t="n"/>
      <c r="F196" s="39" t="n"/>
      <c r="G196" s="39" t="n"/>
      <c r="H196" s="39" t="n"/>
      <c r="I196" s="39" t="n"/>
      <c r="J196" s="39" t="n"/>
    </row>
    <row r="197" ht="21" customHeight="1" s="65">
      <c r="D197" s="39" t="n"/>
      <c r="E197" s="39" t="n"/>
      <c r="F197" s="39" t="n"/>
      <c r="G197" s="39" t="n"/>
      <c r="H197" s="39" t="n"/>
      <c r="I197" s="39" t="n"/>
      <c r="J197" s="39" t="n"/>
    </row>
    <row r="198" ht="21" customHeight="1" s="65">
      <c r="D198" s="39" t="n"/>
      <c r="E198" s="39" t="n"/>
      <c r="F198" s="39" t="n"/>
      <c r="G198" s="39" t="n"/>
      <c r="H198" s="39" t="n"/>
      <c r="I198" s="39" t="n"/>
      <c r="J198" s="39" t="n"/>
    </row>
    <row r="199" ht="21" customHeight="1" s="65">
      <c r="D199" s="39" t="n"/>
      <c r="E199" s="39" t="n"/>
      <c r="F199" s="39" t="n"/>
      <c r="G199" s="39" t="n"/>
      <c r="H199" s="39" t="n"/>
      <c r="I199" s="39" t="n"/>
      <c r="J199" s="39" t="n"/>
    </row>
    <row r="200" ht="21" customHeight="1" s="65">
      <c r="D200" s="39" t="n"/>
      <c r="E200" s="39" t="n"/>
      <c r="F200" s="39" t="n"/>
      <c r="G200" s="39" t="n"/>
      <c r="H200" s="39" t="n"/>
      <c r="I200" s="39" t="n"/>
      <c r="J200" s="39" t="n"/>
    </row>
    <row r="201" ht="21" customHeight="1" s="65">
      <c r="D201" s="39" t="n"/>
      <c r="E201" s="39" t="n"/>
      <c r="F201" s="39" t="n"/>
      <c r="G201" s="39" t="n"/>
      <c r="H201" s="39" t="n"/>
      <c r="I201" s="39" t="n"/>
      <c r="J201" s="39" t="n"/>
    </row>
    <row r="202" ht="21" customHeight="1" s="65">
      <c r="D202" s="39" t="n"/>
      <c r="E202" s="39" t="n"/>
      <c r="F202" s="39" t="n"/>
      <c r="G202" s="39" t="n"/>
      <c r="H202" s="39" t="n"/>
      <c r="I202" s="39" t="n"/>
      <c r="J202" s="39" t="n"/>
    </row>
    <row r="203" ht="21" customHeight="1" s="65">
      <c r="D203" s="39" t="n"/>
      <c r="E203" s="39" t="n"/>
      <c r="F203" s="39" t="n"/>
      <c r="G203" s="39" t="n"/>
      <c r="H203" s="39" t="n"/>
      <c r="I203" s="39" t="n"/>
      <c r="J203" s="39" t="n"/>
    </row>
    <row r="204" ht="21" customHeight="1" s="65">
      <c r="D204" s="39" t="n"/>
      <c r="E204" s="39" t="n"/>
      <c r="F204" s="39" t="n"/>
      <c r="G204" s="39" t="n"/>
      <c r="H204" s="39" t="n"/>
      <c r="I204" s="39" t="n"/>
      <c r="J204" s="39" t="n"/>
    </row>
    <row r="205" ht="21" customHeight="1" s="65">
      <c r="D205" s="39" t="n"/>
      <c r="E205" s="39" t="n"/>
      <c r="F205" s="39" t="n"/>
      <c r="G205" s="39" t="n"/>
      <c r="H205" s="39" t="n"/>
      <c r="I205" s="39" t="n"/>
      <c r="J205" s="39" t="n"/>
    </row>
    <row r="206" ht="21" customHeight="1" s="65">
      <c r="D206" s="39" t="n"/>
      <c r="E206" s="39" t="n"/>
      <c r="F206" s="39" t="n"/>
      <c r="G206" s="39" t="n"/>
      <c r="H206" s="39" t="n"/>
      <c r="I206" s="39" t="n"/>
      <c r="J206" s="39" t="n"/>
    </row>
    <row r="207" ht="21" customHeight="1" s="65">
      <c r="D207" s="39" t="n"/>
      <c r="E207" s="39" t="n"/>
      <c r="F207" s="39" t="n"/>
      <c r="G207" s="39" t="n"/>
      <c r="H207" s="39" t="n"/>
      <c r="I207" s="39" t="n"/>
      <c r="J207" s="39" t="n"/>
    </row>
    <row r="208" ht="21" customHeight="1" s="65">
      <c r="D208" s="39" t="n"/>
      <c r="E208" s="39" t="n"/>
      <c r="F208" s="39" t="n"/>
      <c r="G208" s="39" t="n"/>
      <c r="H208" s="39" t="n"/>
      <c r="I208" s="39" t="n"/>
      <c r="J208" s="39" t="n"/>
    </row>
    <row r="209" ht="21" customHeight="1" s="65">
      <c r="D209" s="39" t="n"/>
      <c r="E209" s="39" t="n"/>
      <c r="F209" s="39" t="n"/>
      <c r="G209" s="39" t="n"/>
      <c r="H209" s="39" t="n"/>
      <c r="I209" s="39" t="n"/>
      <c r="J209" s="39" t="n"/>
    </row>
    <row r="210" ht="21" customHeight="1" s="65">
      <c r="D210" s="39" t="n"/>
      <c r="E210" s="39" t="n"/>
      <c r="F210" s="39" t="n"/>
      <c r="G210" s="39" t="n"/>
      <c r="H210" s="39" t="n"/>
      <c r="I210" s="39" t="n"/>
      <c r="J210" s="39" t="n"/>
    </row>
    <row r="211" ht="21" customHeight="1" s="65">
      <c r="D211" s="39" t="n"/>
      <c r="E211" s="39" t="n"/>
      <c r="F211" s="39" t="n"/>
      <c r="G211" s="39" t="n"/>
      <c r="H211" s="39" t="n"/>
      <c r="I211" s="39" t="n"/>
      <c r="J211" s="39" t="n"/>
    </row>
    <row r="212" ht="21" customHeight="1" s="65">
      <c r="D212" s="39" t="n"/>
      <c r="E212" s="39" t="n"/>
      <c r="F212" s="39" t="n"/>
      <c r="G212" s="39" t="n"/>
      <c r="H212" s="39" t="n"/>
      <c r="I212" s="39" t="n"/>
      <c r="J212" s="39" t="n"/>
    </row>
    <row r="213" ht="21" customHeight="1" s="65">
      <c r="D213" s="39" t="n"/>
      <c r="E213" s="39" t="n"/>
      <c r="F213" s="39" t="n"/>
      <c r="G213" s="39" t="n"/>
      <c r="H213" s="39" t="n"/>
      <c r="I213" s="39" t="n"/>
      <c r="J213" s="39" t="n"/>
    </row>
    <row r="214" ht="21" customHeight="1" s="65">
      <c r="D214" s="39" t="n"/>
      <c r="E214" s="39" t="n"/>
      <c r="F214" s="39" t="n"/>
      <c r="G214" s="39" t="n"/>
      <c r="H214" s="39" t="n"/>
      <c r="I214" s="39" t="n"/>
      <c r="J214" s="39" t="n"/>
    </row>
    <row r="215" ht="21" customHeight="1" s="65">
      <c r="D215" s="39" t="n"/>
      <c r="E215" s="39" t="n"/>
      <c r="F215" s="39" t="n"/>
      <c r="G215" s="39" t="n"/>
      <c r="H215" s="39" t="n"/>
      <c r="I215" s="39" t="n"/>
      <c r="J215" s="39" t="n"/>
    </row>
    <row r="216" ht="21" customHeight="1" s="65">
      <c r="D216" s="39" t="n"/>
      <c r="E216" s="39" t="n"/>
      <c r="F216" s="39" t="n"/>
      <c r="G216" s="39" t="n"/>
      <c r="H216" s="39" t="n"/>
      <c r="I216" s="39" t="n"/>
      <c r="J216" s="39" t="n"/>
    </row>
    <row r="217" ht="21" customHeight="1" s="65">
      <c r="D217" s="39" t="n"/>
      <c r="E217" s="39" t="n"/>
      <c r="F217" s="39" t="n"/>
      <c r="G217" s="39" t="n"/>
      <c r="H217" s="39" t="n"/>
      <c r="I217" s="39" t="n"/>
      <c r="J217" s="39" t="n"/>
    </row>
    <row r="218" ht="21" customHeight="1" s="65">
      <c r="D218" s="39" t="n"/>
      <c r="E218" s="39" t="n"/>
      <c r="F218" s="39" t="n"/>
      <c r="G218" s="39" t="n"/>
      <c r="H218" s="39" t="n"/>
      <c r="I218" s="39" t="n"/>
      <c r="J218" s="39" t="n"/>
    </row>
    <row r="219" ht="21" customHeight="1" s="65">
      <c r="D219" s="39" t="n"/>
      <c r="E219" s="39" t="n"/>
      <c r="F219" s="39" t="n"/>
      <c r="G219" s="39" t="n"/>
      <c r="H219" s="39" t="n"/>
      <c r="I219" s="39" t="n"/>
      <c r="J219" s="39" t="n"/>
    </row>
    <row r="220" ht="21" customHeight="1" s="65">
      <c r="D220" s="39" t="n"/>
      <c r="E220" s="39" t="n"/>
      <c r="F220" s="39" t="n"/>
      <c r="G220" s="39" t="n"/>
      <c r="H220" s="39" t="n"/>
      <c r="I220" s="39" t="n"/>
      <c r="J220" s="39" t="n"/>
    </row>
    <row r="221" ht="21" customHeight="1" s="65">
      <c r="D221" s="39" t="n"/>
      <c r="E221" s="39" t="n"/>
      <c r="F221" s="39" t="n"/>
      <c r="G221" s="39" t="n"/>
      <c r="H221" s="39" t="n"/>
      <c r="I221" s="39" t="n"/>
      <c r="J221" s="39" t="n"/>
    </row>
    <row r="222" ht="21" customHeight="1" s="65">
      <c r="D222" s="39" t="n"/>
      <c r="E222" s="39" t="n"/>
      <c r="F222" s="39" t="n"/>
      <c r="G222" s="39" t="n"/>
      <c r="H222" s="39" t="n"/>
      <c r="I222" s="39" t="n"/>
      <c r="J222" s="39" t="n"/>
    </row>
    <row r="223" ht="21" customHeight="1" s="65">
      <c r="D223" s="39" t="n"/>
      <c r="E223" s="39" t="n"/>
      <c r="F223" s="39" t="n"/>
      <c r="G223" s="39" t="n"/>
      <c r="H223" s="39" t="n"/>
      <c r="I223" s="39" t="n"/>
      <c r="J223" s="39" t="n"/>
    </row>
    <row r="224" ht="21" customHeight="1" s="65">
      <c r="D224" s="39" t="n"/>
      <c r="E224" s="39" t="n"/>
      <c r="F224" s="39" t="n"/>
      <c r="G224" s="39" t="n"/>
      <c r="H224" s="39" t="n"/>
      <c r="I224" s="39" t="n"/>
      <c r="J224" s="39" t="n"/>
    </row>
    <row r="225" ht="21" customHeight="1" s="65">
      <c r="D225" s="39" t="n"/>
      <c r="E225" s="39" t="n"/>
      <c r="F225" s="39" t="n"/>
      <c r="G225" s="39" t="n"/>
      <c r="H225" s="39" t="n"/>
      <c r="I225" s="39" t="n"/>
      <c r="J225" s="39" t="n"/>
    </row>
    <row r="226" ht="21" customHeight="1" s="65">
      <c r="D226" s="39" t="n"/>
      <c r="E226" s="39" t="n"/>
      <c r="F226" s="39" t="n"/>
      <c r="G226" s="39" t="n"/>
      <c r="H226" s="39" t="n"/>
      <c r="I226" s="39" t="n"/>
      <c r="J226" s="39" t="n"/>
    </row>
    <row r="227" ht="21" customHeight="1" s="65">
      <c r="D227" s="39" t="n"/>
      <c r="E227" s="39" t="n"/>
      <c r="F227" s="39" t="n"/>
      <c r="G227" s="39" t="n"/>
      <c r="H227" s="39" t="n"/>
      <c r="I227" s="39" t="n"/>
      <c r="J227" s="39" t="n"/>
    </row>
    <row r="228" ht="21" customHeight="1" s="65">
      <c r="D228" s="39" t="n"/>
      <c r="E228" s="39" t="n"/>
      <c r="F228" s="39" t="n"/>
      <c r="G228" s="39" t="n"/>
      <c r="H228" s="39" t="n"/>
      <c r="I228" s="39" t="n"/>
      <c r="J228" s="39" t="n"/>
    </row>
    <row r="229" ht="21" customHeight="1" s="65">
      <c r="D229" s="39" t="n"/>
      <c r="E229" s="39" t="n"/>
      <c r="F229" s="39" t="n"/>
      <c r="G229" s="39" t="n"/>
      <c r="H229" s="39" t="n"/>
      <c r="I229" s="39" t="n"/>
      <c r="J229" s="39" t="n"/>
    </row>
    <row r="230" ht="21" customHeight="1" s="65">
      <c r="D230" s="39" t="n"/>
      <c r="E230" s="39" t="n"/>
      <c r="F230" s="39" t="n"/>
      <c r="G230" s="39" t="n"/>
      <c r="H230" s="39" t="n"/>
      <c r="I230" s="39" t="n"/>
      <c r="J230" s="39" t="n"/>
    </row>
    <row r="231" ht="21" customHeight="1" s="65">
      <c r="D231" s="39" t="n"/>
      <c r="E231" s="39" t="n"/>
      <c r="F231" s="39" t="n"/>
      <c r="G231" s="39" t="n"/>
      <c r="H231" s="39" t="n"/>
      <c r="I231" s="39" t="n"/>
      <c r="J231" s="39" t="n"/>
    </row>
    <row r="232" ht="21" customHeight="1" s="65">
      <c r="D232" s="39" t="n"/>
      <c r="E232" s="39" t="n"/>
      <c r="F232" s="39" t="n"/>
      <c r="G232" s="39" t="n"/>
      <c r="H232" s="39" t="n"/>
      <c r="I232" s="39" t="n"/>
      <c r="J232" s="39" t="n"/>
    </row>
    <row r="233" ht="21" customHeight="1" s="65">
      <c r="D233" s="39" t="n"/>
      <c r="E233" s="39" t="n"/>
      <c r="F233" s="39" t="n"/>
      <c r="G233" s="39" t="n"/>
      <c r="H233" s="39" t="n"/>
      <c r="I233" s="39" t="n"/>
      <c r="J233" s="39" t="n"/>
    </row>
    <row r="234" ht="21" customHeight="1" s="65">
      <c r="D234" s="39" t="n"/>
      <c r="E234" s="39" t="n"/>
      <c r="F234" s="39" t="n"/>
      <c r="G234" s="39" t="n"/>
      <c r="H234" s="39" t="n"/>
      <c r="I234" s="39" t="n"/>
    </row>
    <row r="235" ht="21" customHeight="1" s="65">
      <c r="D235" s="39" t="n"/>
      <c r="E235" s="39" t="n"/>
      <c r="F235" s="39" t="n"/>
      <c r="G235" s="39" t="n"/>
      <c r="H235" s="39" t="n"/>
      <c r="I235" s="39" t="n"/>
    </row>
    <row r="236" ht="21" customHeight="1" s="65">
      <c r="D236" s="39" t="n"/>
      <c r="E236" s="39" t="n"/>
      <c r="F236" s="39" t="n"/>
      <c r="G236" s="39" t="n"/>
      <c r="H236" s="39" t="n"/>
      <c r="I236" s="39" t="n"/>
    </row>
    <row r="237" ht="21" customHeight="1" s="65">
      <c r="D237" s="39" t="n"/>
      <c r="E237" s="39" t="n"/>
      <c r="F237" s="39" t="n"/>
      <c r="G237" s="39" t="n"/>
      <c r="H237" s="39" t="n"/>
      <c r="I237" s="39" t="n"/>
    </row>
    <row r="238" ht="21" customHeight="1" s="65">
      <c r="D238" s="39" t="n"/>
      <c r="E238" s="39" t="n"/>
      <c r="F238" s="39" t="n"/>
      <c r="G238" s="39" t="n"/>
      <c r="H238" s="39" t="n"/>
      <c r="I238" s="39" t="n"/>
    </row>
    <row r="239" ht="21" customHeight="1" s="65">
      <c r="D239" s="39" t="n"/>
      <c r="E239" s="39" t="n"/>
      <c r="F239" s="39" t="n"/>
      <c r="G239" s="39" t="n"/>
      <c r="H239" s="39" t="n"/>
      <c r="I239" s="39" t="n"/>
    </row>
    <row r="240" ht="21" customHeight="1" s="65">
      <c r="D240" s="39" t="n"/>
      <c r="E240" s="39" t="n"/>
      <c r="F240" s="39" t="n"/>
      <c r="G240" s="39" t="n"/>
      <c r="H240" s="39" t="n"/>
      <c r="I240" s="39" t="n"/>
    </row>
    <row r="241" ht="21" customHeight="1" s="65">
      <c r="D241" s="39" t="n"/>
      <c r="E241" s="39" t="n"/>
      <c r="F241" s="39" t="n"/>
      <c r="G241" s="39" t="n"/>
      <c r="H241" s="39" t="n"/>
      <c r="I241" s="39" t="n"/>
    </row>
    <row r="242" ht="21" customHeight="1" s="65">
      <c r="D242" s="39" t="n"/>
      <c r="E242" s="39" t="n"/>
      <c r="F242" s="39" t="n"/>
      <c r="G242" s="39" t="n"/>
      <c r="H242" s="39" t="n"/>
      <c r="I242" s="39" t="n"/>
    </row>
    <row r="243" ht="21" customHeight="1" s="65">
      <c r="D243" s="39" t="n"/>
      <c r="E243" s="39" t="n"/>
      <c r="F243" s="39" t="n"/>
      <c r="G243" s="39" t="n"/>
      <c r="H243" s="39" t="n"/>
      <c r="I243" s="39" t="n"/>
    </row>
    <row r="244" ht="21" customHeight="1" s="65">
      <c r="D244" s="39" t="n"/>
      <c r="E244" s="39" t="n"/>
      <c r="F244" s="39" t="n"/>
      <c r="G244" s="39" t="n"/>
      <c r="H244" s="39" t="n"/>
      <c r="I244" s="39" t="n"/>
    </row>
    <row r="245" ht="21" customHeight="1" s="65">
      <c r="D245" s="39" t="n"/>
      <c r="E245" s="39" t="n"/>
      <c r="F245" s="39" t="n"/>
      <c r="G245" s="39" t="n"/>
      <c r="H245" s="39" t="n"/>
      <c r="I245" s="39" t="n"/>
    </row>
    <row r="246" ht="21" customHeight="1" s="65">
      <c r="D246" s="39" t="n"/>
      <c r="E246" s="39" t="n"/>
      <c r="F246" s="39" t="n"/>
      <c r="G246" s="39" t="n"/>
      <c r="H246" s="39" t="n"/>
      <c r="I246" s="39" t="n"/>
    </row>
    <row r="247" ht="21" customHeight="1" s="65">
      <c r="D247" s="39" t="n"/>
      <c r="E247" s="39" t="n"/>
      <c r="F247" s="39" t="n"/>
      <c r="G247" s="39" t="n"/>
      <c r="H247" s="39" t="n"/>
      <c r="I247" s="39" t="n"/>
    </row>
    <row r="248" ht="21" customHeight="1" s="65">
      <c r="D248" s="39" t="n"/>
      <c r="E248" s="39" t="n"/>
      <c r="F248" s="39" t="n"/>
      <c r="G248" s="39" t="n"/>
      <c r="H248" s="39" t="n"/>
      <c r="I248" s="39" t="n"/>
    </row>
    <row r="249" ht="21" customHeight="1" s="65">
      <c r="D249" s="39" t="n"/>
      <c r="E249" s="39" t="n"/>
      <c r="F249" s="39" t="n"/>
      <c r="G249" s="39" t="n"/>
      <c r="H249" s="39" t="n"/>
      <c r="I249" s="39" t="n"/>
    </row>
    <row r="250" ht="21" customHeight="1" s="65">
      <c r="D250" s="39" t="n"/>
      <c r="E250" s="39" t="n"/>
      <c r="F250" s="39" t="n"/>
      <c r="G250" s="39" t="n"/>
      <c r="H250" s="39" t="n"/>
      <c r="I250" s="39" t="n"/>
    </row>
    <row r="251" ht="21" customHeight="1" s="65">
      <c r="D251" s="39" t="n"/>
      <c r="E251" s="39" t="n"/>
      <c r="F251" s="39" t="n"/>
      <c r="G251" s="39" t="n"/>
      <c r="H251" s="39" t="n"/>
      <c r="I251" s="39" t="n"/>
    </row>
    <row r="252" ht="21" customHeight="1" s="65">
      <c r="D252" s="39" t="n"/>
      <c r="E252" s="39" t="n"/>
      <c r="F252" s="39" t="n"/>
      <c r="G252" s="39" t="n"/>
      <c r="H252" s="39" t="n"/>
      <c r="I252" s="39" t="n"/>
    </row>
    <row r="253" ht="21" customHeight="1" s="65">
      <c r="D253" s="39" t="n"/>
      <c r="E253" s="39" t="n"/>
      <c r="F253" s="39" t="n"/>
      <c r="G253" s="39" t="n"/>
      <c r="H253" s="39" t="n"/>
      <c r="I253" s="39" t="n"/>
    </row>
    <row r="254" ht="21" customHeight="1" s="65">
      <c r="D254" s="39" t="n"/>
      <c r="E254" s="39" t="n"/>
      <c r="F254" s="39" t="n"/>
      <c r="G254" s="39" t="n"/>
      <c r="H254" s="39" t="n"/>
      <c r="I254" s="39" t="n"/>
    </row>
    <row r="255" ht="21" customHeight="1" s="65">
      <c r="D255" s="39" t="n"/>
      <c r="E255" s="39" t="n"/>
      <c r="F255" s="39" t="n"/>
      <c r="G255" s="39" t="n"/>
      <c r="H255" s="39" t="n"/>
      <c r="I255" s="39" t="n"/>
    </row>
    <row r="256" ht="21" customHeight="1" s="65">
      <c r="D256" s="39" t="n"/>
      <c r="E256" s="39" t="n"/>
      <c r="F256" s="39" t="n"/>
      <c r="G256" s="39" t="n"/>
      <c r="H256" s="39" t="n"/>
      <c r="I256" s="39" t="n"/>
    </row>
    <row r="257" ht="21" customHeight="1" s="65">
      <c r="D257" s="39" t="n"/>
      <c r="E257" s="39" t="n"/>
      <c r="F257" s="39" t="n"/>
      <c r="G257" s="39" t="n"/>
      <c r="H257" s="39" t="n"/>
      <c r="I257" s="39" t="n"/>
    </row>
    <row r="258" ht="21" customHeight="1" s="65">
      <c r="D258" s="39" t="n"/>
      <c r="E258" s="39" t="n"/>
      <c r="F258" s="39" t="n"/>
      <c r="G258" s="39" t="n"/>
      <c r="H258" s="39" t="n"/>
      <c r="I258" s="39" t="n"/>
    </row>
    <row r="259" ht="21" customHeight="1" s="65">
      <c r="D259" s="39" t="n"/>
      <c r="E259" s="39" t="n"/>
      <c r="F259" s="39" t="n"/>
      <c r="G259" s="39" t="n"/>
      <c r="H259" s="39" t="n"/>
      <c r="I259" s="39" t="n"/>
    </row>
    <row r="260" ht="21" customHeight="1" s="65">
      <c r="D260" s="39" t="n"/>
      <c r="E260" s="39" t="n"/>
      <c r="F260" s="39" t="n"/>
      <c r="G260" s="39" t="n"/>
      <c r="H260" s="39" t="n"/>
      <c r="I260" s="39" t="n"/>
    </row>
    <row r="261" ht="21" customHeight="1" s="65">
      <c r="D261" s="39" t="n"/>
      <c r="E261" s="39" t="n"/>
      <c r="F261" s="39" t="n"/>
      <c r="G261" s="39" t="n"/>
      <c r="H261" s="39" t="n"/>
      <c r="I261" s="39" t="n"/>
    </row>
    <row r="262" ht="21" customHeight="1" s="65">
      <c r="D262" s="39" t="n"/>
      <c r="E262" s="39" t="n"/>
      <c r="F262" s="39" t="n"/>
      <c r="G262" s="39" t="n"/>
      <c r="H262" s="39" t="n"/>
      <c r="I262" s="39" t="n"/>
    </row>
    <row r="263" ht="21" customHeight="1" s="65">
      <c r="D263" s="39" t="n"/>
      <c r="E263" s="39" t="n"/>
      <c r="F263" s="39" t="n"/>
      <c r="G263" s="39" t="n"/>
      <c r="H263" s="39" t="n"/>
      <c r="I263" s="39" t="n"/>
    </row>
    <row r="264" ht="21" customHeight="1" s="65">
      <c r="D264" s="39" t="n"/>
      <c r="E264" s="39" t="n"/>
      <c r="F264" s="39" t="n"/>
      <c r="G264" s="39" t="n"/>
      <c r="H264" s="39" t="n"/>
      <c r="I264" s="39" t="n"/>
    </row>
    <row r="265" ht="21" customHeight="1" s="65">
      <c r="D265" s="39" t="n"/>
      <c r="E265" s="39" t="n"/>
      <c r="F265" s="39" t="n"/>
      <c r="G265" s="39" t="n"/>
      <c r="H265" s="39" t="n"/>
      <c r="I265" s="39" t="n"/>
    </row>
    <row r="266" ht="21" customHeight="1" s="65">
      <c r="D266" s="39" t="n"/>
      <c r="E266" s="39" t="n"/>
      <c r="F266" s="39" t="n"/>
      <c r="G266" s="39" t="n"/>
      <c r="H266" s="39" t="n"/>
      <c r="I266" s="39" t="n"/>
    </row>
    <row r="267" ht="21" customHeight="1" s="65">
      <c r="D267" s="39" t="n"/>
      <c r="E267" s="39" t="n"/>
      <c r="F267" s="39" t="n"/>
      <c r="G267" s="39" t="n"/>
      <c r="H267" s="39" t="n"/>
      <c r="I267" s="39" t="n"/>
    </row>
    <row r="268" ht="21" customHeight="1" s="65">
      <c r="D268" s="39" t="n"/>
      <c r="E268" s="39" t="n"/>
      <c r="F268" s="39" t="n"/>
      <c r="G268" s="39" t="n"/>
      <c r="H268" s="39" t="n"/>
      <c r="I268" s="39" t="n"/>
    </row>
    <row r="269" ht="21" customHeight="1" s="65">
      <c r="D269" s="39" t="n"/>
      <c r="E269" s="39" t="n"/>
      <c r="F269" s="39" t="n"/>
      <c r="G269" s="39" t="n"/>
      <c r="H269" s="39" t="n"/>
      <c r="I269" s="39" t="n"/>
    </row>
    <row r="270" ht="21" customHeight="1" s="65">
      <c r="D270" s="39" t="n"/>
      <c r="E270" s="39" t="n"/>
      <c r="F270" s="39" t="n"/>
      <c r="G270" s="39" t="n"/>
      <c r="H270" s="39" t="n"/>
      <c r="I270" s="39" t="n"/>
    </row>
    <row r="271" ht="21" customHeight="1" s="65">
      <c r="D271" s="39" t="n"/>
      <c r="E271" s="39" t="n"/>
      <c r="F271" s="39" t="n"/>
      <c r="G271" s="39" t="n"/>
      <c r="H271" s="39" t="n"/>
      <c r="I271" s="39" t="n"/>
    </row>
    <row r="272" ht="21" customHeight="1" s="65">
      <c r="D272" s="39" t="n"/>
      <c r="E272" s="39" t="n"/>
      <c r="F272" s="39" t="n"/>
      <c r="G272" s="39" t="n"/>
      <c r="H272" s="39" t="n"/>
      <c r="I272" s="39" t="n"/>
    </row>
    <row r="273" ht="21" customHeight="1" s="65">
      <c r="D273" s="39" t="n"/>
      <c r="E273" s="39" t="n"/>
      <c r="F273" s="39" t="n"/>
      <c r="G273" s="39" t="n"/>
      <c r="H273" s="39" t="n"/>
      <c r="I273" s="39" t="n"/>
    </row>
    <row r="274" ht="21" customHeight="1" s="65">
      <c r="D274" s="39" t="n"/>
      <c r="E274" s="39" t="n"/>
      <c r="F274" s="39" t="n"/>
      <c r="G274" s="39" t="n"/>
      <c r="H274" s="39" t="n"/>
      <c r="I274" s="39" t="n"/>
    </row>
    <row r="275" ht="21" customHeight="1" s="65">
      <c r="D275" s="39" t="n"/>
      <c r="E275" s="39" t="n"/>
      <c r="F275" s="39" t="n"/>
      <c r="G275" s="39" t="n"/>
      <c r="H275" s="39" t="n"/>
      <c r="I275" s="39" t="n"/>
    </row>
    <row r="276" ht="21" customHeight="1" s="65">
      <c r="D276" s="39" t="n"/>
      <c r="E276" s="39" t="n"/>
      <c r="F276" s="39" t="n"/>
      <c r="G276" s="39" t="n"/>
      <c r="H276" s="39" t="n"/>
      <c r="I276" s="39" t="n"/>
    </row>
    <row r="277" ht="21" customHeight="1" s="65">
      <c r="D277" s="39" t="n"/>
      <c r="E277" s="39" t="n"/>
      <c r="F277" s="39" t="n"/>
      <c r="G277" s="39" t="n"/>
      <c r="H277" s="39" t="n"/>
      <c r="I277" s="39" t="n"/>
    </row>
    <row r="278" ht="21" customHeight="1" s="65">
      <c r="D278" s="39" t="n"/>
      <c r="E278" s="39" t="n"/>
      <c r="F278" s="39" t="n"/>
      <c r="G278" s="39" t="n"/>
      <c r="H278" s="39" t="n"/>
      <c r="I278" s="39" t="n"/>
    </row>
    <row r="279" ht="21" customHeight="1" s="65">
      <c r="D279" s="39" t="n"/>
      <c r="E279" s="39" t="n"/>
      <c r="F279" s="39" t="n"/>
      <c r="G279" s="39" t="n"/>
      <c r="H279" s="39" t="n"/>
      <c r="I279" s="39" t="n"/>
    </row>
    <row r="280" ht="21" customHeight="1" s="65">
      <c r="D280" s="39" t="n"/>
      <c r="E280" s="39" t="n"/>
      <c r="F280" s="39" t="n"/>
      <c r="G280" s="39" t="n"/>
      <c r="H280" s="39" t="n"/>
      <c r="I280" s="39" t="n"/>
    </row>
    <row r="281" ht="21" customHeight="1" s="65">
      <c r="D281" s="39" t="n"/>
      <c r="E281" s="39" t="n"/>
      <c r="F281" s="39" t="n"/>
      <c r="G281" s="39" t="n"/>
      <c r="H281" s="39" t="n"/>
      <c r="I281" s="39" t="n"/>
    </row>
    <row r="282" ht="21" customHeight="1" s="65">
      <c r="D282" s="39" t="n"/>
      <c r="E282" s="39" t="n"/>
      <c r="F282" s="39" t="n"/>
      <c r="G282" s="39" t="n"/>
      <c r="H282" s="39" t="n"/>
      <c r="I282" s="39" t="n"/>
    </row>
    <row r="283" ht="21" customHeight="1" s="65">
      <c r="D283" s="39" t="n"/>
      <c r="E283" s="39" t="n"/>
      <c r="F283" s="39" t="n"/>
      <c r="G283" s="39" t="n"/>
      <c r="H283" s="39" t="n"/>
      <c r="I283" s="39" t="n"/>
    </row>
    <row r="284" ht="21" customHeight="1" s="65">
      <c r="D284" s="39" t="n"/>
      <c r="E284" s="39" t="n"/>
      <c r="F284" s="39" t="n"/>
      <c r="G284" s="39" t="n"/>
      <c r="H284" s="39" t="n"/>
      <c r="I284" s="39" t="n"/>
    </row>
    <row r="285" ht="21" customHeight="1" s="65">
      <c r="D285" s="39" t="n"/>
      <c r="E285" s="39" t="n"/>
      <c r="F285" s="39" t="n"/>
      <c r="G285" s="39" t="n"/>
      <c r="H285" s="39" t="n"/>
      <c r="I285" s="39" t="n"/>
    </row>
    <row r="286" ht="21" customHeight="1" s="65">
      <c r="D286" s="39" t="n"/>
      <c r="E286" s="39" t="n"/>
      <c r="F286" s="39" t="n"/>
      <c r="G286" s="39" t="n"/>
      <c r="H286" s="39" t="n"/>
      <c r="I286" s="39" t="n"/>
    </row>
    <row r="287" ht="21" customHeight="1" s="65">
      <c r="D287" s="39" t="n"/>
      <c r="E287" s="39" t="n"/>
      <c r="F287" s="39" t="n"/>
      <c r="G287" s="39" t="n"/>
      <c r="H287" s="39" t="n"/>
      <c r="I287" s="39" t="n"/>
    </row>
    <row r="288" ht="21" customHeight="1" s="65">
      <c r="D288" s="39" t="n"/>
      <c r="E288" s="39" t="n"/>
      <c r="F288" s="39" t="n"/>
      <c r="G288" s="39" t="n"/>
      <c r="H288" s="39" t="n"/>
      <c r="I288" s="39" t="n"/>
    </row>
    <row r="289" ht="21" customHeight="1" s="65">
      <c r="D289" s="39" t="n"/>
      <c r="E289" s="39" t="n"/>
      <c r="F289" s="39" t="n"/>
      <c r="G289" s="39" t="n"/>
      <c r="H289" s="39" t="n"/>
      <c r="I289" s="39" t="n"/>
    </row>
    <row r="290" ht="21" customHeight="1" s="65">
      <c r="D290" s="39" t="n"/>
      <c r="E290" s="39" t="n"/>
      <c r="F290" s="39" t="n"/>
      <c r="G290" s="39" t="n"/>
      <c r="H290" s="39" t="n"/>
      <c r="I290" s="39" t="n"/>
    </row>
    <row r="291" ht="21" customHeight="1" s="65">
      <c r="D291" s="39" t="n"/>
      <c r="E291" s="39" t="n"/>
      <c r="F291" s="39" t="n"/>
      <c r="G291" s="39" t="n"/>
      <c r="H291" s="39" t="n"/>
      <c r="I291" s="39" t="n"/>
    </row>
    <row r="292" ht="21" customHeight="1" s="65">
      <c r="D292" s="39" t="n"/>
      <c r="E292" s="39" t="n"/>
      <c r="F292" s="39" t="n"/>
      <c r="G292" s="39" t="n"/>
      <c r="H292" s="39" t="n"/>
      <c r="I292" s="39" t="n"/>
    </row>
    <row r="293" ht="21" customHeight="1" s="65">
      <c r="D293" s="39" t="n"/>
      <c r="E293" s="39" t="n"/>
      <c r="F293" s="39" t="n"/>
      <c r="G293" s="39" t="n"/>
      <c r="H293" s="39" t="n"/>
      <c r="I293" s="39" t="n"/>
    </row>
    <row r="294" ht="21" customHeight="1" s="65">
      <c r="D294" s="39" t="n"/>
      <c r="E294" s="39" t="n"/>
      <c r="F294" s="39" t="n"/>
      <c r="G294" s="39" t="n"/>
      <c r="H294" s="39" t="n"/>
      <c r="I294" s="39" t="n"/>
    </row>
    <row r="295" ht="21" customHeight="1" s="65">
      <c r="D295" s="39" t="n"/>
      <c r="E295" s="39" t="n"/>
      <c r="F295" s="39" t="n"/>
      <c r="G295" s="39" t="n"/>
      <c r="H295" s="39" t="n"/>
      <c r="I295" s="39" t="n"/>
    </row>
    <row r="296" ht="21" customHeight="1" s="65">
      <c r="D296" s="39" t="n"/>
      <c r="E296" s="39" t="n"/>
      <c r="F296" s="39" t="n"/>
      <c r="G296" s="39" t="n"/>
      <c r="H296" s="39" t="n"/>
      <c r="I296" s="39" t="n"/>
    </row>
    <row r="297" ht="21" customHeight="1" s="65">
      <c r="D297" s="39" t="n"/>
      <c r="E297" s="39" t="n"/>
      <c r="F297" s="39" t="n"/>
      <c r="G297" s="39" t="n"/>
      <c r="H297" s="39" t="n"/>
      <c r="I297" s="39" t="n"/>
    </row>
    <row r="298" ht="21" customHeight="1" s="65">
      <c r="D298" s="39" t="n"/>
      <c r="E298" s="39" t="n"/>
      <c r="F298" s="39" t="n"/>
      <c r="G298" s="39" t="n"/>
      <c r="H298" s="39" t="n"/>
      <c r="I298" s="39" t="n"/>
    </row>
    <row r="299" ht="21" customHeight="1" s="65">
      <c r="D299" s="39" t="n"/>
      <c r="E299" s="39" t="n"/>
      <c r="F299" s="39" t="n"/>
      <c r="G299" s="39" t="n"/>
      <c r="H299" s="39" t="n"/>
      <c r="I299" s="39" t="n"/>
    </row>
    <row r="300" ht="21" customHeight="1" s="65">
      <c r="D300" s="39" t="n"/>
      <c r="E300" s="39" t="n"/>
      <c r="F300" s="39" t="n"/>
      <c r="G300" s="39" t="n"/>
      <c r="H300" s="39" t="n"/>
      <c r="I300" s="39" t="n"/>
    </row>
    <row r="301" ht="21" customHeight="1" s="65">
      <c r="D301" s="39" t="n"/>
      <c r="E301" s="39" t="n"/>
      <c r="F301" s="39" t="n"/>
      <c r="G301" s="39" t="n"/>
      <c r="H301" s="39" t="n"/>
      <c r="I301" s="39" t="n"/>
    </row>
    <row r="302" ht="21" customHeight="1" s="65">
      <c r="D302" s="39" t="n"/>
      <c r="E302" s="39" t="n"/>
      <c r="F302" s="39" t="n"/>
      <c r="G302" s="39" t="n"/>
      <c r="H302" s="39" t="n"/>
      <c r="I302" s="39" t="n"/>
    </row>
    <row r="303" ht="21" customHeight="1" s="65">
      <c r="D303" s="39" t="n"/>
      <c r="E303" s="39" t="n"/>
      <c r="F303" s="39" t="n"/>
      <c r="G303" s="39" t="n"/>
      <c r="H303" s="39" t="n"/>
      <c r="I303" s="39" t="n"/>
    </row>
    <row r="304" ht="21" customHeight="1" s="65">
      <c r="D304" s="39" t="n"/>
      <c r="E304" s="39" t="n"/>
      <c r="F304" s="39" t="n"/>
      <c r="G304" s="39" t="n"/>
      <c r="H304" s="39" t="n"/>
      <c r="I304" s="39" t="n"/>
    </row>
    <row r="305" ht="21" customHeight="1" s="65">
      <c r="D305" s="39" t="n"/>
      <c r="E305" s="39" t="n"/>
      <c r="F305" s="39" t="n"/>
      <c r="G305" s="39" t="n"/>
      <c r="H305" s="39" t="n"/>
      <c r="I305" s="39" t="n"/>
    </row>
    <row r="306" ht="21" customHeight="1" s="65">
      <c r="D306" s="39" t="n"/>
      <c r="E306" s="39" t="n"/>
      <c r="F306" s="39" t="n"/>
      <c r="G306" s="39" t="n"/>
      <c r="H306" s="39" t="n"/>
      <c r="I306" s="39" t="n"/>
    </row>
    <row r="307" ht="21" customHeight="1" s="65">
      <c r="D307" s="39" t="n"/>
      <c r="E307" s="39" t="n"/>
      <c r="F307" s="39" t="n"/>
      <c r="G307" s="39" t="n"/>
      <c r="H307" s="39" t="n"/>
      <c r="I307" s="39" t="n"/>
    </row>
    <row r="308" ht="21" customHeight="1" s="65">
      <c r="D308" s="39" t="n"/>
      <c r="E308" s="39" t="n"/>
      <c r="F308" s="39" t="n"/>
      <c r="G308" s="39" t="n"/>
      <c r="H308" s="39" t="n"/>
      <c r="I308" s="39" t="n"/>
    </row>
    <row r="309" ht="21" customHeight="1" s="65">
      <c r="D309" s="39" t="n"/>
      <c r="E309" s="39" t="n"/>
      <c r="F309" s="39" t="n"/>
      <c r="G309" s="39" t="n"/>
      <c r="H309" s="39" t="n"/>
      <c r="I309" s="39" t="n"/>
    </row>
    <row r="310" ht="21" customHeight="1" s="65">
      <c r="D310" s="39" t="n"/>
      <c r="E310" s="39" t="n"/>
      <c r="F310" s="39" t="n"/>
      <c r="G310" s="39" t="n"/>
      <c r="H310" s="39" t="n"/>
      <c r="I310" s="39" t="n"/>
    </row>
    <row r="311" ht="21" customHeight="1" s="65">
      <c r="D311" s="39" t="n"/>
      <c r="E311" s="39" t="n"/>
      <c r="F311" s="39" t="n"/>
      <c r="G311" s="39" t="n"/>
      <c r="H311" s="39" t="n"/>
      <c r="I311" s="39" t="n"/>
    </row>
    <row r="312" ht="21" customHeight="1" s="65">
      <c r="D312" s="39" t="n"/>
      <c r="E312" s="39" t="n"/>
      <c r="F312" s="39" t="n"/>
      <c r="G312" s="39" t="n"/>
      <c r="H312" s="39" t="n"/>
      <c r="I312" s="39" t="n"/>
    </row>
    <row r="313" ht="21" customHeight="1" s="65">
      <c r="D313" s="39" t="n"/>
      <c r="E313" s="39" t="n"/>
      <c r="F313" s="39" t="n"/>
      <c r="G313" s="39" t="n"/>
      <c r="H313" s="39" t="n"/>
      <c r="I313" s="39" t="n"/>
    </row>
    <row r="314" ht="21" customHeight="1" s="65">
      <c r="D314" s="39" t="n"/>
      <c r="E314" s="39" t="n"/>
      <c r="F314" s="39" t="n"/>
      <c r="G314" s="39" t="n"/>
      <c r="H314" s="39" t="n"/>
      <c r="I314" s="39" t="n"/>
    </row>
    <row r="315" ht="21" customHeight="1" s="65">
      <c r="D315" s="39" t="n"/>
      <c r="E315" s="39" t="n"/>
      <c r="F315" s="39" t="n"/>
      <c r="G315" s="39" t="n"/>
      <c r="H315" s="39" t="n"/>
      <c r="I315" s="39" t="n"/>
    </row>
    <row r="316" ht="21" customHeight="1" s="65">
      <c r="D316" s="39" t="n"/>
      <c r="E316" s="39" t="n"/>
      <c r="F316" s="39" t="n"/>
      <c r="G316" s="39" t="n"/>
      <c r="H316" s="39" t="n"/>
      <c r="I316" s="39" t="n"/>
    </row>
    <row r="317" ht="21" customHeight="1" s="65">
      <c r="D317" s="39" t="n"/>
      <c r="E317" s="39" t="n"/>
      <c r="F317" s="39" t="n"/>
      <c r="G317" s="39" t="n"/>
      <c r="H317" s="39" t="n"/>
      <c r="I317" s="39" t="n"/>
    </row>
    <row r="318" ht="21" customHeight="1" s="65">
      <c r="D318" s="39" t="n"/>
      <c r="E318" s="39" t="n"/>
      <c r="F318" s="39" t="n"/>
      <c r="G318" s="39" t="n"/>
      <c r="H318" s="39" t="n"/>
      <c r="I318" s="39" t="n"/>
    </row>
    <row r="319" ht="21" customHeight="1" s="65">
      <c r="D319" s="39" t="n"/>
      <c r="E319" s="39" t="n"/>
      <c r="F319" s="39" t="n"/>
      <c r="G319" s="39" t="n"/>
      <c r="H319" s="39" t="n"/>
      <c r="I319" s="39" t="n"/>
    </row>
    <row r="320" ht="21" customHeight="1" s="65">
      <c r="D320" s="39" t="n"/>
      <c r="E320" s="39" t="n"/>
      <c r="F320" s="39" t="n"/>
      <c r="G320" s="39" t="n"/>
      <c r="H320" s="39" t="n"/>
      <c r="I320" s="39" t="n"/>
    </row>
    <row r="321" ht="21" customHeight="1" s="65">
      <c r="D321" s="39" t="n"/>
      <c r="E321" s="39" t="n"/>
      <c r="F321" s="39" t="n"/>
      <c r="G321" s="39" t="n"/>
      <c r="H321" s="39" t="n"/>
      <c r="I321" s="39" t="n"/>
    </row>
    <row r="322" ht="21" customHeight="1" s="65">
      <c r="D322" s="39" t="n"/>
      <c r="E322" s="39" t="n"/>
      <c r="F322" s="39" t="n"/>
      <c r="G322" s="39" t="n"/>
      <c r="H322" s="39" t="n"/>
      <c r="I322" s="39" t="n"/>
    </row>
    <row r="323" ht="21" customHeight="1" s="65">
      <c r="D323" s="39" t="n"/>
      <c r="E323" s="39" t="n"/>
      <c r="F323" s="39" t="n"/>
      <c r="G323" s="39" t="n"/>
      <c r="H323" s="39" t="n"/>
      <c r="I323" s="39" t="n"/>
    </row>
    <row r="324" ht="21" customHeight="1" s="65">
      <c r="D324" s="39" t="n"/>
      <c r="E324" s="39" t="n"/>
      <c r="F324" s="39" t="n"/>
      <c r="G324" s="39" t="n"/>
      <c r="H324" s="39" t="n"/>
      <c r="I324" s="39" t="n"/>
    </row>
    <row r="325" ht="21" customHeight="1" s="65">
      <c r="D325" s="39" t="n"/>
      <c r="E325" s="39" t="n"/>
      <c r="F325" s="39" t="n"/>
      <c r="G325" s="39" t="n"/>
      <c r="H325" s="39" t="n"/>
      <c r="I325" s="39" t="n"/>
    </row>
    <row r="326" ht="21" customHeight="1" s="65">
      <c r="D326" s="39" t="n"/>
      <c r="E326" s="39" t="n"/>
      <c r="F326" s="39" t="n"/>
      <c r="G326" s="39" t="n"/>
      <c r="H326" s="39" t="n"/>
      <c r="I326" s="39" t="n"/>
    </row>
    <row r="327" ht="21" customHeight="1" s="65">
      <c r="D327" s="39" t="n"/>
      <c r="E327" s="39" t="n"/>
      <c r="F327" s="39" t="n"/>
      <c r="G327" s="39" t="n"/>
      <c r="H327" s="39" t="n"/>
      <c r="I327" s="39" t="n"/>
    </row>
    <row r="328" ht="21" customHeight="1" s="65">
      <c r="D328" s="39" t="n"/>
      <c r="E328" s="39" t="n"/>
      <c r="F328" s="39" t="n"/>
      <c r="G328" s="39" t="n"/>
      <c r="H328" s="39" t="n"/>
      <c r="I328" s="39" t="n"/>
    </row>
    <row r="329" ht="21" customHeight="1" s="65">
      <c r="D329" s="39" t="n"/>
      <c r="E329" s="39" t="n"/>
      <c r="F329" s="39" t="n"/>
      <c r="G329" s="39" t="n"/>
      <c r="H329" s="39" t="n"/>
      <c r="I329" s="39" t="n"/>
    </row>
    <row r="330" ht="21" customHeight="1" s="65">
      <c r="D330" s="39" t="n"/>
      <c r="E330" s="39" t="n"/>
      <c r="F330" s="39" t="n"/>
      <c r="G330" s="39" t="n"/>
      <c r="H330" s="39" t="n"/>
      <c r="I330" s="39" t="n"/>
    </row>
    <row r="331" ht="21" customHeight="1" s="65">
      <c r="D331" s="39" t="n"/>
      <c r="E331" s="39" t="n"/>
      <c r="F331" s="39" t="n"/>
      <c r="G331" s="39" t="n"/>
      <c r="H331" s="39" t="n"/>
      <c r="I331" s="39" t="n"/>
    </row>
    <row r="332" ht="21" customHeight="1" s="65"/>
    <row r="333" ht="21" customHeight="1" s="65"/>
    <row r="334" ht="21" customHeight="1" s="65"/>
    <row r="335" ht="21" customHeight="1" s="65"/>
    <row r="336" ht="21" customHeight="1" s="65"/>
    <row r="337" ht="21" customHeight="1" s="65"/>
    <row r="338" ht="21" customHeight="1" s="65"/>
    <row r="339" ht="21" customHeight="1" s="65"/>
    <row r="340" ht="21" customHeight="1" s="65"/>
    <row r="341" ht="21" customHeight="1" s="65"/>
    <row r="342" ht="21" customHeight="1" s="65"/>
    <row r="343" ht="21" customHeight="1" s="65"/>
    <row r="344" ht="21" customHeight="1" s="65"/>
    <row r="345" ht="21" customHeight="1" s="65"/>
    <row r="346" ht="21" customHeight="1" s="65"/>
    <row r="347" ht="21" customHeight="1" s="65"/>
    <row r="348" ht="21" customHeight="1" s="65"/>
    <row r="349" ht="21" customHeight="1" s="65"/>
    <row r="350" ht="21" customHeight="1" s="65"/>
    <row r="351" ht="21" customHeight="1" s="65"/>
    <row r="352" ht="21" customHeight="1" s="65"/>
    <row r="353" ht="21" customHeight="1" s="65"/>
    <row r="354" ht="21" customHeight="1" s="65"/>
    <row r="355" ht="21" customHeight="1" s="65"/>
    <row r="356" ht="21" customHeight="1" s="65"/>
    <row r="357" ht="21" customHeight="1" s="65"/>
    <row r="358" ht="21" customHeight="1" s="65"/>
    <row r="359" ht="21" customHeight="1" s="65"/>
    <row r="360" ht="21" customHeight="1" s="65"/>
    <row r="361" ht="21" customHeight="1" s="65"/>
    <row r="362" ht="21" customHeight="1" s="65"/>
    <row r="363" ht="21" customHeight="1" s="65"/>
    <row r="364" ht="21" customHeight="1" s="65"/>
    <row r="365" ht="21" customHeight="1" s="65"/>
    <row r="366" ht="21" customHeight="1" s="65"/>
    <row r="367" ht="21" customHeight="1" s="65"/>
    <row r="368" ht="21" customHeight="1" s="65"/>
    <row r="369" ht="21" customHeight="1" s="65"/>
    <row r="370" ht="21" customHeight="1" s="65"/>
    <row r="371" ht="21" customHeight="1" s="65"/>
    <row r="372" ht="21" customHeight="1" s="65"/>
    <row r="373" ht="21" customHeight="1" s="65"/>
    <row r="374" ht="21" customHeight="1" s="65"/>
    <row r="375" ht="21" customHeight="1" s="65"/>
    <row r="376" ht="21" customHeight="1" s="65"/>
    <row r="377" ht="21" customHeight="1" s="65"/>
    <row r="378" ht="21" customHeight="1" s="65"/>
    <row r="379" ht="21" customHeight="1" s="65"/>
    <row r="380" ht="21" customHeight="1" s="65"/>
    <row r="381" ht="21" customHeight="1" s="65"/>
    <row r="382" ht="21" customHeight="1" s="65"/>
    <row r="383" ht="21" customHeight="1" s="65"/>
    <row r="384" ht="21" customHeight="1" s="65"/>
    <row r="385" ht="21" customHeight="1" s="65"/>
    <row r="386" ht="21" customHeight="1" s="65"/>
    <row r="387" ht="21" customHeight="1" s="65"/>
    <row r="388" ht="21" customHeight="1" s="65"/>
    <row r="389" ht="21" customHeight="1" s="65"/>
    <row r="390" ht="21" customHeight="1" s="65"/>
    <row r="391" ht="21" customHeight="1" s="65"/>
    <row r="392" ht="21" customHeight="1" s="65"/>
    <row r="393" ht="21" customHeight="1" s="65"/>
    <row r="394" ht="21" customHeight="1" s="65"/>
    <row r="395" ht="21" customHeight="1" s="65"/>
    <row r="396" ht="21" customHeight="1" s="65"/>
    <row r="397" ht="21" customHeight="1" s="65"/>
    <row r="398" ht="21" customHeight="1" s="65"/>
    <row r="399" ht="21" customHeight="1" s="65"/>
    <row r="400" ht="21" customHeight="1" s="65"/>
    <row r="401" ht="21" customHeight="1" s="65"/>
    <row r="402" ht="21" customHeight="1" s="65"/>
    <row r="403" ht="21" customHeight="1" s="65"/>
    <row r="404" ht="21" customHeight="1" s="65"/>
    <row r="405" ht="21" customHeight="1" s="65"/>
    <row r="406" ht="21" customHeight="1" s="65"/>
    <row r="407" ht="21" customHeight="1" s="65"/>
    <row r="408" ht="21" customHeight="1" s="65"/>
    <row r="409" ht="21" customHeight="1" s="65"/>
    <row r="410" ht="21" customHeight="1" s="65"/>
    <row r="411" ht="21" customHeight="1" s="65"/>
    <row r="412" ht="21" customHeight="1" s="65"/>
    <row r="413" ht="21" customHeight="1" s="65"/>
    <row r="414" ht="21" customHeight="1" s="65"/>
    <row r="415" ht="21" customHeight="1" s="65"/>
    <row r="416" ht="21" customHeight="1" s="65"/>
    <row r="417" ht="21" customHeight="1" s="65"/>
    <row r="418" ht="21" customHeight="1" s="65"/>
    <row r="419" ht="21" customHeight="1" s="65"/>
    <row r="420" ht="21" customHeight="1" s="65"/>
    <row r="421" ht="21" customHeight="1" s="65"/>
    <row r="422" ht="21" customHeight="1" s="65"/>
    <row r="423" ht="21" customHeight="1" s="65"/>
    <row r="424" ht="21" customHeight="1" s="65"/>
    <row r="425" ht="21" customHeight="1" s="65"/>
    <row r="426" ht="21" customHeight="1" s="65"/>
    <row r="427" ht="21" customHeight="1" s="65"/>
    <row r="428" ht="21" customHeight="1" s="65"/>
    <row r="429" ht="21" customHeight="1" s="65"/>
    <row r="430" ht="21" customHeight="1" s="65"/>
    <row r="431" ht="21" customHeight="1" s="65"/>
    <row r="432" ht="21" customHeight="1" s="65"/>
    <row r="433" ht="21" customHeight="1" s="65"/>
    <row r="434" ht="21" customHeight="1" s="65"/>
    <row r="435" ht="21" customHeight="1" s="65"/>
    <row r="436" ht="21" customHeight="1" s="65"/>
    <row r="437" ht="21" customHeight="1" s="65"/>
    <row r="438" ht="21" customHeight="1" s="65"/>
    <row r="439" ht="21" customHeight="1" s="65"/>
    <row r="440" ht="21" customHeight="1" s="65"/>
    <row r="441" ht="21" customHeight="1" s="65"/>
    <row r="442" ht="21" customHeight="1" s="65"/>
    <row r="443" ht="21" customHeight="1" s="65"/>
    <row r="444" ht="21" customHeight="1" s="65"/>
    <row r="445" ht="21" customHeight="1" s="65"/>
    <row r="446" ht="21" customHeight="1" s="65"/>
    <row r="447" ht="21" customHeight="1" s="65"/>
    <row r="448" ht="21" customHeight="1" s="65"/>
    <row r="449" ht="21" customHeight="1" s="65"/>
    <row r="450" ht="21" customHeight="1" s="65"/>
    <row r="451" ht="21" customHeight="1" s="65"/>
    <row r="452" ht="21" customHeight="1" s="65"/>
    <row r="453" ht="21" customHeight="1" s="65"/>
    <row r="454" ht="21" customHeight="1" s="65"/>
    <row r="455" ht="21" customHeight="1" s="65"/>
    <row r="456" ht="21" customHeight="1" s="65"/>
    <row r="457" ht="21" customHeight="1" s="65"/>
    <row r="458" ht="21" customHeight="1" s="65"/>
    <row r="459" ht="21" customHeight="1" s="65"/>
    <row r="460" ht="21" customHeight="1" s="65"/>
    <row r="461" ht="21" customHeight="1" s="65"/>
    <row r="462" ht="21" customHeight="1" s="65"/>
    <row r="463" ht="21" customHeight="1" s="65"/>
    <row r="464" ht="21" customHeight="1" s="65"/>
    <row r="465" ht="21" customHeight="1" s="65"/>
    <row r="466" ht="21" customHeight="1" s="65"/>
    <row r="467" ht="21" customHeight="1" s="65"/>
    <row r="468" ht="21" customHeight="1" s="65"/>
    <row r="469" ht="21" customHeight="1" s="65"/>
    <row r="470" ht="21" customHeight="1" s="65"/>
    <row r="471" ht="21" customHeight="1" s="65"/>
    <row r="472" ht="21" customHeight="1" s="65"/>
    <row r="473" ht="21" customHeight="1" s="65"/>
    <row r="474" ht="21" customHeight="1" s="65"/>
    <row r="475" ht="21" customHeight="1" s="65"/>
    <row r="476" ht="21" customHeight="1" s="65"/>
    <row r="477" ht="21" customHeight="1" s="65"/>
    <row r="478" ht="21" customHeight="1" s="65"/>
    <row r="479" ht="21" customHeight="1" s="65"/>
    <row r="480" ht="21" customHeight="1" s="65"/>
    <row r="481" ht="21" customHeight="1" s="65"/>
    <row r="482" ht="21" customHeight="1" s="65"/>
    <row r="483" ht="21" customHeight="1" s="65"/>
    <row r="484" ht="21" customHeight="1" s="65"/>
    <row r="485" ht="21" customHeight="1" s="65"/>
    <row r="486" ht="21" customHeight="1" s="65"/>
    <row r="487" ht="21" customHeight="1" s="65"/>
    <row r="488" ht="21" customHeight="1" s="65"/>
    <row r="489" ht="21" customHeight="1" s="65"/>
    <row r="490" ht="21" customHeight="1" s="65"/>
    <row r="491" ht="21" customHeight="1" s="65"/>
    <row r="492" ht="21" customHeight="1" s="65"/>
    <row r="493" ht="21" customHeight="1" s="65"/>
    <row r="494" ht="21" customHeight="1" s="65"/>
    <row r="495" ht="21" customHeight="1" s="65"/>
    <row r="496" ht="21" customHeight="1" s="65"/>
    <row r="497" ht="21" customHeight="1" s="65"/>
    <row r="498" ht="21" customHeight="1" s="65"/>
    <row r="499" ht="21" customHeight="1" s="65"/>
    <row r="500" ht="21" customHeight="1" s="65"/>
    <row r="501" ht="21" customHeight="1" s="65"/>
    <row r="502" ht="21" customHeight="1" s="65"/>
    <row r="503" ht="21" customHeight="1" s="65"/>
    <row r="504" ht="21" customHeight="1" s="65"/>
    <row r="505" ht="21" customHeight="1" s="65"/>
    <row r="506" ht="21" customHeight="1" s="65"/>
    <row r="507" ht="21" customHeight="1" s="65"/>
    <row r="508" ht="21" customHeight="1" s="65"/>
    <row r="509" ht="21" customHeight="1" s="65"/>
    <row r="510" ht="21" customHeight="1" s="65"/>
    <row r="511" ht="21" customHeight="1" s="65"/>
    <row r="512" ht="21" customHeight="1" s="65"/>
    <row r="513" ht="21" customHeight="1" s="65"/>
    <row r="514" ht="21" customHeight="1" s="65"/>
    <row r="515" ht="21" customHeight="1" s="65"/>
    <row r="516" ht="21" customHeight="1" s="65"/>
    <row r="517" ht="21" customHeight="1" s="65"/>
    <row r="518" ht="21" customHeight="1" s="65"/>
    <row r="519" ht="21" customHeight="1" s="65"/>
    <row r="520" ht="21" customHeight="1" s="65"/>
    <row r="521" ht="21" customHeight="1" s="65"/>
    <row r="522" ht="21" customHeight="1" s="65"/>
    <row r="523" ht="21" customHeight="1" s="65"/>
    <row r="524" ht="21" customHeight="1" s="65"/>
    <row r="525" ht="21" customHeight="1" s="65"/>
    <row r="526" ht="21" customHeight="1" s="65"/>
    <row r="527" ht="21" customHeight="1" s="65"/>
    <row r="528" ht="21" customHeight="1" s="65"/>
    <row r="529" ht="21" customHeight="1" s="65"/>
    <row r="530" ht="21" customHeight="1" s="65"/>
    <row r="531" ht="21" customHeight="1" s="65"/>
    <row r="532" ht="21" customHeight="1" s="65"/>
    <row r="533" ht="21" customHeight="1" s="65"/>
    <row r="534" ht="21" customHeight="1" s="65"/>
    <row r="535" ht="21" customHeight="1" s="65"/>
    <row r="536" ht="21" customHeight="1" s="65"/>
    <row r="537" ht="21" customHeight="1" s="65"/>
    <row r="538" ht="21" customHeight="1" s="65"/>
    <row r="539" ht="21" customHeight="1" s="65"/>
    <row r="540" ht="21" customHeight="1" s="65"/>
    <row r="541" ht="21" customHeight="1" s="65"/>
    <row r="542" ht="21" customHeight="1" s="65"/>
    <row r="543" ht="21" customHeight="1" s="65"/>
    <row r="544" ht="21" customHeight="1" s="65"/>
    <row r="545" ht="21" customHeight="1" s="65"/>
    <row r="546" ht="21" customHeight="1" s="65"/>
    <row r="547" ht="21" customHeight="1" s="65"/>
    <row r="548" ht="21" customHeight="1" s="65"/>
    <row r="549" ht="21" customHeight="1" s="65"/>
    <row r="550" ht="21" customHeight="1" s="65"/>
    <row r="551" ht="21" customHeight="1" s="65"/>
    <row r="552" ht="21" customHeight="1" s="65"/>
    <row r="553" ht="21" customHeight="1" s="65"/>
    <row r="554" ht="21" customHeight="1" s="65"/>
    <row r="555" ht="21" customHeight="1" s="65"/>
    <row r="556" ht="21" customHeight="1" s="65"/>
    <row r="557" ht="21" customHeight="1" s="65"/>
    <row r="558" ht="21" customHeight="1" s="65"/>
    <row r="559" ht="21" customHeight="1" s="65"/>
    <row r="560" ht="21" customHeight="1" s="65"/>
    <row r="561" ht="21" customHeight="1" s="65"/>
    <row r="562" ht="21" customHeight="1" s="65"/>
    <row r="563" ht="21" customHeight="1" s="65"/>
    <row r="564" ht="21" customHeight="1" s="65"/>
    <row r="565" ht="21" customHeight="1" s="65"/>
    <row r="566" ht="21" customHeight="1" s="65"/>
    <row r="567" ht="21" customHeight="1" s="65"/>
    <row r="568" ht="21" customHeight="1" s="65"/>
    <row r="569" ht="21" customHeight="1" s="65"/>
    <row r="570" ht="21" customHeight="1" s="65"/>
    <row r="571" ht="21" customHeight="1" s="65"/>
    <row r="572" ht="21" customHeight="1" s="65"/>
    <row r="573" ht="21" customHeight="1" s="65"/>
    <row r="574" ht="21" customHeight="1" s="65"/>
    <row r="575" ht="21" customHeight="1" s="65"/>
    <row r="576" ht="21" customHeight="1" s="65"/>
    <row r="577" ht="21" customHeight="1" s="65"/>
    <row r="578" ht="21" customHeight="1" s="65"/>
    <row r="579" ht="21" customHeight="1" s="65"/>
    <row r="580" ht="21" customHeight="1" s="65"/>
    <row r="581" ht="21" customHeight="1" s="65"/>
    <row r="582" ht="21" customHeight="1" s="65"/>
    <row r="583" ht="21" customHeight="1" s="65"/>
    <row r="584" ht="21" customHeight="1" s="65"/>
    <row r="585" ht="21" customHeight="1" s="65"/>
    <row r="586" ht="21" customHeight="1" s="65"/>
    <row r="587" ht="21" customHeight="1" s="65"/>
    <row r="588" ht="21" customHeight="1" s="65"/>
    <row r="589" ht="21" customHeight="1" s="65"/>
    <row r="590" ht="21" customHeight="1" s="65"/>
    <row r="591" ht="21" customHeight="1" s="65"/>
    <row r="592" ht="21" customHeight="1" s="65"/>
    <row r="593" ht="21" customHeight="1" s="65"/>
    <row r="594" ht="21" customHeight="1" s="65"/>
    <row r="595" ht="21" customHeight="1" s="65"/>
    <row r="596" ht="21" customHeight="1" s="65"/>
    <row r="597" ht="21" customHeight="1" s="65"/>
    <row r="598" ht="21" customHeight="1" s="65"/>
    <row r="599" ht="21" customHeight="1" s="65"/>
    <row r="600" ht="21" customHeight="1" s="65"/>
    <row r="601" ht="21" customHeight="1" s="65"/>
    <row r="602" ht="21" customHeight="1" s="65"/>
    <row r="603" ht="21" customHeight="1" s="65"/>
    <row r="604" ht="21" customHeight="1" s="65"/>
    <row r="605" ht="21" customHeight="1" s="65"/>
    <row r="606" ht="21" customHeight="1" s="65"/>
    <row r="607" ht="21" customHeight="1" s="65"/>
    <row r="608" ht="21" customHeight="1" s="65"/>
    <row r="609" ht="21" customHeight="1" s="65"/>
    <row r="610" ht="21" customHeight="1" s="65"/>
    <row r="611" ht="21" customHeight="1" s="65"/>
    <row r="612" ht="21" customHeight="1" s="65"/>
    <row r="613" ht="21" customHeight="1" s="65"/>
    <row r="614" ht="21" customHeight="1" s="65"/>
    <row r="615" ht="21" customHeight="1" s="65"/>
    <row r="616" ht="21" customHeight="1" s="65"/>
    <row r="617" ht="21" customHeight="1" s="65"/>
    <row r="618" ht="21" customHeight="1" s="65"/>
    <row r="619" ht="21" customHeight="1" s="65"/>
    <row r="620" ht="21" customHeight="1" s="65"/>
    <row r="621" ht="21" customHeight="1" s="65"/>
    <row r="622" ht="21" customHeight="1" s="65"/>
    <row r="623" ht="21" customHeight="1" s="65"/>
    <row r="624" ht="21" customHeight="1" s="65"/>
    <row r="625" ht="21" customHeight="1" s="65"/>
    <row r="626" ht="21" customHeight="1" s="65"/>
    <row r="627" ht="21" customHeight="1" s="65"/>
    <row r="628" ht="21" customHeight="1" s="65"/>
    <row r="629" ht="21" customHeight="1" s="65"/>
    <row r="630" ht="21" customHeight="1" s="65"/>
    <row r="631" ht="21" customHeight="1" s="65"/>
    <row r="632" ht="21" customHeight="1" s="65"/>
    <row r="633" ht="21" customHeight="1" s="65"/>
    <row r="634" ht="21" customHeight="1" s="65"/>
    <row r="635" ht="21" customHeight="1" s="65"/>
    <row r="636" ht="21" customHeight="1" s="65"/>
    <row r="637" ht="21" customHeight="1" s="65"/>
    <row r="638" ht="21" customHeight="1" s="65"/>
    <row r="639" ht="21" customHeight="1" s="65"/>
    <row r="640" ht="21" customHeight="1" s="65"/>
    <row r="641" ht="21" customHeight="1" s="65"/>
    <row r="642" ht="21" customHeight="1" s="65"/>
    <row r="643" ht="21" customHeight="1" s="65"/>
    <row r="644" ht="21" customHeight="1" s="65"/>
    <row r="645" ht="21" customHeight="1" s="65"/>
    <row r="646" ht="21" customHeight="1" s="65"/>
    <row r="647" ht="21" customHeight="1" s="65"/>
    <row r="648" ht="21" customHeight="1" s="65"/>
    <row r="649" ht="21" customHeight="1" s="65"/>
    <row r="650" ht="21" customHeight="1" s="65"/>
    <row r="651" ht="21" customHeight="1" s="65"/>
    <row r="652" ht="21" customHeight="1" s="65"/>
    <row r="653" ht="21" customHeight="1" s="65"/>
    <row r="654" ht="21" customHeight="1" s="65"/>
    <row r="655" ht="21" customHeight="1" s="65"/>
    <row r="656" ht="21" customHeight="1" s="65"/>
    <row r="657" ht="21" customHeight="1" s="65"/>
    <row r="658" ht="21" customHeight="1" s="65"/>
    <row r="659" ht="21" customHeight="1" s="65"/>
    <row r="660" ht="21" customHeight="1" s="65"/>
    <row r="661" ht="21" customHeight="1" s="65"/>
    <row r="662" ht="21" customHeight="1" s="65"/>
    <row r="663" ht="21" customHeight="1" s="65"/>
    <row r="664" ht="21" customHeight="1" s="65"/>
    <row r="665" ht="21" customHeight="1" s="65"/>
    <row r="666" ht="21" customHeight="1" s="65"/>
    <row r="667" ht="21" customHeight="1" s="65"/>
    <row r="668" ht="21" customHeight="1" s="65"/>
    <row r="669" ht="21" customHeight="1" s="65"/>
    <row r="670" ht="21" customHeight="1" s="65"/>
    <row r="671" ht="21" customHeight="1" s="65"/>
    <row r="672" ht="21" customHeight="1" s="65"/>
    <row r="673" ht="21" customHeight="1" s="65"/>
    <row r="674" ht="21" customHeight="1" s="65"/>
    <row r="675" ht="21" customHeight="1" s="65"/>
    <row r="676" ht="21" customHeight="1" s="65"/>
    <row r="677" ht="21" customHeight="1" s="65"/>
    <row r="678" ht="21" customHeight="1" s="65"/>
    <row r="679" ht="21" customHeight="1" s="65"/>
    <row r="680" ht="21" customHeight="1" s="65"/>
    <row r="681" ht="21" customHeight="1" s="65"/>
    <row r="682" ht="21" customHeight="1" s="65"/>
    <row r="683" ht="21" customHeight="1" s="65"/>
    <row r="684" ht="21" customHeight="1" s="65"/>
    <row r="685" ht="21" customHeight="1" s="65"/>
    <row r="686" ht="21" customHeight="1" s="65"/>
    <row r="687" ht="21" customHeight="1" s="65"/>
    <row r="688" ht="21" customHeight="1" s="65"/>
    <row r="689" ht="21" customHeight="1" s="65"/>
    <row r="690" ht="21" customHeight="1" s="65"/>
    <row r="691" ht="21" customHeight="1" s="65"/>
    <row r="692" ht="21" customHeight="1" s="65"/>
    <row r="693" ht="21" customHeight="1" s="65"/>
    <row r="694" ht="21" customHeight="1" s="65"/>
    <row r="695" ht="21" customHeight="1" s="65"/>
    <row r="696" ht="21" customHeight="1" s="65"/>
    <row r="697" ht="21" customHeight="1" s="65"/>
    <row r="698" ht="21" customHeight="1" s="65"/>
    <row r="699" ht="21" customHeight="1" s="65"/>
    <row r="700" ht="21" customHeight="1" s="65"/>
    <row r="701" ht="21" customHeight="1" s="65"/>
    <row r="702" ht="21" customHeight="1" s="65"/>
    <row r="703" ht="21" customHeight="1" s="65"/>
    <row r="704" ht="21" customHeight="1" s="65"/>
    <row r="705" ht="21" customHeight="1" s="65"/>
    <row r="706" ht="21" customHeight="1" s="65"/>
    <row r="707" ht="21" customHeight="1" s="65"/>
    <row r="708" ht="21" customHeight="1" s="65"/>
    <row r="709" ht="21" customHeight="1" s="65"/>
    <row r="710" ht="21" customHeight="1" s="65"/>
    <row r="711" ht="21" customHeight="1" s="65"/>
    <row r="712" ht="21" customHeight="1" s="65"/>
    <row r="713" ht="21" customHeight="1" s="65"/>
    <row r="714" ht="21" customHeight="1" s="65"/>
    <row r="715" ht="21" customHeight="1" s="65"/>
    <row r="716" ht="21" customHeight="1" s="65"/>
    <row r="717" ht="21" customHeight="1" s="65"/>
    <row r="718" ht="21" customHeight="1" s="65"/>
    <row r="719" ht="21" customHeight="1" s="65"/>
    <row r="720" ht="21" customHeight="1" s="65"/>
    <row r="721" ht="21" customHeight="1" s="65"/>
    <row r="722" ht="21" customHeight="1" s="65"/>
    <row r="723" ht="21" customHeight="1" s="65"/>
    <row r="724" ht="21" customHeight="1" s="65"/>
    <row r="725" ht="21" customHeight="1" s="65"/>
    <row r="726" ht="21" customHeight="1" s="65"/>
    <row r="727" ht="21" customHeight="1" s="65"/>
    <row r="728" ht="21" customHeight="1" s="65"/>
    <row r="729" ht="21" customHeight="1" s="65"/>
    <row r="730" ht="21" customHeight="1" s="65"/>
    <row r="731" ht="21" customHeight="1" s="65"/>
    <row r="732" ht="21" customHeight="1" s="65"/>
    <row r="733" ht="21" customHeight="1" s="65"/>
    <row r="734" ht="21" customHeight="1" s="65"/>
    <row r="735" ht="21" customHeight="1" s="65"/>
    <row r="736" ht="21" customHeight="1" s="65"/>
    <row r="737" ht="21" customHeight="1" s="65"/>
    <row r="738" ht="21" customHeight="1" s="65"/>
    <row r="739" ht="21" customHeight="1" s="65"/>
    <row r="740" ht="21" customHeight="1" s="65"/>
    <row r="741" ht="21" customHeight="1" s="65"/>
    <row r="742" ht="21" customHeight="1" s="65"/>
    <row r="743" ht="21" customHeight="1" s="65"/>
    <row r="744" ht="21" customHeight="1" s="65"/>
    <row r="745" ht="21" customHeight="1" s="65"/>
    <row r="746" ht="21" customHeight="1" s="65"/>
    <row r="747" ht="21" customHeight="1" s="65"/>
    <row r="748" ht="21" customHeight="1" s="65"/>
    <row r="749" ht="21" customHeight="1" s="65"/>
  </sheetData>
  <mergeCells count="8">
    <mergeCell ref="D8:E8"/>
    <mergeCell ref="D6:I6"/>
    <mergeCell ref="C1:J1"/>
    <mergeCell ref="D5:I5"/>
    <mergeCell ref="D4:I4"/>
    <mergeCell ref="L4:N11"/>
    <mergeCell ref="C2:J2"/>
    <mergeCell ref="H8:I8"/>
  </mergeCells>
  <conditionalFormatting sqref="P17">
    <cfRule type="expression" priority="1" dxfId="1">
      <formula>P17="Balance cuadrado"</formula>
    </cfRule>
    <cfRule type="expression" priority="2" dxfId="0">
      <formula>P17="Revisar diferencia"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244765"/>
    <outlinePr summaryBelow="1" summaryRight="1"/>
    <pageSetUpPr/>
  </sheetPr>
  <dimension ref="B1:S24"/>
  <sheetViews>
    <sheetView workbookViewId="0">
      <selection activeCell="M22" sqref="M22"/>
    </sheetView>
  </sheetViews>
  <sheetFormatPr baseColWidth="10" defaultColWidth="9.140625" defaultRowHeight="15"/>
  <cols>
    <col width="9.140625" customWidth="1" style="39" min="1" max="1"/>
    <col width="15" customWidth="1" style="65" min="2" max="14"/>
    <col width="9.140625" customWidth="1" style="39" min="20" max="22"/>
  </cols>
  <sheetData>
    <row r="1" ht="21" customHeight="1" s="65">
      <c r="B1" s="58" t="inlineStr">
        <is>
          <t>DASHBOARD BALANCE GENERAL PYME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90" t="n"/>
      <c r="O1" s="39" t="n"/>
      <c r="P1" s="39" t="n"/>
      <c r="Q1" s="39" t="n"/>
      <c r="R1" s="39" t="n"/>
      <c r="S1" s="39" t="n"/>
    </row>
    <row r="2" ht="21" customHeight="1" s="65">
      <c r="B2" s="59" t="inlineStr">
        <is>
          <t>Indicadores simples para revisar activos, deuda, patrimonio y equilibrio del balance.</t>
        </is>
      </c>
      <c r="C2" s="89" t="n"/>
      <c r="D2" s="89" t="n"/>
      <c r="E2" s="89" t="n"/>
      <c r="F2" s="89" t="n"/>
      <c r="G2" s="89" t="n"/>
      <c r="H2" s="89" t="n"/>
      <c r="I2" s="89" t="n"/>
      <c r="J2" s="89" t="n"/>
      <c r="K2" s="89" t="n"/>
      <c r="L2" s="89" t="n"/>
      <c r="M2" s="89" t="n"/>
      <c r="N2" s="90" t="n"/>
      <c r="O2" s="39" t="n"/>
      <c r="P2" s="39" t="n"/>
      <c r="Q2" s="39" t="n"/>
      <c r="R2" s="39" t="n"/>
      <c r="S2" s="39" t="n"/>
    </row>
    <row r="3" ht="21" customHeight="1" s="65"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</row>
    <row r="4" ht="21" customHeight="1" s="65">
      <c r="B4" s="82" t="inlineStr">
        <is>
          <t>Total activos</t>
        </is>
      </c>
      <c r="C4" s="89" t="n"/>
      <c r="D4" s="90" t="n"/>
      <c r="E4" s="82" t="inlineStr">
        <is>
          <t>Total pasivos</t>
        </is>
      </c>
      <c r="F4" s="89" t="n"/>
      <c r="G4" s="90" t="n"/>
      <c r="H4" s="82" t="inlineStr">
        <is>
          <t>Total patrimonio</t>
        </is>
      </c>
      <c r="I4" s="89" t="n"/>
      <c r="J4" s="90" t="n"/>
      <c r="K4" s="82" t="inlineStr">
        <is>
          <t>Diferencia</t>
        </is>
      </c>
      <c r="L4" s="89" t="n"/>
      <c r="M4" s="90" t="n"/>
      <c r="N4" s="39" t="n"/>
      <c r="O4" s="86" t="inlineStr">
        <is>
          <t>En esta hoja no se debe modificar, es el resultado de los valores y resultados de las paginas siguientes</t>
        </is>
      </c>
      <c r="P4" s="91" t="n"/>
      <c r="Q4" s="91" t="n"/>
      <c r="R4" s="92" t="n"/>
      <c r="S4" s="88" t="n"/>
    </row>
    <row r="5" ht="21" customHeight="1" s="65">
      <c r="B5" s="106">
        <f>'Balance General'!M14</f>
        <v/>
      </c>
      <c r="C5" s="91" t="n"/>
      <c r="D5" s="92" t="n"/>
      <c r="E5" s="106">
        <f>'Balance General'!P13</f>
        <v/>
      </c>
      <c r="F5" s="91" t="n"/>
      <c r="G5" s="92" t="n"/>
      <c r="H5" s="106">
        <f>'Balance General'!I41</f>
        <v/>
      </c>
      <c r="I5" s="91" t="n"/>
      <c r="J5" s="92" t="n"/>
      <c r="K5" s="106">
        <f>'Balance General'!M16</f>
        <v/>
      </c>
      <c r="L5" s="91" t="n"/>
      <c r="M5" s="92" t="n"/>
      <c r="N5" s="39" t="n"/>
      <c r="O5" s="96" t="n"/>
      <c r="R5" s="97" t="n"/>
      <c r="S5" s="88" t="n"/>
    </row>
    <row r="6" ht="21" customHeight="1" s="65">
      <c r="B6" s="93" t="n"/>
      <c r="C6" s="94" t="n"/>
      <c r="D6" s="95" t="n"/>
      <c r="E6" s="93" t="n"/>
      <c r="F6" s="94" t="n"/>
      <c r="G6" s="95" t="n"/>
      <c r="H6" s="93" t="n"/>
      <c r="I6" s="94" t="n"/>
      <c r="J6" s="95" t="n"/>
      <c r="K6" s="93" t="n"/>
      <c r="L6" s="94" t="n"/>
      <c r="M6" s="95" t="n"/>
      <c r="N6" s="39" t="n"/>
      <c r="O6" s="96" t="n"/>
      <c r="R6" s="97" t="n"/>
      <c r="S6" s="88" t="n"/>
    </row>
    <row r="7" ht="21" customHeight="1" s="65"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39" t="n"/>
      <c r="M7" s="39" t="n"/>
      <c r="N7" s="39" t="n"/>
      <c r="O7" s="93" t="n"/>
      <c r="P7" s="94" t="n"/>
      <c r="Q7" s="94" t="n"/>
      <c r="R7" s="95" t="n"/>
      <c r="S7" s="88" t="n"/>
    </row>
    <row r="8" ht="21" customHeight="1" s="65">
      <c r="B8" s="114" t="inlineStr">
        <is>
          <t>Capital de trabajo</t>
        </is>
      </c>
      <c r="C8" s="89" t="n"/>
      <c r="D8" s="90" t="n"/>
      <c r="E8" s="114" t="inlineStr">
        <is>
          <t>Razón corriente</t>
        </is>
      </c>
      <c r="F8" s="89" t="n"/>
      <c r="G8" s="90" t="n"/>
      <c r="H8" s="114" t="inlineStr">
        <is>
          <t>Endeudamiento</t>
        </is>
      </c>
      <c r="I8" s="89" t="n"/>
      <c r="J8" s="90" t="n"/>
      <c r="K8" s="114" t="inlineStr">
        <is>
          <t>Estado</t>
        </is>
      </c>
      <c r="L8" s="89" t="n"/>
      <c r="M8" s="90" t="n"/>
      <c r="N8" s="39" t="n"/>
      <c r="O8" s="39" t="n"/>
      <c r="P8" s="39" t="n"/>
      <c r="Q8" s="39" t="n"/>
      <c r="R8" s="39" t="n"/>
      <c r="S8" s="88" t="n"/>
    </row>
    <row r="9" ht="21" customHeight="1" s="65">
      <c r="B9" s="106">
        <f>'Balance General'!E45-'Balance General'!I79</f>
        <v/>
      </c>
      <c r="C9" s="91" t="n"/>
      <c r="D9" s="92" t="n"/>
      <c r="E9" s="84">
        <f>IFERROR('Balance General'!E45/'Balance General'!I79,0)</f>
        <v/>
      </c>
      <c r="F9" s="91" t="n"/>
      <c r="G9" s="92" t="n"/>
      <c r="H9" s="87">
        <f>IFERROR('Balance General'!P13/'Balance General'!M14,0)</f>
        <v/>
      </c>
      <c r="I9" s="91" t="n"/>
      <c r="J9" s="92" t="n"/>
      <c r="K9" s="106">
        <f>'Balance General'!P17</f>
        <v/>
      </c>
      <c r="L9" s="91" t="n"/>
      <c r="M9" s="92" t="n"/>
      <c r="N9" s="39" t="n"/>
      <c r="O9" s="39" t="n"/>
      <c r="P9" s="39" t="n"/>
      <c r="Q9" s="39" t="n"/>
      <c r="R9" s="39" t="n"/>
      <c r="S9" s="39" t="n"/>
    </row>
    <row r="10" ht="21" customHeight="1" s="65">
      <c r="B10" s="93" t="n"/>
      <c r="C10" s="94" t="n"/>
      <c r="D10" s="95" t="n"/>
      <c r="E10" s="93" t="n"/>
      <c r="F10" s="94" t="n"/>
      <c r="G10" s="95" t="n"/>
      <c r="H10" s="93" t="n"/>
      <c r="I10" s="94" t="n"/>
      <c r="J10" s="95" t="n"/>
      <c r="K10" s="93" t="n"/>
      <c r="L10" s="94" t="n"/>
      <c r="M10" s="95" t="n"/>
      <c r="N10" s="39" t="n"/>
      <c r="O10" s="39" t="n"/>
      <c r="P10" s="39" t="n"/>
      <c r="Q10" s="39" t="n"/>
      <c r="R10" s="39" t="n"/>
      <c r="S10" s="39" t="n"/>
    </row>
    <row r="11" ht="21" customHeight="1" s="65"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39" t="n"/>
      <c r="M11" s="39" t="n"/>
      <c r="N11" s="39" t="n"/>
      <c r="O11" s="39" t="n"/>
      <c r="P11" s="39" t="n"/>
      <c r="Q11" s="39" t="n"/>
      <c r="R11" s="39" t="n"/>
      <c r="S11" s="39" t="n"/>
    </row>
    <row r="12" ht="29.25" customHeight="1" s="65">
      <c r="B12" s="114" t="inlineStr">
        <is>
          <t>Composición activos</t>
        </is>
      </c>
      <c r="C12" s="114" t="inlineStr">
        <is>
          <t>Monto</t>
        </is>
      </c>
      <c r="D12" s="108" t="n"/>
      <c r="E12" s="114" t="inlineStr">
        <is>
          <t>Financiamiento</t>
        </is>
      </c>
      <c r="F12" s="114" t="inlineStr">
        <is>
          <t>Monto</t>
        </is>
      </c>
      <c r="G12" s="108" t="n"/>
      <c r="H12" s="108" t="n"/>
      <c r="I12" s="108" t="n"/>
      <c r="J12" s="108" t="n"/>
      <c r="K12" s="108" t="n"/>
      <c r="L12" s="39" t="n"/>
      <c r="M12" s="39" t="n"/>
      <c r="N12" s="39" t="n"/>
      <c r="O12" s="39" t="n"/>
      <c r="P12" s="39" t="n"/>
      <c r="Q12" s="39" t="n"/>
      <c r="R12" s="39" t="n"/>
      <c r="S12" s="39" t="n"/>
    </row>
    <row r="13" ht="21" customHeight="1" s="65">
      <c r="B13" s="105" t="inlineStr">
        <is>
          <t>Activo corriente</t>
        </is>
      </c>
      <c r="C13" s="105">
        <f>'Balance General'!E45</f>
        <v/>
      </c>
      <c r="D13" s="108" t="n"/>
      <c r="E13" s="105" t="inlineStr">
        <is>
          <t>Pasivos</t>
        </is>
      </c>
      <c r="F13" s="105">
        <f>'Balance General'!P13</f>
        <v/>
      </c>
      <c r="G13" s="108" t="n"/>
      <c r="H13" s="108" t="n"/>
      <c r="I13" s="108" t="n"/>
      <c r="J13" s="108" t="n"/>
      <c r="K13" s="108" t="n"/>
      <c r="L13" s="39" t="n"/>
      <c r="M13" s="39" t="n"/>
      <c r="N13" s="39" t="n"/>
      <c r="O13" s="39" t="n"/>
      <c r="P13" s="39" t="n"/>
      <c r="Q13" s="39" t="n"/>
      <c r="R13" s="39" t="n"/>
      <c r="S13" s="39" t="n"/>
    </row>
    <row r="14" ht="24.75" customHeight="1" s="65">
      <c r="B14" s="105" t="inlineStr">
        <is>
          <t>Activo no corriente</t>
        </is>
      </c>
      <c r="C14" s="105">
        <f>'Balance General'!E83</f>
        <v/>
      </c>
      <c r="D14" s="108" t="n"/>
      <c r="E14" s="105" t="inlineStr">
        <is>
          <t>Patrimonio</t>
        </is>
      </c>
      <c r="F14" s="105">
        <f>'Balance General'!I41</f>
        <v/>
      </c>
      <c r="G14" s="108" t="n"/>
      <c r="H14" s="108" t="n"/>
      <c r="I14" s="108" t="n"/>
      <c r="J14" s="108" t="n"/>
      <c r="K14" s="108" t="n"/>
      <c r="L14" s="39" t="n"/>
      <c r="M14" s="39" t="n"/>
      <c r="N14" s="39" t="n"/>
      <c r="O14" s="39" t="n"/>
      <c r="P14" s="39" t="n"/>
      <c r="Q14" s="39" t="n"/>
      <c r="R14" s="39" t="n"/>
      <c r="S14" s="39" t="n"/>
    </row>
    <row r="15" ht="21" customHeight="1" s="65">
      <c r="B15" s="105" t="inlineStr">
        <is>
          <t>Otros activos</t>
        </is>
      </c>
      <c r="C15" s="105">
        <f>'Balance General'!E101</f>
        <v/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39" t="n"/>
      <c r="M15" s="39" t="n"/>
      <c r="N15" s="39" t="n"/>
      <c r="O15" s="39" t="n"/>
      <c r="P15" s="39" t="n"/>
      <c r="Q15" s="39" t="n"/>
      <c r="R15" s="39" t="n"/>
      <c r="S15" s="39" t="n"/>
    </row>
    <row r="16" ht="21" customHeight="1" s="65"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39" t="n"/>
      <c r="M16" s="39" t="n"/>
      <c r="N16" s="39" t="n"/>
      <c r="O16" s="39" t="n"/>
      <c r="P16" s="39" t="n"/>
      <c r="Q16" s="39" t="n"/>
      <c r="R16" s="39" t="n"/>
      <c r="S16" s="39" t="n"/>
    </row>
    <row r="17" ht="28.5" customHeight="1" s="65">
      <c r="B17" s="114" t="inlineStr">
        <is>
          <t>Resultado ejercicio</t>
        </is>
      </c>
      <c r="C17" s="114" t="inlineStr">
        <is>
          <t>Monto</t>
        </is>
      </c>
      <c r="D17" s="108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</row>
    <row r="18" ht="21" customHeight="1" s="65">
      <c r="B18" s="105" t="inlineStr">
        <is>
          <t>Ingresos</t>
        </is>
      </c>
      <c r="C18" s="105">
        <f>'Resultado Ejercicio'!E5</f>
        <v/>
      </c>
      <c r="D18" s="108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</row>
    <row r="19" ht="21" customHeight="1" s="65">
      <c r="B19" s="105" t="inlineStr">
        <is>
          <t>Costos</t>
        </is>
      </c>
      <c r="C19" s="105">
        <f>'Resultado Ejercicio'!E6</f>
        <v/>
      </c>
      <c r="D19" s="108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</row>
    <row r="20" ht="21" customHeight="1" s="65">
      <c r="B20" s="105" t="inlineStr">
        <is>
          <t>Gastos</t>
        </is>
      </c>
      <c r="C20" s="105">
        <f>'Resultado Ejercicio'!E7</f>
        <v/>
      </c>
      <c r="D20" s="108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</row>
    <row r="21" ht="21" customHeight="1" s="65">
      <c r="B21" s="105" t="inlineStr">
        <is>
          <t>Resultado</t>
        </is>
      </c>
      <c r="C21" s="105">
        <f>'Resultado Ejercicio'!E8</f>
        <v/>
      </c>
      <c r="D21" s="108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</row>
    <row r="22" ht="21" customHeight="1" s="65">
      <c r="B22" s="39" t="n"/>
      <c r="C22" s="39" t="n"/>
      <c r="D22" s="39" t="n"/>
      <c r="E22" s="114" t="inlineStr">
        <is>
          <t>Lectura rápida</t>
        </is>
      </c>
      <c r="F22" s="89" t="n"/>
      <c r="G22" s="89" t="n"/>
      <c r="H22" s="89" t="n"/>
      <c r="I22" s="89" t="n"/>
      <c r="J22" s="89" t="n"/>
      <c r="K22" s="90" t="n"/>
      <c r="L22" s="39" t="n"/>
      <c r="M22" s="39" t="n"/>
      <c r="N22" s="39" t="n"/>
      <c r="O22" s="39" t="n"/>
      <c r="P22" s="39" t="n"/>
      <c r="Q22" s="39" t="n"/>
      <c r="R22" s="39" t="n"/>
      <c r="S22" s="39" t="n"/>
    </row>
    <row r="23" ht="21" customHeight="1" s="65">
      <c r="B23" s="39" t="n"/>
      <c r="C23" s="39" t="n"/>
      <c r="D23" s="39" t="n"/>
      <c r="E23" s="107" t="inlineStr">
        <is>
          <t>El gráfico izquierdo muestra cómo se componen los activos. El gráfico derecho muestra cómo se financia la empresa entre pasivos y patrimonio. Si el balance no cuadra, revisa activos, pasivos, patrimonio y resultado del ejercicio.</t>
        </is>
      </c>
      <c r="F23" s="91" t="n"/>
      <c r="G23" s="91" t="n"/>
      <c r="H23" s="91" t="n"/>
      <c r="I23" s="91" t="n"/>
      <c r="J23" s="91" t="n"/>
      <c r="K23" s="92" t="n"/>
      <c r="L23" s="45" t="n"/>
      <c r="M23" s="45" t="n"/>
      <c r="N23" s="45" t="n"/>
      <c r="O23" s="45" t="n"/>
      <c r="P23" s="39" t="n"/>
      <c r="Q23" s="39" t="n"/>
      <c r="R23" s="39" t="n"/>
      <c r="S23" s="39" t="n"/>
    </row>
    <row r="24" ht="21" customHeight="1" s="65">
      <c r="B24" s="39" t="n"/>
      <c r="C24" s="39" t="n"/>
      <c r="D24" s="39" t="n"/>
      <c r="E24" s="93" t="n"/>
      <c r="F24" s="94" t="n"/>
      <c r="G24" s="94" t="n"/>
      <c r="H24" s="94" t="n"/>
      <c r="I24" s="94" t="n"/>
      <c r="J24" s="94" t="n"/>
      <c r="K24" s="95" t="n"/>
      <c r="L24" s="39" t="n"/>
      <c r="M24" s="39" t="n"/>
      <c r="N24" s="39" t="n"/>
      <c r="O24" s="39" t="n"/>
      <c r="P24" s="39" t="n"/>
      <c r="Q24" s="39" t="n"/>
      <c r="R24" s="39" t="n"/>
      <c r="S24" s="39" t="n"/>
    </row>
    <row r="25" ht="21" customFormat="1" customHeight="1" s="39"/>
    <row r="26" ht="21" customFormat="1" customHeight="1" s="39"/>
    <row r="27" ht="21" customFormat="1" customHeight="1" s="39"/>
    <row r="28" ht="21" customFormat="1" customHeight="1" s="39"/>
    <row r="29" ht="21" customFormat="1" customHeight="1" s="39"/>
    <row r="30" ht="21" customFormat="1" customHeight="1" s="39"/>
    <row r="31" ht="21" customFormat="1" customHeight="1" s="39"/>
    <row r="32" ht="21" customFormat="1" customHeight="1" s="39"/>
    <row r="33" ht="21" customFormat="1" customHeight="1" s="39"/>
    <row r="34" ht="21" customFormat="1" customHeight="1" s="39"/>
    <row r="35" ht="21" customFormat="1" customHeight="1" s="39"/>
    <row r="36" ht="21" customFormat="1" customHeight="1" s="39"/>
    <row r="37" ht="21" customFormat="1" customHeight="1" s="39"/>
    <row r="38" ht="21" customFormat="1" customHeight="1" s="39"/>
    <row r="39" ht="21" customFormat="1" customHeight="1" s="39"/>
    <row r="40" ht="21" customFormat="1" customHeight="1" s="39"/>
    <row r="41" ht="21" customFormat="1" customHeight="1" s="39"/>
    <row r="42" ht="21" customFormat="1" customHeight="1" s="39"/>
    <row r="43" ht="21" customFormat="1" customHeight="1" s="39"/>
    <row r="44" ht="21" customFormat="1" customHeight="1" s="39"/>
    <row r="45" ht="21" customFormat="1" customHeight="1" s="39"/>
    <row r="46" ht="21" customFormat="1" customHeight="1" s="39"/>
    <row r="47" ht="21" customFormat="1" customHeight="1" s="39"/>
    <row r="48" ht="21" customHeight="1" s="65"/>
    <row r="49" ht="21" customHeight="1" s="65"/>
    <row r="50" ht="21" customHeight="1" s="65"/>
    <row r="51" ht="21" customHeight="1" s="65"/>
    <row r="52" ht="21" customHeight="1" s="65"/>
    <row r="53" ht="21" customHeight="1" s="65"/>
    <row r="54" ht="21" customHeight="1" s="65"/>
    <row r="55" ht="21" customHeight="1" s="65"/>
    <row r="56" ht="21" customHeight="1" s="65"/>
    <row r="57" ht="21" customHeight="1" s="65"/>
    <row r="58" ht="21" customHeight="1" s="65"/>
    <row r="59" ht="21" customHeight="1" s="65"/>
    <row r="60" ht="21" customHeight="1" s="65"/>
    <row r="61" ht="21" customHeight="1" s="65"/>
    <row r="62" ht="21" customHeight="1" s="65"/>
    <row r="63" ht="21" customHeight="1" s="65"/>
    <row r="64" ht="21" customHeight="1" s="65"/>
    <row r="65" ht="21" customHeight="1" s="65"/>
    <row r="66" ht="21" customHeight="1" s="65"/>
    <row r="67" ht="21" customHeight="1" s="65"/>
    <row r="68" ht="21" customHeight="1" s="65"/>
    <row r="69" ht="21" customHeight="1" s="65"/>
    <row r="70" ht="21" customHeight="1" s="65"/>
    <row r="71" ht="21" customHeight="1" s="65"/>
    <row r="72" ht="21" customHeight="1" s="65"/>
    <row r="73" ht="21" customHeight="1" s="65"/>
    <row r="74" ht="21" customHeight="1" s="65"/>
    <row r="75" ht="21" customHeight="1" s="65"/>
    <row r="76" ht="21" customHeight="1" s="65"/>
    <row r="77" ht="21" customHeight="1" s="65"/>
    <row r="78" ht="21" customHeight="1" s="65"/>
    <row r="79" ht="21" customHeight="1" s="65"/>
    <row r="80" ht="21" customHeight="1" s="65"/>
    <row r="81" ht="21" customHeight="1" s="65"/>
    <row r="82" ht="21" customHeight="1" s="65"/>
    <row r="83" ht="21" customHeight="1" s="65"/>
    <row r="84" ht="21" customHeight="1" s="65"/>
    <row r="85" ht="21" customHeight="1" s="65"/>
    <row r="86" ht="21" customHeight="1" s="65"/>
    <row r="87" ht="21" customHeight="1" s="65"/>
    <row r="88" ht="21" customHeight="1" s="65"/>
    <row r="89" ht="21" customHeight="1" s="65"/>
    <row r="90" ht="21" customHeight="1" s="65"/>
    <row r="91" ht="21" customHeight="1" s="65"/>
    <row r="92" ht="21" customHeight="1" s="65"/>
    <row r="93" ht="21" customHeight="1" s="65"/>
    <row r="94" ht="21" customHeight="1" s="65"/>
    <row r="95" ht="21" customHeight="1" s="65"/>
    <row r="96" ht="21" customHeight="1" s="65"/>
    <row r="97" ht="21" customHeight="1" s="65"/>
    <row r="98" ht="21" customHeight="1" s="65"/>
    <row r="99" ht="21" customHeight="1" s="65"/>
    <row r="100" ht="21" customHeight="1" s="65"/>
    <row r="101" ht="21" customHeight="1" s="65"/>
    <row r="102" ht="21" customHeight="1" s="65"/>
    <row r="103" ht="21" customHeight="1" s="65"/>
    <row r="104" ht="21" customHeight="1" s="65"/>
    <row r="105" ht="21" customHeight="1" s="65"/>
    <row r="106" ht="21" customHeight="1" s="65"/>
    <row r="107" ht="21" customHeight="1" s="65"/>
    <row r="108" ht="21" customHeight="1" s="65"/>
    <row r="109" ht="21" customHeight="1" s="65"/>
    <row r="110" ht="21" customHeight="1" s="65"/>
    <row r="111" ht="21" customHeight="1" s="65"/>
    <row r="112" ht="21" customHeight="1" s="65"/>
    <row r="113" ht="21" customHeight="1" s="65"/>
    <row r="114" ht="21" customHeight="1" s="65"/>
    <row r="115" ht="21" customHeight="1" s="65"/>
    <row r="116" ht="21" customHeight="1" s="65"/>
    <row r="117" ht="21" customHeight="1" s="65"/>
    <row r="118" ht="21" customHeight="1" s="65"/>
    <row r="119" ht="21" customHeight="1" s="65"/>
    <row r="120" ht="21" customHeight="1" s="65"/>
    <row r="121" ht="21" customHeight="1" s="65"/>
    <row r="122" ht="21" customHeight="1" s="65"/>
    <row r="123" ht="21" customHeight="1" s="65"/>
    <row r="124" ht="21" customHeight="1" s="65"/>
    <row r="125" ht="21" customHeight="1" s="65"/>
    <row r="126" ht="21" customHeight="1" s="65"/>
    <row r="127" ht="21" customHeight="1" s="65"/>
    <row r="128" ht="21" customHeight="1" s="65"/>
    <row r="129" ht="21" customHeight="1" s="65"/>
    <row r="130" ht="21" customHeight="1" s="65"/>
    <row r="131" ht="21" customHeight="1" s="65"/>
    <row r="132" ht="21" customHeight="1" s="65"/>
    <row r="133" ht="21" customHeight="1" s="65"/>
    <row r="134" ht="21" customHeight="1" s="65"/>
    <row r="135" ht="21" customHeight="1" s="65"/>
    <row r="136" ht="21" customHeight="1" s="65"/>
    <row r="137" ht="21" customHeight="1" s="65"/>
    <row r="138" ht="21" customHeight="1" s="65"/>
    <row r="139" ht="21" customHeight="1" s="65"/>
    <row r="140" ht="21" customHeight="1" s="65"/>
    <row r="141" ht="21" customHeight="1" s="65"/>
    <row r="142" ht="21" customHeight="1" s="65"/>
    <row r="143" ht="21" customHeight="1" s="65"/>
    <row r="144" ht="21" customHeight="1" s="65"/>
    <row r="145" ht="21" customHeight="1" s="65"/>
    <row r="146" ht="21" customHeight="1" s="65"/>
    <row r="147" ht="21" customHeight="1" s="65"/>
    <row r="148" ht="21" customHeight="1" s="65"/>
    <row r="149" ht="21" customHeight="1" s="65"/>
    <row r="150" ht="21" customHeight="1" s="65"/>
    <row r="151" ht="21" customHeight="1" s="65"/>
    <row r="152" ht="21" customHeight="1" s="65"/>
    <row r="153" ht="21" customHeight="1" s="65"/>
    <row r="154" ht="21" customHeight="1" s="65"/>
    <row r="155" ht="21" customHeight="1" s="65"/>
    <row r="156" ht="21" customHeight="1" s="65"/>
    <row r="157" ht="21" customHeight="1" s="65"/>
    <row r="158" ht="21" customHeight="1" s="65"/>
    <row r="159" ht="21" customHeight="1" s="65"/>
    <row r="160" ht="21" customHeight="1" s="65"/>
    <row r="161" ht="21" customHeight="1" s="65"/>
    <row r="162" ht="21" customHeight="1" s="65"/>
    <row r="163" ht="21" customHeight="1" s="65"/>
    <row r="164" ht="21" customHeight="1" s="65"/>
    <row r="165" ht="21" customHeight="1" s="65"/>
    <row r="166" ht="21" customHeight="1" s="65"/>
    <row r="167" ht="21" customHeight="1" s="65"/>
    <row r="168" ht="21" customHeight="1" s="65"/>
    <row r="169" ht="21" customHeight="1" s="65"/>
    <row r="170" ht="21" customHeight="1" s="65"/>
    <row r="171" ht="21" customHeight="1" s="65"/>
    <row r="172" ht="21" customHeight="1" s="65"/>
    <row r="173" ht="21" customHeight="1" s="65"/>
    <row r="174" ht="21" customHeight="1" s="65"/>
    <row r="175" ht="21" customHeight="1" s="65"/>
    <row r="176" ht="21" customHeight="1" s="65"/>
    <row r="177" ht="21" customHeight="1" s="65"/>
    <row r="178" ht="21" customHeight="1" s="65"/>
    <row r="179" ht="21" customHeight="1" s="65"/>
    <row r="180" ht="21" customHeight="1" s="65"/>
    <row r="181" ht="21" customHeight="1" s="65"/>
    <row r="182" ht="21" customHeight="1" s="65"/>
    <row r="183" ht="21" customHeight="1" s="65"/>
    <row r="184" ht="21" customHeight="1" s="65"/>
    <row r="185" ht="21" customHeight="1" s="65"/>
    <row r="186" ht="21" customHeight="1" s="65"/>
    <row r="187" ht="21" customHeight="1" s="65"/>
    <row r="188" ht="21" customHeight="1" s="65"/>
    <row r="189" ht="21" customHeight="1" s="65"/>
    <row r="190" ht="21" customHeight="1" s="65"/>
    <row r="191" ht="21" customHeight="1" s="65"/>
    <row r="192" ht="21" customHeight="1" s="65"/>
    <row r="193" ht="21" customHeight="1" s="65"/>
    <row r="194" ht="21" customHeight="1" s="65"/>
    <row r="195" ht="21" customHeight="1" s="65"/>
    <row r="196" ht="21" customHeight="1" s="65"/>
    <row r="197" ht="21" customHeight="1" s="65"/>
    <row r="198" ht="21" customHeight="1" s="65"/>
    <row r="199" ht="21" customHeight="1" s="65"/>
    <row r="200" ht="21" customHeight="1" s="65"/>
    <row r="201" ht="21" customHeight="1" s="65"/>
    <row r="202" ht="21" customHeight="1" s="65"/>
    <row r="203" ht="21" customHeight="1" s="65"/>
    <row r="204" ht="21" customHeight="1" s="65"/>
    <row r="205" ht="21" customHeight="1" s="65"/>
    <row r="206" ht="21" customHeight="1" s="65"/>
    <row r="207" ht="21" customHeight="1" s="65"/>
    <row r="208" ht="21" customHeight="1" s="65"/>
    <row r="209" ht="21" customHeight="1" s="65"/>
    <row r="210" ht="21" customHeight="1" s="65"/>
    <row r="211" ht="21" customHeight="1" s="65"/>
    <row r="212" ht="21" customHeight="1" s="65"/>
    <row r="213" ht="21" customHeight="1" s="65"/>
    <row r="214" ht="21" customHeight="1" s="65"/>
    <row r="215" ht="21" customHeight="1" s="65"/>
    <row r="216" ht="21" customHeight="1" s="65"/>
    <row r="217" ht="21" customHeight="1" s="65"/>
    <row r="218" ht="21" customHeight="1" s="65"/>
    <row r="219" ht="21" customHeight="1" s="65"/>
    <row r="220" ht="21" customHeight="1" s="65"/>
    <row r="221" ht="21" customHeight="1" s="65"/>
    <row r="222" ht="21" customHeight="1" s="65"/>
    <row r="223" ht="21" customHeight="1" s="65"/>
    <row r="224" ht="21" customHeight="1" s="65"/>
    <row r="225" ht="21" customHeight="1" s="65"/>
    <row r="226" ht="21" customHeight="1" s="65"/>
    <row r="227" ht="21" customHeight="1" s="65"/>
    <row r="228" ht="21" customHeight="1" s="65"/>
    <row r="229" ht="21" customHeight="1" s="65"/>
    <row r="230" ht="21" customHeight="1" s="65"/>
    <row r="231" ht="21" customHeight="1" s="65"/>
    <row r="232" ht="21" customHeight="1" s="65"/>
    <row r="233" ht="21" customHeight="1" s="65"/>
    <row r="234" ht="21" customHeight="1" s="65"/>
    <row r="235" ht="21" customHeight="1" s="65"/>
    <row r="236" ht="21" customHeight="1" s="65"/>
    <row r="237" ht="21" customHeight="1" s="65"/>
    <row r="238" ht="21" customHeight="1" s="65"/>
    <row r="239" ht="21" customHeight="1" s="65"/>
    <row r="240" ht="21" customHeight="1" s="65"/>
    <row r="241" ht="21" customHeight="1" s="65"/>
    <row r="242" ht="21" customHeight="1" s="65"/>
    <row r="243" ht="21" customHeight="1" s="65"/>
    <row r="244" ht="21" customHeight="1" s="65"/>
    <row r="245" ht="21" customHeight="1" s="65"/>
    <row r="246" ht="21" customHeight="1" s="65"/>
    <row r="247" ht="21" customHeight="1" s="65"/>
    <row r="248" ht="21" customHeight="1" s="65"/>
    <row r="249" ht="21" customHeight="1" s="65"/>
    <row r="250" ht="21" customHeight="1" s="65"/>
    <row r="251" ht="21" customHeight="1" s="65"/>
    <row r="252" ht="21" customHeight="1" s="65"/>
    <row r="253" ht="21" customHeight="1" s="65"/>
    <row r="254" ht="21" customHeight="1" s="65"/>
    <row r="255" ht="21" customHeight="1" s="65"/>
    <row r="256" ht="21" customHeight="1" s="65"/>
    <row r="257" ht="21" customHeight="1" s="65"/>
    <row r="258" ht="21" customHeight="1" s="65"/>
    <row r="259" ht="21" customHeight="1" s="65"/>
    <row r="260" ht="21" customHeight="1" s="65"/>
    <row r="261" ht="21" customHeight="1" s="65"/>
    <row r="262" ht="21" customHeight="1" s="65"/>
    <row r="263" ht="21" customHeight="1" s="65"/>
    <row r="264" ht="21" customHeight="1" s="65"/>
    <row r="265" ht="21" customHeight="1" s="65"/>
    <row r="266" ht="21" customHeight="1" s="65"/>
    <row r="267" ht="21" customHeight="1" s="65"/>
    <row r="268" ht="21" customHeight="1" s="65"/>
    <row r="269" ht="21" customHeight="1" s="65"/>
    <row r="270" ht="21" customHeight="1" s="65"/>
    <row r="271" ht="21" customHeight="1" s="65"/>
    <row r="272" ht="21" customHeight="1" s="65"/>
    <row r="273" ht="21" customHeight="1" s="65"/>
    <row r="274" ht="21" customHeight="1" s="65"/>
    <row r="275" ht="21" customHeight="1" s="65"/>
    <row r="276" ht="21" customHeight="1" s="65"/>
    <row r="277" ht="21" customHeight="1" s="65"/>
    <row r="278" ht="21" customHeight="1" s="65"/>
    <row r="279" ht="21" customHeight="1" s="65"/>
    <row r="280" ht="21" customHeight="1" s="65"/>
    <row r="281" ht="21" customHeight="1" s="65"/>
    <row r="282" ht="21" customHeight="1" s="65"/>
    <row r="283" ht="21" customHeight="1" s="65"/>
    <row r="284" ht="21" customHeight="1" s="65"/>
    <row r="285" ht="21" customHeight="1" s="65"/>
    <row r="286" ht="21" customHeight="1" s="65"/>
    <row r="287" ht="21" customHeight="1" s="65"/>
    <row r="288" ht="21" customHeight="1" s="65"/>
    <row r="289" ht="21" customHeight="1" s="65"/>
    <row r="290" ht="21" customHeight="1" s="65"/>
    <row r="291" ht="21" customHeight="1" s="65"/>
    <row r="292" ht="21" customHeight="1" s="65"/>
    <row r="293" ht="21" customHeight="1" s="65"/>
    <row r="294" ht="21" customHeight="1" s="65"/>
    <row r="295" ht="21" customHeight="1" s="65"/>
    <row r="296" ht="21" customHeight="1" s="65"/>
    <row r="297" ht="21" customHeight="1" s="65"/>
    <row r="298" ht="21" customHeight="1" s="65"/>
    <row r="299" ht="21" customHeight="1" s="65"/>
    <row r="300" ht="21" customHeight="1" s="65"/>
    <row r="301" ht="21" customHeight="1" s="65"/>
    <row r="302" ht="21" customHeight="1" s="65"/>
    <row r="303" ht="21" customHeight="1" s="65"/>
    <row r="304" ht="21" customHeight="1" s="65"/>
    <row r="305" ht="21" customHeight="1" s="65"/>
    <row r="306" ht="21" customHeight="1" s="65"/>
    <row r="307" ht="21" customHeight="1" s="65"/>
    <row r="308" ht="21" customHeight="1" s="65"/>
    <row r="309" ht="21" customHeight="1" s="65"/>
    <row r="310" ht="21" customHeight="1" s="65"/>
    <row r="311" ht="21" customHeight="1" s="65"/>
    <row r="312" ht="21" customHeight="1" s="65"/>
    <row r="313" ht="21" customHeight="1" s="65"/>
    <row r="314" ht="21" customHeight="1" s="65"/>
    <row r="315" ht="21" customHeight="1" s="65"/>
    <row r="316" ht="21" customHeight="1" s="65"/>
    <row r="317" ht="21" customHeight="1" s="65"/>
    <row r="318" ht="21" customHeight="1" s="65"/>
    <row r="319" ht="21" customHeight="1" s="65"/>
    <row r="320" ht="21" customHeight="1" s="65"/>
    <row r="321" ht="21" customHeight="1" s="65"/>
    <row r="322" ht="21" customHeight="1" s="65"/>
    <row r="323" ht="21" customHeight="1" s="65"/>
    <row r="324" ht="21" customHeight="1" s="65"/>
    <row r="325" ht="21" customHeight="1" s="65"/>
    <row r="326" ht="21" customHeight="1" s="65"/>
    <row r="327" ht="21" customHeight="1" s="65"/>
    <row r="328" ht="21" customHeight="1" s="65"/>
    <row r="329" ht="21" customHeight="1" s="65"/>
    <row r="330" ht="21" customHeight="1" s="65"/>
    <row r="331" ht="21" customHeight="1" s="65"/>
    <row r="332" ht="21" customHeight="1" s="65"/>
    <row r="333" ht="21" customHeight="1" s="65"/>
    <row r="334" ht="21" customHeight="1" s="65"/>
    <row r="335" ht="21" customHeight="1" s="65"/>
    <row r="336" ht="21" customHeight="1" s="65"/>
    <row r="337" ht="21" customHeight="1" s="65"/>
    <row r="338" ht="21" customHeight="1" s="65"/>
    <row r="339" ht="21" customHeight="1" s="65"/>
    <row r="340" ht="21" customHeight="1" s="65"/>
    <row r="341" ht="21" customHeight="1" s="65"/>
    <row r="342" ht="21" customHeight="1" s="65"/>
    <row r="343" ht="21" customHeight="1" s="65"/>
    <row r="344" ht="21" customHeight="1" s="65"/>
    <row r="345" ht="21" customHeight="1" s="65"/>
    <row r="346" ht="21" customHeight="1" s="65"/>
    <row r="347" ht="21" customHeight="1" s="65"/>
    <row r="348" ht="21" customHeight="1" s="65"/>
    <row r="349" ht="21" customHeight="1" s="65"/>
    <row r="350" ht="21" customHeight="1" s="65"/>
    <row r="351" ht="21" customHeight="1" s="65"/>
    <row r="352" ht="21" customHeight="1" s="65"/>
    <row r="353" ht="21" customHeight="1" s="65"/>
    <row r="354" ht="21" customHeight="1" s="65"/>
    <row r="355" ht="21" customHeight="1" s="65"/>
    <row r="356" ht="21" customHeight="1" s="65"/>
    <row r="357" ht="21" customHeight="1" s="65"/>
    <row r="358" ht="21" customHeight="1" s="65"/>
    <row r="359" ht="21" customHeight="1" s="65"/>
    <row r="360" ht="21" customHeight="1" s="65"/>
    <row r="361" ht="21" customHeight="1" s="65"/>
    <row r="362" ht="21" customHeight="1" s="65"/>
    <row r="363" ht="21" customHeight="1" s="65"/>
    <row r="364" ht="21" customHeight="1" s="65"/>
    <row r="365" ht="21" customHeight="1" s="65"/>
    <row r="366" ht="21" customHeight="1" s="65"/>
    <row r="367" ht="21" customHeight="1" s="65"/>
    <row r="368" ht="21" customHeight="1" s="65"/>
    <row r="369" ht="21" customHeight="1" s="65"/>
    <row r="370" ht="21" customHeight="1" s="65"/>
    <row r="371" ht="21" customHeight="1" s="65"/>
    <row r="372" ht="21" customHeight="1" s="65"/>
    <row r="373" ht="21" customHeight="1" s="65"/>
    <row r="374" ht="21" customHeight="1" s="65"/>
    <row r="375" ht="21" customHeight="1" s="65"/>
    <row r="376" ht="21" customHeight="1" s="65"/>
    <row r="377" ht="21" customHeight="1" s="65"/>
    <row r="378" ht="21" customHeight="1" s="65"/>
    <row r="379" ht="21" customHeight="1" s="65"/>
    <row r="380" ht="21" customHeight="1" s="65"/>
    <row r="381" ht="21" customHeight="1" s="65"/>
    <row r="382" ht="21" customHeight="1" s="65"/>
    <row r="383" ht="21" customHeight="1" s="65"/>
    <row r="384" ht="21" customHeight="1" s="65"/>
    <row r="385" ht="21" customHeight="1" s="65"/>
    <row r="386" ht="21" customHeight="1" s="65"/>
    <row r="387" ht="21" customHeight="1" s="65"/>
    <row r="388" ht="21" customHeight="1" s="65"/>
    <row r="389" ht="21" customHeight="1" s="65"/>
    <row r="390" ht="21" customHeight="1" s="65"/>
    <row r="391" ht="21" customHeight="1" s="65"/>
    <row r="392" ht="21" customHeight="1" s="65"/>
    <row r="393" ht="21" customHeight="1" s="65"/>
    <row r="394" ht="21" customHeight="1" s="65"/>
    <row r="395" ht="21" customHeight="1" s="65"/>
    <row r="396" ht="21" customHeight="1" s="65"/>
    <row r="397" ht="21" customHeight="1" s="65"/>
    <row r="398" ht="21" customHeight="1" s="65"/>
    <row r="399" ht="21" customHeight="1" s="65"/>
    <row r="400" ht="21" customHeight="1" s="65"/>
    <row r="401" ht="21" customHeight="1" s="65"/>
    <row r="402" ht="21" customHeight="1" s="65"/>
    <row r="403" ht="21" customHeight="1" s="65"/>
    <row r="404" ht="21" customHeight="1" s="65"/>
    <row r="405" ht="21" customHeight="1" s="65"/>
    <row r="406" ht="21" customHeight="1" s="65"/>
    <row r="407" ht="21" customHeight="1" s="65"/>
    <row r="408" ht="21" customHeight="1" s="65"/>
    <row r="409" ht="21" customHeight="1" s="65"/>
    <row r="410" ht="21" customHeight="1" s="65"/>
    <row r="411" ht="21" customHeight="1" s="65"/>
    <row r="412" ht="21" customHeight="1" s="65"/>
    <row r="413" ht="21" customHeight="1" s="65"/>
    <row r="414" ht="21" customHeight="1" s="65"/>
    <row r="415" ht="21" customHeight="1" s="65"/>
    <row r="416" ht="21" customHeight="1" s="65"/>
    <row r="417" ht="21" customHeight="1" s="65"/>
    <row r="418" ht="21" customHeight="1" s="65"/>
    <row r="419" ht="21" customHeight="1" s="65"/>
    <row r="420" ht="21" customHeight="1" s="65"/>
    <row r="421" ht="21" customHeight="1" s="65"/>
    <row r="422" ht="21" customHeight="1" s="65"/>
    <row r="423" ht="21" customHeight="1" s="65"/>
    <row r="424" ht="21" customHeight="1" s="65"/>
    <row r="425" ht="21" customHeight="1" s="65"/>
    <row r="426" ht="21" customHeight="1" s="65"/>
    <row r="427" ht="21" customHeight="1" s="65"/>
    <row r="428" ht="21" customHeight="1" s="65"/>
    <row r="429" ht="21" customHeight="1" s="65"/>
    <row r="430" ht="21" customHeight="1" s="65"/>
    <row r="431" ht="21" customHeight="1" s="65"/>
    <row r="432" ht="21" customHeight="1" s="65"/>
    <row r="433" ht="21" customHeight="1" s="65"/>
    <row r="434" ht="21" customHeight="1" s="65"/>
    <row r="435" ht="21" customHeight="1" s="65"/>
    <row r="436" ht="21" customHeight="1" s="65"/>
    <row r="437" ht="21" customHeight="1" s="65"/>
    <row r="438" ht="21" customHeight="1" s="65"/>
    <row r="439" ht="21" customHeight="1" s="65"/>
    <row r="440" ht="21" customHeight="1" s="65"/>
    <row r="441" ht="21" customHeight="1" s="65"/>
    <row r="442" ht="21" customHeight="1" s="65"/>
    <row r="443" ht="21" customHeight="1" s="65"/>
    <row r="444" ht="21" customHeight="1" s="65"/>
    <row r="445" ht="21" customHeight="1" s="65"/>
    <row r="446" ht="21" customHeight="1" s="65"/>
    <row r="447" ht="21" customHeight="1" s="65"/>
    <row r="448" ht="21" customHeight="1" s="65"/>
    <row r="449" ht="21" customHeight="1" s="65"/>
    <row r="450" ht="21" customHeight="1" s="65"/>
    <row r="451" ht="21" customHeight="1" s="65"/>
    <row r="452" ht="21" customHeight="1" s="65"/>
    <row r="453" ht="21" customHeight="1" s="65"/>
    <row r="454" ht="21" customHeight="1" s="65"/>
    <row r="455" ht="21" customHeight="1" s="65"/>
    <row r="456" ht="21" customHeight="1" s="65"/>
    <row r="457" ht="21" customHeight="1" s="65"/>
    <row r="458" ht="21" customHeight="1" s="65"/>
    <row r="459" ht="21" customHeight="1" s="65"/>
    <row r="460" ht="21" customHeight="1" s="65"/>
    <row r="461" ht="21" customHeight="1" s="65"/>
    <row r="462" ht="21" customHeight="1" s="65"/>
    <row r="463" ht="21" customHeight="1" s="65"/>
    <row r="464" ht="21" customHeight="1" s="65"/>
    <row r="465" ht="21" customHeight="1" s="65"/>
    <row r="466" ht="21" customHeight="1" s="65"/>
    <row r="467" ht="21" customHeight="1" s="65"/>
    <row r="468" ht="21" customHeight="1" s="65"/>
    <row r="469" ht="21" customHeight="1" s="65"/>
    <row r="470" ht="21" customHeight="1" s="65"/>
    <row r="471" ht="21" customHeight="1" s="65"/>
    <row r="472" ht="21" customHeight="1" s="65"/>
    <row r="473" ht="21" customHeight="1" s="65"/>
    <row r="474" ht="21" customHeight="1" s="65"/>
    <row r="475" ht="21" customHeight="1" s="65"/>
    <row r="476" ht="21" customHeight="1" s="65"/>
    <row r="477" ht="21" customHeight="1" s="65"/>
    <row r="478" ht="21" customHeight="1" s="65"/>
    <row r="479" ht="21" customHeight="1" s="65"/>
    <row r="480" ht="21" customHeight="1" s="65"/>
    <row r="481" ht="21" customHeight="1" s="65"/>
    <row r="482" ht="21" customHeight="1" s="65"/>
    <row r="483" ht="21" customHeight="1" s="65"/>
    <row r="484" ht="21" customHeight="1" s="65"/>
    <row r="485" ht="21" customHeight="1" s="65"/>
    <row r="486" ht="21" customHeight="1" s="65"/>
    <row r="487" ht="21" customHeight="1" s="65"/>
    <row r="488" ht="21" customHeight="1" s="65"/>
    <row r="489" ht="21" customHeight="1" s="65"/>
    <row r="490" ht="21" customHeight="1" s="65"/>
    <row r="491" ht="21" customHeight="1" s="65"/>
    <row r="492" ht="21" customHeight="1" s="65"/>
    <row r="493" ht="21" customHeight="1" s="65"/>
    <row r="494" ht="21" customHeight="1" s="65"/>
    <row r="495" ht="21" customHeight="1" s="65"/>
    <row r="496" ht="21" customHeight="1" s="65"/>
    <row r="497" ht="21" customHeight="1" s="65"/>
    <row r="498" ht="21" customHeight="1" s="65"/>
    <row r="499" ht="21" customHeight="1" s="65"/>
    <row r="500" ht="21" customHeight="1" s="65"/>
    <row r="501" ht="21" customHeight="1" s="65"/>
    <row r="502" ht="21" customHeight="1" s="65"/>
    <row r="503" ht="21" customHeight="1" s="65"/>
    <row r="504" ht="21" customHeight="1" s="65"/>
    <row r="505" ht="21" customHeight="1" s="65"/>
    <row r="506" ht="21" customHeight="1" s="65"/>
    <row r="507" ht="21" customHeight="1" s="65"/>
    <row r="508" ht="21" customHeight="1" s="65"/>
    <row r="509" ht="21" customHeight="1" s="65"/>
    <row r="510" ht="21" customHeight="1" s="65"/>
    <row r="511" ht="21" customHeight="1" s="65"/>
    <row r="512" ht="21" customHeight="1" s="65"/>
    <row r="513" ht="21" customHeight="1" s="65"/>
    <row r="514" ht="21" customHeight="1" s="65"/>
    <row r="515" ht="21" customHeight="1" s="65"/>
    <row r="516" ht="21" customHeight="1" s="65"/>
    <row r="517" ht="21" customHeight="1" s="65"/>
    <row r="518" ht="21" customHeight="1" s="65"/>
    <row r="519" ht="21" customHeight="1" s="65"/>
    <row r="520" ht="21" customHeight="1" s="65"/>
    <row r="521" ht="21" customHeight="1" s="65"/>
    <row r="522" ht="21" customHeight="1" s="65"/>
    <row r="523" ht="21" customHeight="1" s="65"/>
    <row r="524" ht="21" customHeight="1" s="65"/>
    <row r="525" ht="21" customHeight="1" s="65"/>
    <row r="526" ht="21" customHeight="1" s="65"/>
    <row r="527" ht="21" customHeight="1" s="65"/>
    <row r="528" ht="21" customHeight="1" s="65"/>
    <row r="529" ht="21" customHeight="1" s="65"/>
    <row r="530" ht="21" customHeight="1" s="65"/>
    <row r="531" ht="21" customHeight="1" s="65"/>
    <row r="532" ht="21" customHeight="1" s="65"/>
    <row r="533" ht="21" customHeight="1" s="65"/>
    <row r="534" ht="21" customHeight="1" s="65"/>
    <row r="535" ht="21" customHeight="1" s="65"/>
    <row r="536" ht="21" customHeight="1" s="65"/>
    <row r="537" ht="21" customHeight="1" s="65"/>
    <row r="538" ht="21" customHeight="1" s="65"/>
    <row r="539" ht="21" customHeight="1" s="65"/>
    <row r="540" ht="21" customHeight="1" s="65"/>
    <row r="541" ht="21" customHeight="1" s="65"/>
    <row r="542" ht="21" customHeight="1" s="65"/>
    <row r="543" ht="21" customHeight="1" s="65"/>
    <row r="544" ht="21" customHeight="1" s="65"/>
    <row r="545" ht="21" customHeight="1" s="65"/>
    <row r="546" ht="21" customHeight="1" s="65"/>
    <row r="547" ht="21" customHeight="1" s="65"/>
    <row r="548" ht="21" customHeight="1" s="65"/>
    <row r="549" ht="21" customHeight="1" s="65"/>
    <row r="550" ht="21" customHeight="1" s="65"/>
    <row r="551" ht="21" customHeight="1" s="65"/>
    <row r="552" ht="21" customHeight="1" s="65"/>
    <row r="553" ht="21" customHeight="1" s="65"/>
    <row r="554" ht="21" customHeight="1" s="65"/>
    <row r="555" ht="21" customHeight="1" s="65"/>
    <row r="556" ht="21" customHeight="1" s="65"/>
    <row r="557" ht="21" customHeight="1" s="65"/>
    <row r="558" ht="21" customHeight="1" s="65"/>
    <row r="559" ht="21" customHeight="1" s="65"/>
    <row r="560" ht="21" customHeight="1" s="65"/>
    <row r="561" ht="21" customHeight="1" s="65"/>
    <row r="562" ht="21" customHeight="1" s="65"/>
    <row r="563" ht="21" customHeight="1" s="65"/>
    <row r="564" ht="21" customHeight="1" s="65"/>
    <row r="565" ht="21" customHeight="1" s="65"/>
    <row r="566" ht="21" customHeight="1" s="65"/>
    <row r="567" ht="21" customHeight="1" s="65"/>
    <row r="568" ht="21" customHeight="1" s="65"/>
    <row r="569" ht="21" customHeight="1" s="65"/>
    <row r="570" ht="21" customHeight="1" s="65"/>
    <row r="571" ht="21" customHeight="1" s="65"/>
    <row r="572" ht="21" customHeight="1" s="65"/>
    <row r="573" ht="21" customHeight="1" s="65"/>
    <row r="574" ht="21" customHeight="1" s="65"/>
    <row r="575" ht="21" customHeight="1" s="65"/>
    <row r="576" ht="21" customHeight="1" s="65"/>
    <row r="577" ht="21" customHeight="1" s="65"/>
    <row r="578" ht="21" customHeight="1" s="65"/>
    <row r="579" ht="21" customHeight="1" s="65"/>
    <row r="580" ht="21" customHeight="1" s="65"/>
    <row r="581" ht="21" customHeight="1" s="65"/>
    <row r="582" ht="21" customHeight="1" s="65"/>
    <row r="583" ht="21" customHeight="1" s="65"/>
    <row r="584" ht="21" customHeight="1" s="65"/>
    <row r="585" ht="21" customHeight="1" s="65"/>
    <row r="586" ht="21" customHeight="1" s="65"/>
    <row r="587" ht="21" customHeight="1" s="65"/>
    <row r="588" ht="21" customHeight="1" s="65"/>
    <row r="589" ht="21" customHeight="1" s="65"/>
    <row r="590" ht="21" customHeight="1" s="65"/>
    <row r="591" ht="21" customHeight="1" s="65"/>
    <row r="592" ht="21" customHeight="1" s="65"/>
    <row r="593" ht="21" customHeight="1" s="65"/>
    <row r="594" ht="21" customHeight="1" s="65"/>
    <row r="595" ht="21" customHeight="1" s="65"/>
    <row r="596" ht="21" customHeight="1" s="65"/>
    <row r="597" ht="21" customHeight="1" s="65"/>
    <row r="598" ht="21" customHeight="1" s="65"/>
    <row r="599" ht="21" customHeight="1" s="65"/>
    <row r="600" ht="21" customHeight="1" s="65"/>
    <row r="601" ht="21" customHeight="1" s="65"/>
    <row r="602" ht="21" customHeight="1" s="65"/>
    <row r="603" ht="21" customHeight="1" s="65"/>
    <row r="604" ht="21" customHeight="1" s="65"/>
    <row r="605" ht="21" customHeight="1" s="65"/>
    <row r="606" ht="21" customHeight="1" s="65"/>
    <row r="607" ht="21" customHeight="1" s="65"/>
    <row r="608" ht="21" customHeight="1" s="65"/>
    <row r="609" ht="21" customHeight="1" s="65"/>
    <row r="610" ht="21" customHeight="1" s="65"/>
    <row r="611" ht="21" customHeight="1" s="65"/>
    <row r="612" ht="21" customHeight="1" s="65"/>
    <row r="613" ht="21" customHeight="1" s="65"/>
    <row r="614" ht="21" customHeight="1" s="65"/>
    <row r="615" ht="21" customHeight="1" s="65"/>
    <row r="616" ht="21" customHeight="1" s="65"/>
    <row r="617" ht="21" customHeight="1" s="65"/>
    <row r="618" ht="21" customHeight="1" s="65"/>
    <row r="619" ht="21" customHeight="1" s="65"/>
    <row r="620" ht="21" customHeight="1" s="65"/>
    <row r="621" ht="21" customHeight="1" s="65"/>
    <row r="622" ht="21" customHeight="1" s="65"/>
    <row r="623" ht="21" customHeight="1" s="65"/>
    <row r="624" ht="21" customHeight="1" s="65"/>
    <row r="625" ht="21" customHeight="1" s="65"/>
    <row r="626" ht="21" customHeight="1" s="65"/>
    <row r="627" ht="21" customHeight="1" s="65"/>
    <row r="628" ht="21" customHeight="1" s="65"/>
    <row r="629" ht="21" customHeight="1" s="65"/>
    <row r="630" ht="21" customHeight="1" s="65"/>
    <row r="631" ht="21" customHeight="1" s="65"/>
    <row r="632" ht="21" customHeight="1" s="65"/>
    <row r="633" ht="21" customHeight="1" s="65"/>
    <row r="634" ht="21" customHeight="1" s="65"/>
    <row r="635" ht="21" customHeight="1" s="65"/>
    <row r="636" ht="21" customHeight="1" s="65"/>
    <row r="637" ht="21" customHeight="1" s="65"/>
    <row r="638" ht="21" customHeight="1" s="65"/>
    <row r="639" ht="21" customHeight="1" s="65"/>
    <row r="640" ht="21" customHeight="1" s="65"/>
    <row r="641" ht="21" customHeight="1" s="65"/>
    <row r="642" ht="21" customHeight="1" s="65"/>
    <row r="643" ht="21" customHeight="1" s="65"/>
    <row r="644" ht="21" customHeight="1" s="65"/>
    <row r="645" ht="21" customHeight="1" s="65"/>
    <row r="646" ht="21" customHeight="1" s="65"/>
    <row r="647" ht="21" customHeight="1" s="65"/>
    <row r="648" ht="21" customHeight="1" s="65"/>
    <row r="649" ht="21" customHeight="1" s="65"/>
    <row r="650" ht="21" customHeight="1" s="65"/>
    <row r="651" ht="21" customHeight="1" s="65"/>
    <row r="652" ht="21" customHeight="1" s="65"/>
    <row r="653" ht="21" customHeight="1" s="65"/>
    <row r="654" ht="21" customHeight="1" s="65"/>
    <row r="655" ht="21" customHeight="1" s="65"/>
    <row r="656" ht="21" customHeight="1" s="65"/>
    <row r="657" ht="21" customHeight="1" s="65"/>
    <row r="658" ht="21" customHeight="1" s="65"/>
    <row r="659" ht="21" customHeight="1" s="65"/>
    <row r="660" ht="21" customHeight="1" s="65"/>
    <row r="661" ht="21" customHeight="1" s="65"/>
    <row r="662" ht="21" customHeight="1" s="65"/>
    <row r="663" ht="21" customHeight="1" s="65"/>
    <row r="664" ht="21" customHeight="1" s="65"/>
    <row r="665" ht="21" customHeight="1" s="65"/>
    <row r="666" ht="21" customHeight="1" s="65"/>
    <row r="667" ht="21" customHeight="1" s="65"/>
    <row r="668" ht="21" customHeight="1" s="65"/>
    <row r="669" ht="21" customHeight="1" s="65"/>
    <row r="670" ht="21" customHeight="1" s="65"/>
    <row r="671" ht="21" customHeight="1" s="65"/>
    <row r="672" ht="21" customHeight="1" s="65"/>
    <row r="673" ht="21" customHeight="1" s="65"/>
    <row r="674" ht="21" customHeight="1" s="65"/>
    <row r="675" ht="21" customHeight="1" s="65"/>
    <row r="676" ht="21" customHeight="1" s="65"/>
    <row r="677" ht="21" customHeight="1" s="65"/>
    <row r="678" ht="21" customHeight="1" s="65"/>
    <row r="679" ht="21" customHeight="1" s="65"/>
    <row r="680" ht="21" customHeight="1" s="65"/>
    <row r="681" ht="21" customHeight="1" s="65"/>
    <row r="682" ht="21" customHeight="1" s="65"/>
    <row r="683" ht="21" customHeight="1" s="65"/>
    <row r="684" ht="21" customHeight="1" s="65"/>
    <row r="685" ht="21" customHeight="1" s="65"/>
    <row r="686" ht="21" customHeight="1" s="65"/>
    <row r="687" ht="21" customHeight="1" s="65"/>
    <row r="688" ht="21" customHeight="1" s="65"/>
    <row r="689" ht="21" customHeight="1" s="65"/>
    <row r="690" ht="21" customHeight="1" s="65"/>
    <row r="691" ht="21" customHeight="1" s="65"/>
    <row r="692" ht="21" customHeight="1" s="65"/>
    <row r="693" ht="21" customHeight="1" s="65"/>
    <row r="694" ht="21" customHeight="1" s="65"/>
    <row r="695" ht="21" customHeight="1" s="65"/>
    <row r="696" ht="21" customHeight="1" s="65"/>
    <row r="697" ht="21" customHeight="1" s="65"/>
    <row r="698" ht="21" customHeight="1" s="65"/>
    <row r="699" ht="21" customHeight="1" s="65"/>
    <row r="700" ht="21" customHeight="1" s="65"/>
    <row r="701" ht="21" customHeight="1" s="65"/>
    <row r="702" ht="21" customHeight="1" s="65"/>
    <row r="703" ht="21" customHeight="1" s="65"/>
    <row r="704" ht="21" customHeight="1" s="65"/>
    <row r="705" ht="21" customHeight="1" s="65"/>
    <row r="706" ht="21" customHeight="1" s="65"/>
    <row r="707" ht="21" customHeight="1" s="65"/>
    <row r="708" ht="21" customHeight="1" s="65"/>
    <row r="709" ht="21" customHeight="1" s="65"/>
    <row r="710" ht="21" customHeight="1" s="65"/>
    <row r="711" ht="21" customHeight="1" s="65"/>
    <row r="712" ht="21" customHeight="1" s="65"/>
    <row r="713" ht="21" customHeight="1" s="65"/>
    <row r="714" ht="21" customHeight="1" s="65"/>
    <row r="715" ht="21" customHeight="1" s="65"/>
    <row r="716" ht="21" customHeight="1" s="65"/>
    <row r="717" ht="21" customHeight="1" s="65"/>
    <row r="718" ht="21" customHeight="1" s="65"/>
    <row r="719" ht="21" customHeight="1" s="65"/>
    <row r="720" ht="21" customHeight="1" s="65"/>
    <row r="721" ht="21" customHeight="1" s="65"/>
    <row r="722" ht="21" customHeight="1" s="65"/>
    <row r="723" ht="21" customHeight="1" s="65"/>
    <row r="724" ht="21" customHeight="1" s="65"/>
    <row r="725" ht="21" customHeight="1" s="65"/>
    <row r="726" ht="21" customHeight="1" s="65"/>
    <row r="727" ht="21" customHeight="1" s="65"/>
    <row r="728" ht="21" customHeight="1" s="65"/>
    <row r="729" ht="21" customHeight="1" s="65"/>
    <row r="730" ht="21" customHeight="1" s="65"/>
    <row r="731" ht="21" customHeight="1" s="65"/>
    <row r="732" ht="21" customHeight="1" s="65"/>
    <row r="733" ht="21" customHeight="1" s="65"/>
    <row r="734" ht="21" customHeight="1" s="65"/>
    <row r="735" ht="21" customHeight="1" s="65"/>
    <row r="736" ht="21" customHeight="1" s="65"/>
    <row r="737" ht="21" customHeight="1" s="65"/>
    <row r="738" ht="21" customHeight="1" s="65"/>
    <row r="739" ht="21" customHeight="1" s="65"/>
    <row r="740" ht="21" customHeight="1" s="65"/>
    <row r="741" ht="21" customHeight="1" s="65"/>
    <row r="742" ht="21" customHeight="1" s="65"/>
    <row r="743" ht="21" customHeight="1" s="65"/>
    <row r="744" ht="21" customHeight="1" s="65"/>
  </sheetData>
  <mergeCells count="21">
    <mergeCell ref="B5:D6"/>
    <mergeCell ref="B8:D8"/>
    <mergeCell ref="H5:J6"/>
    <mergeCell ref="K9:M10"/>
    <mergeCell ref="E23:K24"/>
    <mergeCell ref="K8:M8"/>
    <mergeCell ref="E22:K22"/>
    <mergeCell ref="O4:R7"/>
    <mergeCell ref="K5:M6"/>
    <mergeCell ref="E5:G6"/>
    <mergeCell ref="H9:J10"/>
    <mergeCell ref="K4:M4"/>
    <mergeCell ref="B4:D4"/>
    <mergeCell ref="H8:J8"/>
    <mergeCell ref="E9:G10"/>
    <mergeCell ref="B2:N2"/>
    <mergeCell ref="B1:N1"/>
    <mergeCell ref="E8:G8"/>
    <mergeCell ref="H4:J4"/>
    <mergeCell ref="B9:D10"/>
    <mergeCell ref="E4:G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2026-07-12T03:13:33Z</dcterms:created>
  <dcterms:modified xmlns:dcterms="http://purl.org/dc/terms/" xmlns:xsi="http://www.w3.org/2001/XMLSchema-instance" xsi:type="dcterms:W3CDTF">2026-07-12T03:13:33Z</dcterms:modified>
  <cp:lastModifiedBy>UsuarioCompuElite</cp:lastModifiedBy>
</cp:coreProperties>
</file>