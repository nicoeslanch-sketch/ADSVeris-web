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NICOLAS-PC\Desktop\proyecto\plantillas_pymex\"/>
    </mc:Choice>
  </mc:AlternateContent>
  <xr:revisionPtr revIDLastSave="0" documentId="13_ncr:1_{B1F3B8EC-AF2B-413B-9C67-4B06165481E9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Inicio" sheetId="1" r:id="rId1"/>
    <sheet name="Configuración" sheetId="2" r:id="rId2"/>
    <sheet name="Datos Ventas" sheetId="3" r:id="rId3"/>
    <sheet name="Datos Gastos" sheetId="4" r:id="rId4"/>
    <sheet name="Resumen Ventas" sheetId="5" r:id="rId5"/>
    <sheet name="Resumen Gastos" sheetId="6" r:id="rId6"/>
    <sheet name="Dashboard" sheetId="7" r:id="rId7"/>
    <sheet name="Gráficos" sheetId="8" r:id="rId8"/>
  </sheets>
  <definedNames>
    <definedName name="_xlnm._FilterDatabase" localSheetId="2" hidden="1">'Datos Ventas'!$B$5:$J$185</definedName>
    <definedName name="LISTA_CATGASTO">Configuración!$F$6:$F$25</definedName>
    <definedName name="LISTA_CATVENTA">Configuración!$C$6:$C$25</definedName>
    <definedName name="LISTA_PRODUCTOS">Configuración!$B$6:$B$25</definedName>
    <definedName name="LISTA_REGIONES">Configuración!$D$6:$D$25</definedName>
    <definedName name="LISTA_VENDEDORES">Configuración!$E$6:$E$25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" i="8" l="1"/>
  <c r="I9" i="8"/>
  <c r="L8" i="8"/>
  <c r="I8" i="8"/>
  <c r="L7" i="8"/>
  <c r="I7" i="8"/>
  <c r="L6" i="8"/>
  <c r="I6" i="8"/>
  <c r="L5" i="8"/>
  <c r="I5" i="8"/>
  <c r="G67" i="7"/>
  <c r="G16" i="8" s="1"/>
  <c r="F67" i="7"/>
  <c r="F16" i="8" s="1"/>
  <c r="D67" i="7"/>
  <c r="D16" i="8" s="1"/>
  <c r="C67" i="7"/>
  <c r="C16" i="8" s="1"/>
  <c r="G66" i="7"/>
  <c r="G15" i="8" s="1"/>
  <c r="F66" i="7"/>
  <c r="D66" i="7"/>
  <c r="D15" i="8" s="1"/>
  <c r="C66" i="7"/>
  <c r="C15" i="8" s="1"/>
  <c r="G65" i="7"/>
  <c r="G14" i="8" s="1"/>
  <c r="F65" i="7"/>
  <c r="F14" i="8" s="1"/>
  <c r="D65" i="7"/>
  <c r="D14" i="8" s="1"/>
  <c r="C65" i="7"/>
  <c r="C14" i="8" s="1"/>
  <c r="G64" i="7"/>
  <c r="G13" i="8" s="1"/>
  <c r="F64" i="7"/>
  <c r="F13" i="8" s="1"/>
  <c r="D64" i="7"/>
  <c r="D23" i="7" s="1"/>
  <c r="C64" i="7"/>
  <c r="C13" i="8" s="1"/>
  <c r="G63" i="7"/>
  <c r="G12" i="8" s="1"/>
  <c r="F63" i="7"/>
  <c r="F12" i="8" s="1"/>
  <c r="D63" i="7"/>
  <c r="D12" i="8" s="1"/>
  <c r="C63" i="7"/>
  <c r="C12" i="8" s="1"/>
  <c r="G62" i="7"/>
  <c r="G11" i="8" s="1"/>
  <c r="F62" i="7"/>
  <c r="D62" i="7"/>
  <c r="D11" i="8" s="1"/>
  <c r="C62" i="7"/>
  <c r="C11" i="8" s="1"/>
  <c r="G61" i="7"/>
  <c r="G10" i="8" s="1"/>
  <c r="F61" i="7"/>
  <c r="F10" i="8" s="1"/>
  <c r="D61" i="7"/>
  <c r="D10" i="8" s="1"/>
  <c r="C61" i="7"/>
  <c r="C10" i="8" s="1"/>
  <c r="G60" i="7"/>
  <c r="G9" i="8" s="1"/>
  <c r="F60" i="7"/>
  <c r="D60" i="7"/>
  <c r="D19" i="7" s="1"/>
  <c r="C60" i="7"/>
  <c r="C9" i="8" s="1"/>
  <c r="G59" i="7"/>
  <c r="G8" i="8" s="1"/>
  <c r="F59" i="7"/>
  <c r="F8" i="8" s="1"/>
  <c r="D59" i="7"/>
  <c r="D8" i="8" s="1"/>
  <c r="C59" i="7"/>
  <c r="C8" i="8" s="1"/>
  <c r="G58" i="7"/>
  <c r="G7" i="8" s="1"/>
  <c r="F58" i="7"/>
  <c r="D58" i="7"/>
  <c r="D17" i="7" s="1"/>
  <c r="C58" i="7"/>
  <c r="G57" i="7"/>
  <c r="G6" i="8" s="1"/>
  <c r="F57" i="7"/>
  <c r="F6" i="8" s="1"/>
  <c r="D57" i="7"/>
  <c r="D6" i="8" s="1"/>
  <c r="C57" i="7"/>
  <c r="C6" i="8" s="1"/>
  <c r="G56" i="7"/>
  <c r="G5" i="8" s="1"/>
  <c r="F56" i="7"/>
  <c r="F5" i="8" s="1"/>
  <c r="D56" i="7"/>
  <c r="D15" i="7" s="1"/>
  <c r="C56" i="7"/>
  <c r="C53" i="7"/>
  <c r="C52" i="7"/>
  <c r="C50" i="7"/>
  <c r="C49" i="7"/>
  <c r="F35" i="7"/>
  <c r="Q9" i="8" s="1"/>
  <c r="E35" i="7"/>
  <c r="F34" i="7"/>
  <c r="Q8" i="8" s="1"/>
  <c r="E34" i="7"/>
  <c r="P8" i="8" s="1"/>
  <c r="F33" i="7"/>
  <c r="Q7" i="8" s="1"/>
  <c r="E33" i="7"/>
  <c r="F32" i="7"/>
  <c r="Q6" i="8" s="1"/>
  <c r="E32" i="7"/>
  <c r="P6" i="8" s="1"/>
  <c r="F31" i="7"/>
  <c r="Q5" i="8" s="1"/>
  <c r="E31" i="7"/>
  <c r="C26" i="7"/>
  <c r="F26" i="7" s="1"/>
  <c r="H25" i="7"/>
  <c r="D25" i="7"/>
  <c r="C25" i="7"/>
  <c r="F25" i="7" s="1"/>
  <c r="C24" i="7"/>
  <c r="F24" i="7" s="1"/>
  <c r="C23" i="7"/>
  <c r="F23" i="7" s="1"/>
  <c r="H21" i="7"/>
  <c r="G20" i="7"/>
  <c r="J20" i="7" s="1"/>
  <c r="C20" i="7"/>
  <c r="F20" i="7" s="1"/>
  <c r="H19" i="7"/>
  <c r="G19" i="7"/>
  <c r="J19" i="7" s="1"/>
  <c r="C19" i="7"/>
  <c r="F19" i="7" s="1"/>
  <c r="H17" i="7"/>
  <c r="D16" i="7"/>
  <c r="C16" i="7"/>
  <c r="H15" i="7"/>
  <c r="G15" i="7"/>
  <c r="N10" i="7"/>
  <c r="K10" i="7"/>
  <c r="E10" i="7"/>
  <c r="N6" i="7"/>
  <c r="E6" i="7"/>
  <c r="B6" i="7"/>
  <c r="B15" i="6"/>
  <c r="B14" i="6"/>
  <c r="B13" i="6"/>
  <c r="B12" i="6"/>
  <c r="B11" i="6"/>
  <c r="B10" i="6"/>
  <c r="C5" i="6"/>
  <c r="K15" i="6" s="1"/>
  <c r="B30" i="5"/>
  <c r="B29" i="5"/>
  <c r="B28" i="5"/>
  <c r="B27" i="5"/>
  <c r="B26" i="5"/>
  <c r="B22" i="5"/>
  <c r="B21" i="5"/>
  <c r="B20" i="5"/>
  <c r="B19" i="5"/>
  <c r="B18" i="5"/>
  <c r="B14" i="5"/>
  <c r="B13" i="5"/>
  <c r="B12" i="5"/>
  <c r="B11" i="5"/>
  <c r="B10" i="5"/>
  <c r="C5" i="5"/>
  <c r="L27" i="5" s="1"/>
  <c r="H29" i="5" l="1"/>
  <c r="D10" i="6"/>
  <c r="H16" i="7"/>
  <c r="H20" i="7"/>
  <c r="H27" i="7" s="1"/>
  <c r="H23" i="7"/>
  <c r="G35" i="7"/>
  <c r="R9" i="8" s="1"/>
  <c r="H66" i="7"/>
  <c r="I25" i="7" s="1"/>
  <c r="K25" i="7" s="1"/>
  <c r="H24" i="7"/>
  <c r="H18" i="7"/>
  <c r="H22" i="7"/>
  <c r="H26" i="7"/>
  <c r="J27" i="5"/>
  <c r="F12" i="6"/>
  <c r="D11" i="6"/>
  <c r="N11" i="5"/>
  <c r="I11" i="6"/>
  <c r="K13" i="6"/>
  <c r="N12" i="5"/>
  <c r="I14" i="5"/>
  <c r="J19" i="5"/>
  <c r="D21" i="5"/>
  <c r="J10" i="6"/>
  <c r="E11" i="6"/>
  <c r="K11" i="6"/>
  <c r="M13" i="6"/>
  <c r="N14" i="6"/>
  <c r="D21" i="7"/>
  <c r="D24" i="7"/>
  <c r="C54" i="7"/>
  <c r="H58" i="7"/>
  <c r="I17" i="7" s="1"/>
  <c r="H60" i="7"/>
  <c r="I19" i="7" s="1"/>
  <c r="K19" i="7" s="1"/>
  <c r="H62" i="7"/>
  <c r="I21" i="7" s="1"/>
  <c r="K21" i="7" s="1"/>
  <c r="N11" i="6"/>
  <c r="G11" i="6"/>
  <c r="M11" i="6"/>
  <c r="C13" i="6"/>
  <c r="N15" i="6"/>
  <c r="D20" i="7"/>
  <c r="N22" i="5"/>
  <c r="G28" i="5"/>
  <c r="K10" i="5"/>
  <c r="L13" i="5"/>
  <c r="I18" i="5"/>
  <c r="G20" i="5"/>
  <c r="I26" i="5"/>
  <c r="K10" i="6"/>
  <c r="C11" i="6"/>
  <c r="H11" i="6"/>
  <c r="G13" i="6"/>
  <c r="D18" i="7"/>
  <c r="D22" i="7"/>
  <c r="D26" i="7"/>
  <c r="C51" i="7"/>
  <c r="E56" i="7"/>
  <c r="E58" i="7"/>
  <c r="E17" i="7" s="1"/>
  <c r="L17" i="7" s="1"/>
  <c r="C17" i="7"/>
  <c r="H56" i="7"/>
  <c r="I15" i="7" s="1"/>
  <c r="G22" i="7"/>
  <c r="J22" i="7" s="1"/>
  <c r="G23" i="7"/>
  <c r="J23" i="7" s="1"/>
  <c r="G24" i="7"/>
  <c r="J24" i="7" s="1"/>
  <c r="I32" i="7"/>
  <c r="I34" i="7"/>
  <c r="H34" i="7"/>
  <c r="C18" i="7"/>
  <c r="F18" i="7" s="1"/>
  <c r="G21" i="7"/>
  <c r="J21" i="7" s="1"/>
  <c r="E60" i="7"/>
  <c r="H6" i="7"/>
  <c r="K6" i="7"/>
  <c r="Q10" i="7"/>
  <c r="H63" i="7"/>
  <c r="I22" i="7" s="1"/>
  <c r="K22" i="7" s="1"/>
  <c r="E64" i="7"/>
  <c r="E23" i="7" s="1"/>
  <c r="L23" i="7" s="1"/>
  <c r="G34" i="7"/>
  <c r="I35" i="7"/>
  <c r="H65" i="7"/>
  <c r="I24" i="7" s="1"/>
  <c r="K24" i="7" s="1"/>
  <c r="H59" i="7"/>
  <c r="I18" i="7" s="1"/>
  <c r="K18" i="7" s="1"/>
  <c r="C15" i="7"/>
  <c r="G17" i="7"/>
  <c r="G18" i="7"/>
  <c r="J18" i="7" s="1"/>
  <c r="C21" i="7"/>
  <c r="F21" i="7" s="1"/>
  <c r="C22" i="7"/>
  <c r="F22" i="7" s="1"/>
  <c r="G25" i="7"/>
  <c r="J25" i="7" s="1"/>
  <c r="G26" i="7"/>
  <c r="J26" i="7" s="1"/>
  <c r="G31" i="7"/>
  <c r="G32" i="7"/>
  <c r="J32" i="7" s="1"/>
  <c r="E57" i="7"/>
  <c r="H61" i="7"/>
  <c r="I20" i="7" s="1"/>
  <c r="K20" i="7" s="1"/>
  <c r="I10" i="5"/>
  <c r="J11" i="5"/>
  <c r="G12" i="5"/>
  <c r="D13" i="5"/>
  <c r="N14" i="5"/>
  <c r="N18" i="5"/>
  <c r="L19" i="5"/>
  <c r="H19" i="5"/>
  <c r="D19" i="5"/>
  <c r="K19" i="5"/>
  <c r="G19" i="5"/>
  <c r="C19" i="5"/>
  <c r="M19" i="5"/>
  <c r="I19" i="5"/>
  <c r="E19" i="5"/>
  <c r="N20" i="5"/>
  <c r="L21" i="5"/>
  <c r="I22" i="5"/>
  <c r="K26" i="5"/>
  <c r="K30" i="5"/>
  <c r="E30" i="5"/>
  <c r="K29" i="5"/>
  <c r="F29" i="5"/>
  <c r="N27" i="5"/>
  <c r="I27" i="5"/>
  <c r="D27" i="5"/>
  <c r="M26" i="5"/>
  <c r="H26" i="5"/>
  <c r="C26" i="5"/>
  <c r="K22" i="5"/>
  <c r="G22" i="5"/>
  <c r="C22" i="5"/>
  <c r="M20" i="5"/>
  <c r="I20" i="5"/>
  <c r="E20" i="5"/>
  <c r="G18" i="5"/>
  <c r="C18" i="5"/>
  <c r="K14" i="5"/>
  <c r="C14" i="5"/>
  <c r="I30" i="5"/>
  <c r="D30" i="5"/>
  <c r="D29" i="5"/>
  <c r="L20" i="5"/>
  <c r="H20" i="5"/>
  <c r="D20" i="5"/>
  <c r="L12" i="5"/>
  <c r="H12" i="5"/>
  <c r="D12" i="5"/>
  <c r="L30" i="5"/>
  <c r="G30" i="5"/>
  <c r="K18" i="5"/>
  <c r="G14" i="5"/>
  <c r="M12" i="5"/>
  <c r="I12" i="5"/>
  <c r="E12" i="5"/>
  <c r="M30" i="5"/>
  <c r="H30" i="5"/>
  <c r="C30" i="5"/>
  <c r="M10" i="5"/>
  <c r="K12" i="5"/>
  <c r="H13" i="5"/>
  <c r="E14" i="5"/>
  <c r="E18" i="5"/>
  <c r="F19" i="5"/>
  <c r="C20" i="5"/>
  <c r="N21" i="5"/>
  <c r="M22" i="5"/>
  <c r="L28" i="5"/>
  <c r="H28" i="5"/>
  <c r="D28" i="5"/>
  <c r="J28" i="5"/>
  <c r="E28" i="5"/>
  <c r="N28" i="5"/>
  <c r="I28" i="5"/>
  <c r="C28" i="5"/>
  <c r="K28" i="5"/>
  <c r="F28" i="5"/>
  <c r="C29" i="5"/>
  <c r="H11" i="5"/>
  <c r="D11" i="5"/>
  <c r="K11" i="5"/>
  <c r="G11" i="5"/>
  <c r="C11" i="5"/>
  <c r="M11" i="5"/>
  <c r="I11" i="5"/>
  <c r="E11" i="5"/>
  <c r="L11" i="5"/>
  <c r="E10" i="5"/>
  <c r="F11" i="5"/>
  <c r="C12" i="5"/>
  <c r="J13" i="5"/>
  <c r="M14" i="5"/>
  <c r="M18" i="5"/>
  <c r="N19" i="5"/>
  <c r="K20" i="5"/>
  <c r="H21" i="5"/>
  <c r="E22" i="5"/>
  <c r="E26" i="5"/>
  <c r="F27" i="5"/>
  <c r="M28" i="5"/>
  <c r="N29" i="5"/>
  <c r="G10" i="5"/>
  <c r="F13" i="5"/>
  <c r="N13" i="5"/>
  <c r="D10" i="5"/>
  <c r="H10" i="5"/>
  <c r="L10" i="5"/>
  <c r="F12" i="5"/>
  <c r="J12" i="5"/>
  <c r="C13" i="5"/>
  <c r="G13" i="5"/>
  <c r="K13" i="5"/>
  <c r="D14" i="5"/>
  <c r="H14" i="5"/>
  <c r="L14" i="5"/>
  <c r="D18" i="5"/>
  <c r="H18" i="5"/>
  <c r="L18" i="5"/>
  <c r="F20" i="5"/>
  <c r="J20" i="5"/>
  <c r="C21" i="5"/>
  <c r="G21" i="5"/>
  <c r="K21" i="5"/>
  <c r="D22" i="5"/>
  <c r="H22" i="5"/>
  <c r="L22" i="5"/>
  <c r="D26" i="5"/>
  <c r="E27" i="5"/>
  <c r="M29" i="5"/>
  <c r="I29" i="5"/>
  <c r="E29" i="5"/>
  <c r="G29" i="5"/>
  <c r="L29" i="5"/>
  <c r="N30" i="5"/>
  <c r="C10" i="6"/>
  <c r="H10" i="6"/>
  <c r="N10" i="6"/>
  <c r="L12" i="6"/>
  <c r="H12" i="6"/>
  <c r="D12" i="6"/>
  <c r="K12" i="6"/>
  <c r="G12" i="6"/>
  <c r="C12" i="6"/>
  <c r="M12" i="6"/>
  <c r="I12" i="6"/>
  <c r="E12" i="6"/>
  <c r="E5" i="8"/>
  <c r="E15" i="7"/>
  <c r="K15" i="7" s="1"/>
  <c r="E9" i="8"/>
  <c r="E19" i="7"/>
  <c r="L19" i="7" s="1"/>
  <c r="F10" i="5"/>
  <c r="J10" i="5"/>
  <c r="N10" i="5"/>
  <c r="E13" i="5"/>
  <c r="I13" i="5"/>
  <c r="M13" i="5"/>
  <c r="F14" i="5"/>
  <c r="J14" i="5"/>
  <c r="F18" i="5"/>
  <c r="J18" i="5"/>
  <c r="E21" i="5"/>
  <c r="I21" i="5"/>
  <c r="M21" i="5"/>
  <c r="F22" i="5"/>
  <c r="J22" i="5"/>
  <c r="N26" i="5"/>
  <c r="J26" i="5"/>
  <c r="F26" i="5"/>
  <c r="G26" i="5"/>
  <c r="L26" i="5"/>
  <c r="K27" i="5"/>
  <c r="G27" i="5"/>
  <c r="C27" i="5"/>
  <c r="H27" i="5"/>
  <c r="M27" i="5"/>
  <c r="J29" i="5"/>
  <c r="F10" i="6"/>
  <c r="J12" i="6"/>
  <c r="Q6" i="7"/>
  <c r="H10" i="7"/>
  <c r="E7" i="8"/>
  <c r="C10" i="5"/>
  <c r="F21" i="5"/>
  <c r="J21" i="5"/>
  <c r="M10" i="6"/>
  <c r="I10" i="6"/>
  <c r="E10" i="6"/>
  <c r="G10" i="6"/>
  <c r="L10" i="6"/>
  <c r="N12" i="6"/>
  <c r="L11" i="6"/>
  <c r="F13" i="6"/>
  <c r="J13" i="6"/>
  <c r="N13" i="6"/>
  <c r="C14" i="6"/>
  <c r="G14" i="6"/>
  <c r="K14" i="6"/>
  <c r="D15" i="6"/>
  <c r="H15" i="6"/>
  <c r="L15" i="6"/>
  <c r="B10" i="7"/>
  <c r="G16" i="7"/>
  <c r="J16" i="7" s="1"/>
  <c r="H35" i="7"/>
  <c r="H57" i="7"/>
  <c r="I16" i="7" s="1"/>
  <c r="H67" i="7"/>
  <c r="I26" i="7" s="1"/>
  <c r="K26" i="7" s="1"/>
  <c r="F7" i="8"/>
  <c r="F9" i="8"/>
  <c r="D14" i="6"/>
  <c r="H14" i="6"/>
  <c r="L14" i="6"/>
  <c r="E15" i="6"/>
  <c r="I15" i="6"/>
  <c r="M15" i="6"/>
  <c r="J15" i="7"/>
  <c r="I33" i="7"/>
  <c r="E59" i="7"/>
  <c r="E61" i="7"/>
  <c r="E63" i="7"/>
  <c r="E65" i="7"/>
  <c r="E67" i="7"/>
  <c r="C5" i="8"/>
  <c r="C7" i="8"/>
  <c r="F11" i="8"/>
  <c r="D13" i="8"/>
  <c r="F15" i="8"/>
  <c r="F30" i="5"/>
  <c r="J30" i="5"/>
  <c r="F11" i="6"/>
  <c r="J11" i="6"/>
  <c r="D13" i="6"/>
  <c r="H13" i="6"/>
  <c r="L13" i="6"/>
  <c r="E14" i="6"/>
  <c r="I14" i="6"/>
  <c r="M14" i="6"/>
  <c r="F15" i="6"/>
  <c r="J15" i="6"/>
  <c r="H64" i="7"/>
  <c r="I23" i="7" s="1"/>
  <c r="K23" i="7" s="1"/>
  <c r="D5" i="8"/>
  <c r="P5" i="8"/>
  <c r="D7" i="8"/>
  <c r="P7" i="8"/>
  <c r="D9" i="8"/>
  <c r="P9" i="8"/>
  <c r="E13" i="6"/>
  <c r="I13" i="6"/>
  <c r="F14" i="6"/>
  <c r="J14" i="6"/>
  <c r="C15" i="6"/>
  <c r="G15" i="6"/>
  <c r="G33" i="7"/>
  <c r="H33" i="7" s="1"/>
  <c r="E62" i="7"/>
  <c r="E66" i="7"/>
  <c r="D27" i="7" l="1"/>
  <c r="E13" i="8"/>
  <c r="I23" i="5"/>
  <c r="O13" i="6"/>
  <c r="K16" i="6"/>
  <c r="J16" i="6"/>
  <c r="D16" i="6"/>
  <c r="O11" i="6"/>
  <c r="J17" i="7"/>
  <c r="D31" i="5"/>
  <c r="F15" i="7"/>
  <c r="L31" i="5"/>
  <c r="N15" i="5"/>
  <c r="I31" i="5"/>
  <c r="N31" i="5"/>
  <c r="E6" i="8"/>
  <c r="E16" i="7"/>
  <c r="K16" i="7" s="1"/>
  <c r="O27" i="5"/>
  <c r="G31" i="5"/>
  <c r="R6" i="8"/>
  <c r="H32" i="7"/>
  <c r="C27" i="7"/>
  <c r="K15" i="5"/>
  <c r="R5" i="8"/>
  <c r="H31" i="7"/>
  <c r="R8" i="8"/>
  <c r="J35" i="7"/>
  <c r="E15" i="8"/>
  <c r="E25" i="7"/>
  <c r="L25" i="7" s="1"/>
  <c r="E11" i="8"/>
  <c r="E21" i="7"/>
  <c r="L21" i="7" s="1"/>
  <c r="E26" i="7"/>
  <c r="L26" i="7" s="1"/>
  <c r="E16" i="8"/>
  <c r="E8" i="8"/>
  <c r="E18" i="7"/>
  <c r="L18" i="7" s="1"/>
  <c r="O14" i="6"/>
  <c r="G16" i="6"/>
  <c r="F31" i="5"/>
  <c r="J23" i="5"/>
  <c r="J15" i="5"/>
  <c r="L15" i="7"/>
  <c r="L23" i="5"/>
  <c r="O13" i="5"/>
  <c r="J8" i="8" s="1"/>
  <c r="H15" i="5"/>
  <c r="G15" i="5"/>
  <c r="O29" i="5"/>
  <c r="O30" i="5"/>
  <c r="K31" i="5"/>
  <c r="O15" i="6"/>
  <c r="E10" i="8"/>
  <c r="E20" i="7"/>
  <c r="L20" i="7" s="1"/>
  <c r="J33" i="7"/>
  <c r="R7" i="8"/>
  <c r="J34" i="7"/>
  <c r="E14" i="8"/>
  <c r="E24" i="7"/>
  <c r="L24" i="7" s="1"/>
  <c r="E16" i="6"/>
  <c r="F17" i="7"/>
  <c r="J31" i="5"/>
  <c r="F23" i="5"/>
  <c r="F15" i="5"/>
  <c r="K17" i="7"/>
  <c r="N16" i="6"/>
  <c r="O21" i="5"/>
  <c r="M8" i="8" s="1"/>
  <c r="H23" i="5"/>
  <c r="D15" i="5"/>
  <c r="E31" i="5"/>
  <c r="O12" i="5"/>
  <c r="J7" i="8" s="1"/>
  <c r="O11" i="5"/>
  <c r="J6" i="8" s="1"/>
  <c r="O20" i="5"/>
  <c r="M7" i="8" s="1"/>
  <c r="O18" i="5"/>
  <c r="C23" i="5"/>
  <c r="C31" i="5"/>
  <c r="O26" i="5"/>
  <c r="N23" i="5"/>
  <c r="E22" i="7"/>
  <c r="L22" i="7" s="1"/>
  <c r="E12" i="8"/>
  <c r="I16" i="6"/>
  <c r="O10" i="5"/>
  <c r="C15" i="5"/>
  <c r="I27" i="7"/>
  <c r="G27" i="7"/>
  <c r="J27" i="7" s="1"/>
  <c r="O12" i="6"/>
  <c r="H16" i="6"/>
  <c r="D23" i="5"/>
  <c r="M23" i="5"/>
  <c r="G23" i="5"/>
  <c r="O22" i="5"/>
  <c r="M9" i="8" s="1"/>
  <c r="H31" i="5"/>
  <c r="I15" i="5"/>
  <c r="L16" i="6"/>
  <c r="M16" i="6"/>
  <c r="F16" i="6"/>
  <c r="C16" i="6"/>
  <c r="O10" i="6"/>
  <c r="L15" i="5"/>
  <c r="E15" i="5"/>
  <c r="O28" i="5"/>
  <c r="E23" i="5"/>
  <c r="M15" i="5"/>
  <c r="K23" i="5"/>
  <c r="O14" i="5"/>
  <c r="J9" i="8" s="1"/>
  <c r="M31" i="5"/>
  <c r="O19" i="5"/>
  <c r="M6" i="8" s="1"/>
  <c r="O16" i="6" l="1"/>
  <c r="P12" i="6" s="1"/>
  <c r="L16" i="7"/>
  <c r="F16" i="7"/>
  <c r="O31" i="5"/>
  <c r="E27" i="7"/>
  <c r="F27" i="7" s="1"/>
  <c r="J5" i="8"/>
  <c r="O15" i="5"/>
  <c r="M5" i="8"/>
  <c r="O23" i="5"/>
  <c r="P14" i="6" l="1"/>
  <c r="P11" i="6"/>
  <c r="P15" i="6"/>
  <c r="P10" i="6"/>
  <c r="P13" i="6"/>
  <c r="P28" i="5"/>
  <c r="P30" i="5"/>
  <c r="P29" i="5"/>
  <c r="P19" i="5"/>
  <c r="P11" i="5"/>
  <c r="P20" i="5"/>
  <c r="P12" i="5"/>
  <c r="P27" i="5"/>
  <c r="P22" i="5"/>
  <c r="P18" i="5"/>
  <c r="P14" i="5"/>
  <c r="P10" i="5"/>
  <c r="P13" i="5"/>
  <c r="P26" i="5"/>
  <c r="P21" i="5"/>
  <c r="K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5" authorId="0" shapeId="0" xr:uid="{00000000-0006-0000-0600-000001000000}">
      <text>
        <r>
          <rPr>
            <sz val="10"/>
            <rFont val="Arial"/>
            <family val="2"/>
          </rPr>
          <t>Variación calculada sobre el valor absoluto del año anterior para evitar signos invertidos cuando el año previo fue pérdida. Interpretar con cuidado si el año anterior tuvo ganancia negativa.</t>
        </r>
      </text>
    </comment>
  </commentList>
</comments>
</file>

<file path=xl/sharedStrings.xml><?xml version="1.0" encoding="utf-8"?>
<sst xmlns="http://schemas.openxmlformats.org/spreadsheetml/2006/main" count="301" uniqueCount="166">
  <si>
    <t>DASHBOARD FINANCIERO PYME  ·  MULTI-AÑO</t>
  </si>
  <si>
    <t>Panel financiero multi-año. Ingresa todos los datos históricos y actuales en las tablas. El Dashboard y los gráficos se actualizan automáticamente con el año que selecciones.</t>
  </si>
  <si>
    <t>Estructura de la plantilla</t>
  </si>
  <si>
    <t>Hoja</t>
  </si>
  <si>
    <t>Propósito</t>
  </si>
  <si>
    <t>Qué hacer</t>
  </si>
  <si>
    <t>Datos Ventas</t>
  </si>
  <si>
    <t>Todas las ventas históricas</t>
  </si>
  <si>
    <t>Ingresa cada venta con Año, Mes, Producto, Región, Vendedor y Monto. Incluye datos 2023-2025.</t>
  </si>
  <si>
    <t>Datos Gastos</t>
  </si>
  <si>
    <t>Todos los gastos históricos</t>
  </si>
  <si>
    <t>Registra cada gasto con Año, Mes, Categoría, Descripción y Monto.</t>
  </si>
  <si>
    <t>Resumen Ventas</t>
  </si>
  <si>
    <t>Consolidado del año seleccionado</t>
  </si>
  <si>
    <t>Selecciona el año en la celda C5. Todo se recalcula automáticamente.</t>
  </si>
  <si>
    <t>Resumen Gastos</t>
  </si>
  <si>
    <t>Mismo selector de año. No editar las celdas de fórmula.</t>
  </si>
  <si>
    <t>Dashboard</t>
  </si>
  <si>
    <t>Panel de KPIs + comparativo anual</t>
  </si>
  <si>
    <t>Selecciona el año a analizar. Muestra evolución, comparativo vs año anterior y semáforos.</t>
  </si>
  <si>
    <t>Gráficos</t>
  </si>
  <si>
    <t>Gráficos dinámicos multi-año</t>
  </si>
  <si>
    <t>Líneas de evolución anual, barras por producto, torta por región, y comparativo inter-anual.</t>
  </si>
  <si>
    <t>CONFIGURACIÓN  ·  Listas maestras del sistema</t>
  </si>
  <si>
    <t>Edita aquí los nombres. Todo lo que escribas se refleja automáticamente en las listas desplegables de Datos Ventas / Datos Gastos, en los Resúmenes y en los Gráficos. No cambies los encabezados ni dejes huecos en medio de cada lista.</t>
  </si>
  <si>
    <t>PRODUCTOS</t>
  </si>
  <si>
    <t>CATEGORÍAS VENTA</t>
  </si>
  <si>
    <t>REGIONES</t>
  </si>
  <si>
    <t>VENDEDORES</t>
  </si>
  <si>
    <t>CATEGORÍAS GASTO</t>
  </si>
  <si>
    <t>Producto A</t>
  </si>
  <si>
    <t>Electrónica</t>
  </si>
  <si>
    <t>Norte</t>
  </si>
  <si>
    <t>Carlos Ríos</t>
  </si>
  <si>
    <t>Arriendo</t>
  </si>
  <si>
    <t>Producto B</t>
  </si>
  <si>
    <t>Ropa</t>
  </si>
  <si>
    <t>Sur</t>
  </si>
  <si>
    <t>María López</t>
  </si>
  <si>
    <t>Sueldos</t>
  </si>
  <si>
    <t>Producto C</t>
  </si>
  <si>
    <t>Alimentos</t>
  </si>
  <si>
    <t>Centro</t>
  </si>
  <si>
    <t>Juan Pérez</t>
  </si>
  <si>
    <t>Servicios básicos</t>
  </si>
  <si>
    <t>Producto D</t>
  </si>
  <si>
    <t>Servicios</t>
  </si>
  <si>
    <t>Oriente</t>
  </si>
  <si>
    <t>Ana Torres</t>
  </si>
  <si>
    <t>Insumos</t>
  </si>
  <si>
    <t>Producto E</t>
  </si>
  <si>
    <t>Otros</t>
  </si>
  <si>
    <t>Occidente</t>
  </si>
  <si>
    <t>Pedro Salas</t>
  </si>
  <si>
    <t>Publicidad</t>
  </si>
  <si>
    <t>Otros gastos</t>
  </si>
  <si>
    <t>Sugerencia: para añadir un producto nuevo, escríbelo en la primera celda amarilla vacía de la columna PRODUCTOS.</t>
  </si>
  <si>
    <t>DATOS DE VENTAS  ·  HISTÓRICO MULTI-AÑO</t>
  </si>
  <si>
    <t>Ingresa aquí TODAS las ventas de todos los años. Usa la columna Año para diferenciar periodos.</t>
  </si>
  <si>
    <t>Fecha</t>
  </si>
  <si>
    <t>Año</t>
  </si>
  <si>
    <t>Mes</t>
  </si>
  <si>
    <t>Producto</t>
  </si>
  <si>
    <t>Región</t>
  </si>
  <si>
    <t>Vendedor</t>
  </si>
  <si>
    <t>Categoría</t>
  </si>
  <si>
    <t>Ventas ($)</t>
  </si>
  <si>
    <t>Unidades</t>
  </si>
  <si>
    <t>Enero</t>
  </si>
  <si>
    <t>Febrero</t>
  </si>
  <si>
    <t>Marzo</t>
  </si>
  <si>
    <t>DATOS DE GASTOS  ·  HISTÓRICO MULTI-AÑO</t>
  </si>
  <si>
    <t>Registra aquí TODOS los gastos de todos los años. Usa la columna Año para diferenciar periodos.</t>
  </si>
  <si>
    <t>Descripción</t>
  </si>
  <si>
    <t>Monto ($)</t>
  </si>
  <si>
    <t>Nota</t>
  </si>
  <si>
    <t>Local centro</t>
  </si>
  <si>
    <t>Ejemplo</t>
  </si>
  <si>
    <t>Planilla mensual</t>
  </si>
  <si>
    <t>Materia prima</t>
  </si>
  <si>
    <t>RESUMEN DE VENTAS  ·  Consolidado por Año</t>
  </si>
  <si>
    <t>Selecciona el año a consultar. Los datos se consolidan automáticamente desde Datos Ventas con SUMIFS.</t>
  </si>
  <si>
    <t>Año a consultar:</t>
  </si>
  <si>
    <t>El año se controla desde la hoja Dashboard (celda D4)</t>
  </si>
  <si>
    <t>Producto / 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</si>
  <si>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</si>
  <si>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</si>
  <si>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</si>
  <si>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</si>
  <si>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</si>
  <si>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</si>
  <si>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</si>
  <si>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</si>
  <si>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</si>
  <si>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</si>
  <si>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</si>
  <si>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</si>
  <si>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Anual</t>
  </si>
  <si>
    <t>% del Total</t>
  </si>
  <si>
    <t xml:space="preserve">  VENTAS POR PRODUCTO ($)</t>
  </si>
  <si>
    <t>TOTAL VENTAS</t>
  </si>
  <si>
    <t xml:space="preserve">  VENTAS POR REGIÓN ($)</t>
  </si>
  <si>
    <t>TOTAL REGIONES</t>
  </si>
  <si>
    <t xml:space="preserve">  VENTAS POR VENDEDOR ($)</t>
  </si>
  <si>
    <t>TOTAL VENDEDORES</t>
  </si>
  <si>
    <t>RESUMEN DE GASTOS  ·  Consolidado por Año</t>
  </si>
  <si>
    <t>Selecciona el año. Los gastos se consolidan automáticamente desde Datos Gastos con SUMIFS.</t>
  </si>
  <si>
    <t>Categoría / Mes</t>
  </si>
  <si>
    <t xml:space="preserve">  GASTOS POR CATEGORÍA ($)</t>
  </si>
  <si>
    <t>TOTAL GASTOS</t>
  </si>
  <si>
    <t>Resumen ejecutivo  ·  Selecciona el año a analizar  ·  Comparativo automático vs año anterior</t>
  </si>
  <si>
    <t>AÑO:</t>
  </si>
  <si>
    <t>← Selecciona el año a analizar</t>
  </si>
  <si>
    <t>VENTAS AÑO</t>
  </si>
  <si>
    <t>GASTOS AÑO</t>
  </si>
  <si>
    <t>GANANCIA BRUTA</t>
  </si>
  <si>
    <t>MARGEN NETO</t>
  </si>
  <si>
    <t>VAR. VENTAS vs ANT.</t>
  </si>
  <si>
    <t>VAR. GANANCIA vs ANT.</t>
  </si>
  <si>
    <t>VENTAS AÑO ANT.</t>
  </si>
  <si>
    <t>GASTOS AÑO ANT.</t>
  </si>
  <si>
    <t>GANANCIA AÑO ANT.</t>
  </si>
  <si>
    <t>VENTA PROM./MES</t>
  </si>
  <si>
    <t>GASTO PROM./MES</t>
  </si>
  <si>
    <t>GANANCIA PROM./MES</t>
  </si>
  <si>
    <t>COMPARATIVO MENSUAL  ·  AÑO SELECCIONADO vs AÑO ANTERIOR</t>
  </si>
  <si>
    <t>Ventas</t>
  </si>
  <si>
    <t>Gastos</t>
  </si>
  <si>
    <t>Ganancia</t>
  </si>
  <si>
    <t>Margen %</t>
  </si>
  <si>
    <t>Vent. Ant.</t>
  </si>
  <si>
    <t>Gast. Ant.</t>
  </si>
  <si>
    <t>Gan. Ant.</t>
  </si>
  <si>
    <t>Var. Ventas</t>
  </si>
  <si>
    <t>Var. Gan.</t>
  </si>
  <si>
    <t>Estado</t>
  </si>
  <si>
    <t>TOTAL</t>
  </si>
  <si>
    <t>EVOLUCIÓN INTER-ANUAL  ·  Resumen por año (datos de todas las tablas)</t>
  </si>
  <si>
    <t>Crec. Ventas</t>
  </si>
  <si>
    <t>Crec. Ganancia</t>
  </si>
  <si>
    <t>-</t>
  </si>
  <si>
    <t>VENTAS_YR</t>
  </si>
  <si>
    <t>GASTOS_YR</t>
  </si>
  <si>
    <t>GANANCIA_YR</t>
  </si>
  <si>
    <t>VENTAS_PREV</t>
  </si>
  <si>
    <t>GASTOS_PREV</t>
  </si>
  <si>
    <t>GANANCIA_PREV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</si>
  <si>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</si>
  <si>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</si>
  <si>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</si>
  <si>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</si>
  <si>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</si>
  <si>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</si>
  <si>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</si>
  <si>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</si>
  <si>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</si>
  <si>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GRÁFICOS DEL DASHBOARD  ·  Visualización Multi-Año</t>
  </si>
  <si>
    <t>MES</t>
  </si>
  <si>
    <t>VENTAS</t>
  </si>
  <si>
    <t>GASTOS</t>
  </si>
  <si>
    <t>GANANCIA</t>
  </si>
  <si>
    <t>VENT ANT</t>
  </si>
  <si>
    <t>GAST ANT</t>
  </si>
  <si>
    <t>PRODUCTO</t>
  </si>
  <si>
    <t>REGIÓN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</si>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</sst>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m/d/yyyy"/>
    <numFmt numFmtId="166" formatCode="#,##0;\(#,##0\);\-"/>
    <numFmt numFmtId="167" formatCode="0.0%;\(0.0%\);\-"/>
  </numFmts>
  <fonts count="33" x14ac:knownFonts="1">
    <font>
      <sz val="11"/>
      <color theme="1"/>
      <name val="Calibri"/>
      <family val="2"/>
      <charset val="1"/>
    </font>
    <font>
      <b/>
      <sz val="17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7A1F2B"/>
      <name val="Arial"/>
      <charset val="1"/>
    </font>
    <font>
      <b/>
      <sz val="18"/>
      <color rgb="FFFFFFFF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b/>
      <sz val="12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9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8"/>
      <color rgb="FF0000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7"/>
      <color rgb="FFCCCCCC"/>
      <name val="Arial"/>
      <family val="2"/>
      <charset val="1"/>
    </font>
    <font>
      <sz val="10"/>
      <name val="Arial"/>
      <family val="2"/>
    </font>
    <font>
      <b/>
      <sz val="9"/>
      <name val="Arial"/>
      <family val="2"/>
      <charset val="1"/>
    </font>
    <font>
      <sz val="9"/>
      <name val="Arial"/>
      <family val="2"/>
      <charset val="1"/>
    </font>
    <font>
      <sz val="11"/>
      <color theme="0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name val="Arial"/>
      <family val="2"/>
    </font>
    <font>
      <sz val="11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7B2335"/>
        <bgColor rgb="FF7A1F2B"/>
      </patternFill>
    </fill>
    <fill>
      <patternFill patternType="solid">
        <fgColor rgb="FFD6E8EE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F2F2F2"/>
      </patternFill>
    </fill>
    <fill>
      <patternFill patternType="solid">
        <fgColor rgb="FFC9A84C"/>
        <bgColor rgb="FF9BBB59"/>
      </patternFill>
    </fill>
    <fill>
      <patternFill patternType="solid">
        <fgColor rgb="FFFFF3CD"/>
        <bgColor rgb="FFFDF3DC"/>
      </patternFill>
    </fill>
    <fill>
      <patternFill patternType="solid">
        <fgColor rgb="FFFDF3DC"/>
        <bgColor rgb="FFFFF3CD"/>
      </patternFill>
    </fill>
    <fill>
      <patternFill patternType="solid">
        <fgColor theme="1"/>
        <bgColor rgb="FF404040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rgb="FFE8E8E8"/>
      </patternFill>
    </fill>
    <fill>
      <patternFill patternType="solid">
        <fgColor rgb="FFFFF3CD"/>
        <bgColor rgb="FFE8E8E8"/>
      </patternFill>
    </fill>
    <fill>
      <patternFill patternType="solid">
        <fgColor rgb="FFFFF3CD"/>
        <bgColor rgb="FFF2F2F2"/>
      </patternFill>
    </fill>
    <fill>
      <patternFill patternType="solid">
        <fgColor theme="0" tint="-4.9989318521683403E-2"/>
        <bgColor rgb="FFE8E8E8"/>
      </patternFill>
    </fill>
    <fill>
      <patternFill patternType="solid">
        <fgColor rgb="FFC00000"/>
        <bgColor rgb="FF404040"/>
      </patternFill>
    </fill>
    <fill>
      <patternFill patternType="solid">
        <fgColor theme="1"/>
        <bgColor rgb="FF7A1F2B"/>
      </patternFill>
    </fill>
    <fill>
      <patternFill patternType="solid">
        <fgColor rgb="FFC9A84C"/>
        <bgColor rgb="FFFFF3CD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medium">
        <color rgb="FF888888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9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165" fontId="11" fillId="4" borderId="2" xfId="0" applyNumberFormat="1" applyFont="1" applyFill="1" applyBorder="1" applyAlignment="1">
      <alignment horizontal="left" vertical="center" wrapText="1"/>
    </xf>
    <xf numFmtId="1" fontId="11" fillId="4" borderId="2" xfId="0" applyNumberFormat="1" applyFont="1" applyFill="1" applyBorder="1" applyAlignment="1">
      <alignment horizontal="left" vertical="center" wrapText="1"/>
    </xf>
    <xf numFmtId="49" fontId="11" fillId="4" borderId="2" xfId="0" applyNumberFormat="1" applyFont="1" applyFill="1" applyBorder="1" applyAlignment="1">
      <alignment horizontal="left" vertical="center" wrapText="1"/>
    </xf>
    <xf numFmtId="3" fontId="12" fillId="4" borderId="2" xfId="0" applyNumberFormat="1" applyFont="1" applyFill="1" applyBorder="1" applyAlignment="1">
      <alignment horizontal="right" vertical="center"/>
    </xf>
    <xf numFmtId="165" fontId="11" fillId="3" borderId="2" xfId="0" applyNumberFormat="1" applyFont="1" applyFill="1" applyBorder="1" applyAlignment="1">
      <alignment horizontal="left" vertical="center" wrapText="1"/>
    </xf>
    <xf numFmtId="1" fontId="11" fillId="3" borderId="2" xfId="0" applyNumberFormat="1" applyFont="1" applyFill="1" applyBorder="1" applyAlignment="1">
      <alignment horizontal="left" vertical="center" wrapText="1"/>
    </xf>
    <xf numFmtId="49" fontId="11" fillId="3" borderId="2" xfId="0" applyNumberFormat="1" applyFont="1" applyFill="1" applyBorder="1" applyAlignment="1">
      <alignment horizontal="left" vertical="center" wrapText="1"/>
    </xf>
    <xf numFmtId="3" fontId="12" fillId="3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 wrapText="1"/>
    </xf>
    <xf numFmtId="3" fontId="11" fillId="4" borderId="2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" fontId="14" fillId="7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166" fontId="6" fillId="8" borderId="4" xfId="0" applyNumberFormat="1" applyFont="1" applyFill="1" applyBorder="1" applyAlignment="1">
      <alignment horizontal="right" vertical="center"/>
    </xf>
    <xf numFmtId="166" fontId="4" fillId="6" borderId="4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167" fontId="4" fillId="6" borderId="4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0" fontId="21" fillId="0" borderId="0" xfId="0" applyFont="1"/>
    <xf numFmtId="3" fontId="21" fillId="0" borderId="0" xfId="0" applyNumberFormat="1" applyFont="1"/>
    <xf numFmtId="0" fontId="23" fillId="3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left" vertical="center" wrapText="1"/>
    </xf>
    <xf numFmtId="1" fontId="23" fillId="3" borderId="2" xfId="0" applyNumberFormat="1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center" wrapText="1"/>
    </xf>
    <xf numFmtId="1" fontId="23" fillId="4" borderId="2" xfId="0" applyNumberFormat="1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right" vertical="center"/>
    </xf>
    <xf numFmtId="1" fontId="17" fillId="7" borderId="6" xfId="0" applyNumberFormat="1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0" borderId="0" xfId="0" applyBorder="1"/>
    <xf numFmtId="0" fontId="3" fillId="9" borderId="2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left" vertical="center"/>
    </xf>
    <xf numFmtId="0" fontId="10" fillId="9" borderId="0" xfId="0" applyFont="1" applyFill="1" applyAlignment="1">
      <alignment horizontal="center" vertical="center" wrapText="1"/>
    </xf>
    <xf numFmtId="164" fontId="27" fillId="12" borderId="2" xfId="0" applyNumberFormat="1" applyFont="1" applyFill="1" applyBorder="1" applyAlignment="1">
      <alignment horizontal="left" vertical="center" wrapText="1"/>
    </xf>
    <xf numFmtId="1" fontId="27" fillId="12" borderId="2" xfId="0" applyNumberFormat="1" applyFont="1" applyFill="1" applyBorder="1" applyAlignment="1">
      <alignment horizontal="left" vertical="center" wrapText="1"/>
    </xf>
    <xf numFmtId="49" fontId="27" fillId="12" borderId="2" xfId="0" applyNumberFormat="1" applyFont="1" applyFill="1" applyBorder="1" applyAlignment="1">
      <alignment horizontal="left" vertical="center" wrapText="1"/>
    </xf>
    <xf numFmtId="3" fontId="27" fillId="12" borderId="2" xfId="0" applyNumberFormat="1" applyFont="1" applyFill="1" applyBorder="1" applyAlignment="1">
      <alignment horizontal="right" vertical="center"/>
    </xf>
    <xf numFmtId="165" fontId="24" fillId="13" borderId="2" xfId="0" applyNumberFormat="1" applyFont="1" applyFill="1" applyBorder="1" applyAlignment="1">
      <alignment horizontal="left" vertical="center" wrapText="1"/>
    </xf>
    <xf numFmtId="1" fontId="24" fillId="13" borderId="2" xfId="0" applyNumberFormat="1" applyFont="1" applyFill="1" applyBorder="1" applyAlignment="1">
      <alignment horizontal="left" vertical="center" wrapText="1"/>
    </xf>
    <xf numFmtId="49" fontId="24" fillId="13" borderId="2" xfId="0" applyNumberFormat="1" applyFont="1" applyFill="1" applyBorder="1" applyAlignment="1">
      <alignment horizontal="left" vertical="center" wrapText="1"/>
    </xf>
    <xf numFmtId="3" fontId="24" fillId="13" borderId="2" xfId="0" applyNumberFormat="1" applyFont="1" applyFill="1" applyBorder="1" applyAlignment="1">
      <alignment horizontal="right" vertical="center"/>
    </xf>
    <xf numFmtId="165" fontId="24" fillId="12" borderId="2" xfId="0" applyNumberFormat="1" applyFont="1" applyFill="1" applyBorder="1" applyAlignment="1">
      <alignment horizontal="left" vertical="center" wrapText="1"/>
    </xf>
    <xf numFmtId="1" fontId="24" fillId="12" borderId="2" xfId="0" applyNumberFormat="1" applyFont="1" applyFill="1" applyBorder="1" applyAlignment="1">
      <alignment horizontal="left" vertical="center" wrapText="1"/>
    </xf>
    <xf numFmtId="49" fontId="24" fillId="12" borderId="2" xfId="0" applyNumberFormat="1" applyFont="1" applyFill="1" applyBorder="1" applyAlignment="1">
      <alignment horizontal="left" vertical="center" wrapText="1"/>
    </xf>
    <xf numFmtId="3" fontId="24" fillId="12" borderId="2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left" vertical="center" wrapText="1"/>
    </xf>
    <xf numFmtId="3" fontId="24" fillId="13" borderId="2" xfId="0" applyNumberFormat="1" applyFont="1" applyFill="1" applyBorder="1" applyAlignment="1">
      <alignment horizontal="left" vertical="center" wrapText="1"/>
    </xf>
    <xf numFmtId="0" fontId="28" fillId="0" borderId="0" xfId="0" applyFont="1"/>
    <xf numFmtId="165" fontId="27" fillId="13" borderId="2" xfId="0" applyNumberFormat="1" applyFont="1" applyFill="1" applyBorder="1" applyAlignment="1">
      <alignment horizontal="left" vertical="center" wrapText="1"/>
    </xf>
    <xf numFmtId="1" fontId="27" fillId="13" borderId="2" xfId="0" applyNumberFormat="1" applyFont="1" applyFill="1" applyBorder="1" applyAlignment="1">
      <alignment horizontal="left" vertical="center" wrapText="1"/>
    </xf>
    <xf numFmtId="49" fontId="27" fillId="13" borderId="2" xfId="0" applyNumberFormat="1" applyFont="1" applyFill="1" applyBorder="1" applyAlignment="1">
      <alignment horizontal="left" vertical="center" wrapText="1"/>
    </xf>
    <xf numFmtId="3" fontId="27" fillId="13" borderId="2" xfId="0" applyNumberFormat="1" applyFont="1" applyFill="1" applyBorder="1" applyAlignment="1">
      <alignment horizontal="right" vertical="center"/>
    </xf>
    <xf numFmtId="165" fontId="27" fillId="12" borderId="2" xfId="0" applyNumberFormat="1" applyFont="1" applyFill="1" applyBorder="1" applyAlignment="1">
      <alignment horizontal="left" vertical="center" wrapText="1"/>
    </xf>
    <xf numFmtId="0" fontId="27" fillId="13" borderId="2" xfId="0" applyFont="1" applyFill="1" applyBorder="1" applyAlignment="1">
      <alignment horizontal="left" vertical="center" wrapText="1"/>
    </xf>
    <xf numFmtId="3" fontId="27" fillId="13" borderId="2" xfId="0" applyNumberFormat="1" applyFont="1" applyFill="1" applyBorder="1" applyAlignment="1">
      <alignment horizontal="left" vertical="center" wrapText="1"/>
    </xf>
    <xf numFmtId="0" fontId="30" fillId="10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left" vertical="center" wrapText="1"/>
    </xf>
    <xf numFmtId="166" fontId="5" fillId="14" borderId="2" xfId="0" applyNumberFormat="1" applyFont="1" applyFill="1" applyBorder="1" applyAlignment="1">
      <alignment horizontal="right" vertical="center"/>
    </xf>
    <xf numFmtId="166" fontId="4" fillId="8" borderId="2" xfId="0" applyNumberFormat="1" applyFont="1" applyFill="1" applyBorder="1" applyAlignment="1">
      <alignment horizontal="right" vertical="center"/>
    </xf>
    <xf numFmtId="167" fontId="5" fillId="5" borderId="2" xfId="0" applyNumberFormat="1" applyFont="1" applyFill="1" applyBorder="1" applyAlignment="1">
      <alignment horizontal="right" vertical="center"/>
    </xf>
    <xf numFmtId="0" fontId="22" fillId="4" borderId="2" xfId="0" applyFont="1" applyFill="1" applyBorder="1" applyAlignment="1">
      <alignment horizontal="left" vertical="center" wrapText="1"/>
    </xf>
    <xf numFmtId="166" fontId="5" fillId="4" borderId="2" xfId="0" applyNumberFormat="1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left" vertical="center" wrapText="1"/>
    </xf>
    <xf numFmtId="166" fontId="4" fillId="8" borderId="4" xfId="0" applyNumberFormat="1" applyFont="1" applyFill="1" applyBorder="1" applyAlignment="1">
      <alignment horizontal="right" vertical="center"/>
    </xf>
    <xf numFmtId="166" fontId="22" fillId="14" borderId="2" xfId="0" applyNumberFormat="1" applyFont="1" applyFill="1" applyBorder="1" applyAlignment="1">
      <alignment horizontal="right" vertical="center"/>
    </xf>
    <xf numFmtId="166" fontId="29" fillId="8" borderId="2" xfId="0" applyNumberFormat="1" applyFont="1" applyFill="1" applyBorder="1" applyAlignment="1">
      <alignment horizontal="right" vertical="center"/>
    </xf>
    <xf numFmtId="167" fontId="22" fillId="5" borderId="2" xfId="0" applyNumberFormat="1" applyFont="1" applyFill="1" applyBorder="1" applyAlignment="1">
      <alignment horizontal="right" vertical="center"/>
    </xf>
    <xf numFmtId="166" fontId="22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0" fontId="31" fillId="10" borderId="0" xfId="0" applyFont="1" applyFill="1" applyAlignment="1">
      <alignment horizontal="center" vertical="center" wrapText="1"/>
    </xf>
    <xf numFmtId="0" fontId="22" fillId="11" borderId="2" xfId="0" applyFont="1" applyFill="1" applyBorder="1" applyAlignment="1">
      <alignment horizontal="left" vertical="center" wrapText="1"/>
    </xf>
    <xf numFmtId="166" fontId="5" fillId="11" borderId="2" xfId="0" applyNumberFormat="1" applyFont="1" applyFill="1" applyBorder="1" applyAlignment="1">
      <alignment horizontal="right" vertical="center"/>
    </xf>
    <xf numFmtId="0" fontId="15" fillId="9" borderId="0" xfId="0" applyFont="1" applyFill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16" borderId="5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1" fontId="4" fillId="3" borderId="0" xfId="0" applyNumberFormat="1" applyFont="1" applyFill="1" applyBorder="1" applyAlignment="1">
      <alignment horizontal="center" vertical="center" wrapText="1"/>
    </xf>
    <xf numFmtId="1" fontId="4" fillId="3" borderId="9" xfId="0" applyNumberFormat="1" applyFont="1" applyFill="1" applyBorder="1" applyAlignment="1">
      <alignment horizontal="center" vertical="center" wrapText="1"/>
    </xf>
    <xf numFmtId="1" fontId="4" fillId="4" borderId="0" xfId="0" applyNumberFormat="1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right" vertical="center"/>
    </xf>
    <xf numFmtId="0" fontId="18" fillId="9" borderId="2" xfId="0" applyFont="1" applyFill="1" applyBorder="1" applyAlignment="1">
      <alignment horizontal="center" vertical="center" wrapText="1"/>
    </xf>
    <xf numFmtId="3" fontId="24" fillId="3" borderId="2" xfId="0" applyNumberFormat="1" applyFont="1" applyFill="1" applyBorder="1"/>
    <xf numFmtId="3" fontId="24" fillId="4" borderId="2" xfId="0" applyNumberFormat="1" applyFont="1" applyFill="1" applyBorder="1"/>
    <xf numFmtId="166" fontId="20" fillId="17" borderId="7" xfId="0" applyNumberFormat="1" applyFont="1" applyFill="1" applyBorder="1" applyAlignment="1">
      <alignment horizontal="center" vertical="center" wrapText="1"/>
    </xf>
    <xf numFmtId="166" fontId="19" fillId="17" borderId="7" xfId="0" applyNumberFormat="1" applyFont="1" applyFill="1" applyBorder="1" applyAlignment="1">
      <alignment horizontal="center" vertical="center" wrapText="1"/>
    </xf>
    <xf numFmtId="166" fontId="19" fillId="17" borderId="10" xfId="0" applyNumberFormat="1" applyFont="1" applyFill="1" applyBorder="1" applyAlignment="1">
      <alignment horizontal="center" vertical="center" wrapText="1"/>
    </xf>
    <xf numFmtId="166" fontId="19" fillId="17" borderId="11" xfId="0" applyNumberFormat="1" applyFont="1" applyFill="1" applyBorder="1" applyAlignment="1">
      <alignment horizontal="center" vertical="center" wrapText="1"/>
    </xf>
    <xf numFmtId="167" fontId="19" fillId="17" borderId="7" xfId="0" applyNumberFormat="1" applyFont="1" applyFill="1" applyBorder="1" applyAlignment="1">
      <alignment horizontal="center" vertical="center" wrapText="1"/>
    </xf>
    <xf numFmtId="167" fontId="19" fillId="17" borderId="10" xfId="0" applyNumberFormat="1" applyFont="1" applyFill="1" applyBorder="1" applyAlignment="1">
      <alignment horizontal="center" vertical="center" wrapText="1"/>
    </xf>
    <xf numFmtId="167" fontId="19" fillId="17" borderId="11" xfId="0" applyNumberFormat="1" applyFont="1" applyFill="1" applyBorder="1" applyAlignment="1">
      <alignment horizontal="center" vertical="center" wrapText="1"/>
    </xf>
    <xf numFmtId="166" fontId="19" fillId="17" borderId="8" xfId="0" applyNumberFormat="1" applyFont="1" applyFill="1" applyBorder="1" applyAlignment="1">
      <alignment horizontal="center" vertical="center" wrapText="1"/>
    </xf>
    <xf numFmtId="166" fontId="19" fillId="17" borderId="0" xfId="0" applyNumberFormat="1" applyFont="1" applyFill="1" applyBorder="1" applyAlignment="1">
      <alignment horizontal="center" vertical="center" wrapText="1"/>
    </xf>
    <xf numFmtId="166" fontId="19" fillId="17" borderId="9" xfId="0" applyNumberFormat="1" applyFont="1" applyFill="1" applyBorder="1" applyAlignment="1">
      <alignment horizontal="center" vertical="center" wrapText="1"/>
    </xf>
    <xf numFmtId="167" fontId="19" fillId="17" borderId="8" xfId="0" applyNumberFormat="1" applyFont="1" applyFill="1" applyBorder="1" applyAlignment="1">
      <alignment horizontal="center" vertical="center" wrapText="1"/>
    </xf>
    <xf numFmtId="167" fontId="19" fillId="17" borderId="0" xfId="0" applyNumberFormat="1" applyFont="1" applyFill="1" applyBorder="1" applyAlignment="1">
      <alignment horizontal="center" vertical="center" wrapText="1"/>
    </xf>
    <xf numFmtId="167" fontId="19" fillId="17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AD7D7"/>
        </patternFill>
      </fill>
    </dxf>
    <dxf>
      <fill>
        <patternFill>
          <bgColor rgb="FFD6F0D4"/>
        </patternFill>
      </fill>
    </dxf>
    <dxf>
      <fill>
        <patternFill>
          <bgColor rgb="FFFAD7D7"/>
        </patternFill>
      </fill>
    </dxf>
    <dxf>
      <fill>
        <patternFill>
          <bgColor rgb="FFD6F0D4"/>
        </patternFill>
      </fill>
    </dxf>
    <dxf>
      <fill>
        <patternFill>
          <bgColor rgb="FFFAD7D7"/>
        </patternFill>
      </fill>
    </dxf>
    <dxf>
      <fill>
        <patternFill>
          <bgColor rgb="FFD6F0D4"/>
        </patternFill>
      </fill>
    </dxf>
    <dxf>
      <fill>
        <patternFill>
          <bgColor rgb="FFFAD7D7"/>
        </patternFill>
      </fill>
    </dxf>
    <dxf>
      <fill>
        <patternFill>
          <bgColor rgb="FFD6F0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38B42"/>
      <rgbColor rgb="FF800080"/>
      <rgbColor rgb="FF4F81BD"/>
      <rgbColor rgb="FFBFBFBF"/>
      <rgbColor rgb="FF888888"/>
      <rgbColor rgb="FF49A7C0"/>
      <rgbColor rgb="FF8F3B39"/>
      <rgbColor rgb="FFFFF3CD"/>
      <rgbColor rgb="FFD6E8EE"/>
      <rgbColor rgb="FF660066"/>
      <rgbColor rgb="FFBA4D4A"/>
      <rgbColor rgb="FF3A608D"/>
      <rgbColor rgb="FFCCCCCC"/>
      <rgbColor rgb="FF000080"/>
      <rgbColor rgb="FFFF00FF"/>
      <rgbColor rgb="FFFFFF00"/>
      <rgbColor rgb="FF00FFFF"/>
      <rgbColor rgb="FF800080"/>
      <rgbColor rgb="FF800000"/>
      <rgbColor rgb="FF595959"/>
      <rgbColor rgb="FF0000FF"/>
      <rgbColor rgb="FF00CCFF"/>
      <rgbColor rgb="FFF2F2F2"/>
      <rgbColor rgb="FFD6F0D4"/>
      <rgbColor rgb="FFFDF3DC"/>
      <rgbColor rgb="FFD9D9D9"/>
      <rgbColor rgb="FFE8E8E8"/>
      <rgbColor rgb="FF8064A2"/>
      <rgbColor rgb="FFFAD7D7"/>
      <rgbColor rgb="FF4C7DB7"/>
      <rgbColor rgb="FF4BACC6"/>
      <rgbColor rgb="FF9BBB59"/>
      <rgbColor rgb="FFFFCC00"/>
      <rgbColor rgb="FFC9A84C"/>
      <rgbColor rgb="FFC0504D"/>
      <rgbColor rgb="FF7C619D"/>
      <rgbColor rgb="FF96B656"/>
      <rgbColor rgb="FF1A4A5A"/>
      <rgbColor rgb="FF378093"/>
      <rgbColor rgb="FF003300"/>
      <rgbColor rgb="FF404040"/>
      <rgbColor rgb="FF7A1F2B"/>
      <rgbColor rgb="FF7B2335"/>
      <rgbColor rgb="FF5F4A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9A84C"/>
      <color rgb="FFFF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600" b="1" strike="noStrike" spc="92">
                <a:solidFill>
                  <a:srgbClr val="F2F2F2"/>
                </a:solidFill>
                <a:latin typeface="Calibri"/>
              </a:defRPr>
            </a:pPr>
            <a:r>
              <a:rPr lang="es-CL" sz="1600" b="1" strike="noStrike" spc="92">
                <a:solidFill>
                  <a:srgbClr val="F2F2F2"/>
                </a:solidFill>
                <a:latin typeface="Calibri"/>
              </a:rPr>
              <a:t>Evolución Mensual: Ventas vs Gastos vs Ganancia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3492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Gráficos!$C$4:$C$16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425000</c:v>
                </c:pt>
                <c:pt idx="2">
                  <c:v>475000</c:v>
                </c:pt>
                <c:pt idx="3">
                  <c:v>525000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AA-4204-A2BC-AF3D78E69C44}"/>
            </c:ext>
          </c:extLst>
        </c:ser>
        <c:ser>
          <c:idx val="1"/>
          <c:order val="1"/>
          <c:tx>
            <c:v>Gastos</c:v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Gráficos!$D$4:$D$16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320000</c:v>
                </c:pt>
                <c:pt idx="2">
                  <c:v>360000</c:v>
                </c:pt>
                <c:pt idx="3">
                  <c:v>400000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AA-4204-A2BC-AF3D78E69C44}"/>
            </c:ext>
          </c:extLst>
        </c:ser>
        <c:ser>
          <c:idx val="2"/>
          <c:order val="2"/>
          <c:tx>
            <c:v>Ganancia</c:v>
          </c:tx>
          <c:spPr>
            <a:ln w="34920" cap="rnd">
              <a:solidFill>
                <a:srgbClr val="9BBB5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Gráficos!$E$4:$E$16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105000</c:v>
                </c:pt>
                <c:pt idx="2">
                  <c:v>115000</c:v>
                </c:pt>
                <c:pt idx="3">
                  <c:v>125000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AA-4204-A2BC-AF3D78E69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789333"/>
        <c:axId val="55088296"/>
      </c:lineChart>
      <c:catAx>
        <c:axId val="14789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D9D9D9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s-CL"/>
          </a:p>
        </c:txPr>
        <c:crossAx val="55088296"/>
        <c:crosses val="autoZero"/>
        <c:auto val="1"/>
        <c:lblAlgn val="ctr"/>
        <c:lblOffset val="100"/>
        <c:noMultiLvlLbl val="0"/>
      </c:catAx>
      <c:valAx>
        <c:axId val="5508829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D9D9D9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s-CL"/>
          </a:p>
        </c:txPr>
        <c:crossAx val="147893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600" b="1" strike="noStrike" spc="92">
                <a:solidFill>
                  <a:srgbClr val="F2F2F2"/>
                </a:solidFill>
                <a:latin typeface="Calibri"/>
              </a:defRPr>
            </a:pPr>
            <a:r>
              <a:rPr lang="es-CL" sz="1600" b="1" strike="noStrike" spc="92">
                <a:solidFill>
                  <a:srgbClr val="F2F2F2"/>
                </a:solidFill>
                <a:latin typeface="Calibri"/>
              </a:rPr>
              <a:t>Ventas: Año Actual vs Año Anterior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Año Actual</c:v>
          </c:tx>
          <c:spPr>
            <a:ln w="3492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Gráficos!$C$4:$C$16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425000</c:v>
                </c:pt>
                <c:pt idx="2">
                  <c:v>475000</c:v>
                </c:pt>
                <c:pt idx="3">
                  <c:v>525000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73-427B-8509-76067E7E83AB}"/>
            </c:ext>
          </c:extLst>
        </c:ser>
        <c:ser>
          <c:idx val="1"/>
          <c:order val="1"/>
          <c:tx>
            <c:v>Año Anterior</c:v>
          </c:tx>
          <c:spPr>
            <a:ln w="3492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Gráficos!$F$4:$F$16</c:f>
              <c:numCache>
                <c:formatCode>#,##0</c:formatCode>
                <c:ptCount val="13"/>
                <c:pt idx="0" formatCode="General">
                  <c:v>0</c:v>
                </c:pt>
                <c:pt idx="1">
                  <c:v>424000</c:v>
                </c:pt>
                <c:pt idx="2">
                  <c:v>474000</c:v>
                </c:pt>
                <c:pt idx="3">
                  <c:v>524000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73-427B-8509-76067E7E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877504"/>
        <c:axId val="23421586"/>
      </c:lineChart>
      <c:catAx>
        <c:axId val="29877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CL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D9D9D9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s-CL"/>
          </a:p>
        </c:txPr>
        <c:crossAx val="23421586"/>
        <c:crosses val="autoZero"/>
        <c:auto val="1"/>
        <c:lblAlgn val="ctr"/>
        <c:lblOffset val="100"/>
        <c:noMultiLvlLbl val="0"/>
      </c:catAx>
      <c:valAx>
        <c:axId val="23421586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D9D9D9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s-CL"/>
          </a:p>
        </c:txPr>
        <c:crossAx val="29877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400" b="1" strike="noStrike" spc="-1">
                <a:solidFill>
                  <a:srgbClr val="D9D9D9"/>
                </a:solidFill>
                <a:latin typeface="Calibri"/>
              </a:defRPr>
            </a:pPr>
            <a:r>
              <a:rPr lang="es-CL" sz="1400" b="1" strike="noStrike" spc="-1">
                <a:solidFill>
                  <a:srgbClr val="D9D9D9"/>
                </a:solidFill>
                <a:latin typeface="Calibri"/>
              </a:rPr>
              <a:t>Ventas por Producto (Año Seleccionado)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Gráficos!$J$4</c:f>
              <c:strCache>
                <c:ptCount val="1"/>
                <c:pt idx="0">
                  <c:v>VENTAS</c:v>
                </c:pt>
              </c:strCache>
            </c:strRef>
          </c:tx>
          <c:spPr>
            <a:noFill/>
            <a:ln w="9360">
              <a:solidFill>
                <a:srgbClr val="4F81B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Gráficos!$I$5:$I$9</c:f>
              <c:strCache>
                <c:ptCount val="5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  <c:pt idx="4">
                  <c:v>Producto E</c:v>
                </c:pt>
              </c:strCache>
            </c:strRef>
          </c:cat>
          <c:val>
            <c:numRef>
              <c:f>Gráficos!$J$5:$J$9</c:f>
              <c:numCache>
                <c:formatCode>#,##0</c:formatCode>
                <c:ptCount val="5"/>
                <c:pt idx="0">
                  <c:v>425000</c:v>
                </c:pt>
                <c:pt idx="1">
                  <c:v>475000</c:v>
                </c:pt>
                <c:pt idx="2">
                  <c:v>525000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1-48B4-85D1-4FEEF2926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7148651"/>
        <c:axId val="84136394"/>
      </c:barChart>
      <c:catAx>
        <c:axId val="57148651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s-CL"/>
          </a:p>
        </c:txPr>
        <c:crossAx val="84136394"/>
        <c:crosses val="autoZero"/>
        <c:auto val="1"/>
        <c:lblAlgn val="ctr"/>
        <c:lblOffset val="100"/>
        <c:noMultiLvlLbl val="0"/>
      </c:catAx>
      <c:valAx>
        <c:axId val="84136394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BFBFBF"/>
                    </a:solidFill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s-CL"/>
          </a:p>
        </c:txPr>
        <c:crossAx val="5714865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600" b="1" strike="noStrike" spc="92">
                <a:solidFill>
                  <a:srgbClr val="F2F2F2"/>
                </a:solidFill>
                <a:latin typeface="Calibri"/>
              </a:defRPr>
            </a:pPr>
            <a:r>
              <a:rPr lang="es-CL" sz="1600" b="1" strike="noStrike" spc="92">
                <a:solidFill>
                  <a:srgbClr val="F2F2F2"/>
                </a:solidFill>
                <a:latin typeface="Calibri"/>
              </a:rPr>
              <a:t>Participación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Gráficos!$M$4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gradFill>
                <a:gsLst>
                  <a:gs pos="0">
                    <a:srgbClr val="3A608D"/>
                  </a:gs>
                  <a:gs pos="80000">
                    <a:srgbClr val="4C7CB7"/>
                  </a:gs>
                  <a:gs pos="100000">
                    <a:srgbClr val="4C7DB7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664-4FC7-B5F4-CF8594A554E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rgbClr val="8F3B39"/>
                  </a:gs>
                  <a:gs pos="80000">
                    <a:srgbClr val="BA4D4A"/>
                  </a:gs>
                  <a:gs pos="100000">
                    <a:srgbClr val="BA4D4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664-4FC7-B5F4-CF8594A554E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rgbClr val="738B42"/>
                  </a:gs>
                  <a:gs pos="80000">
                    <a:srgbClr val="96B556"/>
                  </a:gs>
                  <a:gs pos="100000">
                    <a:srgbClr val="96B65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664-4FC7-B5F4-CF8594A554E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rgbClr val="5F4A78"/>
                  </a:gs>
                  <a:gs pos="80000">
                    <a:srgbClr val="7C609C"/>
                  </a:gs>
                  <a:gs pos="100000">
                    <a:srgbClr val="7C619D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664-4FC7-B5F4-CF8594A554E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rgbClr val="378093"/>
                  </a:gs>
                  <a:gs pos="80000">
                    <a:srgbClr val="48A6BF"/>
                  </a:gs>
                  <a:gs pos="100000">
                    <a:srgbClr val="49A7C0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664-4FC7-B5F4-CF8594A554E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s-CL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664-4FC7-B5F4-CF8594A554E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s-CL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664-4FC7-B5F4-CF8594A554E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s-CL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664-4FC7-B5F4-CF8594A554E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s-CL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664-4FC7-B5F4-CF8594A554E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Calibri"/>
                    </a:defRPr>
                  </a:pPr>
                  <a:endParaRPr lang="es-CL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664-4FC7-B5F4-CF8594A55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s-CL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Gráficos!$L$5:$L$9</c:f>
              <c:strCache>
                <c:ptCount val="5"/>
                <c:pt idx="0">
                  <c:v>Norte</c:v>
                </c:pt>
                <c:pt idx="1">
                  <c:v>Sur</c:v>
                </c:pt>
                <c:pt idx="2">
                  <c:v>Centro</c:v>
                </c:pt>
                <c:pt idx="3">
                  <c:v>Oriente</c:v>
                </c:pt>
                <c:pt idx="4">
                  <c:v>Occidente</c:v>
                </c:pt>
              </c:strCache>
            </c:strRef>
          </c:cat>
          <c:val>
            <c:numRef>
              <c:f>Gráficos!$M$5:$M$9</c:f>
              <c:numCache>
                <c:formatCode>#,##0</c:formatCode>
                <c:ptCount val="5"/>
                <c:pt idx="0">
                  <c:v>425000</c:v>
                </c:pt>
                <c:pt idx="1">
                  <c:v>475000</c:v>
                </c:pt>
                <c:pt idx="2">
                  <c:v>525000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64-4FC7-B5F4-CF8594A55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400" b="1" strike="noStrike" spc="-1">
                <a:solidFill>
                  <a:srgbClr val="D9D9D9"/>
                </a:solidFill>
                <a:latin typeface="Calibri"/>
              </a:defRPr>
            </a:pPr>
            <a:r>
              <a:rPr lang="es-CL" sz="1400" b="1" strike="noStrike" spc="-1">
                <a:solidFill>
                  <a:srgbClr val="D9D9D9"/>
                </a:solidFill>
                <a:latin typeface="Calibri"/>
              </a:rPr>
              <a:t>Evolución Inter-Anual: Ventas / Gastos / Ganancia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</c:v>
          </c:tx>
          <c:spPr>
            <a:noFill/>
            <a:ln w="9360">
              <a:solidFill>
                <a:srgbClr val="4F81B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Gráficos!$O$5:$O$9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Gráficos!$P$4:$P$9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1419000</c:v>
                </c:pt>
                <c:pt idx="2">
                  <c:v>1422000</c:v>
                </c:pt>
                <c:pt idx="3">
                  <c:v>1425000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4-4567-86B6-2585CAF092D4}"/>
            </c:ext>
          </c:extLst>
        </c:ser>
        <c:ser>
          <c:idx val="1"/>
          <c:order val="1"/>
          <c:tx>
            <c:v>Gastos</c:v>
          </c:tx>
          <c:spPr>
            <a:noFill/>
            <a:ln w="9360">
              <a:solidFill>
                <a:srgbClr val="C0504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Gráficos!$O$5:$O$9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Gráficos!$Q$4:$Q$9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1075200</c:v>
                </c:pt>
                <c:pt idx="2">
                  <c:v>1077600</c:v>
                </c:pt>
                <c:pt idx="3">
                  <c:v>1080000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4-4567-86B6-2585CAF092D4}"/>
            </c:ext>
          </c:extLst>
        </c:ser>
        <c:ser>
          <c:idx val="2"/>
          <c:order val="2"/>
          <c:tx>
            <c:v>Ganancia</c:v>
          </c:tx>
          <c:spPr>
            <a:noFill/>
            <a:ln w="9360">
              <a:solidFill>
                <a:srgbClr val="9BBB5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Gráficos!$O$5:$O$9</c:f>
              <c:numCache>
                <c:formatCode>0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Gráficos!$R$4:$R$9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343800</c:v>
                </c:pt>
                <c:pt idx="2">
                  <c:v>344400</c:v>
                </c:pt>
                <c:pt idx="3">
                  <c:v>345000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4-4567-86B6-2585CAF09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9722490"/>
        <c:axId val="67265834"/>
      </c:barChart>
      <c:catAx>
        <c:axId val="59722490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s-CL"/>
          </a:p>
        </c:txPr>
        <c:crossAx val="67265834"/>
        <c:crosses val="autoZero"/>
        <c:auto val="1"/>
        <c:lblAlgn val="ctr"/>
        <c:lblOffset val="100"/>
        <c:noMultiLvlLbl val="0"/>
      </c:catAx>
      <c:valAx>
        <c:axId val="67265834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s-CL" sz="900" b="1" strike="noStrike" spc="-1">
                    <a:solidFill>
                      <a:srgbClr val="BFBFBF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s-CL"/>
          </a:p>
        </c:txPr>
        <c:crossAx val="59722490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16</xdr:row>
      <xdr:rowOff>144511</xdr:rowOff>
    </xdr:from>
    <xdr:to>
      <xdr:col>6</xdr:col>
      <xdr:colOff>347662</xdr:colOff>
      <xdr:row>32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561975</xdr:colOff>
      <xdr:row>16</xdr:row>
      <xdr:rowOff>151654</xdr:rowOff>
    </xdr:from>
    <xdr:to>
      <xdr:col>12</xdr:col>
      <xdr:colOff>609601</xdr:colOff>
      <xdr:row>32</xdr:row>
      <xdr:rowOff>121444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322995</xdr:colOff>
      <xdr:row>33</xdr:row>
      <xdr:rowOff>185739</xdr:rowOff>
    </xdr:from>
    <xdr:to>
      <xdr:col>15</xdr:col>
      <xdr:colOff>700088</xdr:colOff>
      <xdr:row>49</xdr:row>
      <xdr:rowOff>185739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759114</xdr:colOff>
      <xdr:row>16</xdr:row>
      <xdr:rowOff>153190</xdr:rowOff>
    </xdr:from>
    <xdr:to>
      <xdr:col>19</xdr:col>
      <xdr:colOff>128587</xdr:colOff>
      <xdr:row>32</xdr:row>
      <xdr:rowOff>107155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434978</xdr:colOff>
      <xdr:row>33</xdr:row>
      <xdr:rowOff>177436</xdr:rowOff>
    </xdr:from>
    <xdr:to>
      <xdr:col>9</xdr:col>
      <xdr:colOff>119063</xdr:colOff>
      <xdr:row>49</xdr:row>
      <xdr:rowOff>119064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4A5A"/>
  </sheetPr>
  <dimension ref="B2:O13"/>
  <sheetViews>
    <sheetView tabSelected="1" zoomScaleNormal="100" workbookViewId="0">
      <selection activeCell="C15" sqref="C15"/>
    </sheetView>
  </sheetViews>
  <sheetFormatPr baseColWidth="10" defaultColWidth="8.5703125" defaultRowHeight="15" x14ac:dyDescent="0.25"/>
  <cols>
    <col min="1" max="1" width="11.42578125" customWidth="1"/>
    <col min="2" max="2" width="16.85546875" customWidth="1"/>
    <col min="3" max="3" width="30" customWidth="1"/>
    <col min="4" max="4" width="46" customWidth="1"/>
  </cols>
  <sheetData>
    <row r="2" spans="2:15" ht="27" customHeight="1" x14ac:dyDescent="0.25">
      <c r="B2" s="37" t="s">
        <v>0</v>
      </c>
      <c r="C2" s="37"/>
      <c r="D2" s="37"/>
      <c r="E2" s="37"/>
      <c r="F2" s="37"/>
      <c r="G2" s="37"/>
    </row>
    <row r="3" spans="2:15" ht="26.25" customHeight="1" x14ac:dyDescent="0.25">
      <c r="B3" s="40" t="s">
        <v>1</v>
      </c>
      <c r="C3" s="40"/>
      <c r="D3" s="40"/>
      <c r="E3" s="40"/>
      <c r="F3" s="40"/>
      <c r="G3" s="40"/>
      <c r="K3" s="38"/>
      <c r="L3" s="38"/>
      <c r="M3" s="38"/>
      <c r="N3" s="38"/>
      <c r="O3" s="38"/>
    </row>
    <row r="4" spans="2:15" x14ac:dyDescent="0.25">
      <c r="K4" s="38"/>
      <c r="L4" s="38"/>
      <c r="M4" s="38"/>
      <c r="N4" s="38"/>
      <c r="O4" s="38"/>
    </row>
    <row r="5" spans="2:15" ht="19.5" customHeight="1" x14ac:dyDescent="0.25">
      <c r="B5" s="3" t="s">
        <v>2</v>
      </c>
      <c r="C5" s="3"/>
      <c r="D5" s="3"/>
      <c r="E5" s="4"/>
      <c r="F5" s="4"/>
      <c r="G5" s="4"/>
      <c r="K5" s="38"/>
      <c r="L5" s="38"/>
      <c r="M5" s="38"/>
      <c r="N5" s="38"/>
      <c r="O5" s="38"/>
    </row>
    <row r="6" spans="2:15" ht="18" customHeight="1" x14ac:dyDescent="0.25">
      <c r="B6" s="39" t="s">
        <v>3</v>
      </c>
      <c r="C6" s="39" t="s">
        <v>4</v>
      </c>
      <c r="D6" s="39" t="s">
        <v>5</v>
      </c>
      <c r="K6" s="38"/>
      <c r="L6" s="38"/>
      <c r="M6" s="38"/>
      <c r="N6" s="38"/>
      <c r="O6" s="38"/>
    </row>
    <row r="7" spans="2:15" ht="24" customHeight="1" x14ac:dyDescent="0.25">
      <c r="B7" s="41" t="s">
        <v>6</v>
      </c>
      <c r="C7" s="42" t="s">
        <v>7</v>
      </c>
      <c r="D7" s="42" t="s">
        <v>8</v>
      </c>
      <c r="K7" s="38"/>
      <c r="L7" s="38"/>
      <c r="M7" s="38"/>
      <c r="N7" s="38"/>
      <c r="O7" s="38"/>
    </row>
    <row r="8" spans="2:15" ht="24" customHeight="1" x14ac:dyDescent="0.25">
      <c r="B8" s="5" t="s">
        <v>9</v>
      </c>
      <c r="C8" s="6" t="s">
        <v>10</v>
      </c>
      <c r="D8" s="6" t="s">
        <v>11</v>
      </c>
      <c r="J8" s="38"/>
      <c r="K8" s="38"/>
      <c r="L8" s="38"/>
      <c r="M8" s="38"/>
      <c r="N8" s="38"/>
      <c r="O8" s="38"/>
    </row>
    <row r="9" spans="2:15" ht="24" customHeight="1" x14ac:dyDescent="0.25">
      <c r="B9" s="41" t="s">
        <v>12</v>
      </c>
      <c r="C9" s="42" t="s">
        <v>13</v>
      </c>
      <c r="D9" s="42" t="s">
        <v>14</v>
      </c>
      <c r="I9" s="38"/>
      <c r="J9" s="38"/>
      <c r="K9" s="38"/>
      <c r="L9" s="38"/>
      <c r="M9" s="38"/>
      <c r="N9" s="38"/>
      <c r="O9" s="38"/>
    </row>
    <row r="10" spans="2:15" ht="24" customHeight="1" x14ac:dyDescent="0.25">
      <c r="B10" s="5" t="s">
        <v>15</v>
      </c>
      <c r="C10" s="6" t="s">
        <v>13</v>
      </c>
      <c r="D10" s="6" t="s">
        <v>16</v>
      </c>
      <c r="I10" s="38"/>
      <c r="J10" s="38"/>
      <c r="K10" s="38"/>
      <c r="L10" s="38"/>
      <c r="M10" s="38"/>
      <c r="N10" s="38"/>
      <c r="O10" s="38"/>
    </row>
    <row r="11" spans="2:15" ht="24" customHeight="1" x14ac:dyDescent="0.25">
      <c r="B11" s="41" t="s">
        <v>17</v>
      </c>
      <c r="C11" s="42" t="s">
        <v>18</v>
      </c>
      <c r="D11" s="42" t="s">
        <v>19</v>
      </c>
      <c r="I11" s="38"/>
      <c r="J11" s="38"/>
      <c r="K11" s="38"/>
      <c r="L11" s="38"/>
      <c r="M11" s="38"/>
      <c r="N11" s="38"/>
      <c r="O11" s="38"/>
    </row>
    <row r="12" spans="2:15" ht="24" customHeight="1" x14ac:dyDescent="0.25">
      <c r="B12" s="5" t="s">
        <v>20</v>
      </c>
      <c r="C12" s="6" t="s">
        <v>21</v>
      </c>
      <c r="D12" s="6" t="s">
        <v>22</v>
      </c>
      <c r="I12" s="38"/>
      <c r="J12" s="38"/>
      <c r="K12" s="38"/>
      <c r="L12" s="38"/>
      <c r="M12" s="38"/>
      <c r="N12" s="38"/>
      <c r="O12" s="38"/>
    </row>
    <row r="13" spans="2:15" x14ac:dyDescent="0.25">
      <c r="J13" s="38"/>
      <c r="K13" s="38"/>
      <c r="L13" s="38"/>
      <c r="M13" s="38"/>
      <c r="N13" s="38"/>
    </row>
  </sheetData>
  <mergeCells count="3">
    <mergeCell ref="B2:G2"/>
    <mergeCell ref="B3:G3"/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4A5A"/>
  </sheetPr>
  <dimension ref="B2:I27"/>
  <sheetViews>
    <sheetView zoomScaleNormal="100" workbookViewId="0">
      <selection activeCell="D12" sqref="D12"/>
    </sheetView>
  </sheetViews>
  <sheetFormatPr baseColWidth="10" defaultColWidth="8.7109375" defaultRowHeight="15" x14ac:dyDescent="0.25"/>
  <cols>
    <col min="1" max="1" width="3" customWidth="1"/>
    <col min="2" max="6" width="20" customWidth="1"/>
  </cols>
  <sheetData>
    <row r="2" spans="2:9" ht="23.25" customHeight="1" x14ac:dyDescent="0.25">
      <c r="B2" s="43" t="s">
        <v>23</v>
      </c>
      <c r="C2" s="43"/>
      <c r="D2" s="43"/>
      <c r="E2" s="43"/>
      <c r="F2" s="43"/>
      <c r="G2" s="43"/>
      <c r="H2" s="43"/>
      <c r="I2" s="43"/>
    </row>
    <row r="3" spans="2:9" ht="25.5" customHeight="1" x14ac:dyDescent="0.25">
      <c r="B3" s="44" t="s">
        <v>24</v>
      </c>
      <c r="C3" s="44"/>
      <c r="D3" s="44"/>
      <c r="E3" s="44"/>
      <c r="F3" s="44"/>
      <c r="G3" s="44"/>
      <c r="H3" s="44"/>
      <c r="I3" s="44"/>
    </row>
    <row r="5" spans="2:9" ht="15" customHeight="1" x14ac:dyDescent="0.25">
      <c r="B5" s="45" t="s">
        <v>25</v>
      </c>
      <c r="C5" s="45" t="s">
        <v>26</v>
      </c>
      <c r="D5" s="45" t="s">
        <v>27</v>
      </c>
      <c r="E5" s="45" t="s">
        <v>28</v>
      </c>
      <c r="F5" s="45" t="s">
        <v>29</v>
      </c>
    </row>
    <row r="6" spans="2:9" ht="15" customHeight="1" x14ac:dyDescent="0.25">
      <c r="B6" s="46" t="s">
        <v>30</v>
      </c>
      <c r="C6" s="46" t="s">
        <v>31</v>
      </c>
      <c r="D6" s="46" t="s">
        <v>32</v>
      </c>
      <c r="E6" s="46" t="s">
        <v>33</v>
      </c>
      <c r="F6" s="46" t="s">
        <v>34</v>
      </c>
    </row>
    <row r="7" spans="2:9" ht="15" customHeight="1" x14ac:dyDescent="0.25">
      <c r="B7" s="46" t="s">
        <v>35</v>
      </c>
      <c r="C7" s="46" t="s">
        <v>36</v>
      </c>
      <c r="D7" s="46" t="s">
        <v>37</v>
      </c>
      <c r="E7" s="46" t="s">
        <v>38</v>
      </c>
      <c r="F7" s="46" t="s">
        <v>39</v>
      </c>
    </row>
    <row r="8" spans="2:9" ht="15" customHeight="1" x14ac:dyDescent="0.25">
      <c r="B8" s="46" t="s">
        <v>40</v>
      </c>
      <c r="C8" s="46" t="s">
        <v>41</v>
      </c>
      <c r="D8" s="46" t="s">
        <v>42</v>
      </c>
      <c r="E8" s="46" t="s">
        <v>43</v>
      </c>
      <c r="F8" s="46" t="s">
        <v>44</v>
      </c>
    </row>
    <row r="9" spans="2:9" ht="15" customHeight="1" x14ac:dyDescent="0.25">
      <c r="B9" s="46" t="s">
        <v>45</v>
      </c>
      <c r="C9" s="46" t="s">
        <v>46</v>
      </c>
      <c r="D9" s="46" t="s">
        <v>47</v>
      </c>
      <c r="E9" s="46" t="s">
        <v>48</v>
      </c>
      <c r="F9" s="46" t="s">
        <v>49</v>
      </c>
    </row>
    <row r="10" spans="2:9" ht="15" customHeight="1" x14ac:dyDescent="0.25">
      <c r="B10" s="46" t="s">
        <v>50</v>
      </c>
      <c r="C10" s="46" t="s">
        <v>51</v>
      </c>
      <c r="D10" s="46" t="s">
        <v>52</v>
      </c>
      <c r="E10" s="46" t="s">
        <v>53</v>
      </c>
      <c r="F10" s="46" t="s">
        <v>54</v>
      </c>
    </row>
    <row r="11" spans="2:9" ht="15" customHeight="1" x14ac:dyDescent="0.25">
      <c r="B11" s="46"/>
      <c r="C11" s="46"/>
      <c r="D11" s="46"/>
      <c r="E11" s="46"/>
      <c r="F11" s="46" t="s">
        <v>55</v>
      </c>
    </row>
    <row r="12" spans="2:9" ht="15" customHeight="1" x14ac:dyDescent="0.25">
      <c r="B12" s="46"/>
      <c r="C12" s="46"/>
      <c r="D12" s="46"/>
      <c r="E12" s="46"/>
      <c r="F12" s="46"/>
    </row>
    <row r="13" spans="2:9" ht="15" customHeight="1" x14ac:dyDescent="0.25">
      <c r="B13" s="46"/>
      <c r="C13" s="46"/>
      <c r="D13" s="46"/>
      <c r="E13" s="46"/>
      <c r="F13" s="46"/>
    </row>
    <row r="14" spans="2:9" ht="15" customHeight="1" x14ac:dyDescent="0.25">
      <c r="B14" s="46"/>
      <c r="C14" s="46"/>
      <c r="D14" s="46"/>
      <c r="E14" s="46"/>
      <c r="F14" s="46"/>
    </row>
    <row r="15" spans="2:9" ht="15" customHeight="1" x14ac:dyDescent="0.25">
      <c r="B15" s="46"/>
      <c r="C15" s="46"/>
      <c r="D15" s="46"/>
      <c r="E15" s="46"/>
      <c r="F15" s="46"/>
    </row>
    <row r="16" spans="2:9" ht="15" customHeight="1" x14ac:dyDescent="0.25">
      <c r="B16" s="46"/>
      <c r="C16" s="46"/>
      <c r="D16" s="46"/>
      <c r="E16" s="46"/>
      <c r="F16" s="46"/>
    </row>
    <row r="17" spans="2:9" ht="15" customHeight="1" x14ac:dyDescent="0.25">
      <c r="B17" s="46"/>
      <c r="C17" s="46"/>
      <c r="D17" s="46"/>
      <c r="E17" s="46"/>
      <c r="F17" s="46"/>
    </row>
    <row r="18" spans="2:9" ht="15" customHeight="1" x14ac:dyDescent="0.25">
      <c r="B18" s="46"/>
      <c r="C18" s="46"/>
      <c r="D18" s="46"/>
      <c r="E18" s="46"/>
      <c r="F18" s="46"/>
    </row>
    <row r="19" spans="2:9" ht="15" customHeight="1" x14ac:dyDescent="0.25">
      <c r="B19" s="46"/>
      <c r="C19" s="46"/>
      <c r="D19" s="46"/>
      <c r="E19" s="46"/>
      <c r="F19" s="46"/>
    </row>
    <row r="20" spans="2:9" ht="15" customHeight="1" x14ac:dyDescent="0.25">
      <c r="B20" s="46"/>
      <c r="C20" s="46"/>
      <c r="D20" s="46"/>
      <c r="E20" s="46"/>
      <c r="F20" s="46"/>
    </row>
    <row r="21" spans="2:9" ht="15" customHeight="1" x14ac:dyDescent="0.25">
      <c r="B21" s="46"/>
      <c r="C21" s="46"/>
      <c r="D21" s="46"/>
      <c r="E21" s="46"/>
      <c r="F21" s="46"/>
    </row>
    <row r="22" spans="2:9" ht="15" customHeight="1" x14ac:dyDescent="0.25">
      <c r="B22" s="46"/>
      <c r="C22" s="46"/>
      <c r="D22" s="46"/>
      <c r="E22" s="46"/>
      <c r="F22" s="46"/>
    </row>
    <row r="23" spans="2:9" ht="15" customHeight="1" x14ac:dyDescent="0.25">
      <c r="B23" s="46"/>
      <c r="C23" s="46"/>
      <c r="D23" s="46"/>
      <c r="E23" s="46"/>
      <c r="F23" s="46"/>
    </row>
    <row r="24" spans="2:9" ht="15" customHeight="1" x14ac:dyDescent="0.25">
      <c r="B24" s="46"/>
      <c r="C24" s="46"/>
      <c r="D24" s="46"/>
      <c r="E24" s="46"/>
      <c r="F24" s="46"/>
    </row>
    <row r="25" spans="2:9" ht="15" customHeight="1" x14ac:dyDescent="0.25">
      <c r="B25" s="46"/>
      <c r="C25" s="46"/>
      <c r="D25" s="46"/>
      <c r="E25" s="46"/>
      <c r="F25" s="46"/>
    </row>
    <row r="27" spans="2:9" ht="15" customHeight="1" x14ac:dyDescent="0.25">
      <c r="B27" s="1" t="s">
        <v>56</v>
      </c>
      <c r="C27" s="1"/>
      <c r="D27" s="1"/>
      <c r="E27" s="1"/>
      <c r="F27" s="1"/>
      <c r="G27" s="1"/>
      <c r="H27" s="1"/>
      <c r="I27" s="1"/>
    </row>
  </sheetData>
  <mergeCells count="3">
    <mergeCell ref="B2:I2"/>
    <mergeCell ref="B3:I3"/>
    <mergeCell ref="B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C9A84C"/>
  </sheetPr>
  <dimension ref="B2:J226"/>
  <sheetViews>
    <sheetView zoomScaleNormal="100" workbookViewId="0">
      <selection activeCell="F16" sqref="F16"/>
    </sheetView>
  </sheetViews>
  <sheetFormatPr baseColWidth="10" defaultColWidth="8.5703125" defaultRowHeight="15" x14ac:dyDescent="0.25"/>
  <cols>
    <col min="1" max="1" width="3" customWidth="1"/>
    <col min="2" max="2" width="12" customWidth="1"/>
    <col min="3" max="3" width="8" customWidth="1"/>
    <col min="4" max="4" width="14" customWidth="1"/>
    <col min="5" max="5" width="18" customWidth="1"/>
    <col min="6" max="6" width="16" customWidth="1"/>
    <col min="7" max="7" width="18" customWidth="1"/>
    <col min="8" max="9" width="16" customWidth="1"/>
    <col min="10" max="10" width="14" customWidth="1"/>
  </cols>
  <sheetData>
    <row r="2" spans="2:10" ht="27.75" customHeight="1" x14ac:dyDescent="0.25">
      <c r="B2" s="47" t="s">
        <v>57</v>
      </c>
      <c r="C2" s="47"/>
      <c r="D2" s="47"/>
      <c r="E2" s="47"/>
      <c r="F2" s="47"/>
      <c r="G2" s="47"/>
      <c r="H2" s="47"/>
      <c r="I2" s="47"/>
      <c r="J2" s="47"/>
    </row>
    <row r="3" spans="2:10" ht="15" customHeight="1" x14ac:dyDescent="0.25">
      <c r="B3" s="70" t="s">
        <v>58</v>
      </c>
      <c r="C3" s="70"/>
      <c r="D3" s="70"/>
      <c r="E3" s="70"/>
      <c r="F3" s="70"/>
      <c r="G3" s="70"/>
      <c r="H3" s="70"/>
      <c r="I3" s="70"/>
      <c r="J3" s="70"/>
    </row>
    <row r="5" spans="2:10" ht="18" customHeight="1" x14ac:dyDescent="0.25">
      <c r="B5" s="39" t="s">
        <v>59</v>
      </c>
      <c r="C5" s="39" t="s">
        <v>60</v>
      </c>
      <c r="D5" s="39" t="s">
        <v>61</v>
      </c>
      <c r="E5" s="39" t="s">
        <v>62</v>
      </c>
      <c r="F5" s="39" t="s">
        <v>63</v>
      </c>
      <c r="G5" s="39" t="s">
        <v>64</v>
      </c>
      <c r="H5" s="39" t="s">
        <v>65</v>
      </c>
      <c r="I5" s="39" t="s">
        <v>66</v>
      </c>
      <c r="J5" s="39" t="s">
        <v>67</v>
      </c>
    </row>
    <row r="6" spans="2:10" ht="15" customHeight="1" x14ac:dyDescent="0.25">
      <c r="B6" s="48">
        <v>44941</v>
      </c>
      <c r="C6" s="49">
        <v>2023</v>
      </c>
      <c r="D6" s="50" t="s">
        <v>68</v>
      </c>
      <c r="E6" s="50" t="s">
        <v>30</v>
      </c>
      <c r="F6" s="50" t="s">
        <v>32</v>
      </c>
      <c r="G6" s="50" t="s">
        <v>33</v>
      </c>
      <c r="H6" s="50" t="s">
        <v>31</v>
      </c>
      <c r="I6" s="51">
        <v>423000</v>
      </c>
      <c r="J6" s="51">
        <v>20</v>
      </c>
    </row>
    <row r="7" spans="2:10" ht="15" customHeight="1" x14ac:dyDescent="0.25">
      <c r="B7" s="48">
        <v>44972</v>
      </c>
      <c r="C7" s="49">
        <v>2023</v>
      </c>
      <c r="D7" s="50" t="s">
        <v>69</v>
      </c>
      <c r="E7" s="50" t="s">
        <v>35</v>
      </c>
      <c r="F7" s="50" t="s">
        <v>37</v>
      </c>
      <c r="G7" s="50" t="s">
        <v>38</v>
      </c>
      <c r="H7" s="50" t="s">
        <v>36</v>
      </c>
      <c r="I7" s="51">
        <v>473000</v>
      </c>
      <c r="J7" s="51">
        <v>25</v>
      </c>
    </row>
    <row r="8" spans="2:10" ht="15" customHeight="1" x14ac:dyDescent="0.25">
      <c r="B8" s="48">
        <v>45000</v>
      </c>
      <c r="C8" s="49">
        <v>2023</v>
      </c>
      <c r="D8" s="50" t="s">
        <v>70</v>
      </c>
      <c r="E8" s="50" t="s">
        <v>40</v>
      </c>
      <c r="F8" s="50" t="s">
        <v>42</v>
      </c>
      <c r="G8" s="50" t="s">
        <v>43</v>
      </c>
      <c r="H8" s="50" t="s">
        <v>41</v>
      </c>
      <c r="I8" s="51">
        <v>523000</v>
      </c>
      <c r="J8" s="51">
        <v>30</v>
      </c>
    </row>
    <row r="9" spans="2:10" ht="15" customHeight="1" x14ac:dyDescent="0.25">
      <c r="B9" s="48">
        <v>45306</v>
      </c>
      <c r="C9" s="49">
        <v>2024</v>
      </c>
      <c r="D9" s="50" t="s">
        <v>68</v>
      </c>
      <c r="E9" s="50" t="s">
        <v>30</v>
      </c>
      <c r="F9" s="50" t="s">
        <v>32</v>
      </c>
      <c r="G9" s="50" t="s">
        <v>33</v>
      </c>
      <c r="H9" s="50" t="s">
        <v>31</v>
      </c>
      <c r="I9" s="51">
        <v>424000</v>
      </c>
      <c r="J9" s="51">
        <v>20</v>
      </c>
    </row>
    <row r="10" spans="2:10" ht="15" customHeight="1" x14ac:dyDescent="0.25">
      <c r="B10" s="48">
        <v>45337</v>
      </c>
      <c r="C10" s="49">
        <v>2024</v>
      </c>
      <c r="D10" s="50" t="s">
        <v>69</v>
      </c>
      <c r="E10" s="50" t="s">
        <v>35</v>
      </c>
      <c r="F10" s="50" t="s">
        <v>37</v>
      </c>
      <c r="G10" s="50" t="s">
        <v>38</v>
      </c>
      <c r="H10" s="50" t="s">
        <v>36</v>
      </c>
      <c r="I10" s="51">
        <v>474000</v>
      </c>
      <c r="J10" s="51">
        <v>25</v>
      </c>
    </row>
    <row r="11" spans="2:10" ht="15" customHeight="1" x14ac:dyDescent="0.25">
      <c r="B11" s="48">
        <v>45366</v>
      </c>
      <c r="C11" s="49">
        <v>2024</v>
      </c>
      <c r="D11" s="50" t="s">
        <v>70</v>
      </c>
      <c r="E11" s="50" t="s">
        <v>40</v>
      </c>
      <c r="F11" s="50" t="s">
        <v>42</v>
      </c>
      <c r="G11" s="50" t="s">
        <v>43</v>
      </c>
      <c r="H11" s="50" t="s">
        <v>41</v>
      </c>
      <c r="I11" s="51">
        <v>524000</v>
      </c>
      <c r="J11" s="51">
        <v>30</v>
      </c>
    </row>
    <row r="12" spans="2:10" ht="15" customHeight="1" x14ac:dyDescent="0.25">
      <c r="B12" s="48">
        <v>45672</v>
      </c>
      <c r="C12" s="49">
        <v>2025</v>
      </c>
      <c r="D12" s="50" t="s">
        <v>68</v>
      </c>
      <c r="E12" s="50" t="s">
        <v>30</v>
      </c>
      <c r="F12" s="50" t="s">
        <v>32</v>
      </c>
      <c r="G12" s="50" t="s">
        <v>33</v>
      </c>
      <c r="H12" s="50" t="s">
        <v>31</v>
      </c>
      <c r="I12" s="51">
        <v>425000</v>
      </c>
      <c r="J12" s="51">
        <v>20</v>
      </c>
    </row>
    <row r="13" spans="2:10" ht="15" customHeight="1" x14ac:dyDescent="0.25">
      <c r="B13" s="48">
        <v>45703</v>
      </c>
      <c r="C13" s="49">
        <v>2025</v>
      </c>
      <c r="D13" s="50" t="s">
        <v>69</v>
      </c>
      <c r="E13" s="50" t="s">
        <v>35</v>
      </c>
      <c r="F13" s="50" t="s">
        <v>37</v>
      </c>
      <c r="G13" s="50" t="s">
        <v>38</v>
      </c>
      <c r="H13" s="50" t="s">
        <v>36</v>
      </c>
      <c r="I13" s="51">
        <v>475000</v>
      </c>
      <c r="J13" s="51">
        <v>25</v>
      </c>
    </row>
    <row r="14" spans="2:10" ht="15" customHeight="1" x14ac:dyDescent="0.25">
      <c r="B14" s="48">
        <v>45731</v>
      </c>
      <c r="C14" s="49">
        <v>2025</v>
      </c>
      <c r="D14" s="50" t="s">
        <v>70</v>
      </c>
      <c r="E14" s="50" t="s">
        <v>40</v>
      </c>
      <c r="F14" s="50" t="s">
        <v>42</v>
      </c>
      <c r="G14" s="50" t="s">
        <v>43</v>
      </c>
      <c r="H14" s="50" t="s">
        <v>41</v>
      </c>
      <c r="I14" s="51">
        <v>525000</v>
      </c>
      <c r="J14" s="51">
        <v>30</v>
      </c>
    </row>
    <row r="15" spans="2:10" ht="15" customHeight="1" x14ac:dyDescent="0.25">
      <c r="B15" s="52"/>
      <c r="C15" s="53"/>
      <c r="D15" s="54"/>
      <c r="E15" s="54"/>
      <c r="F15" s="54"/>
      <c r="G15" s="54"/>
      <c r="H15" s="54"/>
      <c r="I15" s="55"/>
      <c r="J15" s="55"/>
    </row>
    <row r="16" spans="2:10" ht="15" customHeight="1" x14ac:dyDescent="0.25">
      <c r="B16" s="56"/>
      <c r="C16" s="57"/>
      <c r="D16" s="58"/>
      <c r="E16" s="58"/>
      <c r="F16" s="58"/>
      <c r="G16" s="58"/>
      <c r="H16" s="58"/>
      <c r="I16" s="59"/>
      <c r="J16" s="59"/>
    </row>
    <row r="17" spans="2:10" ht="15" customHeight="1" x14ac:dyDescent="0.25">
      <c r="B17" s="52"/>
      <c r="C17" s="53"/>
      <c r="D17" s="54"/>
      <c r="E17" s="54"/>
      <c r="F17" s="54"/>
      <c r="G17" s="54"/>
      <c r="H17" s="54"/>
      <c r="I17" s="55"/>
      <c r="J17" s="55"/>
    </row>
    <row r="18" spans="2:10" ht="15" customHeight="1" x14ac:dyDescent="0.25">
      <c r="B18" s="56"/>
      <c r="C18" s="57"/>
      <c r="D18" s="58"/>
      <c r="E18" s="58"/>
      <c r="F18" s="58"/>
      <c r="G18" s="58"/>
      <c r="H18" s="58"/>
      <c r="I18" s="59"/>
      <c r="J18" s="59"/>
    </row>
    <row r="19" spans="2:10" ht="15" customHeight="1" x14ac:dyDescent="0.25">
      <c r="B19" s="52"/>
      <c r="C19" s="53"/>
      <c r="D19" s="54"/>
      <c r="E19" s="54"/>
      <c r="F19" s="54"/>
      <c r="G19" s="54"/>
      <c r="H19" s="54"/>
      <c r="I19" s="55"/>
      <c r="J19" s="55"/>
    </row>
    <row r="20" spans="2:10" ht="15" customHeight="1" x14ac:dyDescent="0.25">
      <c r="B20" s="56"/>
      <c r="C20" s="57"/>
      <c r="D20" s="58"/>
      <c r="E20" s="58"/>
      <c r="F20" s="58"/>
      <c r="G20" s="58"/>
      <c r="H20" s="58"/>
      <c r="I20" s="59"/>
      <c r="J20" s="59"/>
    </row>
    <row r="21" spans="2:10" ht="15" customHeight="1" x14ac:dyDescent="0.25">
      <c r="B21" s="52"/>
      <c r="C21" s="53"/>
      <c r="D21" s="54"/>
      <c r="E21" s="54"/>
      <c r="F21" s="54"/>
      <c r="G21" s="54"/>
      <c r="H21" s="54"/>
      <c r="I21" s="55"/>
      <c r="J21" s="55"/>
    </row>
    <row r="22" spans="2:10" ht="15" customHeight="1" x14ac:dyDescent="0.25">
      <c r="B22" s="56"/>
      <c r="C22" s="57"/>
      <c r="D22" s="58"/>
      <c r="E22" s="58"/>
      <c r="F22" s="58"/>
      <c r="G22" s="58"/>
      <c r="H22" s="58"/>
      <c r="I22" s="59"/>
      <c r="J22" s="59"/>
    </row>
    <row r="23" spans="2:10" ht="15" customHeight="1" x14ac:dyDescent="0.25">
      <c r="B23" s="52"/>
      <c r="C23" s="53"/>
      <c r="D23" s="54"/>
      <c r="E23" s="54"/>
      <c r="F23" s="54"/>
      <c r="G23" s="54"/>
      <c r="H23" s="54"/>
      <c r="I23" s="55"/>
      <c r="J23" s="55"/>
    </row>
    <row r="24" spans="2:10" ht="15" customHeight="1" x14ac:dyDescent="0.25">
      <c r="B24" s="56"/>
      <c r="C24" s="57"/>
      <c r="D24" s="58"/>
      <c r="E24" s="58"/>
      <c r="F24" s="58"/>
      <c r="G24" s="58"/>
      <c r="H24" s="58"/>
      <c r="I24" s="59"/>
      <c r="J24" s="59"/>
    </row>
    <row r="25" spans="2:10" ht="15" customHeight="1" x14ac:dyDescent="0.25">
      <c r="B25" s="52"/>
      <c r="C25" s="53"/>
      <c r="D25" s="54"/>
      <c r="E25" s="54"/>
      <c r="F25" s="54"/>
      <c r="G25" s="54"/>
      <c r="H25" s="54"/>
      <c r="I25" s="55"/>
      <c r="J25" s="55"/>
    </row>
    <row r="26" spans="2:10" ht="15" customHeight="1" x14ac:dyDescent="0.25">
      <c r="B26" s="56"/>
      <c r="C26" s="57"/>
      <c r="D26" s="58"/>
      <c r="E26" s="58"/>
      <c r="F26" s="58"/>
      <c r="G26" s="58"/>
      <c r="H26" s="58"/>
      <c r="I26" s="59"/>
      <c r="J26" s="59"/>
    </row>
    <row r="27" spans="2:10" ht="15" customHeight="1" x14ac:dyDescent="0.25">
      <c r="B27" s="52"/>
      <c r="C27" s="53"/>
      <c r="D27" s="54"/>
      <c r="E27" s="54"/>
      <c r="F27" s="54"/>
      <c r="G27" s="54"/>
      <c r="H27" s="54"/>
      <c r="I27" s="55"/>
      <c r="J27" s="55"/>
    </row>
    <row r="28" spans="2:10" ht="15" customHeight="1" x14ac:dyDescent="0.25">
      <c r="B28" s="56"/>
      <c r="C28" s="57"/>
      <c r="D28" s="58"/>
      <c r="E28" s="58"/>
      <c r="F28" s="58"/>
      <c r="G28" s="58"/>
      <c r="H28" s="58"/>
      <c r="I28" s="59"/>
      <c r="J28" s="59"/>
    </row>
    <row r="29" spans="2:10" ht="15" customHeight="1" x14ac:dyDescent="0.25">
      <c r="B29" s="52"/>
      <c r="C29" s="53"/>
      <c r="D29" s="54"/>
      <c r="E29" s="54"/>
      <c r="F29" s="54"/>
      <c r="G29" s="54"/>
      <c r="H29" s="54"/>
      <c r="I29" s="55"/>
      <c r="J29" s="55"/>
    </row>
    <row r="30" spans="2:10" ht="15" customHeight="1" x14ac:dyDescent="0.25">
      <c r="B30" s="56"/>
      <c r="C30" s="57"/>
      <c r="D30" s="58"/>
      <c r="E30" s="58"/>
      <c r="F30" s="58"/>
      <c r="G30" s="58"/>
      <c r="H30" s="58"/>
      <c r="I30" s="59"/>
      <c r="J30" s="59"/>
    </row>
    <row r="31" spans="2:10" ht="15" customHeight="1" x14ac:dyDescent="0.25">
      <c r="B31" s="52"/>
      <c r="C31" s="53"/>
      <c r="D31" s="54"/>
      <c r="E31" s="54"/>
      <c r="F31" s="54"/>
      <c r="G31" s="54"/>
      <c r="H31" s="54"/>
      <c r="I31" s="55"/>
      <c r="J31" s="55"/>
    </row>
    <row r="32" spans="2:10" ht="15" customHeight="1" x14ac:dyDescent="0.25">
      <c r="B32" s="56"/>
      <c r="C32" s="57"/>
      <c r="D32" s="58"/>
      <c r="E32" s="58"/>
      <c r="F32" s="58"/>
      <c r="G32" s="58"/>
      <c r="H32" s="58"/>
      <c r="I32" s="59"/>
      <c r="J32" s="59"/>
    </row>
    <row r="33" spans="2:10" ht="15" customHeight="1" x14ac:dyDescent="0.25">
      <c r="B33" s="52"/>
      <c r="C33" s="53"/>
      <c r="D33" s="54"/>
      <c r="E33" s="54"/>
      <c r="F33" s="54"/>
      <c r="G33" s="54"/>
      <c r="H33" s="54"/>
      <c r="I33" s="55"/>
      <c r="J33" s="55"/>
    </row>
    <row r="34" spans="2:10" ht="15" customHeight="1" x14ac:dyDescent="0.25">
      <c r="B34" s="56"/>
      <c r="C34" s="57"/>
      <c r="D34" s="58"/>
      <c r="E34" s="58"/>
      <c r="F34" s="58"/>
      <c r="G34" s="58"/>
      <c r="H34" s="58"/>
      <c r="I34" s="59"/>
      <c r="J34" s="59"/>
    </row>
    <row r="35" spans="2:10" ht="15" customHeight="1" x14ac:dyDescent="0.25">
      <c r="B35" s="52"/>
      <c r="C35" s="53"/>
      <c r="D35" s="54"/>
      <c r="E35" s="54"/>
      <c r="F35" s="54"/>
      <c r="G35" s="54"/>
      <c r="H35" s="54"/>
      <c r="I35" s="55"/>
      <c r="J35" s="55"/>
    </row>
    <row r="36" spans="2:10" ht="15" customHeight="1" x14ac:dyDescent="0.25">
      <c r="B36" s="56"/>
      <c r="C36" s="57"/>
      <c r="D36" s="58"/>
      <c r="E36" s="58"/>
      <c r="F36" s="58"/>
      <c r="G36" s="58"/>
      <c r="H36" s="58"/>
      <c r="I36" s="59"/>
      <c r="J36" s="59"/>
    </row>
    <row r="37" spans="2:10" ht="15" customHeight="1" x14ac:dyDescent="0.25">
      <c r="B37" s="52"/>
      <c r="C37" s="53"/>
      <c r="D37" s="54"/>
      <c r="E37" s="54"/>
      <c r="F37" s="54"/>
      <c r="G37" s="54"/>
      <c r="H37" s="54"/>
      <c r="I37" s="55"/>
      <c r="J37" s="55"/>
    </row>
    <row r="38" spans="2:10" ht="15" customHeight="1" x14ac:dyDescent="0.25">
      <c r="B38" s="56"/>
      <c r="C38" s="57"/>
      <c r="D38" s="58"/>
      <c r="E38" s="58"/>
      <c r="F38" s="58"/>
      <c r="G38" s="58"/>
      <c r="H38" s="58"/>
      <c r="I38" s="59"/>
      <c r="J38" s="59"/>
    </row>
    <row r="39" spans="2:10" ht="15" customHeight="1" x14ac:dyDescent="0.25">
      <c r="B39" s="52"/>
      <c r="C39" s="53"/>
      <c r="D39" s="54"/>
      <c r="E39" s="54"/>
      <c r="F39" s="54"/>
      <c r="G39" s="54"/>
      <c r="H39" s="54"/>
      <c r="I39" s="55"/>
      <c r="J39" s="55"/>
    </row>
    <row r="40" spans="2:10" ht="15" customHeight="1" x14ac:dyDescent="0.25">
      <c r="B40" s="56"/>
      <c r="C40" s="57"/>
      <c r="D40" s="58"/>
      <c r="E40" s="58"/>
      <c r="F40" s="58"/>
      <c r="G40" s="58"/>
      <c r="H40" s="58"/>
      <c r="I40" s="59"/>
      <c r="J40" s="59"/>
    </row>
    <row r="41" spans="2:10" ht="15" customHeight="1" x14ac:dyDescent="0.25">
      <c r="B41" s="52"/>
      <c r="C41" s="53"/>
      <c r="D41" s="54"/>
      <c r="E41" s="54"/>
      <c r="F41" s="54"/>
      <c r="G41" s="54"/>
      <c r="H41" s="54"/>
      <c r="I41" s="55"/>
      <c r="J41" s="55"/>
    </row>
    <row r="42" spans="2:10" ht="15" customHeight="1" x14ac:dyDescent="0.25">
      <c r="B42" s="56"/>
      <c r="C42" s="57"/>
      <c r="D42" s="58"/>
      <c r="E42" s="58"/>
      <c r="F42" s="58"/>
      <c r="G42" s="58"/>
      <c r="H42" s="58"/>
      <c r="I42" s="59"/>
      <c r="J42" s="59"/>
    </row>
    <row r="43" spans="2:10" ht="15" customHeight="1" x14ac:dyDescent="0.25">
      <c r="B43" s="52"/>
      <c r="C43" s="53"/>
      <c r="D43" s="54"/>
      <c r="E43" s="54"/>
      <c r="F43" s="54"/>
      <c r="G43" s="54"/>
      <c r="H43" s="54"/>
      <c r="I43" s="55"/>
      <c r="J43" s="55"/>
    </row>
    <row r="44" spans="2:10" ht="15" customHeight="1" x14ac:dyDescent="0.25">
      <c r="B44" s="56"/>
      <c r="C44" s="57"/>
      <c r="D44" s="58"/>
      <c r="E44" s="58"/>
      <c r="F44" s="58"/>
      <c r="G44" s="58"/>
      <c r="H44" s="58"/>
      <c r="I44" s="59"/>
      <c r="J44" s="59"/>
    </row>
    <row r="45" spans="2:10" ht="15" customHeight="1" x14ac:dyDescent="0.25">
      <c r="B45" s="52"/>
      <c r="C45" s="53"/>
      <c r="D45" s="54"/>
      <c r="E45" s="54"/>
      <c r="F45" s="54"/>
      <c r="G45" s="54"/>
      <c r="H45" s="54"/>
      <c r="I45" s="55"/>
      <c r="J45" s="55"/>
    </row>
    <row r="46" spans="2:10" ht="15" customHeight="1" x14ac:dyDescent="0.25">
      <c r="B46" s="56"/>
      <c r="C46" s="57"/>
      <c r="D46" s="58"/>
      <c r="E46" s="58"/>
      <c r="F46" s="58"/>
      <c r="G46" s="58"/>
      <c r="H46" s="58"/>
      <c r="I46" s="59"/>
      <c r="J46" s="59"/>
    </row>
    <row r="47" spans="2:10" ht="15" customHeight="1" x14ac:dyDescent="0.25">
      <c r="B47" s="52"/>
      <c r="C47" s="53"/>
      <c r="D47" s="54"/>
      <c r="E47" s="54"/>
      <c r="F47" s="54"/>
      <c r="G47" s="54"/>
      <c r="H47" s="54"/>
      <c r="I47" s="55"/>
      <c r="J47" s="55"/>
    </row>
    <row r="48" spans="2:10" ht="15" customHeight="1" x14ac:dyDescent="0.25">
      <c r="B48" s="56"/>
      <c r="C48" s="57"/>
      <c r="D48" s="58"/>
      <c r="E48" s="58"/>
      <c r="F48" s="58"/>
      <c r="G48" s="58"/>
      <c r="H48" s="58"/>
      <c r="I48" s="59"/>
      <c r="J48" s="59"/>
    </row>
    <row r="49" spans="2:10" ht="15" customHeight="1" x14ac:dyDescent="0.25">
      <c r="B49" s="52"/>
      <c r="C49" s="53"/>
      <c r="D49" s="54"/>
      <c r="E49" s="54"/>
      <c r="F49" s="54"/>
      <c r="G49" s="54"/>
      <c r="H49" s="54"/>
      <c r="I49" s="55"/>
      <c r="J49" s="55"/>
    </row>
    <row r="50" spans="2:10" ht="15" customHeight="1" x14ac:dyDescent="0.25">
      <c r="B50" s="56"/>
      <c r="C50" s="57"/>
      <c r="D50" s="58"/>
      <c r="E50" s="58"/>
      <c r="F50" s="58"/>
      <c r="G50" s="58"/>
      <c r="H50" s="58"/>
      <c r="I50" s="59"/>
      <c r="J50" s="59"/>
    </row>
    <row r="51" spans="2:10" ht="15" customHeight="1" x14ac:dyDescent="0.25">
      <c r="B51" s="52"/>
      <c r="C51" s="53"/>
      <c r="D51" s="54"/>
      <c r="E51" s="54"/>
      <c r="F51" s="54"/>
      <c r="G51" s="54"/>
      <c r="H51" s="54"/>
      <c r="I51" s="55"/>
      <c r="J51" s="55"/>
    </row>
    <row r="52" spans="2:10" ht="15" customHeight="1" x14ac:dyDescent="0.25">
      <c r="B52" s="56"/>
      <c r="C52" s="57"/>
      <c r="D52" s="58"/>
      <c r="E52" s="58"/>
      <c r="F52" s="58"/>
      <c r="G52" s="58"/>
      <c r="H52" s="58"/>
      <c r="I52" s="59"/>
      <c r="J52" s="59"/>
    </row>
    <row r="53" spans="2:10" ht="15" customHeight="1" x14ac:dyDescent="0.25">
      <c r="B53" s="52"/>
      <c r="C53" s="53"/>
      <c r="D53" s="54"/>
      <c r="E53" s="54"/>
      <c r="F53" s="54"/>
      <c r="G53" s="54"/>
      <c r="H53" s="54"/>
      <c r="I53" s="55"/>
      <c r="J53" s="55"/>
    </row>
    <row r="54" spans="2:10" ht="15" customHeight="1" x14ac:dyDescent="0.25">
      <c r="B54" s="56"/>
      <c r="C54" s="57"/>
      <c r="D54" s="58"/>
      <c r="E54" s="58"/>
      <c r="F54" s="58"/>
      <c r="G54" s="58"/>
      <c r="H54" s="58"/>
      <c r="I54" s="59"/>
      <c r="J54" s="59"/>
    </row>
    <row r="55" spans="2:10" ht="15" customHeight="1" x14ac:dyDescent="0.25">
      <c r="B55" s="52"/>
      <c r="C55" s="53"/>
      <c r="D55" s="54"/>
      <c r="E55" s="54"/>
      <c r="F55" s="54"/>
      <c r="G55" s="54"/>
      <c r="H55" s="54"/>
      <c r="I55" s="55"/>
      <c r="J55" s="55"/>
    </row>
    <row r="56" spans="2:10" ht="15" customHeight="1" x14ac:dyDescent="0.25">
      <c r="B56" s="56"/>
      <c r="C56" s="57"/>
      <c r="D56" s="58"/>
      <c r="E56" s="58"/>
      <c r="F56" s="58"/>
      <c r="G56" s="58"/>
      <c r="H56" s="58"/>
      <c r="I56" s="59"/>
      <c r="J56" s="59"/>
    </row>
    <row r="57" spans="2:10" ht="15" customHeight="1" x14ac:dyDescent="0.25">
      <c r="B57" s="52"/>
      <c r="C57" s="53"/>
      <c r="D57" s="54"/>
      <c r="E57" s="54"/>
      <c r="F57" s="54"/>
      <c r="G57" s="54"/>
      <c r="H57" s="54"/>
      <c r="I57" s="55"/>
      <c r="J57" s="55"/>
    </row>
    <row r="58" spans="2:10" ht="15" customHeight="1" x14ac:dyDescent="0.25">
      <c r="B58" s="56"/>
      <c r="C58" s="57"/>
      <c r="D58" s="58"/>
      <c r="E58" s="58"/>
      <c r="F58" s="58"/>
      <c r="G58" s="58"/>
      <c r="H58" s="58"/>
      <c r="I58" s="59"/>
      <c r="J58" s="59"/>
    </row>
    <row r="59" spans="2:10" ht="15" customHeight="1" x14ac:dyDescent="0.25">
      <c r="B59" s="52"/>
      <c r="C59" s="53"/>
      <c r="D59" s="54"/>
      <c r="E59" s="54"/>
      <c r="F59" s="54"/>
      <c r="G59" s="54"/>
      <c r="H59" s="54"/>
      <c r="I59" s="55"/>
      <c r="J59" s="55"/>
    </row>
    <row r="60" spans="2:10" ht="15" customHeight="1" x14ac:dyDescent="0.25">
      <c r="B60" s="56"/>
      <c r="C60" s="57"/>
      <c r="D60" s="58"/>
      <c r="E60" s="58"/>
      <c r="F60" s="58"/>
      <c r="G60" s="58"/>
      <c r="H60" s="58"/>
      <c r="I60" s="59"/>
      <c r="J60" s="59"/>
    </row>
    <row r="61" spans="2:10" ht="15" customHeight="1" x14ac:dyDescent="0.25">
      <c r="B61" s="52"/>
      <c r="C61" s="53"/>
      <c r="D61" s="54"/>
      <c r="E61" s="54"/>
      <c r="F61" s="54"/>
      <c r="G61" s="54"/>
      <c r="H61" s="54"/>
      <c r="I61" s="55"/>
      <c r="J61" s="55"/>
    </row>
    <row r="62" spans="2:10" ht="15" customHeight="1" x14ac:dyDescent="0.25">
      <c r="B62" s="56"/>
      <c r="C62" s="57"/>
      <c r="D62" s="58"/>
      <c r="E62" s="58"/>
      <c r="F62" s="58"/>
      <c r="G62" s="58"/>
      <c r="H62" s="58"/>
      <c r="I62" s="59"/>
      <c r="J62" s="59"/>
    </row>
    <row r="63" spans="2:10" ht="15" customHeight="1" x14ac:dyDescent="0.25">
      <c r="B63" s="52"/>
      <c r="C63" s="53"/>
      <c r="D63" s="54"/>
      <c r="E63" s="54"/>
      <c r="F63" s="54"/>
      <c r="G63" s="54"/>
      <c r="H63" s="54"/>
      <c r="I63" s="55"/>
      <c r="J63" s="55"/>
    </row>
    <row r="64" spans="2:10" ht="15" customHeight="1" x14ac:dyDescent="0.25">
      <c r="B64" s="56"/>
      <c r="C64" s="57"/>
      <c r="D64" s="58"/>
      <c r="E64" s="58"/>
      <c r="F64" s="58"/>
      <c r="G64" s="58"/>
      <c r="H64" s="58"/>
      <c r="I64" s="59"/>
      <c r="J64" s="59"/>
    </row>
    <row r="65" spans="2:10" ht="15" customHeight="1" x14ac:dyDescent="0.25">
      <c r="B65" s="52"/>
      <c r="C65" s="53"/>
      <c r="D65" s="54"/>
      <c r="E65" s="54"/>
      <c r="F65" s="54"/>
      <c r="G65" s="54"/>
      <c r="H65" s="54"/>
      <c r="I65" s="55"/>
      <c r="J65" s="55"/>
    </row>
    <row r="66" spans="2:10" ht="15" hidden="1" customHeight="1" x14ac:dyDescent="0.25">
      <c r="B66" s="11"/>
      <c r="C66" s="12"/>
      <c r="D66" s="13"/>
      <c r="E66" s="13"/>
      <c r="F66" s="13"/>
      <c r="G66" s="13"/>
      <c r="H66" s="13"/>
      <c r="I66" s="14"/>
      <c r="J66" s="14"/>
    </row>
    <row r="67" spans="2:10" ht="15" hidden="1" customHeight="1" x14ac:dyDescent="0.25">
      <c r="B67" s="7"/>
      <c r="C67" s="8"/>
      <c r="D67" s="9"/>
      <c r="E67" s="9"/>
      <c r="F67" s="9"/>
      <c r="G67" s="9"/>
      <c r="H67" s="9"/>
      <c r="I67" s="10"/>
      <c r="J67" s="10"/>
    </row>
    <row r="68" spans="2:10" ht="15" hidden="1" customHeight="1" x14ac:dyDescent="0.25">
      <c r="B68" s="11"/>
      <c r="C68" s="12"/>
      <c r="D68" s="13"/>
      <c r="E68" s="13"/>
      <c r="F68" s="13"/>
      <c r="G68" s="13"/>
      <c r="H68" s="13"/>
      <c r="I68" s="14"/>
      <c r="J68" s="14"/>
    </row>
    <row r="69" spans="2:10" ht="15" hidden="1" customHeight="1" x14ac:dyDescent="0.25">
      <c r="B69" s="7"/>
      <c r="C69" s="8"/>
      <c r="D69" s="9"/>
      <c r="E69" s="9"/>
      <c r="F69" s="9"/>
      <c r="G69" s="9"/>
      <c r="H69" s="9"/>
      <c r="I69" s="10"/>
      <c r="J69" s="10"/>
    </row>
    <row r="70" spans="2:10" ht="15" hidden="1" customHeight="1" x14ac:dyDescent="0.25">
      <c r="B70" s="11"/>
      <c r="C70" s="12"/>
      <c r="D70" s="13"/>
      <c r="E70" s="13"/>
      <c r="F70" s="13"/>
      <c r="G70" s="13"/>
      <c r="H70" s="13"/>
      <c r="I70" s="14"/>
      <c r="J70" s="14"/>
    </row>
    <row r="71" spans="2:10" ht="15" hidden="1" customHeight="1" x14ac:dyDescent="0.25">
      <c r="B71" s="7"/>
      <c r="C71" s="8"/>
      <c r="D71" s="9"/>
      <c r="E71" s="9"/>
      <c r="F71" s="9"/>
      <c r="G71" s="9"/>
      <c r="H71" s="9"/>
      <c r="I71" s="10"/>
      <c r="J71" s="10"/>
    </row>
    <row r="72" spans="2:10" ht="15" hidden="1" customHeight="1" x14ac:dyDescent="0.25">
      <c r="B72" s="11"/>
      <c r="C72" s="12"/>
      <c r="D72" s="13"/>
      <c r="E72" s="13"/>
      <c r="F72" s="13"/>
      <c r="G72" s="13"/>
      <c r="H72" s="13"/>
      <c r="I72" s="14"/>
      <c r="J72" s="14"/>
    </row>
    <row r="73" spans="2:10" ht="15" hidden="1" customHeight="1" x14ac:dyDescent="0.25">
      <c r="B73" s="7"/>
      <c r="C73" s="8"/>
      <c r="D73" s="9"/>
      <c r="E73" s="9"/>
      <c r="F73" s="9"/>
      <c r="G73" s="9"/>
      <c r="H73" s="9"/>
      <c r="I73" s="10"/>
      <c r="J73" s="10"/>
    </row>
    <row r="74" spans="2:10" ht="15" hidden="1" customHeight="1" x14ac:dyDescent="0.25">
      <c r="B74" s="11"/>
      <c r="C74" s="12"/>
      <c r="D74" s="13"/>
      <c r="E74" s="13"/>
      <c r="F74" s="13"/>
      <c r="G74" s="13"/>
      <c r="H74" s="13"/>
      <c r="I74" s="14"/>
      <c r="J74" s="14"/>
    </row>
    <row r="75" spans="2:10" ht="15" hidden="1" customHeight="1" x14ac:dyDescent="0.25">
      <c r="B75" s="7"/>
      <c r="C75" s="8"/>
      <c r="D75" s="9"/>
      <c r="E75" s="9"/>
      <c r="F75" s="9"/>
      <c r="G75" s="9"/>
      <c r="H75" s="9"/>
      <c r="I75" s="10"/>
      <c r="J75" s="10"/>
    </row>
    <row r="76" spans="2:10" ht="15" hidden="1" customHeight="1" x14ac:dyDescent="0.25">
      <c r="B76" s="11"/>
      <c r="C76" s="12"/>
      <c r="D76" s="13"/>
      <c r="E76" s="13"/>
      <c r="F76" s="13"/>
      <c r="G76" s="13"/>
      <c r="H76" s="13"/>
      <c r="I76" s="14"/>
      <c r="J76" s="14"/>
    </row>
    <row r="77" spans="2:10" ht="15" hidden="1" customHeight="1" x14ac:dyDescent="0.25">
      <c r="B77" s="7"/>
      <c r="C77" s="8"/>
      <c r="D77" s="9"/>
      <c r="E77" s="9"/>
      <c r="F77" s="9"/>
      <c r="G77" s="9"/>
      <c r="H77" s="9"/>
      <c r="I77" s="10"/>
      <c r="J77" s="10"/>
    </row>
    <row r="78" spans="2:10" ht="15" hidden="1" customHeight="1" x14ac:dyDescent="0.25">
      <c r="B78" s="11"/>
      <c r="C78" s="12"/>
      <c r="D78" s="13"/>
      <c r="E78" s="13"/>
      <c r="F78" s="13"/>
      <c r="G78" s="13"/>
      <c r="H78" s="13"/>
      <c r="I78" s="14"/>
      <c r="J78" s="14"/>
    </row>
    <row r="79" spans="2:10" ht="15" hidden="1" customHeight="1" x14ac:dyDescent="0.25">
      <c r="B79" s="7"/>
      <c r="C79" s="8"/>
      <c r="D79" s="9"/>
      <c r="E79" s="9"/>
      <c r="F79" s="9"/>
      <c r="G79" s="9"/>
      <c r="H79" s="9"/>
      <c r="I79" s="10"/>
      <c r="J79" s="10"/>
    </row>
    <row r="80" spans="2:10" ht="15" hidden="1" customHeight="1" x14ac:dyDescent="0.25">
      <c r="B80" s="11"/>
      <c r="C80" s="12"/>
      <c r="D80" s="13"/>
      <c r="E80" s="13"/>
      <c r="F80" s="13"/>
      <c r="G80" s="13"/>
      <c r="H80" s="13"/>
      <c r="I80" s="14"/>
      <c r="J80" s="14"/>
    </row>
    <row r="81" spans="2:10" ht="15" hidden="1" customHeight="1" x14ac:dyDescent="0.25">
      <c r="B81" s="7"/>
      <c r="C81" s="8"/>
      <c r="D81" s="9"/>
      <c r="E81" s="9"/>
      <c r="F81" s="9"/>
      <c r="G81" s="9"/>
      <c r="H81" s="9"/>
      <c r="I81" s="10"/>
      <c r="J81" s="10"/>
    </row>
    <row r="82" spans="2:10" ht="15" hidden="1" customHeight="1" x14ac:dyDescent="0.25">
      <c r="B82" s="11"/>
      <c r="C82" s="12"/>
      <c r="D82" s="13"/>
      <c r="E82" s="13"/>
      <c r="F82" s="13"/>
      <c r="G82" s="13"/>
      <c r="H82" s="13"/>
      <c r="I82" s="14"/>
      <c r="J82" s="14"/>
    </row>
    <row r="83" spans="2:10" ht="15" hidden="1" customHeight="1" x14ac:dyDescent="0.25">
      <c r="B83" s="7"/>
      <c r="C83" s="8"/>
      <c r="D83" s="9"/>
      <c r="E83" s="9"/>
      <c r="F83" s="9"/>
      <c r="G83" s="9"/>
      <c r="H83" s="9"/>
      <c r="I83" s="10"/>
      <c r="J83" s="10"/>
    </row>
    <row r="84" spans="2:10" ht="15" hidden="1" customHeight="1" x14ac:dyDescent="0.25">
      <c r="B84" s="11"/>
      <c r="C84" s="12"/>
      <c r="D84" s="13"/>
      <c r="E84" s="13"/>
      <c r="F84" s="13"/>
      <c r="G84" s="13"/>
      <c r="H84" s="13"/>
      <c r="I84" s="14"/>
      <c r="J84" s="14"/>
    </row>
    <row r="85" spans="2:10" ht="15" hidden="1" customHeight="1" x14ac:dyDescent="0.25">
      <c r="B85" s="7"/>
      <c r="C85" s="8"/>
      <c r="D85" s="9"/>
      <c r="E85" s="9"/>
      <c r="F85" s="9"/>
      <c r="G85" s="9"/>
      <c r="H85" s="9"/>
      <c r="I85" s="10"/>
      <c r="J85" s="10"/>
    </row>
    <row r="86" spans="2:10" ht="15" hidden="1" customHeight="1" x14ac:dyDescent="0.25">
      <c r="B86" s="11"/>
      <c r="C86" s="12"/>
      <c r="D86" s="13"/>
      <c r="E86" s="13"/>
      <c r="F86" s="13"/>
      <c r="G86" s="13"/>
      <c r="H86" s="13"/>
      <c r="I86" s="14"/>
      <c r="J86" s="14"/>
    </row>
    <row r="87" spans="2:10" ht="15" hidden="1" customHeight="1" x14ac:dyDescent="0.25">
      <c r="B87" s="7"/>
      <c r="C87" s="8"/>
      <c r="D87" s="9"/>
      <c r="E87" s="9"/>
      <c r="F87" s="9"/>
      <c r="G87" s="9"/>
      <c r="H87" s="9"/>
      <c r="I87" s="10"/>
      <c r="J87" s="10"/>
    </row>
    <row r="88" spans="2:10" ht="15" hidden="1" customHeight="1" x14ac:dyDescent="0.25">
      <c r="B88" s="11"/>
      <c r="C88" s="12"/>
      <c r="D88" s="13"/>
      <c r="E88" s="13"/>
      <c r="F88" s="13"/>
      <c r="G88" s="13"/>
      <c r="H88" s="13"/>
      <c r="I88" s="14"/>
      <c r="J88" s="14"/>
    </row>
    <row r="89" spans="2:10" ht="15" hidden="1" customHeight="1" x14ac:dyDescent="0.25">
      <c r="B89" s="7"/>
      <c r="C89" s="8"/>
      <c r="D89" s="9"/>
      <c r="E89" s="9"/>
      <c r="F89" s="9"/>
      <c r="G89" s="9"/>
      <c r="H89" s="9"/>
      <c r="I89" s="10"/>
      <c r="J89" s="10"/>
    </row>
    <row r="90" spans="2:10" ht="15" hidden="1" customHeight="1" x14ac:dyDescent="0.25">
      <c r="B90" s="11"/>
      <c r="C90" s="12"/>
      <c r="D90" s="13"/>
      <c r="E90" s="13"/>
      <c r="F90" s="13"/>
      <c r="G90" s="13"/>
      <c r="H90" s="13"/>
      <c r="I90" s="14"/>
      <c r="J90" s="14"/>
    </row>
    <row r="91" spans="2:10" ht="15" hidden="1" customHeight="1" x14ac:dyDescent="0.25">
      <c r="B91" s="7"/>
      <c r="C91" s="8"/>
      <c r="D91" s="9"/>
      <c r="E91" s="9"/>
      <c r="F91" s="9"/>
      <c r="G91" s="9"/>
      <c r="H91" s="9"/>
      <c r="I91" s="10"/>
      <c r="J91" s="10"/>
    </row>
    <row r="92" spans="2:10" ht="15" hidden="1" customHeight="1" x14ac:dyDescent="0.25">
      <c r="B92" s="11"/>
      <c r="C92" s="12"/>
      <c r="D92" s="13"/>
      <c r="E92" s="13"/>
      <c r="F92" s="13"/>
      <c r="G92" s="13"/>
      <c r="H92" s="13"/>
      <c r="I92" s="14"/>
      <c r="J92" s="14"/>
    </row>
    <row r="93" spans="2:10" ht="15" hidden="1" customHeight="1" x14ac:dyDescent="0.25">
      <c r="B93" s="7"/>
      <c r="C93" s="8"/>
      <c r="D93" s="9"/>
      <c r="E93" s="9"/>
      <c r="F93" s="9"/>
      <c r="G93" s="9"/>
      <c r="H93" s="9"/>
      <c r="I93" s="10"/>
      <c r="J93" s="10"/>
    </row>
    <row r="94" spans="2:10" ht="15" hidden="1" customHeight="1" x14ac:dyDescent="0.25">
      <c r="B94" s="11"/>
      <c r="C94" s="12"/>
      <c r="D94" s="13"/>
      <c r="E94" s="13"/>
      <c r="F94" s="13"/>
      <c r="G94" s="13"/>
      <c r="H94" s="13"/>
      <c r="I94" s="14"/>
      <c r="J94" s="14"/>
    </row>
    <row r="95" spans="2:10" ht="15" hidden="1" customHeight="1" x14ac:dyDescent="0.25">
      <c r="B95" s="7"/>
      <c r="C95" s="8"/>
      <c r="D95" s="9"/>
      <c r="E95" s="9"/>
      <c r="F95" s="9"/>
      <c r="G95" s="9"/>
      <c r="H95" s="9"/>
      <c r="I95" s="10"/>
      <c r="J95" s="10"/>
    </row>
    <row r="96" spans="2:10" ht="15" hidden="1" customHeight="1" x14ac:dyDescent="0.25">
      <c r="B96" s="11"/>
      <c r="C96" s="12"/>
      <c r="D96" s="13"/>
      <c r="E96" s="13"/>
      <c r="F96" s="13"/>
      <c r="G96" s="13"/>
      <c r="H96" s="13"/>
      <c r="I96" s="14"/>
      <c r="J96" s="14"/>
    </row>
    <row r="97" spans="2:10" ht="15" hidden="1" customHeight="1" x14ac:dyDescent="0.25">
      <c r="B97" s="7"/>
      <c r="C97" s="8"/>
      <c r="D97" s="9"/>
      <c r="E97" s="9"/>
      <c r="F97" s="9"/>
      <c r="G97" s="9"/>
      <c r="H97" s="9"/>
      <c r="I97" s="10"/>
      <c r="J97" s="10"/>
    </row>
    <row r="98" spans="2:10" ht="15" hidden="1" customHeight="1" x14ac:dyDescent="0.25">
      <c r="B98" s="11"/>
      <c r="C98" s="12"/>
      <c r="D98" s="13"/>
      <c r="E98" s="13"/>
      <c r="F98" s="13"/>
      <c r="G98" s="13"/>
      <c r="H98" s="13"/>
      <c r="I98" s="14"/>
      <c r="J98" s="14"/>
    </row>
    <row r="99" spans="2:10" ht="15" hidden="1" customHeight="1" x14ac:dyDescent="0.25">
      <c r="B99" s="7"/>
      <c r="C99" s="8"/>
      <c r="D99" s="9"/>
      <c r="E99" s="9"/>
      <c r="F99" s="9"/>
      <c r="G99" s="9"/>
      <c r="H99" s="9"/>
      <c r="I99" s="10"/>
      <c r="J99" s="10"/>
    </row>
    <row r="100" spans="2:10" ht="15" hidden="1" customHeight="1" x14ac:dyDescent="0.25">
      <c r="B100" s="11"/>
      <c r="C100" s="12"/>
      <c r="D100" s="13"/>
      <c r="E100" s="13"/>
      <c r="F100" s="13"/>
      <c r="G100" s="13"/>
      <c r="H100" s="13"/>
      <c r="I100" s="14"/>
      <c r="J100" s="14"/>
    </row>
    <row r="101" spans="2:10" ht="15" hidden="1" customHeight="1" x14ac:dyDescent="0.25">
      <c r="B101" s="7"/>
      <c r="C101" s="8"/>
      <c r="D101" s="9"/>
      <c r="E101" s="9"/>
      <c r="F101" s="9"/>
      <c r="G101" s="9"/>
      <c r="H101" s="9"/>
      <c r="I101" s="10"/>
      <c r="J101" s="10"/>
    </row>
    <row r="102" spans="2:10" ht="15" hidden="1" customHeight="1" x14ac:dyDescent="0.25">
      <c r="B102" s="11"/>
      <c r="C102" s="12"/>
      <c r="D102" s="13"/>
      <c r="E102" s="13"/>
      <c r="F102" s="13"/>
      <c r="G102" s="13"/>
      <c r="H102" s="13"/>
      <c r="I102" s="14"/>
      <c r="J102" s="14"/>
    </row>
    <row r="103" spans="2:10" ht="15" hidden="1" customHeight="1" x14ac:dyDescent="0.25">
      <c r="B103" s="7"/>
      <c r="C103" s="8"/>
      <c r="D103" s="9"/>
      <c r="E103" s="9"/>
      <c r="F103" s="9"/>
      <c r="G103" s="9"/>
      <c r="H103" s="9"/>
      <c r="I103" s="10"/>
      <c r="J103" s="10"/>
    </row>
    <row r="104" spans="2:10" ht="15" hidden="1" customHeight="1" x14ac:dyDescent="0.25">
      <c r="B104" s="11"/>
      <c r="C104" s="12"/>
      <c r="D104" s="13"/>
      <c r="E104" s="13"/>
      <c r="F104" s="13"/>
      <c r="G104" s="13"/>
      <c r="H104" s="13"/>
      <c r="I104" s="14"/>
      <c r="J104" s="14"/>
    </row>
    <row r="105" spans="2:10" ht="15" hidden="1" customHeight="1" x14ac:dyDescent="0.25">
      <c r="B105" s="7"/>
      <c r="C105" s="8"/>
      <c r="D105" s="9"/>
      <c r="E105" s="9"/>
      <c r="F105" s="9"/>
      <c r="G105" s="9"/>
      <c r="H105" s="9"/>
      <c r="I105" s="10"/>
      <c r="J105" s="10"/>
    </row>
    <row r="106" spans="2:10" ht="15" hidden="1" customHeight="1" x14ac:dyDescent="0.25">
      <c r="B106" s="11"/>
      <c r="C106" s="12"/>
      <c r="D106" s="13"/>
      <c r="E106" s="13"/>
      <c r="F106" s="13"/>
      <c r="G106" s="13"/>
      <c r="H106" s="13"/>
      <c r="I106" s="14"/>
      <c r="J106" s="14"/>
    </row>
    <row r="107" spans="2:10" ht="15" hidden="1" customHeight="1" x14ac:dyDescent="0.25">
      <c r="B107" s="7"/>
      <c r="C107" s="8"/>
      <c r="D107" s="9"/>
      <c r="E107" s="9"/>
      <c r="F107" s="9"/>
      <c r="G107" s="9"/>
      <c r="H107" s="9"/>
      <c r="I107" s="10"/>
      <c r="J107" s="10"/>
    </row>
    <row r="108" spans="2:10" ht="15" hidden="1" customHeight="1" x14ac:dyDescent="0.25">
      <c r="B108" s="11"/>
      <c r="C108" s="12"/>
      <c r="D108" s="13"/>
      <c r="E108" s="13"/>
      <c r="F108" s="13"/>
      <c r="G108" s="13"/>
      <c r="H108" s="13"/>
      <c r="I108" s="14"/>
      <c r="J108" s="14"/>
    </row>
    <row r="109" spans="2:10" ht="15" hidden="1" customHeight="1" x14ac:dyDescent="0.25">
      <c r="B109" s="7"/>
      <c r="C109" s="8"/>
      <c r="D109" s="9"/>
      <c r="E109" s="9"/>
      <c r="F109" s="9"/>
      <c r="G109" s="9"/>
      <c r="H109" s="9"/>
      <c r="I109" s="10"/>
      <c r="J109" s="10"/>
    </row>
    <row r="110" spans="2:10" ht="15" hidden="1" customHeight="1" x14ac:dyDescent="0.25">
      <c r="B110" s="11"/>
      <c r="C110" s="12"/>
      <c r="D110" s="13"/>
      <c r="E110" s="13"/>
      <c r="F110" s="13"/>
      <c r="G110" s="13"/>
      <c r="H110" s="13"/>
      <c r="I110" s="14"/>
      <c r="J110" s="14"/>
    </row>
    <row r="111" spans="2:10" ht="15" hidden="1" customHeight="1" x14ac:dyDescent="0.25">
      <c r="B111" s="7"/>
      <c r="C111" s="8"/>
      <c r="D111" s="9"/>
      <c r="E111" s="9"/>
      <c r="F111" s="9"/>
      <c r="G111" s="9"/>
      <c r="H111" s="9"/>
      <c r="I111" s="10"/>
      <c r="J111" s="10"/>
    </row>
    <row r="112" spans="2:10" ht="15" hidden="1" customHeight="1" x14ac:dyDescent="0.25">
      <c r="B112" s="11"/>
      <c r="C112" s="12"/>
      <c r="D112" s="13"/>
      <c r="E112" s="13"/>
      <c r="F112" s="13"/>
      <c r="G112" s="13"/>
      <c r="H112" s="13"/>
      <c r="I112" s="14"/>
      <c r="J112" s="14"/>
    </row>
    <row r="113" spans="2:10" ht="15" hidden="1" customHeight="1" x14ac:dyDescent="0.25">
      <c r="B113" s="7"/>
      <c r="C113" s="8"/>
      <c r="D113" s="9"/>
      <c r="E113" s="9"/>
      <c r="F113" s="9"/>
      <c r="G113" s="9"/>
      <c r="H113" s="9"/>
      <c r="I113" s="10"/>
      <c r="J113" s="10"/>
    </row>
    <row r="114" spans="2:10" ht="15" hidden="1" customHeight="1" x14ac:dyDescent="0.25">
      <c r="B114" s="11"/>
      <c r="C114" s="12"/>
      <c r="D114" s="13"/>
      <c r="E114" s="13"/>
      <c r="F114" s="13"/>
      <c r="G114" s="13"/>
      <c r="H114" s="13"/>
      <c r="I114" s="14"/>
      <c r="J114" s="14"/>
    </row>
    <row r="115" spans="2:10" ht="15" hidden="1" customHeight="1" x14ac:dyDescent="0.25">
      <c r="B115" s="7"/>
      <c r="C115" s="8"/>
      <c r="D115" s="9"/>
      <c r="E115" s="9"/>
      <c r="F115" s="9"/>
      <c r="G115" s="9"/>
      <c r="H115" s="9"/>
      <c r="I115" s="10"/>
      <c r="J115" s="10"/>
    </row>
    <row r="116" spans="2:10" ht="15" hidden="1" customHeight="1" x14ac:dyDescent="0.25">
      <c r="B116" s="11"/>
      <c r="C116" s="12"/>
      <c r="D116" s="13"/>
      <c r="E116" s="13"/>
      <c r="F116" s="13"/>
      <c r="G116" s="13"/>
      <c r="H116" s="13"/>
      <c r="I116" s="14"/>
      <c r="J116" s="14"/>
    </row>
    <row r="117" spans="2:10" ht="15" hidden="1" customHeight="1" x14ac:dyDescent="0.25">
      <c r="B117" s="7"/>
      <c r="C117" s="8"/>
      <c r="D117" s="9"/>
      <c r="E117" s="9"/>
      <c r="F117" s="9"/>
      <c r="G117" s="9"/>
      <c r="H117" s="9"/>
      <c r="I117" s="10"/>
      <c r="J117" s="10"/>
    </row>
    <row r="118" spans="2:10" ht="15" hidden="1" customHeight="1" x14ac:dyDescent="0.25">
      <c r="B118" s="11"/>
      <c r="C118" s="12"/>
      <c r="D118" s="13"/>
      <c r="E118" s="13"/>
      <c r="F118" s="13"/>
      <c r="G118" s="13"/>
      <c r="H118" s="13"/>
      <c r="I118" s="14"/>
      <c r="J118" s="14"/>
    </row>
    <row r="119" spans="2:10" ht="15" hidden="1" customHeight="1" x14ac:dyDescent="0.25">
      <c r="B119" s="7"/>
      <c r="C119" s="8"/>
      <c r="D119" s="9"/>
      <c r="E119" s="9"/>
      <c r="F119" s="9"/>
      <c r="G119" s="9"/>
      <c r="H119" s="9"/>
      <c r="I119" s="10"/>
      <c r="J119" s="10"/>
    </row>
    <row r="120" spans="2:10" ht="15" hidden="1" customHeight="1" x14ac:dyDescent="0.25">
      <c r="B120" s="11"/>
      <c r="C120" s="12"/>
      <c r="D120" s="13"/>
      <c r="E120" s="13"/>
      <c r="F120" s="13"/>
      <c r="G120" s="13"/>
      <c r="H120" s="13"/>
      <c r="I120" s="14"/>
      <c r="J120" s="14"/>
    </row>
    <row r="121" spans="2:10" ht="15" hidden="1" customHeight="1" x14ac:dyDescent="0.25">
      <c r="B121" s="7"/>
      <c r="C121" s="8"/>
      <c r="D121" s="9"/>
      <c r="E121" s="9"/>
      <c r="F121" s="9"/>
      <c r="G121" s="9"/>
      <c r="H121" s="9"/>
      <c r="I121" s="10"/>
      <c r="J121" s="10"/>
    </row>
    <row r="122" spans="2:10" ht="15" hidden="1" customHeight="1" x14ac:dyDescent="0.25">
      <c r="B122" s="11"/>
      <c r="C122" s="12"/>
      <c r="D122" s="13"/>
      <c r="E122" s="13"/>
      <c r="F122" s="13"/>
      <c r="G122" s="13"/>
      <c r="H122" s="13"/>
      <c r="I122" s="14"/>
      <c r="J122" s="14"/>
    </row>
    <row r="123" spans="2:10" ht="15" hidden="1" customHeight="1" x14ac:dyDescent="0.25">
      <c r="B123" s="7"/>
      <c r="C123" s="8"/>
      <c r="D123" s="9"/>
      <c r="E123" s="9"/>
      <c r="F123" s="9"/>
      <c r="G123" s="9"/>
      <c r="H123" s="9"/>
      <c r="I123" s="10"/>
      <c r="J123" s="10"/>
    </row>
    <row r="124" spans="2:10" ht="15" hidden="1" customHeight="1" x14ac:dyDescent="0.25">
      <c r="B124" s="11"/>
      <c r="C124" s="12"/>
      <c r="D124" s="13"/>
      <c r="E124" s="13"/>
      <c r="F124" s="13"/>
      <c r="G124" s="13"/>
      <c r="H124" s="13"/>
      <c r="I124" s="14"/>
      <c r="J124" s="14"/>
    </row>
    <row r="125" spans="2:10" ht="15" hidden="1" customHeight="1" x14ac:dyDescent="0.25">
      <c r="B125" s="7"/>
      <c r="C125" s="8"/>
      <c r="D125" s="9"/>
      <c r="E125" s="9"/>
      <c r="F125" s="9"/>
      <c r="G125" s="9"/>
      <c r="H125" s="9"/>
      <c r="I125" s="10"/>
      <c r="J125" s="10"/>
    </row>
    <row r="126" spans="2:10" ht="15" hidden="1" customHeight="1" x14ac:dyDescent="0.25">
      <c r="B126" s="11"/>
      <c r="C126" s="12"/>
      <c r="D126" s="13"/>
      <c r="E126" s="13"/>
      <c r="F126" s="13"/>
      <c r="G126" s="13"/>
      <c r="H126" s="13"/>
      <c r="I126" s="14"/>
      <c r="J126" s="14"/>
    </row>
    <row r="127" spans="2:10" ht="15" hidden="1" customHeight="1" x14ac:dyDescent="0.25">
      <c r="B127" s="7"/>
      <c r="C127" s="8"/>
      <c r="D127" s="9"/>
      <c r="E127" s="9"/>
      <c r="F127" s="9"/>
      <c r="G127" s="9"/>
      <c r="H127" s="9"/>
      <c r="I127" s="10"/>
      <c r="J127" s="10"/>
    </row>
    <row r="128" spans="2:10" ht="15" hidden="1" customHeight="1" x14ac:dyDescent="0.25">
      <c r="B128" s="11"/>
      <c r="C128" s="12"/>
      <c r="D128" s="13"/>
      <c r="E128" s="13"/>
      <c r="F128" s="13"/>
      <c r="G128" s="13"/>
      <c r="H128" s="13"/>
      <c r="I128" s="14"/>
      <c r="J128" s="14"/>
    </row>
    <row r="129" spans="2:10" ht="15" hidden="1" customHeight="1" x14ac:dyDescent="0.25">
      <c r="B129" s="7"/>
      <c r="C129" s="8"/>
      <c r="D129" s="9"/>
      <c r="E129" s="9"/>
      <c r="F129" s="9"/>
      <c r="G129" s="9"/>
      <c r="H129" s="9"/>
      <c r="I129" s="10"/>
      <c r="J129" s="10"/>
    </row>
    <row r="130" spans="2:10" ht="15" hidden="1" customHeight="1" x14ac:dyDescent="0.25">
      <c r="B130" s="11"/>
      <c r="C130" s="12"/>
      <c r="D130" s="13"/>
      <c r="E130" s="13"/>
      <c r="F130" s="13"/>
      <c r="G130" s="13"/>
      <c r="H130" s="13"/>
      <c r="I130" s="14"/>
      <c r="J130" s="14"/>
    </row>
    <row r="131" spans="2:10" ht="15" hidden="1" customHeight="1" x14ac:dyDescent="0.25">
      <c r="B131" s="7"/>
      <c r="C131" s="8"/>
      <c r="D131" s="9"/>
      <c r="E131" s="9"/>
      <c r="F131" s="9"/>
      <c r="G131" s="9"/>
      <c r="H131" s="9"/>
      <c r="I131" s="10"/>
      <c r="J131" s="10"/>
    </row>
    <row r="132" spans="2:10" ht="15" hidden="1" customHeight="1" x14ac:dyDescent="0.25">
      <c r="B132" s="11"/>
      <c r="C132" s="12"/>
      <c r="D132" s="13"/>
      <c r="E132" s="13"/>
      <c r="F132" s="13"/>
      <c r="G132" s="13"/>
      <c r="H132" s="13"/>
      <c r="I132" s="14"/>
      <c r="J132" s="14"/>
    </row>
    <row r="133" spans="2:10" ht="15" hidden="1" customHeight="1" x14ac:dyDescent="0.25">
      <c r="B133" s="7"/>
      <c r="C133" s="8"/>
      <c r="D133" s="9"/>
      <c r="E133" s="9"/>
      <c r="F133" s="9"/>
      <c r="G133" s="9"/>
      <c r="H133" s="9"/>
      <c r="I133" s="10"/>
      <c r="J133" s="10"/>
    </row>
    <row r="134" spans="2:10" ht="15" hidden="1" customHeight="1" x14ac:dyDescent="0.25">
      <c r="B134" s="11"/>
      <c r="C134" s="12"/>
      <c r="D134" s="13"/>
      <c r="E134" s="13"/>
      <c r="F134" s="13"/>
      <c r="G134" s="13"/>
      <c r="H134" s="13"/>
      <c r="I134" s="14"/>
      <c r="J134" s="14"/>
    </row>
    <row r="135" spans="2:10" ht="15" hidden="1" customHeight="1" x14ac:dyDescent="0.25">
      <c r="B135" s="7"/>
      <c r="C135" s="8"/>
      <c r="D135" s="9"/>
      <c r="E135" s="9"/>
      <c r="F135" s="9"/>
      <c r="G135" s="9"/>
      <c r="H135" s="9"/>
      <c r="I135" s="10"/>
      <c r="J135" s="10"/>
    </row>
    <row r="136" spans="2:10" ht="15" hidden="1" customHeight="1" x14ac:dyDescent="0.25">
      <c r="B136" s="11"/>
      <c r="C136" s="12"/>
      <c r="D136" s="13"/>
      <c r="E136" s="13"/>
      <c r="F136" s="13"/>
      <c r="G136" s="13"/>
      <c r="H136" s="13"/>
      <c r="I136" s="14"/>
      <c r="J136" s="14"/>
    </row>
    <row r="137" spans="2:10" ht="15" hidden="1" customHeight="1" x14ac:dyDescent="0.25">
      <c r="B137" s="7"/>
      <c r="C137" s="8"/>
      <c r="D137" s="9"/>
      <c r="E137" s="9"/>
      <c r="F137" s="9"/>
      <c r="G137" s="9"/>
      <c r="H137" s="9"/>
      <c r="I137" s="10"/>
      <c r="J137" s="10"/>
    </row>
    <row r="138" spans="2:10" ht="15" hidden="1" customHeight="1" x14ac:dyDescent="0.25">
      <c r="B138" s="11"/>
      <c r="C138" s="12"/>
      <c r="D138" s="13"/>
      <c r="E138" s="13"/>
      <c r="F138" s="13"/>
      <c r="G138" s="13"/>
      <c r="H138" s="13"/>
      <c r="I138" s="14"/>
      <c r="J138" s="14"/>
    </row>
    <row r="139" spans="2:10" ht="15" hidden="1" customHeight="1" x14ac:dyDescent="0.25">
      <c r="B139" s="7"/>
      <c r="C139" s="8"/>
      <c r="D139" s="9"/>
      <c r="E139" s="9"/>
      <c r="F139" s="9"/>
      <c r="G139" s="9"/>
      <c r="H139" s="9"/>
      <c r="I139" s="10"/>
      <c r="J139" s="10"/>
    </row>
    <row r="140" spans="2:10" ht="15" hidden="1" customHeight="1" x14ac:dyDescent="0.25">
      <c r="B140" s="11"/>
      <c r="C140" s="12"/>
      <c r="D140" s="13"/>
      <c r="E140" s="13"/>
      <c r="F140" s="13"/>
      <c r="G140" s="13"/>
      <c r="H140" s="13"/>
      <c r="I140" s="14"/>
      <c r="J140" s="14"/>
    </row>
    <row r="141" spans="2:10" ht="15" hidden="1" customHeight="1" x14ac:dyDescent="0.25">
      <c r="B141" s="7"/>
      <c r="C141" s="8"/>
      <c r="D141" s="9"/>
      <c r="E141" s="9"/>
      <c r="F141" s="9"/>
      <c r="G141" s="9"/>
      <c r="H141" s="9"/>
      <c r="I141" s="10"/>
      <c r="J141" s="10"/>
    </row>
    <row r="142" spans="2:10" ht="15" hidden="1" customHeight="1" x14ac:dyDescent="0.25">
      <c r="B142" s="11"/>
      <c r="C142" s="12"/>
      <c r="D142" s="13"/>
      <c r="E142" s="13"/>
      <c r="F142" s="13"/>
      <c r="G142" s="13"/>
      <c r="H142" s="13"/>
      <c r="I142" s="14"/>
      <c r="J142" s="14"/>
    </row>
    <row r="143" spans="2:10" ht="15" hidden="1" customHeight="1" x14ac:dyDescent="0.25">
      <c r="B143" s="7"/>
      <c r="C143" s="8"/>
      <c r="D143" s="9"/>
      <c r="E143" s="9"/>
      <c r="F143" s="9"/>
      <c r="G143" s="9"/>
      <c r="H143" s="9"/>
      <c r="I143" s="10"/>
      <c r="J143" s="10"/>
    </row>
    <row r="144" spans="2:10" ht="15" hidden="1" customHeight="1" x14ac:dyDescent="0.25">
      <c r="B144" s="11"/>
      <c r="C144" s="12"/>
      <c r="D144" s="13"/>
      <c r="E144" s="13"/>
      <c r="F144" s="13"/>
      <c r="G144" s="13"/>
      <c r="H144" s="13"/>
      <c r="I144" s="14"/>
      <c r="J144" s="14"/>
    </row>
    <row r="145" spans="2:10" ht="15" hidden="1" customHeight="1" x14ac:dyDescent="0.25">
      <c r="B145" s="7"/>
      <c r="C145" s="8"/>
      <c r="D145" s="9"/>
      <c r="E145" s="9"/>
      <c r="F145" s="9"/>
      <c r="G145" s="9"/>
      <c r="H145" s="9"/>
      <c r="I145" s="10"/>
      <c r="J145" s="10"/>
    </row>
    <row r="146" spans="2:10" ht="15" hidden="1" customHeight="1" x14ac:dyDescent="0.25">
      <c r="B146" s="11"/>
      <c r="C146" s="12"/>
      <c r="D146" s="13"/>
      <c r="E146" s="13"/>
      <c r="F146" s="13"/>
      <c r="G146" s="13"/>
      <c r="H146" s="13"/>
      <c r="I146" s="14"/>
      <c r="J146" s="14"/>
    </row>
    <row r="147" spans="2:10" ht="15" hidden="1" customHeight="1" x14ac:dyDescent="0.25">
      <c r="B147" s="7"/>
      <c r="C147" s="8"/>
      <c r="D147" s="9"/>
      <c r="E147" s="9"/>
      <c r="F147" s="9"/>
      <c r="G147" s="9"/>
      <c r="H147" s="9"/>
      <c r="I147" s="10"/>
      <c r="J147" s="10"/>
    </row>
    <row r="148" spans="2:10" ht="15" hidden="1" customHeight="1" x14ac:dyDescent="0.25">
      <c r="B148" s="11"/>
      <c r="C148" s="12"/>
      <c r="D148" s="13"/>
      <c r="E148" s="13"/>
      <c r="F148" s="13"/>
      <c r="G148" s="13"/>
      <c r="H148" s="13"/>
      <c r="I148" s="14"/>
      <c r="J148" s="14"/>
    </row>
    <row r="149" spans="2:10" ht="15" hidden="1" customHeight="1" x14ac:dyDescent="0.25">
      <c r="B149" s="7"/>
      <c r="C149" s="8"/>
      <c r="D149" s="9"/>
      <c r="E149" s="9"/>
      <c r="F149" s="9"/>
      <c r="G149" s="9"/>
      <c r="H149" s="9"/>
      <c r="I149" s="10"/>
      <c r="J149" s="10"/>
    </row>
    <row r="150" spans="2:10" ht="15" hidden="1" customHeight="1" x14ac:dyDescent="0.25">
      <c r="B150" s="11"/>
      <c r="C150" s="12"/>
      <c r="D150" s="13"/>
      <c r="E150" s="13"/>
      <c r="F150" s="13"/>
      <c r="G150" s="13"/>
      <c r="H150" s="13"/>
      <c r="I150" s="14"/>
      <c r="J150" s="14"/>
    </row>
    <row r="151" spans="2:10" ht="15" hidden="1" customHeight="1" x14ac:dyDescent="0.25">
      <c r="B151" s="7"/>
      <c r="C151" s="8"/>
      <c r="D151" s="9"/>
      <c r="E151" s="9"/>
      <c r="F151" s="9"/>
      <c r="G151" s="9"/>
      <c r="H151" s="9"/>
      <c r="I151" s="10"/>
      <c r="J151" s="10"/>
    </row>
    <row r="152" spans="2:10" ht="15" hidden="1" customHeight="1" x14ac:dyDescent="0.25">
      <c r="B152" s="11"/>
      <c r="C152" s="12"/>
      <c r="D152" s="13"/>
      <c r="E152" s="13"/>
      <c r="F152" s="13"/>
      <c r="G152" s="13"/>
      <c r="H152" s="13"/>
      <c r="I152" s="14"/>
      <c r="J152" s="14"/>
    </row>
    <row r="153" spans="2:10" ht="15" hidden="1" customHeight="1" x14ac:dyDescent="0.25">
      <c r="B153" s="7"/>
      <c r="C153" s="8"/>
      <c r="D153" s="9"/>
      <c r="E153" s="9"/>
      <c r="F153" s="9"/>
      <c r="G153" s="9"/>
      <c r="H153" s="9"/>
      <c r="I153" s="10"/>
      <c r="J153" s="10"/>
    </row>
    <row r="154" spans="2:10" ht="15" hidden="1" customHeight="1" x14ac:dyDescent="0.25">
      <c r="B154" s="11"/>
      <c r="C154" s="12"/>
      <c r="D154" s="13"/>
      <c r="E154" s="13"/>
      <c r="F154" s="13"/>
      <c r="G154" s="13"/>
      <c r="H154" s="13"/>
      <c r="I154" s="14"/>
      <c r="J154" s="14"/>
    </row>
    <row r="155" spans="2:10" ht="15" hidden="1" customHeight="1" x14ac:dyDescent="0.25">
      <c r="B155" s="7"/>
      <c r="C155" s="8"/>
      <c r="D155" s="9"/>
      <c r="E155" s="9"/>
      <c r="F155" s="9"/>
      <c r="G155" s="9"/>
      <c r="H155" s="9"/>
      <c r="I155" s="10"/>
      <c r="J155" s="10"/>
    </row>
    <row r="156" spans="2:10" ht="15" hidden="1" customHeight="1" x14ac:dyDescent="0.25">
      <c r="B156" s="11"/>
      <c r="C156" s="12"/>
      <c r="D156" s="13"/>
      <c r="E156" s="13"/>
      <c r="F156" s="13"/>
      <c r="G156" s="13"/>
      <c r="H156" s="13"/>
      <c r="I156" s="14"/>
      <c r="J156" s="14"/>
    </row>
    <row r="157" spans="2:10" ht="15" hidden="1" customHeight="1" x14ac:dyDescent="0.25">
      <c r="B157" s="7"/>
      <c r="C157" s="8"/>
      <c r="D157" s="9"/>
      <c r="E157" s="9"/>
      <c r="F157" s="9"/>
      <c r="G157" s="9"/>
      <c r="H157" s="9"/>
      <c r="I157" s="10"/>
      <c r="J157" s="10"/>
    </row>
    <row r="158" spans="2:10" ht="15" hidden="1" customHeight="1" x14ac:dyDescent="0.25">
      <c r="B158" s="11"/>
      <c r="C158" s="12"/>
      <c r="D158" s="13"/>
      <c r="E158" s="13"/>
      <c r="F158" s="13"/>
      <c r="G158" s="13"/>
      <c r="H158" s="13"/>
      <c r="I158" s="14"/>
      <c r="J158" s="14"/>
    </row>
    <row r="159" spans="2:10" ht="15" hidden="1" customHeight="1" x14ac:dyDescent="0.25">
      <c r="B159" s="7"/>
      <c r="C159" s="8"/>
      <c r="D159" s="9"/>
      <c r="E159" s="9"/>
      <c r="F159" s="9"/>
      <c r="G159" s="9"/>
      <c r="H159" s="9"/>
      <c r="I159" s="10"/>
      <c r="J159" s="10"/>
    </row>
    <row r="160" spans="2:10" ht="15" hidden="1" customHeight="1" x14ac:dyDescent="0.25">
      <c r="B160" s="11"/>
      <c r="C160" s="12"/>
      <c r="D160" s="13"/>
      <c r="E160" s="13"/>
      <c r="F160" s="13"/>
      <c r="G160" s="13"/>
      <c r="H160" s="13"/>
      <c r="I160" s="14"/>
      <c r="J160" s="14"/>
    </row>
    <row r="161" spans="2:10" ht="15" hidden="1" customHeight="1" x14ac:dyDescent="0.25">
      <c r="B161" s="7"/>
      <c r="C161" s="8"/>
      <c r="D161" s="9"/>
      <c r="E161" s="9"/>
      <c r="F161" s="9"/>
      <c r="G161" s="9"/>
      <c r="H161" s="9"/>
      <c r="I161" s="10"/>
      <c r="J161" s="10"/>
    </row>
    <row r="162" spans="2:10" ht="15" hidden="1" customHeight="1" x14ac:dyDescent="0.25">
      <c r="B162" s="11"/>
      <c r="C162" s="12"/>
      <c r="D162" s="13"/>
      <c r="E162" s="13"/>
      <c r="F162" s="13"/>
      <c r="G162" s="13"/>
      <c r="H162" s="13"/>
      <c r="I162" s="14"/>
      <c r="J162" s="14"/>
    </row>
    <row r="163" spans="2:10" ht="15" hidden="1" customHeight="1" x14ac:dyDescent="0.25">
      <c r="B163" s="7"/>
      <c r="C163" s="8"/>
      <c r="D163" s="9"/>
      <c r="E163" s="9"/>
      <c r="F163" s="9"/>
      <c r="G163" s="9"/>
      <c r="H163" s="9"/>
      <c r="I163" s="10"/>
      <c r="J163" s="10"/>
    </row>
    <row r="164" spans="2:10" ht="15" hidden="1" customHeight="1" x14ac:dyDescent="0.25">
      <c r="B164" s="11"/>
      <c r="C164" s="12"/>
      <c r="D164" s="13"/>
      <c r="E164" s="13"/>
      <c r="F164" s="13"/>
      <c r="G164" s="13"/>
      <c r="H164" s="13"/>
      <c r="I164" s="14"/>
      <c r="J164" s="14"/>
    </row>
    <row r="165" spans="2:10" ht="15" hidden="1" customHeight="1" x14ac:dyDescent="0.25">
      <c r="B165" s="7"/>
      <c r="C165" s="8"/>
      <c r="D165" s="9"/>
      <c r="E165" s="9"/>
      <c r="F165" s="9"/>
      <c r="G165" s="9"/>
      <c r="H165" s="9"/>
      <c r="I165" s="10"/>
      <c r="J165" s="10"/>
    </row>
    <row r="166" spans="2:10" ht="15" hidden="1" customHeight="1" x14ac:dyDescent="0.25">
      <c r="B166" s="11"/>
      <c r="C166" s="12"/>
      <c r="D166" s="13"/>
      <c r="E166" s="13"/>
      <c r="F166" s="13"/>
      <c r="G166" s="13"/>
      <c r="H166" s="13"/>
      <c r="I166" s="14"/>
      <c r="J166" s="14"/>
    </row>
    <row r="167" spans="2:10" ht="15" hidden="1" customHeight="1" x14ac:dyDescent="0.25">
      <c r="B167" s="7"/>
      <c r="C167" s="8"/>
      <c r="D167" s="9"/>
      <c r="E167" s="9"/>
      <c r="F167" s="9"/>
      <c r="G167" s="9"/>
      <c r="H167" s="9"/>
      <c r="I167" s="10"/>
      <c r="J167" s="10"/>
    </row>
    <row r="168" spans="2:10" ht="15" hidden="1" customHeight="1" x14ac:dyDescent="0.25">
      <c r="B168" s="11"/>
      <c r="C168" s="12"/>
      <c r="D168" s="13"/>
      <c r="E168" s="13"/>
      <c r="F168" s="13"/>
      <c r="G168" s="13"/>
      <c r="H168" s="13"/>
      <c r="I168" s="14"/>
      <c r="J168" s="14"/>
    </row>
    <row r="169" spans="2:10" ht="15" hidden="1" customHeight="1" x14ac:dyDescent="0.25">
      <c r="B169" s="7"/>
      <c r="C169" s="8"/>
      <c r="D169" s="9"/>
      <c r="E169" s="9"/>
      <c r="F169" s="9"/>
      <c r="G169" s="9"/>
      <c r="H169" s="9"/>
      <c r="I169" s="10"/>
      <c r="J169" s="10"/>
    </row>
    <row r="170" spans="2:10" ht="15" hidden="1" customHeight="1" x14ac:dyDescent="0.25">
      <c r="B170" s="11"/>
      <c r="C170" s="12"/>
      <c r="D170" s="13"/>
      <c r="E170" s="13"/>
      <c r="F170" s="13"/>
      <c r="G170" s="13"/>
      <c r="H170" s="13"/>
      <c r="I170" s="14"/>
      <c r="J170" s="14"/>
    </row>
    <row r="171" spans="2:10" ht="15" hidden="1" customHeight="1" x14ac:dyDescent="0.25">
      <c r="B171" s="7"/>
      <c r="C171" s="8"/>
      <c r="D171" s="9"/>
      <c r="E171" s="9"/>
      <c r="F171" s="9"/>
      <c r="G171" s="9"/>
      <c r="H171" s="9"/>
      <c r="I171" s="10"/>
      <c r="J171" s="10"/>
    </row>
    <row r="172" spans="2:10" ht="15" hidden="1" customHeight="1" x14ac:dyDescent="0.25">
      <c r="B172" s="11"/>
      <c r="C172" s="12"/>
      <c r="D172" s="13"/>
      <c r="E172" s="13"/>
      <c r="F172" s="13"/>
      <c r="G172" s="13"/>
      <c r="H172" s="13"/>
      <c r="I172" s="14"/>
      <c r="J172" s="14"/>
    </row>
    <row r="173" spans="2:10" ht="15" hidden="1" customHeight="1" x14ac:dyDescent="0.25">
      <c r="B173" s="7"/>
      <c r="C173" s="8"/>
      <c r="D173" s="9"/>
      <c r="E173" s="9"/>
      <c r="F173" s="9"/>
      <c r="G173" s="9"/>
      <c r="H173" s="9"/>
      <c r="I173" s="10"/>
      <c r="J173" s="10"/>
    </row>
    <row r="174" spans="2:10" ht="15" hidden="1" customHeight="1" x14ac:dyDescent="0.25">
      <c r="B174" s="11"/>
      <c r="C174" s="12"/>
      <c r="D174" s="13"/>
      <c r="E174" s="13"/>
      <c r="F174" s="13"/>
      <c r="G174" s="13"/>
      <c r="H174" s="13"/>
      <c r="I174" s="14"/>
      <c r="J174" s="14"/>
    </row>
    <row r="175" spans="2:10" ht="15" hidden="1" customHeight="1" x14ac:dyDescent="0.25">
      <c r="B175" s="7"/>
      <c r="C175" s="8"/>
      <c r="D175" s="9"/>
      <c r="E175" s="9"/>
      <c r="F175" s="9"/>
      <c r="G175" s="9"/>
      <c r="H175" s="9"/>
      <c r="I175" s="10"/>
      <c r="J175" s="10"/>
    </row>
    <row r="176" spans="2:10" ht="15" hidden="1" customHeight="1" x14ac:dyDescent="0.25">
      <c r="B176" s="11"/>
      <c r="C176" s="12"/>
      <c r="D176" s="13"/>
      <c r="E176" s="13"/>
      <c r="F176" s="13"/>
      <c r="G176" s="13"/>
      <c r="H176" s="13"/>
      <c r="I176" s="14"/>
      <c r="J176" s="14"/>
    </row>
    <row r="177" spans="2:10" ht="15" hidden="1" customHeight="1" x14ac:dyDescent="0.25">
      <c r="B177" s="7"/>
      <c r="C177" s="8"/>
      <c r="D177" s="9"/>
      <c r="E177" s="9"/>
      <c r="F177" s="9"/>
      <c r="G177" s="9"/>
      <c r="H177" s="9"/>
      <c r="I177" s="10"/>
      <c r="J177" s="10"/>
    </row>
    <row r="178" spans="2:10" ht="15" hidden="1" customHeight="1" x14ac:dyDescent="0.25">
      <c r="B178" s="11"/>
      <c r="C178" s="12"/>
      <c r="D178" s="13"/>
      <c r="E178" s="13"/>
      <c r="F178" s="13"/>
      <c r="G178" s="13"/>
      <c r="H178" s="13"/>
      <c r="I178" s="14"/>
      <c r="J178" s="14"/>
    </row>
    <row r="179" spans="2:10" ht="15" hidden="1" customHeight="1" x14ac:dyDescent="0.25">
      <c r="B179" s="7"/>
      <c r="C179" s="8"/>
      <c r="D179" s="9"/>
      <c r="E179" s="9"/>
      <c r="F179" s="9"/>
      <c r="G179" s="9"/>
      <c r="H179" s="9"/>
      <c r="I179" s="10"/>
      <c r="J179" s="10"/>
    </row>
    <row r="180" spans="2:10" ht="15" hidden="1" customHeight="1" x14ac:dyDescent="0.25">
      <c r="B180" s="11"/>
      <c r="C180" s="12"/>
      <c r="D180" s="13"/>
      <c r="E180" s="13"/>
      <c r="F180" s="13"/>
      <c r="G180" s="13"/>
      <c r="H180" s="13"/>
      <c r="I180" s="14"/>
      <c r="J180" s="14"/>
    </row>
    <row r="181" spans="2:10" ht="15" hidden="1" customHeight="1" x14ac:dyDescent="0.25">
      <c r="B181" s="7"/>
      <c r="C181" s="8"/>
      <c r="D181" s="9"/>
      <c r="E181" s="9"/>
      <c r="F181" s="9"/>
      <c r="G181" s="9"/>
      <c r="H181" s="9"/>
      <c r="I181" s="10"/>
      <c r="J181" s="10"/>
    </row>
    <row r="182" spans="2:10" ht="15" hidden="1" customHeight="1" x14ac:dyDescent="0.25">
      <c r="B182" s="11"/>
      <c r="C182" s="12"/>
      <c r="D182" s="13"/>
      <c r="E182" s="13"/>
      <c r="F182" s="13"/>
      <c r="G182" s="13"/>
      <c r="H182" s="13"/>
      <c r="I182" s="14"/>
      <c r="J182" s="14"/>
    </row>
    <row r="183" spans="2:10" ht="15" hidden="1" customHeight="1" x14ac:dyDescent="0.25">
      <c r="B183" s="7"/>
      <c r="C183" s="8"/>
      <c r="D183" s="9"/>
      <c r="E183" s="9"/>
      <c r="F183" s="9"/>
      <c r="G183" s="9"/>
      <c r="H183" s="9"/>
      <c r="I183" s="10"/>
      <c r="J183" s="10"/>
    </row>
    <row r="184" spans="2:10" ht="15" hidden="1" customHeight="1" x14ac:dyDescent="0.25">
      <c r="B184" s="11"/>
      <c r="C184" s="12"/>
      <c r="D184" s="13"/>
      <c r="E184" s="13"/>
      <c r="F184" s="13"/>
      <c r="G184" s="13"/>
      <c r="H184" s="13"/>
      <c r="I184" s="14"/>
      <c r="J184" s="14"/>
    </row>
    <row r="185" spans="2:10" ht="15" hidden="1" customHeight="1" x14ac:dyDescent="0.25">
      <c r="B185" s="7"/>
      <c r="C185" s="8"/>
      <c r="D185" s="9"/>
      <c r="E185" s="9"/>
      <c r="F185" s="9"/>
      <c r="G185" s="9"/>
      <c r="H185" s="9"/>
      <c r="I185" s="10"/>
      <c r="J185" s="10"/>
    </row>
    <row r="186" spans="2:10" ht="15" customHeight="1" x14ac:dyDescent="0.25">
      <c r="B186" s="60"/>
      <c r="C186" s="60"/>
      <c r="D186" s="60"/>
      <c r="E186" s="60"/>
      <c r="F186" s="60"/>
      <c r="G186" s="60"/>
      <c r="H186" s="60"/>
      <c r="I186" s="61"/>
      <c r="J186" s="61"/>
    </row>
    <row r="187" spans="2:10" ht="15" customHeight="1" x14ac:dyDescent="0.25">
      <c r="B187" s="60"/>
      <c r="C187" s="60"/>
      <c r="D187" s="60"/>
      <c r="E187" s="60"/>
      <c r="F187" s="60"/>
      <c r="G187" s="60"/>
      <c r="H187" s="60"/>
      <c r="I187" s="61"/>
      <c r="J187" s="61"/>
    </row>
    <row r="188" spans="2:10" ht="15" customHeight="1" x14ac:dyDescent="0.25">
      <c r="B188" s="60"/>
      <c r="C188" s="60"/>
      <c r="D188" s="60"/>
      <c r="E188" s="60"/>
      <c r="F188" s="60"/>
      <c r="G188" s="60"/>
      <c r="H188" s="60"/>
      <c r="I188" s="61"/>
      <c r="J188" s="61"/>
    </row>
    <row r="189" spans="2:10" ht="15" customHeight="1" x14ac:dyDescent="0.25">
      <c r="B189" s="60"/>
      <c r="C189" s="60"/>
      <c r="D189" s="60"/>
      <c r="E189" s="60"/>
      <c r="F189" s="60"/>
      <c r="G189" s="60"/>
      <c r="H189" s="60"/>
      <c r="I189" s="61"/>
      <c r="J189" s="61"/>
    </row>
    <row r="190" spans="2:10" ht="15" customHeight="1" x14ac:dyDescent="0.25">
      <c r="B190" s="60"/>
      <c r="C190" s="60"/>
      <c r="D190" s="60"/>
      <c r="E190" s="60"/>
      <c r="F190" s="60"/>
      <c r="G190" s="60"/>
      <c r="H190" s="60"/>
      <c r="I190" s="61"/>
      <c r="J190" s="61"/>
    </row>
    <row r="191" spans="2:10" ht="15" customHeight="1" x14ac:dyDescent="0.25">
      <c r="B191" s="60"/>
      <c r="C191" s="60"/>
      <c r="D191" s="60"/>
      <c r="E191" s="60"/>
      <c r="F191" s="60"/>
      <c r="G191" s="60"/>
      <c r="H191" s="60"/>
      <c r="I191" s="61"/>
      <c r="J191" s="61"/>
    </row>
    <row r="192" spans="2:10" ht="15" customHeight="1" x14ac:dyDescent="0.25">
      <c r="B192" s="60"/>
      <c r="C192" s="60"/>
      <c r="D192" s="60"/>
      <c r="E192" s="60"/>
      <c r="F192" s="60"/>
      <c r="G192" s="60"/>
      <c r="H192" s="60"/>
      <c r="I192" s="61"/>
      <c r="J192" s="61"/>
    </row>
    <row r="193" spans="2:10" ht="15" customHeight="1" x14ac:dyDescent="0.25">
      <c r="B193" s="60"/>
      <c r="C193" s="60"/>
      <c r="D193" s="60"/>
      <c r="E193" s="60"/>
      <c r="F193" s="60"/>
      <c r="G193" s="60"/>
      <c r="H193" s="60"/>
      <c r="I193" s="61"/>
      <c r="J193" s="61"/>
    </row>
    <row r="194" spans="2:10" ht="15" customHeight="1" x14ac:dyDescent="0.25">
      <c r="B194" s="60"/>
      <c r="C194" s="60"/>
      <c r="D194" s="60"/>
      <c r="E194" s="60"/>
      <c r="F194" s="60"/>
      <c r="G194" s="60"/>
      <c r="H194" s="60"/>
      <c r="I194" s="61"/>
      <c r="J194" s="61"/>
    </row>
    <row r="195" spans="2:10" ht="15" customHeight="1" x14ac:dyDescent="0.25">
      <c r="B195" s="60"/>
      <c r="C195" s="60"/>
      <c r="D195" s="60"/>
      <c r="E195" s="60"/>
      <c r="F195" s="60"/>
      <c r="G195" s="60"/>
      <c r="H195" s="60"/>
      <c r="I195" s="61"/>
      <c r="J195" s="61"/>
    </row>
    <row r="196" spans="2:10" ht="15" customHeight="1" x14ac:dyDescent="0.25">
      <c r="B196" s="60"/>
      <c r="C196" s="60"/>
      <c r="D196" s="60"/>
      <c r="E196" s="60"/>
      <c r="F196" s="60"/>
      <c r="G196" s="60"/>
      <c r="H196" s="60"/>
      <c r="I196" s="61"/>
      <c r="J196" s="61"/>
    </row>
    <row r="197" spans="2:10" ht="15" customHeight="1" x14ac:dyDescent="0.25">
      <c r="B197" s="60"/>
      <c r="C197" s="60"/>
      <c r="D197" s="60"/>
      <c r="E197" s="60"/>
      <c r="F197" s="60"/>
      <c r="G197" s="60"/>
      <c r="H197" s="60"/>
      <c r="I197" s="61"/>
      <c r="J197" s="61"/>
    </row>
    <row r="198" spans="2:10" ht="15" customHeight="1" x14ac:dyDescent="0.25">
      <c r="B198" s="60"/>
      <c r="C198" s="60"/>
      <c r="D198" s="60"/>
      <c r="E198" s="60"/>
      <c r="F198" s="60"/>
      <c r="G198" s="60"/>
      <c r="H198" s="60"/>
      <c r="I198" s="61"/>
      <c r="J198" s="61"/>
    </row>
    <row r="199" spans="2:10" ht="15" customHeight="1" x14ac:dyDescent="0.25">
      <c r="B199" s="60"/>
      <c r="C199" s="60"/>
      <c r="D199" s="60"/>
      <c r="E199" s="60"/>
      <c r="F199" s="60"/>
      <c r="G199" s="60"/>
      <c r="H199" s="60"/>
      <c r="I199" s="61"/>
      <c r="J199" s="61"/>
    </row>
    <row r="200" spans="2:10" ht="15" customHeight="1" x14ac:dyDescent="0.25">
      <c r="B200" s="60"/>
      <c r="C200" s="60"/>
      <c r="D200" s="60"/>
      <c r="E200" s="60"/>
      <c r="F200" s="60"/>
      <c r="G200" s="60"/>
      <c r="H200" s="60"/>
      <c r="I200" s="61"/>
      <c r="J200" s="61"/>
    </row>
    <row r="201" spans="2:10" ht="15" customHeight="1" x14ac:dyDescent="0.25">
      <c r="B201" s="60"/>
      <c r="C201" s="60"/>
      <c r="D201" s="60"/>
      <c r="E201" s="60"/>
      <c r="F201" s="60"/>
      <c r="G201" s="60"/>
      <c r="H201" s="60"/>
      <c r="I201" s="61"/>
      <c r="J201" s="61"/>
    </row>
    <row r="202" spans="2:10" ht="15" customHeight="1" x14ac:dyDescent="0.25">
      <c r="B202" s="60"/>
      <c r="C202" s="60"/>
      <c r="D202" s="60"/>
      <c r="E202" s="60"/>
      <c r="F202" s="60"/>
      <c r="G202" s="60"/>
      <c r="H202" s="60"/>
      <c r="I202" s="61"/>
      <c r="J202" s="61"/>
    </row>
    <row r="203" spans="2:10" ht="15" customHeight="1" x14ac:dyDescent="0.25">
      <c r="B203" s="60"/>
      <c r="C203" s="60"/>
      <c r="D203" s="60"/>
      <c r="E203" s="60"/>
      <c r="F203" s="60"/>
      <c r="G203" s="60"/>
      <c r="H203" s="60"/>
      <c r="I203" s="61"/>
      <c r="J203" s="61"/>
    </row>
    <row r="204" spans="2:10" ht="15" customHeight="1" x14ac:dyDescent="0.25">
      <c r="B204" s="60"/>
      <c r="C204" s="60"/>
      <c r="D204" s="60"/>
      <c r="E204" s="60"/>
      <c r="F204" s="60"/>
      <c r="G204" s="60"/>
      <c r="H204" s="60"/>
      <c r="I204" s="61"/>
      <c r="J204" s="61"/>
    </row>
    <row r="205" spans="2:10" ht="15" customHeight="1" x14ac:dyDescent="0.25">
      <c r="B205" s="60"/>
      <c r="C205" s="60"/>
      <c r="D205" s="60"/>
      <c r="E205" s="60"/>
      <c r="F205" s="60"/>
      <c r="G205" s="60"/>
      <c r="H205" s="60"/>
      <c r="I205" s="61"/>
      <c r="J205" s="61"/>
    </row>
    <row r="206" spans="2:10" ht="15" customHeight="1" x14ac:dyDescent="0.25">
      <c r="B206" s="60"/>
      <c r="C206" s="60"/>
      <c r="D206" s="60"/>
      <c r="E206" s="60"/>
      <c r="F206" s="60"/>
      <c r="G206" s="60"/>
      <c r="H206" s="60"/>
      <c r="I206" s="61"/>
      <c r="J206" s="61"/>
    </row>
    <row r="207" spans="2:10" ht="15" customHeight="1" x14ac:dyDescent="0.25">
      <c r="B207" s="60"/>
      <c r="C207" s="60"/>
      <c r="D207" s="60"/>
      <c r="E207" s="60"/>
      <c r="F207" s="60"/>
      <c r="G207" s="60"/>
      <c r="H207" s="60"/>
      <c r="I207" s="61"/>
      <c r="J207" s="61"/>
    </row>
    <row r="208" spans="2:10" ht="15" customHeight="1" x14ac:dyDescent="0.25">
      <c r="B208" s="60"/>
      <c r="C208" s="60"/>
      <c r="D208" s="60"/>
      <c r="E208" s="60"/>
      <c r="F208" s="60"/>
      <c r="G208" s="60"/>
      <c r="H208" s="60"/>
      <c r="I208" s="61"/>
      <c r="J208" s="61"/>
    </row>
    <row r="209" spans="2:10" ht="15" customHeight="1" x14ac:dyDescent="0.25">
      <c r="B209" s="60"/>
      <c r="C209" s="60"/>
      <c r="D209" s="60"/>
      <c r="E209" s="60"/>
      <c r="F209" s="60"/>
      <c r="G209" s="60"/>
      <c r="H209" s="60"/>
      <c r="I209" s="61"/>
      <c r="J209" s="61"/>
    </row>
    <row r="210" spans="2:10" ht="15" customHeight="1" x14ac:dyDescent="0.25">
      <c r="B210" s="60"/>
      <c r="C210" s="60"/>
      <c r="D210" s="60"/>
      <c r="E210" s="60"/>
      <c r="F210" s="60"/>
      <c r="G210" s="60"/>
      <c r="H210" s="60"/>
      <c r="I210" s="61"/>
      <c r="J210" s="61"/>
    </row>
    <row r="211" spans="2:10" ht="15" customHeight="1" x14ac:dyDescent="0.25">
      <c r="B211" s="60"/>
      <c r="C211" s="60"/>
      <c r="D211" s="60"/>
      <c r="E211" s="60"/>
      <c r="F211" s="60"/>
      <c r="G211" s="60"/>
      <c r="H211" s="60"/>
      <c r="I211" s="61"/>
      <c r="J211" s="61"/>
    </row>
    <row r="212" spans="2:10" ht="15" customHeight="1" x14ac:dyDescent="0.25">
      <c r="B212" s="60"/>
      <c r="C212" s="60"/>
      <c r="D212" s="60"/>
      <c r="E212" s="60"/>
      <c r="F212" s="60"/>
      <c r="G212" s="60"/>
      <c r="H212" s="60"/>
      <c r="I212" s="61"/>
      <c r="J212" s="61"/>
    </row>
    <row r="213" spans="2:10" ht="15" customHeight="1" x14ac:dyDescent="0.25">
      <c r="B213" s="60"/>
      <c r="C213" s="60"/>
      <c r="D213" s="60"/>
      <c r="E213" s="60"/>
      <c r="F213" s="60"/>
      <c r="G213" s="60"/>
      <c r="H213" s="60"/>
      <c r="I213" s="61"/>
      <c r="J213" s="61"/>
    </row>
    <row r="214" spans="2:10" ht="15" customHeight="1" x14ac:dyDescent="0.25">
      <c r="B214" s="60"/>
      <c r="C214" s="60"/>
      <c r="D214" s="60"/>
      <c r="E214" s="60"/>
      <c r="F214" s="60"/>
      <c r="G214" s="60"/>
      <c r="H214" s="60"/>
      <c r="I214" s="61"/>
      <c r="J214" s="61"/>
    </row>
    <row r="215" spans="2:10" ht="15" customHeight="1" x14ac:dyDescent="0.25">
      <c r="B215" s="60"/>
      <c r="C215" s="60"/>
      <c r="D215" s="60"/>
      <c r="E215" s="60"/>
      <c r="F215" s="60"/>
      <c r="G215" s="60"/>
      <c r="H215" s="60"/>
      <c r="I215" s="61"/>
      <c r="J215" s="61"/>
    </row>
    <row r="216" spans="2:10" ht="15" customHeight="1" x14ac:dyDescent="0.25">
      <c r="B216" s="60"/>
      <c r="C216" s="60"/>
      <c r="D216" s="60"/>
      <c r="E216" s="60"/>
      <c r="F216" s="60"/>
      <c r="G216" s="60"/>
      <c r="H216" s="60"/>
      <c r="I216" s="61"/>
      <c r="J216" s="61"/>
    </row>
    <row r="217" spans="2:10" ht="15" customHeight="1" x14ac:dyDescent="0.25">
      <c r="B217" s="60"/>
      <c r="C217" s="60"/>
      <c r="D217" s="60"/>
      <c r="E217" s="60"/>
      <c r="F217" s="60"/>
      <c r="G217" s="60"/>
      <c r="H217" s="60"/>
      <c r="I217" s="61"/>
      <c r="J217" s="61"/>
    </row>
    <row r="218" spans="2:10" ht="15" customHeight="1" x14ac:dyDescent="0.25">
      <c r="B218" s="60"/>
      <c r="C218" s="60"/>
      <c r="D218" s="60"/>
      <c r="E218" s="60"/>
      <c r="F218" s="60"/>
      <c r="G218" s="60"/>
      <c r="H218" s="60"/>
      <c r="I218" s="61"/>
      <c r="J218" s="61"/>
    </row>
    <row r="219" spans="2:10" ht="15" customHeight="1" x14ac:dyDescent="0.25">
      <c r="B219" s="60"/>
      <c r="C219" s="60"/>
      <c r="D219" s="60"/>
      <c r="E219" s="60"/>
      <c r="F219" s="60"/>
      <c r="G219" s="60"/>
      <c r="H219" s="60"/>
      <c r="I219" s="61"/>
      <c r="J219" s="61"/>
    </row>
    <row r="220" spans="2:10" ht="15" customHeight="1" x14ac:dyDescent="0.25">
      <c r="B220" s="60"/>
      <c r="C220" s="60"/>
      <c r="D220" s="60"/>
      <c r="E220" s="60"/>
      <c r="F220" s="60"/>
      <c r="G220" s="60"/>
      <c r="H220" s="60"/>
      <c r="I220" s="61"/>
      <c r="J220" s="61"/>
    </row>
    <row r="221" spans="2:10" ht="15" customHeight="1" x14ac:dyDescent="0.25">
      <c r="B221" s="60"/>
      <c r="C221" s="60"/>
      <c r="D221" s="60"/>
      <c r="E221" s="60"/>
      <c r="F221" s="60"/>
      <c r="G221" s="60"/>
      <c r="H221" s="60"/>
      <c r="I221" s="61"/>
      <c r="J221" s="61"/>
    </row>
    <row r="222" spans="2:10" ht="15" customHeight="1" x14ac:dyDescent="0.25">
      <c r="B222" s="60"/>
      <c r="C222" s="60"/>
      <c r="D222" s="60"/>
      <c r="E222" s="60"/>
      <c r="F222" s="60"/>
      <c r="G222" s="60"/>
      <c r="H222" s="60"/>
      <c r="I222" s="61"/>
      <c r="J222" s="61"/>
    </row>
    <row r="223" spans="2:10" ht="15" customHeight="1" x14ac:dyDescent="0.25">
      <c r="B223" s="60"/>
      <c r="C223" s="60"/>
      <c r="D223" s="60"/>
      <c r="E223" s="60"/>
      <c r="F223" s="60"/>
      <c r="G223" s="60"/>
      <c r="H223" s="60"/>
      <c r="I223" s="61"/>
      <c r="J223" s="61"/>
    </row>
    <row r="224" spans="2:10" ht="15" customHeight="1" x14ac:dyDescent="0.25">
      <c r="B224" s="60"/>
      <c r="C224" s="60"/>
      <c r="D224" s="60"/>
      <c r="E224" s="60"/>
      <c r="F224" s="60"/>
      <c r="G224" s="60"/>
      <c r="H224" s="60"/>
      <c r="I224" s="61"/>
      <c r="J224" s="61"/>
    </row>
    <row r="225" spans="2:10" ht="15" customHeight="1" x14ac:dyDescent="0.25">
      <c r="B225" s="60"/>
      <c r="C225" s="60"/>
      <c r="D225" s="60"/>
      <c r="E225" s="60"/>
      <c r="F225" s="60"/>
      <c r="G225" s="60"/>
      <c r="H225" s="60"/>
      <c r="I225" s="61"/>
      <c r="J225" s="61"/>
    </row>
    <row r="226" spans="2:10" x14ac:dyDescent="0.25">
      <c r="B226" s="62"/>
      <c r="C226" s="62"/>
      <c r="D226" s="62"/>
      <c r="E226" s="62"/>
      <c r="F226" s="62"/>
      <c r="G226" s="62"/>
      <c r="H226" s="62"/>
      <c r="I226" s="62"/>
      <c r="J226" s="62"/>
    </row>
  </sheetData>
  <autoFilter ref="B5:J185" xr:uid="{00000000-0009-0000-0000-000002000000}">
    <filterColumn colId="1">
      <filters>
        <filter val="2023"/>
      </filters>
    </filterColumn>
  </autoFilter>
  <mergeCells count="2">
    <mergeCell ref="B2:J2"/>
    <mergeCell ref="B3:J3"/>
  </mergeCells>
  <dataValidations count="5">
    <dataValidation type="list" allowBlank="1" sqref="D6:D605" xr:uid="{00000000-0002-0000-0200-000000000000}">
      <formula1>"Enero,Febrero,Marzo,Abril,Mayo,Junio,Julio,Agosto,Septiembre,Octubre,Noviembre,Diciembre"</formula1>
      <formula2>0</formula2>
    </dataValidation>
    <dataValidation type="list" allowBlank="1" showErrorMessage="1" errorTitle="Valor no válido" error="Elige un valor de la lista (defínelo en la hoja Configuración)." prompt="Selecciona de la lista" sqref="E6:E605" xr:uid="{00000000-0002-0000-0200-000001000000}">
      <formula1>LISTA_PRODUCTOS</formula1>
      <formula2>0</formula2>
    </dataValidation>
    <dataValidation type="list" allowBlank="1" showErrorMessage="1" errorTitle="Valor no válido" error="Elige un valor de la lista (defínelo en la hoja Configuración)." prompt="Selecciona de la lista" sqref="F6:F605" xr:uid="{00000000-0002-0000-0200-000002000000}">
      <formula1>LISTA_REGIONES</formula1>
      <formula2>0</formula2>
    </dataValidation>
    <dataValidation type="list" allowBlank="1" showErrorMessage="1" errorTitle="Valor no válido" error="Elige un valor de la lista (defínelo en la hoja Configuración)." prompt="Selecciona de la lista" sqref="G6:G605" xr:uid="{00000000-0002-0000-0200-000003000000}">
      <formula1>LISTA_VENDEDORES</formula1>
      <formula2>0</formula2>
    </dataValidation>
    <dataValidation type="list" allowBlank="1" showErrorMessage="1" errorTitle="Valor no válido" error="Elige un valor de la lista (defínelo en la hoja Configuración)." prompt="Selecciona de la lista" sqref="H6:H605" xr:uid="{00000000-0002-0000-0200-000004000000}">
      <formula1>LISTA_CATVENTA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84C"/>
  </sheetPr>
  <dimension ref="B2:H251"/>
  <sheetViews>
    <sheetView zoomScaleNormal="100" workbookViewId="0">
      <selection activeCell="F31" sqref="F31"/>
    </sheetView>
  </sheetViews>
  <sheetFormatPr baseColWidth="10" defaultColWidth="8.5703125" defaultRowHeight="15" x14ac:dyDescent="0.25"/>
  <cols>
    <col min="1" max="1" width="3" customWidth="1"/>
    <col min="2" max="2" width="12" customWidth="1"/>
    <col min="3" max="3" width="8" customWidth="1"/>
    <col min="4" max="4" width="14" customWidth="1"/>
    <col min="5" max="5" width="22" customWidth="1"/>
    <col min="6" max="6" width="24" customWidth="1"/>
    <col min="7" max="7" width="16" customWidth="1"/>
    <col min="8" max="8" width="28" customWidth="1"/>
  </cols>
  <sheetData>
    <row r="2" spans="2:8" ht="23.25" customHeight="1" x14ac:dyDescent="0.25">
      <c r="B2" s="47" t="s">
        <v>71</v>
      </c>
      <c r="C2" s="47"/>
      <c r="D2" s="47"/>
      <c r="E2" s="47"/>
      <c r="F2" s="47"/>
      <c r="G2" s="47"/>
      <c r="H2" s="47"/>
    </row>
    <row r="3" spans="2:8" ht="15" customHeight="1" x14ac:dyDescent="0.25">
      <c r="B3" s="70" t="s">
        <v>72</v>
      </c>
      <c r="C3" s="70"/>
      <c r="D3" s="70"/>
      <c r="E3" s="70"/>
      <c r="F3" s="70"/>
      <c r="G3" s="70"/>
      <c r="H3" s="70"/>
    </row>
    <row r="5" spans="2:8" ht="18" customHeight="1" x14ac:dyDescent="0.25">
      <c r="B5" s="39" t="s">
        <v>59</v>
      </c>
      <c r="C5" s="39" t="s">
        <v>60</v>
      </c>
      <c r="D5" s="39" t="s">
        <v>61</v>
      </c>
      <c r="E5" s="39" t="s">
        <v>65</v>
      </c>
      <c r="F5" s="39" t="s">
        <v>73</v>
      </c>
      <c r="G5" s="39" t="s">
        <v>74</v>
      </c>
      <c r="H5" s="39" t="s">
        <v>75</v>
      </c>
    </row>
    <row r="6" spans="2:8" ht="15" customHeight="1" x14ac:dyDescent="0.25">
      <c r="B6" s="48">
        <v>44931</v>
      </c>
      <c r="C6" s="49">
        <v>2023</v>
      </c>
      <c r="D6" s="50" t="s">
        <v>68</v>
      </c>
      <c r="E6" s="50" t="s">
        <v>34</v>
      </c>
      <c r="F6" s="50" t="s">
        <v>76</v>
      </c>
      <c r="G6" s="51">
        <v>318400</v>
      </c>
      <c r="H6" s="50" t="s">
        <v>77</v>
      </c>
    </row>
    <row r="7" spans="2:8" ht="15" customHeight="1" x14ac:dyDescent="0.25">
      <c r="B7" s="48">
        <v>44962</v>
      </c>
      <c r="C7" s="49">
        <v>2023</v>
      </c>
      <c r="D7" s="50" t="s">
        <v>69</v>
      </c>
      <c r="E7" s="50" t="s">
        <v>39</v>
      </c>
      <c r="F7" s="50" t="s">
        <v>78</v>
      </c>
      <c r="G7" s="51">
        <v>358400</v>
      </c>
      <c r="H7" s="50" t="s">
        <v>77</v>
      </c>
    </row>
    <row r="8" spans="2:8" ht="15" customHeight="1" x14ac:dyDescent="0.25">
      <c r="B8" s="48">
        <v>44990</v>
      </c>
      <c r="C8" s="49">
        <v>2023</v>
      </c>
      <c r="D8" s="50" t="s">
        <v>70</v>
      </c>
      <c r="E8" s="50" t="s">
        <v>49</v>
      </c>
      <c r="F8" s="50" t="s">
        <v>79</v>
      </c>
      <c r="G8" s="51">
        <v>398400</v>
      </c>
      <c r="H8" s="50" t="s">
        <v>77</v>
      </c>
    </row>
    <row r="9" spans="2:8" ht="15" customHeight="1" x14ac:dyDescent="0.25">
      <c r="B9" s="48">
        <v>45296</v>
      </c>
      <c r="C9" s="49">
        <v>2024</v>
      </c>
      <c r="D9" s="50" t="s">
        <v>68</v>
      </c>
      <c r="E9" s="50" t="s">
        <v>34</v>
      </c>
      <c r="F9" s="50" t="s">
        <v>76</v>
      </c>
      <c r="G9" s="51">
        <v>319200</v>
      </c>
      <c r="H9" s="50" t="s">
        <v>77</v>
      </c>
    </row>
    <row r="10" spans="2:8" ht="15" customHeight="1" x14ac:dyDescent="0.25">
      <c r="B10" s="48">
        <v>45327</v>
      </c>
      <c r="C10" s="49">
        <v>2024</v>
      </c>
      <c r="D10" s="50" t="s">
        <v>69</v>
      </c>
      <c r="E10" s="50" t="s">
        <v>39</v>
      </c>
      <c r="F10" s="50" t="s">
        <v>78</v>
      </c>
      <c r="G10" s="51">
        <v>359200</v>
      </c>
      <c r="H10" s="50" t="s">
        <v>77</v>
      </c>
    </row>
    <row r="11" spans="2:8" ht="15" customHeight="1" x14ac:dyDescent="0.25">
      <c r="B11" s="48">
        <v>45356</v>
      </c>
      <c r="C11" s="49">
        <v>2024</v>
      </c>
      <c r="D11" s="50" t="s">
        <v>70</v>
      </c>
      <c r="E11" s="50" t="s">
        <v>49</v>
      </c>
      <c r="F11" s="50" t="s">
        <v>79</v>
      </c>
      <c r="G11" s="51">
        <v>399200</v>
      </c>
      <c r="H11" s="50" t="s">
        <v>77</v>
      </c>
    </row>
    <row r="12" spans="2:8" ht="15" customHeight="1" x14ac:dyDescent="0.25">
      <c r="B12" s="48">
        <v>45662</v>
      </c>
      <c r="C12" s="49">
        <v>2025</v>
      </c>
      <c r="D12" s="50" t="s">
        <v>68</v>
      </c>
      <c r="E12" s="50" t="s">
        <v>34</v>
      </c>
      <c r="F12" s="50" t="s">
        <v>76</v>
      </c>
      <c r="G12" s="51">
        <v>320000</v>
      </c>
      <c r="H12" s="50" t="s">
        <v>77</v>
      </c>
    </row>
    <row r="13" spans="2:8" ht="15" customHeight="1" x14ac:dyDescent="0.25">
      <c r="B13" s="48">
        <v>45693</v>
      </c>
      <c r="C13" s="49">
        <v>2025</v>
      </c>
      <c r="D13" s="50" t="s">
        <v>69</v>
      </c>
      <c r="E13" s="50" t="s">
        <v>39</v>
      </c>
      <c r="F13" s="50" t="s">
        <v>78</v>
      </c>
      <c r="G13" s="51">
        <v>360000</v>
      </c>
      <c r="H13" s="50" t="s">
        <v>77</v>
      </c>
    </row>
    <row r="14" spans="2:8" ht="15" customHeight="1" x14ac:dyDescent="0.25">
      <c r="B14" s="48">
        <v>45721</v>
      </c>
      <c r="C14" s="49">
        <v>2025</v>
      </c>
      <c r="D14" s="50" t="s">
        <v>70</v>
      </c>
      <c r="E14" s="50" t="s">
        <v>49</v>
      </c>
      <c r="F14" s="50" t="s">
        <v>79</v>
      </c>
      <c r="G14" s="51">
        <v>400000</v>
      </c>
      <c r="H14" s="50" t="s">
        <v>77</v>
      </c>
    </row>
    <row r="15" spans="2:8" ht="15" customHeight="1" x14ac:dyDescent="0.25">
      <c r="B15" s="63"/>
      <c r="C15" s="64"/>
      <c r="D15" s="65"/>
      <c r="E15" s="65"/>
      <c r="F15" s="65"/>
      <c r="G15" s="66"/>
      <c r="H15" s="65"/>
    </row>
    <row r="16" spans="2:8" ht="15" customHeight="1" x14ac:dyDescent="0.25">
      <c r="B16" s="67"/>
      <c r="C16" s="49"/>
      <c r="D16" s="50"/>
      <c r="E16" s="50"/>
      <c r="F16" s="50"/>
      <c r="G16" s="51"/>
      <c r="H16" s="50"/>
    </row>
    <row r="17" spans="2:8" ht="15" customHeight="1" x14ac:dyDescent="0.25">
      <c r="B17" s="63"/>
      <c r="C17" s="64"/>
      <c r="D17" s="65"/>
      <c r="E17" s="65"/>
      <c r="F17" s="65"/>
      <c r="G17" s="66"/>
      <c r="H17" s="65"/>
    </row>
    <row r="18" spans="2:8" ht="15" customHeight="1" x14ac:dyDescent="0.25">
      <c r="B18" s="67"/>
      <c r="C18" s="49"/>
      <c r="D18" s="50"/>
      <c r="E18" s="50"/>
      <c r="F18" s="50"/>
      <c r="G18" s="51"/>
      <c r="H18" s="50"/>
    </row>
    <row r="19" spans="2:8" ht="15" customHeight="1" x14ac:dyDescent="0.25">
      <c r="B19" s="63"/>
      <c r="C19" s="64"/>
      <c r="D19" s="65"/>
      <c r="E19" s="65"/>
      <c r="F19" s="65"/>
      <c r="G19" s="66"/>
      <c r="H19" s="65"/>
    </row>
    <row r="20" spans="2:8" ht="15" customHeight="1" x14ac:dyDescent="0.25">
      <c r="B20" s="67"/>
      <c r="C20" s="49"/>
      <c r="D20" s="50"/>
      <c r="E20" s="50"/>
      <c r="F20" s="50"/>
      <c r="G20" s="51"/>
      <c r="H20" s="50"/>
    </row>
    <row r="21" spans="2:8" ht="15" customHeight="1" x14ac:dyDescent="0.25">
      <c r="B21" s="63"/>
      <c r="C21" s="64"/>
      <c r="D21" s="65"/>
      <c r="E21" s="65"/>
      <c r="F21" s="65"/>
      <c r="G21" s="66"/>
      <c r="H21" s="65"/>
    </row>
    <row r="22" spans="2:8" ht="15" customHeight="1" x14ac:dyDescent="0.25">
      <c r="B22" s="67"/>
      <c r="C22" s="49"/>
      <c r="D22" s="50"/>
      <c r="E22" s="50"/>
      <c r="F22" s="50"/>
      <c r="G22" s="51"/>
      <c r="H22" s="50"/>
    </row>
    <row r="23" spans="2:8" ht="15" customHeight="1" x14ac:dyDescent="0.25">
      <c r="B23" s="63"/>
      <c r="C23" s="64"/>
      <c r="D23" s="65"/>
      <c r="E23" s="65"/>
      <c r="F23" s="65"/>
      <c r="G23" s="66"/>
      <c r="H23" s="65"/>
    </row>
    <row r="24" spans="2:8" ht="15" customHeight="1" x14ac:dyDescent="0.25">
      <c r="B24" s="67"/>
      <c r="C24" s="49"/>
      <c r="D24" s="50"/>
      <c r="E24" s="50"/>
      <c r="F24" s="50"/>
      <c r="G24" s="51"/>
      <c r="H24" s="50"/>
    </row>
    <row r="25" spans="2:8" ht="15" customHeight="1" x14ac:dyDescent="0.25">
      <c r="B25" s="63"/>
      <c r="C25" s="64"/>
      <c r="D25" s="65"/>
      <c r="E25" s="65"/>
      <c r="F25" s="65"/>
      <c r="G25" s="66"/>
      <c r="H25" s="65"/>
    </row>
    <row r="26" spans="2:8" ht="15" customHeight="1" x14ac:dyDescent="0.25">
      <c r="B26" s="67"/>
      <c r="C26" s="49"/>
      <c r="D26" s="50"/>
      <c r="E26" s="50"/>
      <c r="F26" s="50"/>
      <c r="G26" s="51"/>
      <c r="H26" s="50"/>
    </row>
    <row r="27" spans="2:8" ht="15" customHeight="1" x14ac:dyDescent="0.25">
      <c r="B27" s="63"/>
      <c r="C27" s="64"/>
      <c r="D27" s="65"/>
      <c r="E27" s="65"/>
      <c r="F27" s="65"/>
      <c r="G27" s="66"/>
      <c r="H27" s="65"/>
    </row>
    <row r="28" spans="2:8" ht="15" customHeight="1" x14ac:dyDescent="0.25">
      <c r="B28" s="67"/>
      <c r="C28" s="49"/>
      <c r="D28" s="50"/>
      <c r="E28" s="50"/>
      <c r="F28" s="50"/>
      <c r="G28" s="51"/>
      <c r="H28" s="50"/>
    </row>
    <row r="29" spans="2:8" ht="15" customHeight="1" x14ac:dyDescent="0.25">
      <c r="B29" s="63"/>
      <c r="C29" s="64"/>
      <c r="D29" s="65"/>
      <c r="E29" s="65"/>
      <c r="F29" s="65"/>
      <c r="G29" s="66"/>
      <c r="H29" s="65"/>
    </row>
    <row r="30" spans="2:8" ht="15" customHeight="1" x14ac:dyDescent="0.25">
      <c r="B30" s="67"/>
      <c r="C30" s="49"/>
      <c r="D30" s="50"/>
      <c r="E30" s="50"/>
      <c r="F30" s="50"/>
      <c r="G30" s="51"/>
      <c r="H30" s="50"/>
    </row>
    <row r="31" spans="2:8" ht="15" customHeight="1" x14ac:dyDescent="0.25">
      <c r="B31" s="63"/>
      <c r="C31" s="64"/>
      <c r="D31" s="65"/>
      <c r="E31" s="65"/>
      <c r="F31" s="65"/>
      <c r="G31" s="66"/>
      <c r="H31" s="65"/>
    </row>
    <row r="32" spans="2:8" ht="15" customHeight="1" x14ac:dyDescent="0.25">
      <c r="B32" s="67"/>
      <c r="C32" s="49"/>
      <c r="D32" s="50"/>
      <c r="E32" s="50"/>
      <c r="F32" s="50"/>
      <c r="G32" s="51"/>
      <c r="H32" s="50"/>
    </row>
    <row r="33" spans="2:8" ht="15" customHeight="1" x14ac:dyDescent="0.25">
      <c r="B33" s="63"/>
      <c r="C33" s="64"/>
      <c r="D33" s="65"/>
      <c r="E33" s="65"/>
      <c r="F33" s="65"/>
      <c r="G33" s="66"/>
      <c r="H33" s="65"/>
    </row>
    <row r="34" spans="2:8" ht="15" customHeight="1" x14ac:dyDescent="0.25">
      <c r="B34" s="67"/>
      <c r="C34" s="49"/>
      <c r="D34" s="50"/>
      <c r="E34" s="50"/>
      <c r="F34" s="50"/>
      <c r="G34" s="51"/>
      <c r="H34" s="50"/>
    </row>
    <row r="35" spans="2:8" ht="15" customHeight="1" x14ac:dyDescent="0.25">
      <c r="B35" s="63"/>
      <c r="C35" s="64"/>
      <c r="D35" s="65"/>
      <c r="E35" s="65"/>
      <c r="F35" s="65"/>
      <c r="G35" s="66"/>
      <c r="H35" s="65"/>
    </row>
    <row r="36" spans="2:8" ht="15" customHeight="1" x14ac:dyDescent="0.25">
      <c r="B36" s="67"/>
      <c r="C36" s="49"/>
      <c r="D36" s="50"/>
      <c r="E36" s="50"/>
      <c r="F36" s="50"/>
      <c r="G36" s="51"/>
      <c r="H36" s="50"/>
    </row>
    <row r="37" spans="2:8" ht="15" customHeight="1" x14ac:dyDescent="0.25">
      <c r="B37" s="63"/>
      <c r="C37" s="64"/>
      <c r="D37" s="65"/>
      <c r="E37" s="65"/>
      <c r="F37" s="65"/>
      <c r="G37" s="66"/>
      <c r="H37" s="65"/>
    </row>
    <row r="38" spans="2:8" ht="15" customHeight="1" x14ac:dyDescent="0.25">
      <c r="B38" s="67"/>
      <c r="C38" s="49"/>
      <c r="D38" s="50"/>
      <c r="E38" s="50"/>
      <c r="F38" s="50"/>
      <c r="G38" s="51"/>
      <c r="H38" s="50"/>
    </row>
    <row r="39" spans="2:8" ht="15" customHeight="1" x14ac:dyDescent="0.25">
      <c r="B39" s="63"/>
      <c r="C39" s="64"/>
      <c r="D39" s="65"/>
      <c r="E39" s="65"/>
      <c r="F39" s="65"/>
      <c r="G39" s="66"/>
      <c r="H39" s="65"/>
    </row>
    <row r="40" spans="2:8" ht="15" customHeight="1" x14ac:dyDescent="0.25">
      <c r="B40" s="67"/>
      <c r="C40" s="49"/>
      <c r="D40" s="50"/>
      <c r="E40" s="50"/>
      <c r="F40" s="50"/>
      <c r="G40" s="51"/>
      <c r="H40" s="50"/>
    </row>
    <row r="41" spans="2:8" ht="15" customHeight="1" x14ac:dyDescent="0.25">
      <c r="B41" s="63"/>
      <c r="C41" s="64"/>
      <c r="D41" s="65"/>
      <c r="E41" s="65"/>
      <c r="F41" s="65"/>
      <c r="G41" s="66"/>
      <c r="H41" s="65"/>
    </row>
    <row r="42" spans="2:8" ht="15" customHeight="1" x14ac:dyDescent="0.25">
      <c r="B42" s="67"/>
      <c r="C42" s="49"/>
      <c r="D42" s="50"/>
      <c r="E42" s="50"/>
      <c r="F42" s="50"/>
      <c r="G42" s="51"/>
      <c r="H42" s="50"/>
    </row>
    <row r="43" spans="2:8" ht="15" customHeight="1" x14ac:dyDescent="0.25">
      <c r="B43" s="63"/>
      <c r="C43" s="64"/>
      <c r="D43" s="65"/>
      <c r="E43" s="65"/>
      <c r="F43" s="65"/>
      <c r="G43" s="66"/>
      <c r="H43" s="65"/>
    </row>
    <row r="44" spans="2:8" ht="15" customHeight="1" x14ac:dyDescent="0.25">
      <c r="B44" s="67"/>
      <c r="C44" s="49"/>
      <c r="D44" s="50"/>
      <c r="E44" s="50"/>
      <c r="F44" s="50"/>
      <c r="G44" s="51"/>
      <c r="H44" s="50"/>
    </row>
    <row r="45" spans="2:8" ht="15" customHeight="1" x14ac:dyDescent="0.25">
      <c r="B45" s="63"/>
      <c r="C45" s="64"/>
      <c r="D45" s="65"/>
      <c r="E45" s="65"/>
      <c r="F45" s="65"/>
      <c r="G45" s="66"/>
      <c r="H45" s="65"/>
    </row>
    <row r="46" spans="2:8" ht="15" customHeight="1" x14ac:dyDescent="0.25">
      <c r="B46" s="67"/>
      <c r="C46" s="49"/>
      <c r="D46" s="50"/>
      <c r="E46" s="50"/>
      <c r="F46" s="50"/>
      <c r="G46" s="51"/>
      <c r="H46" s="50"/>
    </row>
    <row r="47" spans="2:8" ht="15" customHeight="1" x14ac:dyDescent="0.25">
      <c r="B47" s="63"/>
      <c r="C47" s="64"/>
      <c r="D47" s="65"/>
      <c r="E47" s="65"/>
      <c r="F47" s="65"/>
      <c r="G47" s="66"/>
      <c r="H47" s="65"/>
    </row>
    <row r="48" spans="2:8" ht="15" customHeight="1" x14ac:dyDescent="0.25">
      <c r="B48" s="67"/>
      <c r="C48" s="49"/>
      <c r="D48" s="50"/>
      <c r="E48" s="50"/>
      <c r="F48" s="50"/>
      <c r="G48" s="51"/>
      <c r="H48" s="50"/>
    </row>
    <row r="49" spans="2:8" ht="15" customHeight="1" x14ac:dyDescent="0.25">
      <c r="B49" s="63"/>
      <c r="C49" s="64"/>
      <c r="D49" s="65"/>
      <c r="E49" s="65"/>
      <c r="F49" s="65"/>
      <c r="G49" s="66"/>
      <c r="H49" s="65"/>
    </row>
    <row r="50" spans="2:8" ht="15" customHeight="1" x14ac:dyDescent="0.25">
      <c r="B50" s="67"/>
      <c r="C50" s="49"/>
      <c r="D50" s="50"/>
      <c r="E50" s="50"/>
      <c r="F50" s="50"/>
      <c r="G50" s="51"/>
      <c r="H50" s="50"/>
    </row>
    <row r="51" spans="2:8" ht="15" customHeight="1" x14ac:dyDescent="0.25">
      <c r="B51" s="63"/>
      <c r="C51" s="64"/>
      <c r="D51" s="65"/>
      <c r="E51" s="65"/>
      <c r="F51" s="65"/>
      <c r="G51" s="66"/>
      <c r="H51" s="65"/>
    </row>
    <row r="52" spans="2:8" ht="15" customHeight="1" x14ac:dyDescent="0.25">
      <c r="B52" s="67"/>
      <c r="C52" s="49"/>
      <c r="D52" s="50"/>
      <c r="E52" s="50"/>
      <c r="F52" s="50"/>
      <c r="G52" s="51"/>
      <c r="H52" s="50"/>
    </row>
    <row r="53" spans="2:8" ht="15" customHeight="1" x14ac:dyDescent="0.25">
      <c r="B53" s="63"/>
      <c r="C53" s="64"/>
      <c r="D53" s="65"/>
      <c r="E53" s="65"/>
      <c r="F53" s="65"/>
      <c r="G53" s="66"/>
      <c r="H53" s="65"/>
    </row>
    <row r="54" spans="2:8" ht="15" customHeight="1" x14ac:dyDescent="0.25">
      <c r="B54" s="67"/>
      <c r="C54" s="49"/>
      <c r="D54" s="50"/>
      <c r="E54" s="50"/>
      <c r="F54" s="50"/>
      <c r="G54" s="51"/>
      <c r="H54" s="50"/>
    </row>
    <row r="55" spans="2:8" ht="15" customHeight="1" x14ac:dyDescent="0.25">
      <c r="B55" s="63"/>
      <c r="C55" s="64"/>
      <c r="D55" s="65"/>
      <c r="E55" s="65"/>
      <c r="F55" s="65"/>
      <c r="G55" s="66"/>
      <c r="H55" s="65"/>
    </row>
    <row r="56" spans="2:8" ht="15" customHeight="1" x14ac:dyDescent="0.25">
      <c r="B56" s="67"/>
      <c r="C56" s="49"/>
      <c r="D56" s="50"/>
      <c r="E56" s="50"/>
      <c r="F56" s="50"/>
      <c r="G56" s="51"/>
      <c r="H56" s="50"/>
    </row>
    <row r="57" spans="2:8" ht="15" customHeight="1" x14ac:dyDescent="0.25">
      <c r="B57" s="63"/>
      <c r="C57" s="64"/>
      <c r="D57" s="65"/>
      <c r="E57" s="65"/>
      <c r="F57" s="65"/>
      <c r="G57" s="66"/>
      <c r="H57" s="65"/>
    </row>
    <row r="58" spans="2:8" ht="15" customHeight="1" x14ac:dyDescent="0.25">
      <c r="B58" s="67"/>
      <c r="C58" s="49"/>
      <c r="D58" s="50"/>
      <c r="E58" s="50"/>
      <c r="F58" s="50"/>
      <c r="G58" s="51"/>
      <c r="H58" s="50"/>
    </row>
    <row r="59" spans="2:8" ht="15" customHeight="1" x14ac:dyDescent="0.25">
      <c r="B59" s="63"/>
      <c r="C59" s="64"/>
      <c r="D59" s="65"/>
      <c r="E59" s="65"/>
      <c r="F59" s="65"/>
      <c r="G59" s="66"/>
      <c r="H59" s="65"/>
    </row>
    <row r="60" spans="2:8" ht="15" customHeight="1" x14ac:dyDescent="0.25">
      <c r="B60" s="67"/>
      <c r="C60" s="49"/>
      <c r="D60" s="50"/>
      <c r="E60" s="50"/>
      <c r="F60" s="50"/>
      <c r="G60" s="51"/>
      <c r="H60" s="50"/>
    </row>
    <row r="61" spans="2:8" ht="15" customHeight="1" x14ac:dyDescent="0.25">
      <c r="B61" s="63"/>
      <c r="C61" s="64"/>
      <c r="D61" s="65"/>
      <c r="E61" s="65"/>
      <c r="F61" s="65"/>
      <c r="G61" s="66"/>
      <c r="H61" s="65"/>
    </row>
    <row r="62" spans="2:8" ht="15" customHeight="1" x14ac:dyDescent="0.25">
      <c r="B62" s="67"/>
      <c r="C62" s="49"/>
      <c r="D62" s="50"/>
      <c r="E62" s="50"/>
      <c r="F62" s="50"/>
      <c r="G62" s="51"/>
      <c r="H62" s="50"/>
    </row>
    <row r="63" spans="2:8" ht="15" customHeight="1" x14ac:dyDescent="0.25">
      <c r="B63" s="63"/>
      <c r="C63" s="64"/>
      <c r="D63" s="65"/>
      <c r="E63" s="65"/>
      <c r="F63" s="65"/>
      <c r="G63" s="66"/>
      <c r="H63" s="65"/>
    </row>
    <row r="64" spans="2:8" ht="15" customHeight="1" x14ac:dyDescent="0.25">
      <c r="B64" s="67"/>
      <c r="C64" s="49"/>
      <c r="D64" s="50"/>
      <c r="E64" s="50"/>
      <c r="F64" s="50"/>
      <c r="G64" s="51"/>
      <c r="H64" s="50"/>
    </row>
    <row r="65" spans="2:8" ht="15" customHeight="1" x14ac:dyDescent="0.25">
      <c r="B65" s="63"/>
      <c r="C65" s="64"/>
      <c r="D65" s="65"/>
      <c r="E65" s="65"/>
      <c r="F65" s="65"/>
      <c r="G65" s="66"/>
      <c r="H65" s="65"/>
    </row>
    <row r="66" spans="2:8" ht="15" customHeight="1" x14ac:dyDescent="0.25">
      <c r="B66" s="67"/>
      <c r="C66" s="49"/>
      <c r="D66" s="50"/>
      <c r="E66" s="50"/>
      <c r="F66" s="50"/>
      <c r="G66" s="51"/>
      <c r="H66" s="50"/>
    </row>
    <row r="67" spans="2:8" ht="15" customHeight="1" x14ac:dyDescent="0.25">
      <c r="B67" s="63"/>
      <c r="C67" s="64"/>
      <c r="D67" s="65"/>
      <c r="E67" s="65"/>
      <c r="F67" s="65"/>
      <c r="G67" s="66"/>
      <c r="H67" s="65"/>
    </row>
    <row r="68" spans="2:8" ht="15" customHeight="1" x14ac:dyDescent="0.25">
      <c r="B68" s="67"/>
      <c r="C68" s="49"/>
      <c r="D68" s="50"/>
      <c r="E68" s="50"/>
      <c r="F68" s="50"/>
      <c r="G68" s="51"/>
      <c r="H68" s="50"/>
    </row>
    <row r="69" spans="2:8" ht="15" customHeight="1" x14ac:dyDescent="0.25">
      <c r="B69" s="63"/>
      <c r="C69" s="64"/>
      <c r="D69" s="65"/>
      <c r="E69" s="65"/>
      <c r="F69" s="65"/>
      <c r="G69" s="66"/>
      <c r="H69" s="65"/>
    </row>
    <row r="70" spans="2:8" ht="15" customHeight="1" x14ac:dyDescent="0.25">
      <c r="B70" s="67"/>
      <c r="C70" s="49"/>
      <c r="D70" s="50"/>
      <c r="E70" s="50"/>
      <c r="F70" s="50"/>
      <c r="G70" s="51"/>
      <c r="H70" s="50"/>
    </row>
    <row r="71" spans="2:8" ht="15" customHeight="1" x14ac:dyDescent="0.25">
      <c r="B71" s="63"/>
      <c r="C71" s="64"/>
      <c r="D71" s="65"/>
      <c r="E71" s="65"/>
      <c r="F71" s="65"/>
      <c r="G71" s="66"/>
      <c r="H71" s="65"/>
    </row>
    <row r="72" spans="2:8" ht="15" customHeight="1" x14ac:dyDescent="0.25">
      <c r="B72" s="67"/>
      <c r="C72" s="49"/>
      <c r="D72" s="50"/>
      <c r="E72" s="50"/>
      <c r="F72" s="50"/>
      <c r="G72" s="51"/>
      <c r="H72" s="50"/>
    </row>
    <row r="73" spans="2:8" ht="15" customHeight="1" x14ac:dyDescent="0.25">
      <c r="B73" s="63"/>
      <c r="C73" s="64"/>
      <c r="D73" s="65"/>
      <c r="E73" s="65"/>
      <c r="F73" s="65"/>
      <c r="G73" s="66"/>
      <c r="H73" s="65"/>
    </row>
    <row r="74" spans="2:8" ht="15" customHeight="1" x14ac:dyDescent="0.25">
      <c r="B74" s="67"/>
      <c r="C74" s="49"/>
      <c r="D74" s="50"/>
      <c r="E74" s="50"/>
      <c r="F74" s="50"/>
      <c r="G74" s="51"/>
      <c r="H74" s="50"/>
    </row>
    <row r="75" spans="2:8" ht="15" customHeight="1" x14ac:dyDescent="0.25">
      <c r="B75" s="63"/>
      <c r="C75" s="64"/>
      <c r="D75" s="65"/>
      <c r="E75" s="65"/>
      <c r="F75" s="65"/>
      <c r="G75" s="66"/>
      <c r="H75" s="65"/>
    </row>
    <row r="76" spans="2:8" ht="15" customHeight="1" x14ac:dyDescent="0.25">
      <c r="B76" s="67"/>
      <c r="C76" s="49"/>
      <c r="D76" s="50"/>
      <c r="E76" s="50"/>
      <c r="F76" s="50"/>
      <c r="G76" s="51"/>
      <c r="H76" s="50"/>
    </row>
    <row r="77" spans="2:8" ht="15" customHeight="1" x14ac:dyDescent="0.25">
      <c r="B77" s="63"/>
      <c r="C77" s="64"/>
      <c r="D77" s="65"/>
      <c r="E77" s="65"/>
      <c r="F77" s="65"/>
      <c r="G77" s="66"/>
      <c r="H77" s="65"/>
    </row>
    <row r="78" spans="2:8" ht="15" customHeight="1" x14ac:dyDescent="0.25">
      <c r="B78" s="67"/>
      <c r="C78" s="49"/>
      <c r="D78" s="50"/>
      <c r="E78" s="50"/>
      <c r="F78" s="50"/>
      <c r="G78" s="51"/>
      <c r="H78" s="50"/>
    </row>
    <row r="79" spans="2:8" ht="15" customHeight="1" x14ac:dyDescent="0.25">
      <c r="B79" s="63"/>
      <c r="C79" s="64"/>
      <c r="D79" s="65"/>
      <c r="E79" s="65"/>
      <c r="F79" s="65"/>
      <c r="G79" s="66"/>
      <c r="H79" s="65"/>
    </row>
    <row r="80" spans="2:8" ht="15" customHeight="1" x14ac:dyDescent="0.25">
      <c r="B80" s="67"/>
      <c r="C80" s="49"/>
      <c r="D80" s="50"/>
      <c r="E80" s="50"/>
      <c r="F80" s="50"/>
      <c r="G80" s="51"/>
      <c r="H80" s="50"/>
    </row>
    <row r="81" spans="2:8" ht="15" customHeight="1" x14ac:dyDescent="0.25">
      <c r="B81" s="63"/>
      <c r="C81" s="64"/>
      <c r="D81" s="65"/>
      <c r="E81" s="65"/>
      <c r="F81" s="65"/>
      <c r="G81" s="66"/>
      <c r="H81" s="65"/>
    </row>
    <row r="82" spans="2:8" ht="15" customHeight="1" x14ac:dyDescent="0.25">
      <c r="B82" s="67"/>
      <c r="C82" s="49"/>
      <c r="D82" s="50"/>
      <c r="E82" s="50"/>
      <c r="F82" s="50"/>
      <c r="G82" s="51"/>
      <c r="H82" s="50"/>
    </row>
    <row r="83" spans="2:8" ht="15" customHeight="1" x14ac:dyDescent="0.25">
      <c r="B83" s="63"/>
      <c r="C83" s="64"/>
      <c r="D83" s="65"/>
      <c r="E83" s="65"/>
      <c r="F83" s="65"/>
      <c r="G83" s="66"/>
      <c r="H83" s="65"/>
    </row>
    <row r="84" spans="2:8" ht="15" customHeight="1" x14ac:dyDescent="0.25">
      <c r="B84" s="67"/>
      <c r="C84" s="49"/>
      <c r="D84" s="50"/>
      <c r="E84" s="50"/>
      <c r="F84" s="50"/>
      <c r="G84" s="51"/>
      <c r="H84" s="50"/>
    </row>
    <row r="85" spans="2:8" ht="15" customHeight="1" x14ac:dyDescent="0.25">
      <c r="B85" s="63"/>
      <c r="C85" s="64"/>
      <c r="D85" s="65"/>
      <c r="E85" s="65"/>
      <c r="F85" s="65"/>
      <c r="G85" s="66"/>
      <c r="H85" s="65"/>
    </row>
    <row r="86" spans="2:8" ht="15" customHeight="1" x14ac:dyDescent="0.25">
      <c r="B86" s="67"/>
      <c r="C86" s="49"/>
      <c r="D86" s="50"/>
      <c r="E86" s="50"/>
      <c r="F86" s="50"/>
      <c r="G86" s="51"/>
      <c r="H86" s="50"/>
    </row>
    <row r="87" spans="2:8" ht="15" customHeight="1" x14ac:dyDescent="0.25">
      <c r="B87" s="63"/>
      <c r="C87" s="64"/>
      <c r="D87" s="65"/>
      <c r="E87" s="65"/>
      <c r="F87" s="65"/>
      <c r="G87" s="66"/>
      <c r="H87" s="65"/>
    </row>
    <row r="88" spans="2:8" ht="15" customHeight="1" x14ac:dyDescent="0.25">
      <c r="B88" s="67"/>
      <c r="C88" s="49"/>
      <c r="D88" s="50"/>
      <c r="E88" s="50"/>
      <c r="F88" s="50"/>
      <c r="G88" s="51"/>
      <c r="H88" s="50"/>
    </row>
    <row r="89" spans="2:8" ht="15" customHeight="1" x14ac:dyDescent="0.25">
      <c r="B89" s="63"/>
      <c r="C89" s="64"/>
      <c r="D89" s="65"/>
      <c r="E89" s="65"/>
      <c r="F89" s="65"/>
      <c r="G89" s="66"/>
      <c r="H89" s="65"/>
    </row>
    <row r="90" spans="2:8" ht="15" customHeight="1" x14ac:dyDescent="0.25">
      <c r="B90" s="67"/>
      <c r="C90" s="49"/>
      <c r="D90" s="50"/>
      <c r="E90" s="50"/>
      <c r="F90" s="50"/>
      <c r="G90" s="51"/>
      <c r="H90" s="50"/>
    </row>
    <row r="91" spans="2:8" ht="15" customHeight="1" x14ac:dyDescent="0.25">
      <c r="B91" s="63"/>
      <c r="C91" s="64"/>
      <c r="D91" s="65"/>
      <c r="E91" s="65"/>
      <c r="F91" s="65"/>
      <c r="G91" s="66"/>
      <c r="H91" s="65"/>
    </row>
    <row r="92" spans="2:8" ht="15" customHeight="1" x14ac:dyDescent="0.25">
      <c r="B92" s="67"/>
      <c r="C92" s="49"/>
      <c r="D92" s="50"/>
      <c r="E92" s="50"/>
      <c r="F92" s="50"/>
      <c r="G92" s="51"/>
      <c r="H92" s="50"/>
    </row>
    <row r="93" spans="2:8" ht="15" customHeight="1" x14ac:dyDescent="0.25">
      <c r="B93" s="63"/>
      <c r="C93" s="64"/>
      <c r="D93" s="65"/>
      <c r="E93" s="65"/>
      <c r="F93" s="65"/>
      <c r="G93" s="66"/>
      <c r="H93" s="65"/>
    </row>
    <row r="94" spans="2:8" ht="15" customHeight="1" x14ac:dyDescent="0.25">
      <c r="B94" s="67"/>
      <c r="C94" s="49"/>
      <c r="D94" s="50"/>
      <c r="E94" s="50"/>
      <c r="F94" s="50"/>
      <c r="G94" s="51"/>
      <c r="H94" s="50"/>
    </row>
    <row r="95" spans="2:8" ht="15" customHeight="1" x14ac:dyDescent="0.25">
      <c r="B95" s="63"/>
      <c r="C95" s="64"/>
      <c r="D95" s="65"/>
      <c r="E95" s="65"/>
      <c r="F95" s="65"/>
      <c r="G95" s="66"/>
      <c r="H95" s="65"/>
    </row>
    <row r="96" spans="2:8" ht="15" customHeight="1" x14ac:dyDescent="0.25">
      <c r="B96" s="67"/>
      <c r="C96" s="49"/>
      <c r="D96" s="50"/>
      <c r="E96" s="50"/>
      <c r="F96" s="50"/>
      <c r="G96" s="51"/>
      <c r="H96" s="50"/>
    </row>
    <row r="97" spans="2:8" ht="15" customHeight="1" x14ac:dyDescent="0.25">
      <c r="B97" s="63"/>
      <c r="C97" s="64"/>
      <c r="D97" s="65"/>
      <c r="E97" s="65"/>
      <c r="F97" s="65"/>
      <c r="G97" s="66"/>
      <c r="H97" s="65"/>
    </row>
    <row r="98" spans="2:8" ht="15" customHeight="1" x14ac:dyDescent="0.25">
      <c r="B98" s="67"/>
      <c r="C98" s="49"/>
      <c r="D98" s="50"/>
      <c r="E98" s="50"/>
      <c r="F98" s="50"/>
      <c r="G98" s="51"/>
      <c r="H98" s="50"/>
    </row>
    <row r="99" spans="2:8" ht="15" customHeight="1" x14ac:dyDescent="0.25">
      <c r="B99" s="63"/>
      <c r="C99" s="64"/>
      <c r="D99" s="65"/>
      <c r="E99" s="65"/>
      <c r="F99" s="65"/>
      <c r="G99" s="66"/>
      <c r="H99" s="65"/>
    </row>
    <row r="100" spans="2:8" ht="15" customHeight="1" x14ac:dyDescent="0.25">
      <c r="B100" s="67"/>
      <c r="C100" s="49"/>
      <c r="D100" s="50"/>
      <c r="E100" s="50"/>
      <c r="F100" s="50"/>
      <c r="G100" s="51"/>
      <c r="H100" s="50"/>
    </row>
    <row r="101" spans="2:8" ht="15" customHeight="1" x14ac:dyDescent="0.25">
      <c r="B101" s="63"/>
      <c r="C101" s="64"/>
      <c r="D101" s="65"/>
      <c r="E101" s="65"/>
      <c r="F101" s="65"/>
      <c r="G101" s="66"/>
      <c r="H101" s="65"/>
    </row>
    <row r="102" spans="2:8" ht="15" customHeight="1" x14ac:dyDescent="0.25">
      <c r="B102" s="67"/>
      <c r="C102" s="49"/>
      <c r="D102" s="50"/>
      <c r="E102" s="50"/>
      <c r="F102" s="50"/>
      <c r="G102" s="51"/>
      <c r="H102" s="50"/>
    </row>
    <row r="103" spans="2:8" ht="15" customHeight="1" x14ac:dyDescent="0.25">
      <c r="B103" s="63"/>
      <c r="C103" s="64"/>
      <c r="D103" s="65"/>
      <c r="E103" s="65"/>
      <c r="F103" s="65"/>
      <c r="G103" s="66"/>
      <c r="H103" s="65"/>
    </row>
    <row r="104" spans="2:8" ht="15" customHeight="1" x14ac:dyDescent="0.25">
      <c r="B104" s="67"/>
      <c r="C104" s="49"/>
      <c r="D104" s="50"/>
      <c r="E104" s="50"/>
      <c r="F104" s="50"/>
      <c r="G104" s="51"/>
      <c r="H104" s="50"/>
    </row>
    <row r="105" spans="2:8" ht="15" customHeight="1" x14ac:dyDescent="0.25">
      <c r="B105" s="63"/>
      <c r="C105" s="64"/>
      <c r="D105" s="65"/>
      <c r="E105" s="65"/>
      <c r="F105" s="65"/>
      <c r="G105" s="66"/>
      <c r="H105" s="65"/>
    </row>
    <row r="106" spans="2:8" ht="15" customHeight="1" x14ac:dyDescent="0.25">
      <c r="B106" s="67"/>
      <c r="C106" s="49"/>
      <c r="D106" s="50"/>
      <c r="E106" s="50"/>
      <c r="F106" s="50"/>
      <c r="G106" s="51"/>
      <c r="H106" s="50"/>
    </row>
    <row r="107" spans="2:8" ht="15" customHeight="1" x14ac:dyDescent="0.25">
      <c r="B107" s="63"/>
      <c r="C107" s="64"/>
      <c r="D107" s="65"/>
      <c r="E107" s="65"/>
      <c r="F107" s="65"/>
      <c r="G107" s="66"/>
      <c r="H107" s="65"/>
    </row>
    <row r="108" spans="2:8" ht="15" customHeight="1" x14ac:dyDescent="0.25">
      <c r="B108" s="67"/>
      <c r="C108" s="49"/>
      <c r="D108" s="50"/>
      <c r="E108" s="50"/>
      <c r="F108" s="50"/>
      <c r="G108" s="51"/>
      <c r="H108" s="50"/>
    </row>
    <row r="109" spans="2:8" ht="15" customHeight="1" x14ac:dyDescent="0.25">
      <c r="B109" s="63"/>
      <c r="C109" s="64"/>
      <c r="D109" s="65"/>
      <c r="E109" s="65"/>
      <c r="F109" s="65"/>
      <c r="G109" s="66"/>
      <c r="H109" s="65"/>
    </row>
    <row r="110" spans="2:8" ht="15" customHeight="1" x14ac:dyDescent="0.25">
      <c r="B110" s="67"/>
      <c r="C110" s="49"/>
      <c r="D110" s="50"/>
      <c r="E110" s="50"/>
      <c r="F110" s="50"/>
      <c r="G110" s="51"/>
      <c r="H110" s="50"/>
    </row>
    <row r="111" spans="2:8" ht="15" customHeight="1" x14ac:dyDescent="0.25">
      <c r="B111" s="63"/>
      <c r="C111" s="64"/>
      <c r="D111" s="65"/>
      <c r="E111" s="65"/>
      <c r="F111" s="65"/>
      <c r="G111" s="66"/>
      <c r="H111" s="65"/>
    </row>
    <row r="112" spans="2:8" ht="15" customHeight="1" x14ac:dyDescent="0.25">
      <c r="B112" s="67"/>
      <c r="C112" s="49"/>
      <c r="D112" s="50"/>
      <c r="E112" s="50"/>
      <c r="F112" s="50"/>
      <c r="G112" s="51"/>
      <c r="H112" s="50"/>
    </row>
    <row r="113" spans="2:8" ht="15" customHeight="1" x14ac:dyDescent="0.25">
      <c r="B113" s="63"/>
      <c r="C113" s="64"/>
      <c r="D113" s="65"/>
      <c r="E113" s="65"/>
      <c r="F113" s="65"/>
      <c r="G113" s="66"/>
      <c r="H113" s="65"/>
    </row>
    <row r="114" spans="2:8" ht="15" customHeight="1" x14ac:dyDescent="0.25">
      <c r="B114" s="67"/>
      <c r="C114" s="49"/>
      <c r="D114" s="50"/>
      <c r="E114" s="50"/>
      <c r="F114" s="50"/>
      <c r="G114" s="51"/>
      <c r="H114" s="50"/>
    </row>
    <row r="115" spans="2:8" ht="15" customHeight="1" x14ac:dyDescent="0.25">
      <c r="B115" s="63"/>
      <c r="C115" s="64"/>
      <c r="D115" s="65"/>
      <c r="E115" s="65"/>
      <c r="F115" s="65"/>
      <c r="G115" s="66"/>
      <c r="H115" s="65"/>
    </row>
    <row r="116" spans="2:8" ht="15" customHeight="1" x14ac:dyDescent="0.25">
      <c r="B116" s="67"/>
      <c r="C116" s="49"/>
      <c r="D116" s="50"/>
      <c r="E116" s="50"/>
      <c r="F116" s="50"/>
      <c r="G116" s="51"/>
      <c r="H116" s="50"/>
    </row>
    <row r="117" spans="2:8" ht="15" customHeight="1" x14ac:dyDescent="0.25">
      <c r="B117" s="63"/>
      <c r="C117" s="64"/>
      <c r="D117" s="65"/>
      <c r="E117" s="65"/>
      <c r="F117" s="65"/>
      <c r="G117" s="66"/>
      <c r="H117" s="65"/>
    </row>
    <row r="118" spans="2:8" ht="15" customHeight="1" x14ac:dyDescent="0.25">
      <c r="B118" s="67"/>
      <c r="C118" s="49"/>
      <c r="D118" s="50"/>
      <c r="E118" s="50"/>
      <c r="F118" s="50"/>
      <c r="G118" s="51"/>
      <c r="H118" s="50"/>
    </row>
    <row r="119" spans="2:8" ht="15" customHeight="1" x14ac:dyDescent="0.25">
      <c r="B119" s="63"/>
      <c r="C119" s="64"/>
      <c r="D119" s="65"/>
      <c r="E119" s="65"/>
      <c r="F119" s="65"/>
      <c r="G119" s="66"/>
      <c r="H119" s="65"/>
    </row>
    <row r="120" spans="2:8" ht="15" customHeight="1" x14ac:dyDescent="0.25">
      <c r="B120" s="67"/>
      <c r="C120" s="49"/>
      <c r="D120" s="50"/>
      <c r="E120" s="50"/>
      <c r="F120" s="50"/>
      <c r="G120" s="51"/>
      <c r="H120" s="50"/>
    </row>
    <row r="121" spans="2:8" ht="15" customHeight="1" x14ac:dyDescent="0.25">
      <c r="B121" s="63"/>
      <c r="C121" s="64"/>
      <c r="D121" s="65"/>
      <c r="E121" s="65"/>
      <c r="F121" s="65"/>
      <c r="G121" s="66"/>
      <c r="H121" s="65"/>
    </row>
    <row r="122" spans="2:8" ht="15" customHeight="1" x14ac:dyDescent="0.25">
      <c r="B122" s="67"/>
      <c r="C122" s="49"/>
      <c r="D122" s="50"/>
      <c r="E122" s="50"/>
      <c r="F122" s="50"/>
      <c r="G122" s="51"/>
      <c r="H122" s="50"/>
    </row>
    <row r="123" spans="2:8" ht="15" customHeight="1" x14ac:dyDescent="0.25">
      <c r="B123" s="63"/>
      <c r="C123" s="64"/>
      <c r="D123" s="65"/>
      <c r="E123" s="65"/>
      <c r="F123" s="65"/>
      <c r="G123" s="66"/>
      <c r="H123" s="65"/>
    </row>
    <row r="124" spans="2:8" ht="15" customHeight="1" x14ac:dyDescent="0.25">
      <c r="B124" s="67"/>
      <c r="C124" s="49"/>
      <c r="D124" s="50"/>
      <c r="E124" s="50"/>
      <c r="F124" s="50"/>
      <c r="G124" s="51"/>
      <c r="H124" s="50"/>
    </row>
    <row r="125" spans="2:8" ht="15" customHeight="1" x14ac:dyDescent="0.25">
      <c r="B125" s="63"/>
      <c r="C125" s="64"/>
      <c r="D125" s="65"/>
      <c r="E125" s="65"/>
      <c r="F125" s="65"/>
      <c r="G125" s="66"/>
      <c r="H125" s="65"/>
    </row>
    <row r="126" spans="2:8" ht="15" customHeight="1" x14ac:dyDescent="0.25">
      <c r="B126" s="67"/>
      <c r="C126" s="49"/>
      <c r="D126" s="50"/>
      <c r="E126" s="50"/>
      <c r="F126" s="50"/>
      <c r="G126" s="51"/>
      <c r="H126" s="50"/>
    </row>
    <row r="127" spans="2:8" ht="15" customHeight="1" x14ac:dyDescent="0.25">
      <c r="B127" s="63"/>
      <c r="C127" s="64"/>
      <c r="D127" s="65"/>
      <c r="E127" s="65"/>
      <c r="F127" s="65"/>
      <c r="G127" s="66"/>
      <c r="H127" s="65"/>
    </row>
    <row r="128" spans="2:8" ht="15" customHeight="1" x14ac:dyDescent="0.25">
      <c r="B128" s="67"/>
      <c r="C128" s="49"/>
      <c r="D128" s="50"/>
      <c r="E128" s="50"/>
      <c r="F128" s="50"/>
      <c r="G128" s="51"/>
      <c r="H128" s="50"/>
    </row>
    <row r="129" spans="2:8" ht="15" customHeight="1" x14ac:dyDescent="0.25">
      <c r="B129" s="63"/>
      <c r="C129" s="64"/>
      <c r="D129" s="65"/>
      <c r="E129" s="65"/>
      <c r="F129" s="65"/>
      <c r="G129" s="66"/>
      <c r="H129" s="65"/>
    </row>
    <row r="130" spans="2:8" ht="15" customHeight="1" x14ac:dyDescent="0.25">
      <c r="B130" s="67"/>
      <c r="C130" s="49"/>
      <c r="D130" s="50"/>
      <c r="E130" s="50"/>
      <c r="F130" s="50"/>
      <c r="G130" s="51"/>
      <c r="H130" s="50"/>
    </row>
    <row r="131" spans="2:8" ht="15" customHeight="1" x14ac:dyDescent="0.25">
      <c r="B131" s="63"/>
      <c r="C131" s="64"/>
      <c r="D131" s="65"/>
      <c r="E131" s="65"/>
      <c r="F131" s="65"/>
      <c r="G131" s="66"/>
      <c r="H131" s="65"/>
    </row>
    <row r="132" spans="2:8" ht="15" customHeight="1" x14ac:dyDescent="0.25">
      <c r="B132" s="67"/>
      <c r="C132" s="49"/>
      <c r="D132" s="50"/>
      <c r="E132" s="50"/>
      <c r="F132" s="50"/>
      <c r="G132" s="51"/>
      <c r="H132" s="50"/>
    </row>
    <row r="133" spans="2:8" ht="15" customHeight="1" x14ac:dyDescent="0.25">
      <c r="B133" s="63"/>
      <c r="C133" s="64"/>
      <c r="D133" s="65"/>
      <c r="E133" s="65"/>
      <c r="F133" s="65"/>
      <c r="G133" s="66"/>
      <c r="H133" s="65"/>
    </row>
    <row r="134" spans="2:8" ht="15" customHeight="1" x14ac:dyDescent="0.25">
      <c r="B134" s="67"/>
      <c r="C134" s="49"/>
      <c r="D134" s="50"/>
      <c r="E134" s="50"/>
      <c r="F134" s="50"/>
      <c r="G134" s="51"/>
      <c r="H134" s="50"/>
    </row>
    <row r="135" spans="2:8" ht="15" customHeight="1" x14ac:dyDescent="0.25">
      <c r="B135" s="63"/>
      <c r="C135" s="64"/>
      <c r="D135" s="65"/>
      <c r="E135" s="65"/>
      <c r="F135" s="65"/>
      <c r="G135" s="66"/>
      <c r="H135" s="65"/>
    </row>
    <row r="136" spans="2:8" ht="15" customHeight="1" x14ac:dyDescent="0.25">
      <c r="B136" s="67"/>
      <c r="C136" s="49"/>
      <c r="D136" s="50"/>
      <c r="E136" s="50"/>
      <c r="F136" s="50"/>
      <c r="G136" s="51"/>
      <c r="H136" s="50"/>
    </row>
    <row r="137" spans="2:8" ht="15" customHeight="1" x14ac:dyDescent="0.25">
      <c r="B137" s="63"/>
      <c r="C137" s="64"/>
      <c r="D137" s="65"/>
      <c r="E137" s="65"/>
      <c r="F137" s="65"/>
      <c r="G137" s="66"/>
      <c r="H137" s="65"/>
    </row>
    <row r="138" spans="2:8" ht="15" customHeight="1" x14ac:dyDescent="0.25">
      <c r="B138" s="67"/>
      <c r="C138" s="49"/>
      <c r="D138" s="50"/>
      <c r="E138" s="50"/>
      <c r="F138" s="50"/>
      <c r="G138" s="51"/>
      <c r="H138" s="50"/>
    </row>
    <row r="139" spans="2:8" ht="15" customHeight="1" x14ac:dyDescent="0.25">
      <c r="B139" s="63"/>
      <c r="C139" s="64"/>
      <c r="D139" s="65"/>
      <c r="E139" s="65"/>
      <c r="F139" s="65"/>
      <c r="G139" s="66"/>
      <c r="H139" s="65"/>
    </row>
    <row r="140" spans="2:8" ht="15" customHeight="1" x14ac:dyDescent="0.25">
      <c r="B140" s="67"/>
      <c r="C140" s="49"/>
      <c r="D140" s="50"/>
      <c r="E140" s="50"/>
      <c r="F140" s="50"/>
      <c r="G140" s="51"/>
      <c r="H140" s="50"/>
    </row>
    <row r="141" spans="2:8" ht="15" customHeight="1" x14ac:dyDescent="0.25">
      <c r="B141" s="63"/>
      <c r="C141" s="64"/>
      <c r="D141" s="65"/>
      <c r="E141" s="65"/>
      <c r="F141" s="65"/>
      <c r="G141" s="66"/>
      <c r="H141" s="65"/>
    </row>
    <row r="142" spans="2:8" ht="15" customHeight="1" x14ac:dyDescent="0.25">
      <c r="B142" s="67"/>
      <c r="C142" s="49"/>
      <c r="D142" s="50"/>
      <c r="E142" s="50"/>
      <c r="F142" s="50"/>
      <c r="G142" s="51"/>
      <c r="H142" s="50"/>
    </row>
    <row r="143" spans="2:8" ht="15" customHeight="1" x14ac:dyDescent="0.25">
      <c r="B143" s="63"/>
      <c r="C143" s="64"/>
      <c r="D143" s="65"/>
      <c r="E143" s="65"/>
      <c r="F143" s="65"/>
      <c r="G143" s="66"/>
      <c r="H143" s="65"/>
    </row>
    <row r="144" spans="2:8" ht="15" customHeight="1" x14ac:dyDescent="0.25">
      <c r="B144" s="67"/>
      <c r="C144" s="49"/>
      <c r="D144" s="50"/>
      <c r="E144" s="50"/>
      <c r="F144" s="50"/>
      <c r="G144" s="51"/>
      <c r="H144" s="50"/>
    </row>
    <row r="145" spans="2:8" ht="15" customHeight="1" x14ac:dyDescent="0.25">
      <c r="B145" s="63"/>
      <c r="C145" s="64"/>
      <c r="D145" s="65"/>
      <c r="E145" s="65"/>
      <c r="F145" s="65"/>
      <c r="G145" s="66"/>
      <c r="H145" s="65"/>
    </row>
    <row r="146" spans="2:8" ht="15" customHeight="1" x14ac:dyDescent="0.25">
      <c r="B146" s="67"/>
      <c r="C146" s="49"/>
      <c r="D146" s="50"/>
      <c r="E146" s="50"/>
      <c r="F146" s="50"/>
      <c r="G146" s="51"/>
      <c r="H146" s="50"/>
    </row>
    <row r="147" spans="2:8" ht="15" customHeight="1" x14ac:dyDescent="0.25">
      <c r="B147" s="63"/>
      <c r="C147" s="64"/>
      <c r="D147" s="65"/>
      <c r="E147" s="65"/>
      <c r="F147" s="65"/>
      <c r="G147" s="66"/>
      <c r="H147" s="65"/>
    </row>
    <row r="148" spans="2:8" ht="15" customHeight="1" x14ac:dyDescent="0.25">
      <c r="B148" s="67"/>
      <c r="C148" s="49"/>
      <c r="D148" s="50"/>
      <c r="E148" s="50"/>
      <c r="F148" s="50"/>
      <c r="G148" s="51"/>
      <c r="H148" s="50"/>
    </row>
    <row r="149" spans="2:8" ht="15" customHeight="1" x14ac:dyDescent="0.25">
      <c r="B149" s="63"/>
      <c r="C149" s="64"/>
      <c r="D149" s="65"/>
      <c r="E149" s="65"/>
      <c r="F149" s="65"/>
      <c r="G149" s="66"/>
      <c r="H149" s="65"/>
    </row>
    <row r="150" spans="2:8" ht="15" customHeight="1" x14ac:dyDescent="0.25">
      <c r="B150" s="67"/>
      <c r="C150" s="49"/>
      <c r="D150" s="50"/>
      <c r="E150" s="50"/>
      <c r="F150" s="50"/>
      <c r="G150" s="51"/>
      <c r="H150" s="50"/>
    </row>
    <row r="151" spans="2:8" ht="15" customHeight="1" x14ac:dyDescent="0.25">
      <c r="B151" s="63"/>
      <c r="C151" s="64"/>
      <c r="D151" s="65"/>
      <c r="E151" s="65"/>
      <c r="F151" s="65"/>
      <c r="G151" s="66"/>
      <c r="H151" s="65"/>
    </row>
    <row r="152" spans="2:8" ht="15" customHeight="1" x14ac:dyDescent="0.25">
      <c r="B152" s="67"/>
      <c r="C152" s="49"/>
      <c r="D152" s="50"/>
      <c r="E152" s="50"/>
      <c r="F152" s="50"/>
      <c r="G152" s="51"/>
      <c r="H152" s="50"/>
    </row>
    <row r="153" spans="2:8" ht="15" customHeight="1" x14ac:dyDescent="0.25">
      <c r="B153" s="63"/>
      <c r="C153" s="64"/>
      <c r="D153" s="65"/>
      <c r="E153" s="65"/>
      <c r="F153" s="65"/>
      <c r="G153" s="66"/>
      <c r="H153" s="65"/>
    </row>
    <row r="154" spans="2:8" ht="15" customHeight="1" x14ac:dyDescent="0.25">
      <c r="B154" s="67"/>
      <c r="C154" s="49"/>
      <c r="D154" s="50"/>
      <c r="E154" s="50"/>
      <c r="F154" s="50"/>
      <c r="G154" s="51"/>
      <c r="H154" s="50"/>
    </row>
    <row r="155" spans="2:8" ht="15" customHeight="1" x14ac:dyDescent="0.25">
      <c r="B155" s="63"/>
      <c r="C155" s="64"/>
      <c r="D155" s="65"/>
      <c r="E155" s="65"/>
      <c r="F155" s="65"/>
      <c r="G155" s="66"/>
      <c r="H155" s="65"/>
    </row>
    <row r="156" spans="2:8" ht="15" customHeight="1" x14ac:dyDescent="0.25">
      <c r="B156" s="67"/>
      <c r="C156" s="49"/>
      <c r="D156" s="50"/>
      <c r="E156" s="50"/>
      <c r="F156" s="50"/>
      <c r="G156" s="51"/>
      <c r="H156" s="50"/>
    </row>
    <row r="157" spans="2:8" ht="15" customHeight="1" x14ac:dyDescent="0.25">
      <c r="B157" s="63"/>
      <c r="C157" s="64"/>
      <c r="D157" s="65"/>
      <c r="E157" s="65"/>
      <c r="F157" s="65"/>
      <c r="G157" s="66"/>
      <c r="H157" s="65"/>
    </row>
    <row r="158" spans="2:8" ht="15" customHeight="1" x14ac:dyDescent="0.25">
      <c r="B158" s="67"/>
      <c r="C158" s="49"/>
      <c r="D158" s="50"/>
      <c r="E158" s="50"/>
      <c r="F158" s="50"/>
      <c r="G158" s="51"/>
      <c r="H158" s="50"/>
    </row>
    <row r="159" spans="2:8" ht="15" customHeight="1" x14ac:dyDescent="0.25">
      <c r="B159" s="63"/>
      <c r="C159" s="64"/>
      <c r="D159" s="65"/>
      <c r="E159" s="65"/>
      <c r="F159" s="65"/>
      <c r="G159" s="66"/>
      <c r="H159" s="65"/>
    </row>
    <row r="160" spans="2:8" ht="15" customHeight="1" x14ac:dyDescent="0.25">
      <c r="B160" s="67"/>
      <c r="C160" s="49"/>
      <c r="D160" s="50"/>
      <c r="E160" s="50"/>
      <c r="F160" s="50"/>
      <c r="G160" s="51"/>
      <c r="H160" s="50"/>
    </row>
    <row r="161" spans="2:8" ht="15" customHeight="1" x14ac:dyDescent="0.25">
      <c r="B161" s="63"/>
      <c r="C161" s="64"/>
      <c r="D161" s="65"/>
      <c r="E161" s="65"/>
      <c r="F161" s="65"/>
      <c r="G161" s="66"/>
      <c r="H161" s="65"/>
    </row>
    <row r="162" spans="2:8" ht="15" customHeight="1" x14ac:dyDescent="0.25">
      <c r="B162" s="67"/>
      <c r="C162" s="49"/>
      <c r="D162" s="50"/>
      <c r="E162" s="50"/>
      <c r="F162" s="50"/>
      <c r="G162" s="51"/>
      <c r="H162" s="50"/>
    </row>
    <row r="163" spans="2:8" ht="15" customHeight="1" x14ac:dyDescent="0.25">
      <c r="B163" s="63"/>
      <c r="C163" s="64"/>
      <c r="D163" s="65"/>
      <c r="E163" s="65"/>
      <c r="F163" s="65"/>
      <c r="G163" s="66"/>
      <c r="H163" s="65"/>
    </row>
    <row r="164" spans="2:8" ht="15" customHeight="1" x14ac:dyDescent="0.25">
      <c r="B164" s="67"/>
      <c r="C164" s="49"/>
      <c r="D164" s="50"/>
      <c r="E164" s="50"/>
      <c r="F164" s="50"/>
      <c r="G164" s="51"/>
      <c r="H164" s="50"/>
    </row>
    <row r="165" spans="2:8" ht="15" customHeight="1" x14ac:dyDescent="0.25">
      <c r="B165" s="63"/>
      <c r="C165" s="64"/>
      <c r="D165" s="65"/>
      <c r="E165" s="65"/>
      <c r="F165" s="65"/>
      <c r="G165" s="66"/>
      <c r="H165" s="65"/>
    </row>
    <row r="166" spans="2:8" ht="15" customHeight="1" x14ac:dyDescent="0.25">
      <c r="B166" s="67"/>
      <c r="C166" s="49"/>
      <c r="D166" s="50"/>
      <c r="E166" s="50"/>
      <c r="F166" s="50"/>
      <c r="G166" s="51"/>
      <c r="H166" s="50"/>
    </row>
    <row r="167" spans="2:8" ht="15" customHeight="1" x14ac:dyDescent="0.25">
      <c r="B167" s="63"/>
      <c r="C167" s="64"/>
      <c r="D167" s="65"/>
      <c r="E167" s="65"/>
      <c r="F167" s="65"/>
      <c r="G167" s="66"/>
      <c r="H167" s="65"/>
    </row>
    <row r="168" spans="2:8" ht="15" customHeight="1" x14ac:dyDescent="0.25">
      <c r="B168" s="67"/>
      <c r="C168" s="49"/>
      <c r="D168" s="50"/>
      <c r="E168" s="50"/>
      <c r="F168" s="50"/>
      <c r="G168" s="51"/>
      <c r="H168" s="50"/>
    </row>
    <row r="169" spans="2:8" ht="15" customHeight="1" x14ac:dyDescent="0.25">
      <c r="B169" s="63"/>
      <c r="C169" s="64"/>
      <c r="D169" s="65"/>
      <c r="E169" s="65"/>
      <c r="F169" s="65"/>
      <c r="G169" s="66"/>
      <c r="H169" s="65"/>
    </row>
    <row r="170" spans="2:8" ht="15" customHeight="1" x14ac:dyDescent="0.25">
      <c r="B170" s="67"/>
      <c r="C170" s="49"/>
      <c r="D170" s="50"/>
      <c r="E170" s="50"/>
      <c r="F170" s="50"/>
      <c r="G170" s="51"/>
      <c r="H170" s="50"/>
    </row>
    <row r="171" spans="2:8" ht="15" customHeight="1" x14ac:dyDescent="0.25">
      <c r="B171" s="63"/>
      <c r="C171" s="64"/>
      <c r="D171" s="65"/>
      <c r="E171" s="65"/>
      <c r="F171" s="65"/>
      <c r="G171" s="66"/>
      <c r="H171" s="65"/>
    </row>
    <row r="172" spans="2:8" ht="15" customHeight="1" x14ac:dyDescent="0.25">
      <c r="B172" s="67"/>
      <c r="C172" s="49"/>
      <c r="D172" s="50"/>
      <c r="E172" s="50"/>
      <c r="F172" s="50"/>
      <c r="G172" s="51"/>
      <c r="H172" s="50"/>
    </row>
    <row r="173" spans="2:8" ht="15" customHeight="1" x14ac:dyDescent="0.25">
      <c r="B173" s="63"/>
      <c r="C173" s="64"/>
      <c r="D173" s="65"/>
      <c r="E173" s="65"/>
      <c r="F173" s="65"/>
      <c r="G173" s="66"/>
      <c r="H173" s="65"/>
    </row>
    <row r="174" spans="2:8" ht="15" customHeight="1" x14ac:dyDescent="0.25">
      <c r="B174" s="67"/>
      <c r="C174" s="49"/>
      <c r="D174" s="50"/>
      <c r="E174" s="50"/>
      <c r="F174" s="50"/>
      <c r="G174" s="51"/>
      <c r="H174" s="50"/>
    </row>
    <row r="175" spans="2:8" ht="15" customHeight="1" x14ac:dyDescent="0.25">
      <c r="B175" s="63"/>
      <c r="C175" s="64"/>
      <c r="D175" s="65"/>
      <c r="E175" s="65"/>
      <c r="F175" s="65"/>
      <c r="G175" s="66"/>
      <c r="H175" s="65"/>
    </row>
    <row r="176" spans="2:8" ht="15" customHeight="1" x14ac:dyDescent="0.25">
      <c r="B176" s="67"/>
      <c r="C176" s="49"/>
      <c r="D176" s="50"/>
      <c r="E176" s="50"/>
      <c r="F176" s="50"/>
      <c r="G176" s="51"/>
      <c r="H176" s="50"/>
    </row>
    <row r="177" spans="2:8" ht="15" customHeight="1" x14ac:dyDescent="0.25">
      <c r="B177" s="63"/>
      <c r="C177" s="64"/>
      <c r="D177" s="65"/>
      <c r="E177" s="65"/>
      <c r="F177" s="65"/>
      <c r="G177" s="66"/>
      <c r="H177" s="65"/>
    </row>
    <row r="178" spans="2:8" ht="15" customHeight="1" x14ac:dyDescent="0.25">
      <c r="B178" s="67"/>
      <c r="C178" s="49"/>
      <c r="D178" s="50"/>
      <c r="E178" s="50"/>
      <c r="F178" s="50"/>
      <c r="G178" s="51"/>
      <c r="H178" s="50"/>
    </row>
    <row r="179" spans="2:8" ht="15" customHeight="1" x14ac:dyDescent="0.25">
      <c r="B179" s="63"/>
      <c r="C179" s="64"/>
      <c r="D179" s="65"/>
      <c r="E179" s="65"/>
      <c r="F179" s="65"/>
      <c r="G179" s="66"/>
      <c r="H179" s="65"/>
    </row>
    <row r="180" spans="2:8" ht="15" customHeight="1" x14ac:dyDescent="0.25">
      <c r="B180" s="67"/>
      <c r="C180" s="49"/>
      <c r="D180" s="50"/>
      <c r="E180" s="50"/>
      <c r="F180" s="50"/>
      <c r="G180" s="51"/>
      <c r="H180" s="50"/>
    </row>
    <row r="181" spans="2:8" ht="15" customHeight="1" x14ac:dyDescent="0.25">
      <c r="B181" s="63"/>
      <c r="C181" s="64"/>
      <c r="D181" s="65"/>
      <c r="E181" s="65"/>
      <c r="F181" s="65"/>
      <c r="G181" s="66"/>
      <c r="H181" s="65"/>
    </row>
    <row r="182" spans="2:8" ht="15" customHeight="1" x14ac:dyDescent="0.25">
      <c r="B182" s="67"/>
      <c r="C182" s="49"/>
      <c r="D182" s="50"/>
      <c r="E182" s="50"/>
      <c r="F182" s="50"/>
      <c r="G182" s="51"/>
      <c r="H182" s="50"/>
    </row>
    <row r="183" spans="2:8" ht="15" customHeight="1" x14ac:dyDescent="0.25">
      <c r="B183" s="63"/>
      <c r="C183" s="64"/>
      <c r="D183" s="65"/>
      <c r="E183" s="65"/>
      <c r="F183" s="65"/>
      <c r="G183" s="66"/>
      <c r="H183" s="65"/>
    </row>
    <row r="184" spans="2:8" ht="15" customHeight="1" x14ac:dyDescent="0.25">
      <c r="B184" s="67"/>
      <c r="C184" s="49"/>
      <c r="D184" s="50"/>
      <c r="E184" s="50"/>
      <c r="F184" s="50"/>
      <c r="G184" s="51"/>
      <c r="H184" s="50"/>
    </row>
    <row r="185" spans="2:8" ht="15" customHeight="1" x14ac:dyDescent="0.25">
      <c r="B185" s="63"/>
      <c r="C185" s="64"/>
      <c r="D185" s="65"/>
      <c r="E185" s="65"/>
      <c r="F185" s="65"/>
      <c r="G185" s="66"/>
      <c r="H185" s="65"/>
    </row>
    <row r="186" spans="2:8" ht="15" customHeight="1" x14ac:dyDescent="0.25">
      <c r="B186" s="67"/>
      <c r="C186" s="49"/>
      <c r="D186" s="50"/>
      <c r="E186" s="50"/>
      <c r="F186" s="50"/>
      <c r="G186" s="51"/>
      <c r="H186" s="50"/>
    </row>
    <row r="187" spans="2:8" ht="15" customHeight="1" x14ac:dyDescent="0.25">
      <c r="B187" s="63"/>
      <c r="C187" s="64"/>
      <c r="D187" s="65"/>
      <c r="E187" s="65"/>
      <c r="F187" s="65"/>
      <c r="G187" s="66"/>
      <c r="H187" s="65"/>
    </row>
    <row r="188" spans="2:8" ht="15" customHeight="1" x14ac:dyDescent="0.25">
      <c r="B188" s="67"/>
      <c r="C188" s="49"/>
      <c r="D188" s="50"/>
      <c r="E188" s="50"/>
      <c r="F188" s="50"/>
      <c r="G188" s="51"/>
      <c r="H188" s="50"/>
    </row>
    <row r="189" spans="2:8" ht="15" customHeight="1" x14ac:dyDescent="0.25">
      <c r="B189" s="63"/>
      <c r="C189" s="64"/>
      <c r="D189" s="65"/>
      <c r="E189" s="65"/>
      <c r="F189" s="65"/>
      <c r="G189" s="66"/>
      <c r="H189" s="65"/>
    </row>
    <row r="190" spans="2:8" ht="15" customHeight="1" x14ac:dyDescent="0.25">
      <c r="B190" s="67"/>
      <c r="C190" s="49"/>
      <c r="D190" s="50"/>
      <c r="E190" s="50"/>
      <c r="F190" s="50"/>
      <c r="G190" s="51"/>
      <c r="H190" s="50"/>
    </row>
    <row r="191" spans="2:8" ht="15" customHeight="1" x14ac:dyDescent="0.25">
      <c r="B191" s="63"/>
      <c r="C191" s="64"/>
      <c r="D191" s="65"/>
      <c r="E191" s="65"/>
      <c r="F191" s="65"/>
      <c r="G191" s="66"/>
      <c r="H191" s="65"/>
    </row>
    <row r="192" spans="2:8" ht="15" customHeight="1" x14ac:dyDescent="0.25">
      <c r="B192" s="67"/>
      <c r="C192" s="49"/>
      <c r="D192" s="50"/>
      <c r="E192" s="50"/>
      <c r="F192" s="50"/>
      <c r="G192" s="51"/>
      <c r="H192" s="50"/>
    </row>
    <row r="193" spans="2:8" ht="15" customHeight="1" x14ac:dyDescent="0.25">
      <c r="B193" s="63"/>
      <c r="C193" s="64"/>
      <c r="D193" s="65"/>
      <c r="E193" s="65"/>
      <c r="F193" s="65"/>
      <c r="G193" s="66"/>
      <c r="H193" s="65"/>
    </row>
    <row r="194" spans="2:8" ht="15" customHeight="1" x14ac:dyDescent="0.25">
      <c r="B194" s="67"/>
      <c r="C194" s="49"/>
      <c r="D194" s="50"/>
      <c r="E194" s="50"/>
      <c r="F194" s="50"/>
      <c r="G194" s="51"/>
      <c r="H194" s="50"/>
    </row>
    <row r="195" spans="2:8" ht="15" customHeight="1" x14ac:dyDescent="0.25">
      <c r="B195" s="63"/>
      <c r="C195" s="64"/>
      <c r="D195" s="65"/>
      <c r="E195" s="65"/>
      <c r="F195" s="65"/>
      <c r="G195" s="66"/>
      <c r="H195" s="65"/>
    </row>
    <row r="196" spans="2:8" ht="15" customHeight="1" x14ac:dyDescent="0.25">
      <c r="B196" s="67"/>
      <c r="C196" s="49"/>
      <c r="D196" s="50"/>
      <c r="E196" s="50"/>
      <c r="F196" s="50"/>
      <c r="G196" s="51"/>
      <c r="H196" s="50"/>
    </row>
    <row r="197" spans="2:8" ht="15" customHeight="1" x14ac:dyDescent="0.25">
      <c r="B197" s="63"/>
      <c r="C197" s="64"/>
      <c r="D197" s="65"/>
      <c r="E197" s="65"/>
      <c r="F197" s="65"/>
      <c r="G197" s="66"/>
      <c r="H197" s="65"/>
    </row>
    <row r="198" spans="2:8" ht="15" customHeight="1" x14ac:dyDescent="0.25">
      <c r="B198" s="67"/>
      <c r="C198" s="49"/>
      <c r="D198" s="50"/>
      <c r="E198" s="50"/>
      <c r="F198" s="50"/>
      <c r="G198" s="51"/>
      <c r="H198" s="50"/>
    </row>
    <row r="199" spans="2:8" ht="15" customHeight="1" x14ac:dyDescent="0.25">
      <c r="B199" s="63"/>
      <c r="C199" s="64"/>
      <c r="D199" s="65"/>
      <c r="E199" s="65"/>
      <c r="F199" s="65"/>
      <c r="G199" s="66"/>
      <c r="H199" s="65"/>
    </row>
    <row r="200" spans="2:8" ht="15" customHeight="1" x14ac:dyDescent="0.25">
      <c r="B200" s="67"/>
      <c r="C200" s="49"/>
      <c r="D200" s="50"/>
      <c r="E200" s="50"/>
      <c r="F200" s="50"/>
      <c r="G200" s="51"/>
      <c r="H200" s="50"/>
    </row>
    <row r="201" spans="2:8" ht="15" customHeight="1" x14ac:dyDescent="0.25">
      <c r="B201" s="63"/>
      <c r="C201" s="64"/>
      <c r="D201" s="65"/>
      <c r="E201" s="65"/>
      <c r="F201" s="65"/>
      <c r="G201" s="66"/>
      <c r="H201" s="65"/>
    </row>
    <row r="202" spans="2:8" ht="15" customHeight="1" x14ac:dyDescent="0.25">
      <c r="B202" s="67"/>
      <c r="C202" s="49"/>
      <c r="D202" s="50"/>
      <c r="E202" s="50"/>
      <c r="F202" s="50"/>
      <c r="G202" s="51"/>
      <c r="H202" s="50"/>
    </row>
    <row r="203" spans="2:8" ht="15" customHeight="1" x14ac:dyDescent="0.25">
      <c r="B203" s="63"/>
      <c r="C203" s="64"/>
      <c r="D203" s="65"/>
      <c r="E203" s="65"/>
      <c r="F203" s="65"/>
      <c r="G203" s="66"/>
      <c r="H203" s="65"/>
    </row>
    <row r="204" spans="2:8" ht="15" customHeight="1" x14ac:dyDescent="0.25">
      <c r="B204" s="67"/>
      <c r="C204" s="49"/>
      <c r="D204" s="50"/>
      <c r="E204" s="50"/>
      <c r="F204" s="50"/>
      <c r="G204" s="51"/>
      <c r="H204" s="50"/>
    </row>
    <row r="205" spans="2:8" ht="15" customHeight="1" x14ac:dyDescent="0.25">
      <c r="B205" s="63"/>
      <c r="C205" s="64"/>
      <c r="D205" s="65"/>
      <c r="E205" s="65"/>
      <c r="F205" s="65"/>
      <c r="G205" s="66"/>
      <c r="H205" s="65"/>
    </row>
    <row r="206" spans="2:8" ht="15" customHeight="1" x14ac:dyDescent="0.25">
      <c r="B206" s="67"/>
      <c r="C206" s="49"/>
      <c r="D206" s="50"/>
      <c r="E206" s="50"/>
      <c r="F206" s="50"/>
      <c r="G206" s="51"/>
      <c r="H206" s="50"/>
    </row>
    <row r="207" spans="2:8" ht="15" customHeight="1" x14ac:dyDescent="0.25">
      <c r="B207" s="63"/>
      <c r="C207" s="64"/>
      <c r="D207" s="65"/>
      <c r="E207" s="65"/>
      <c r="F207" s="65"/>
      <c r="G207" s="66"/>
      <c r="H207" s="65"/>
    </row>
    <row r="208" spans="2:8" ht="15" customHeight="1" x14ac:dyDescent="0.25">
      <c r="B208" s="67"/>
      <c r="C208" s="49"/>
      <c r="D208" s="50"/>
      <c r="E208" s="50"/>
      <c r="F208" s="50"/>
      <c r="G208" s="51"/>
      <c r="H208" s="50"/>
    </row>
    <row r="209" spans="2:8" ht="15" customHeight="1" x14ac:dyDescent="0.25">
      <c r="B209" s="63"/>
      <c r="C209" s="64"/>
      <c r="D209" s="65"/>
      <c r="E209" s="65"/>
      <c r="F209" s="65"/>
      <c r="G209" s="66"/>
      <c r="H209" s="65"/>
    </row>
    <row r="210" spans="2:8" ht="15" customHeight="1" x14ac:dyDescent="0.25">
      <c r="B210" s="67"/>
      <c r="C210" s="49"/>
      <c r="D210" s="50"/>
      <c r="E210" s="50"/>
      <c r="F210" s="50"/>
      <c r="G210" s="51"/>
      <c r="H210" s="50"/>
    </row>
    <row r="211" spans="2:8" ht="15" customHeight="1" x14ac:dyDescent="0.25">
      <c r="B211" s="63"/>
      <c r="C211" s="64"/>
      <c r="D211" s="65"/>
      <c r="E211" s="65"/>
      <c r="F211" s="65"/>
      <c r="G211" s="66"/>
      <c r="H211" s="65"/>
    </row>
    <row r="212" spans="2:8" ht="15" customHeight="1" x14ac:dyDescent="0.25">
      <c r="B212" s="67"/>
      <c r="C212" s="49"/>
      <c r="D212" s="50"/>
      <c r="E212" s="50"/>
      <c r="F212" s="50"/>
      <c r="G212" s="51"/>
      <c r="H212" s="50"/>
    </row>
    <row r="213" spans="2:8" ht="15" customHeight="1" x14ac:dyDescent="0.25">
      <c r="B213" s="63"/>
      <c r="C213" s="64"/>
      <c r="D213" s="65"/>
      <c r="E213" s="65"/>
      <c r="F213" s="65"/>
      <c r="G213" s="66"/>
      <c r="H213" s="65"/>
    </row>
    <row r="214" spans="2:8" ht="15" customHeight="1" x14ac:dyDescent="0.25">
      <c r="B214" s="67"/>
      <c r="C214" s="49"/>
      <c r="D214" s="50"/>
      <c r="E214" s="50"/>
      <c r="F214" s="50"/>
      <c r="G214" s="51"/>
      <c r="H214" s="50"/>
    </row>
    <row r="215" spans="2:8" ht="15" customHeight="1" x14ac:dyDescent="0.25">
      <c r="B215" s="63"/>
      <c r="C215" s="64"/>
      <c r="D215" s="65"/>
      <c r="E215" s="65"/>
      <c r="F215" s="65"/>
      <c r="G215" s="66"/>
      <c r="H215" s="65"/>
    </row>
    <row r="216" spans="2:8" ht="15" customHeight="1" x14ac:dyDescent="0.25">
      <c r="B216" s="67"/>
      <c r="C216" s="49"/>
      <c r="D216" s="50"/>
      <c r="E216" s="50"/>
      <c r="F216" s="50"/>
      <c r="G216" s="51"/>
      <c r="H216" s="50"/>
    </row>
    <row r="217" spans="2:8" ht="15" customHeight="1" x14ac:dyDescent="0.25">
      <c r="B217" s="63"/>
      <c r="C217" s="64"/>
      <c r="D217" s="65"/>
      <c r="E217" s="65"/>
      <c r="F217" s="65"/>
      <c r="G217" s="66"/>
      <c r="H217" s="65"/>
    </row>
    <row r="218" spans="2:8" ht="15" customHeight="1" x14ac:dyDescent="0.25">
      <c r="B218" s="67"/>
      <c r="C218" s="49"/>
      <c r="D218" s="50"/>
      <c r="E218" s="50"/>
      <c r="F218" s="50"/>
      <c r="G218" s="51"/>
      <c r="H218" s="50"/>
    </row>
    <row r="219" spans="2:8" ht="15" customHeight="1" x14ac:dyDescent="0.25">
      <c r="B219" s="63"/>
      <c r="C219" s="64"/>
      <c r="D219" s="65"/>
      <c r="E219" s="65"/>
      <c r="F219" s="65"/>
      <c r="G219" s="66"/>
      <c r="H219" s="65"/>
    </row>
    <row r="220" spans="2:8" ht="15" customHeight="1" x14ac:dyDescent="0.25">
      <c r="B220" s="67"/>
      <c r="C220" s="49"/>
      <c r="D220" s="50"/>
      <c r="E220" s="50"/>
      <c r="F220" s="50"/>
      <c r="G220" s="51"/>
      <c r="H220" s="50"/>
    </row>
    <row r="221" spans="2:8" ht="15" customHeight="1" x14ac:dyDescent="0.25">
      <c r="B221" s="63"/>
      <c r="C221" s="64"/>
      <c r="D221" s="65"/>
      <c r="E221" s="65"/>
      <c r="F221" s="65"/>
      <c r="G221" s="66"/>
      <c r="H221" s="65"/>
    </row>
    <row r="222" spans="2:8" ht="15" customHeight="1" x14ac:dyDescent="0.25">
      <c r="B222" s="68"/>
      <c r="C222" s="68"/>
      <c r="D222" s="68"/>
      <c r="E222" s="68"/>
      <c r="F222" s="68"/>
      <c r="G222" s="69"/>
      <c r="H222" s="68"/>
    </row>
    <row r="223" spans="2:8" ht="15" customHeight="1" x14ac:dyDescent="0.25">
      <c r="B223" s="68"/>
      <c r="C223" s="68"/>
      <c r="D223" s="68"/>
      <c r="E223" s="68"/>
      <c r="F223" s="68"/>
      <c r="G223" s="69"/>
      <c r="H223" s="68"/>
    </row>
    <row r="224" spans="2:8" ht="15" customHeight="1" x14ac:dyDescent="0.25">
      <c r="B224" s="68"/>
      <c r="C224" s="68"/>
      <c r="D224" s="68"/>
      <c r="E224" s="68"/>
      <c r="F224" s="68"/>
      <c r="G224" s="69"/>
      <c r="H224" s="68"/>
    </row>
    <row r="225" spans="2:8" ht="15" customHeight="1" x14ac:dyDescent="0.25">
      <c r="B225" s="68"/>
      <c r="C225" s="68"/>
      <c r="D225" s="68"/>
      <c r="E225" s="68"/>
      <c r="F225" s="68"/>
      <c r="G225" s="69"/>
      <c r="H225" s="68"/>
    </row>
    <row r="226" spans="2:8" ht="15" customHeight="1" x14ac:dyDescent="0.25">
      <c r="B226" s="68"/>
      <c r="C226" s="68"/>
      <c r="D226" s="68"/>
      <c r="E226" s="68"/>
      <c r="F226" s="68"/>
      <c r="G226" s="69"/>
      <c r="H226" s="68"/>
    </row>
    <row r="227" spans="2:8" ht="15" customHeight="1" x14ac:dyDescent="0.25">
      <c r="B227" s="68"/>
      <c r="C227" s="68"/>
      <c r="D227" s="68"/>
      <c r="E227" s="68"/>
      <c r="F227" s="68"/>
      <c r="G227" s="69"/>
      <c r="H227" s="68"/>
    </row>
    <row r="228" spans="2:8" ht="15" customHeight="1" x14ac:dyDescent="0.25">
      <c r="B228" s="68"/>
      <c r="C228" s="68"/>
      <c r="D228" s="68"/>
      <c r="E228" s="68"/>
      <c r="F228" s="68"/>
      <c r="G228" s="69"/>
      <c r="H228" s="68"/>
    </row>
    <row r="229" spans="2:8" ht="15" customHeight="1" x14ac:dyDescent="0.25">
      <c r="B229" s="68"/>
      <c r="C229" s="68"/>
      <c r="D229" s="68"/>
      <c r="E229" s="68"/>
      <c r="F229" s="68"/>
      <c r="G229" s="69"/>
      <c r="H229" s="68"/>
    </row>
    <row r="230" spans="2:8" ht="15" customHeight="1" x14ac:dyDescent="0.25">
      <c r="B230" s="68"/>
      <c r="C230" s="68"/>
      <c r="D230" s="68"/>
      <c r="E230" s="68"/>
      <c r="F230" s="68"/>
      <c r="G230" s="69"/>
      <c r="H230" s="68"/>
    </row>
    <row r="231" spans="2:8" ht="15" customHeight="1" x14ac:dyDescent="0.25">
      <c r="B231" s="68"/>
      <c r="C231" s="68"/>
      <c r="D231" s="68"/>
      <c r="E231" s="68"/>
      <c r="F231" s="68"/>
      <c r="G231" s="69"/>
      <c r="H231" s="68"/>
    </row>
    <row r="232" spans="2:8" ht="15" customHeight="1" x14ac:dyDescent="0.25">
      <c r="B232" s="68"/>
      <c r="C232" s="68"/>
      <c r="D232" s="68"/>
      <c r="E232" s="68"/>
      <c r="F232" s="68"/>
      <c r="G232" s="69"/>
      <c r="H232" s="68"/>
    </row>
    <row r="233" spans="2:8" ht="15" customHeight="1" x14ac:dyDescent="0.25">
      <c r="B233" s="68"/>
      <c r="C233" s="68"/>
      <c r="D233" s="68"/>
      <c r="E233" s="68"/>
      <c r="F233" s="68"/>
      <c r="G233" s="69"/>
      <c r="H233" s="68"/>
    </row>
    <row r="234" spans="2:8" ht="15" customHeight="1" x14ac:dyDescent="0.25">
      <c r="B234" s="68"/>
      <c r="C234" s="68"/>
      <c r="D234" s="68"/>
      <c r="E234" s="68"/>
      <c r="F234" s="68"/>
      <c r="G234" s="69"/>
      <c r="H234" s="68"/>
    </row>
    <row r="235" spans="2:8" ht="15" customHeight="1" x14ac:dyDescent="0.25">
      <c r="B235" s="68"/>
      <c r="C235" s="68"/>
      <c r="D235" s="68"/>
      <c r="E235" s="68"/>
      <c r="F235" s="68"/>
      <c r="G235" s="69"/>
      <c r="H235" s="68"/>
    </row>
    <row r="236" spans="2:8" ht="15" customHeight="1" x14ac:dyDescent="0.25">
      <c r="B236" s="68"/>
      <c r="C236" s="68"/>
      <c r="D236" s="68"/>
      <c r="E236" s="68"/>
      <c r="F236" s="68"/>
      <c r="G236" s="69"/>
      <c r="H236" s="68"/>
    </row>
    <row r="237" spans="2:8" ht="15" customHeight="1" x14ac:dyDescent="0.25">
      <c r="B237" s="68"/>
      <c r="C237" s="68"/>
      <c r="D237" s="68"/>
      <c r="E237" s="68"/>
      <c r="F237" s="68"/>
      <c r="G237" s="69"/>
      <c r="H237" s="68"/>
    </row>
    <row r="238" spans="2:8" ht="15" customHeight="1" x14ac:dyDescent="0.25">
      <c r="B238" s="15"/>
      <c r="C238" s="15"/>
      <c r="D238" s="15"/>
      <c r="E238" s="15"/>
      <c r="F238" s="15"/>
      <c r="G238" s="16"/>
      <c r="H238" s="15"/>
    </row>
    <row r="239" spans="2:8" ht="15" customHeight="1" x14ac:dyDescent="0.25">
      <c r="B239" s="15"/>
      <c r="C239" s="15"/>
      <c r="D239" s="15"/>
      <c r="E239" s="15"/>
      <c r="F239" s="15"/>
      <c r="G239" s="16"/>
      <c r="H239" s="15"/>
    </row>
    <row r="240" spans="2:8" ht="15" customHeight="1" x14ac:dyDescent="0.25">
      <c r="B240" s="15"/>
      <c r="C240" s="15"/>
      <c r="D240" s="15"/>
      <c r="E240" s="15"/>
      <c r="F240" s="15"/>
      <c r="G240" s="16"/>
      <c r="H240" s="15"/>
    </row>
    <row r="241" spans="2:8" ht="15" customHeight="1" x14ac:dyDescent="0.25">
      <c r="B241" s="15"/>
      <c r="C241" s="15"/>
      <c r="D241" s="15"/>
      <c r="E241" s="15"/>
      <c r="F241" s="15"/>
      <c r="G241" s="16"/>
      <c r="H241" s="15"/>
    </row>
    <row r="242" spans="2:8" ht="15" customHeight="1" x14ac:dyDescent="0.25">
      <c r="B242" s="15"/>
      <c r="C242" s="15"/>
      <c r="D242" s="15"/>
      <c r="E242" s="15"/>
      <c r="F242" s="15"/>
      <c r="G242" s="16"/>
      <c r="H242" s="15"/>
    </row>
    <row r="243" spans="2:8" ht="15" customHeight="1" x14ac:dyDescent="0.25">
      <c r="B243" s="15"/>
      <c r="C243" s="15"/>
      <c r="D243" s="15"/>
      <c r="E243" s="15"/>
      <c r="F243" s="15"/>
      <c r="G243" s="16"/>
      <c r="H243" s="15"/>
    </row>
    <row r="244" spans="2:8" ht="15" customHeight="1" x14ac:dyDescent="0.25">
      <c r="B244" s="15"/>
      <c r="C244" s="15"/>
      <c r="D244" s="15"/>
      <c r="E244" s="15"/>
      <c r="F244" s="15"/>
      <c r="G244" s="16"/>
      <c r="H244" s="15"/>
    </row>
    <row r="245" spans="2:8" ht="15" customHeight="1" x14ac:dyDescent="0.25">
      <c r="B245" s="15"/>
      <c r="C245" s="15"/>
      <c r="D245" s="15"/>
      <c r="E245" s="15"/>
      <c r="F245" s="15"/>
      <c r="G245" s="16"/>
      <c r="H245" s="15"/>
    </row>
    <row r="246" spans="2:8" ht="15" customHeight="1" x14ac:dyDescent="0.25">
      <c r="B246" s="15"/>
      <c r="C246" s="15"/>
      <c r="D246" s="15"/>
      <c r="E246" s="15"/>
      <c r="F246" s="15"/>
      <c r="G246" s="16"/>
      <c r="H246" s="15"/>
    </row>
    <row r="247" spans="2:8" ht="15" customHeight="1" x14ac:dyDescent="0.25">
      <c r="B247" s="15"/>
      <c r="C247" s="15"/>
      <c r="D247" s="15"/>
      <c r="E247" s="15"/>
      <c r="F247" s="15"/>
      <c r="G247" s="16"/>
      <c r="H247" s="15"/>
    </row>
    <row r="248" spans="2:8" ht="15" customHeight="1" x14ac:dyDescent="0.25">
      <c r="B248" s="15"/>
      <c r="C248" s="15"/>
      <c r="D248" s="15"/>
      <c r="E248" s="15"/>
      <c r="F248" s="15"/>
      <c r="G248" s="16"/>
      <c r="H248" s="15"/>
    </row>
    <row r="249" spans="2:8" ht="15" customHeight="1" x14ac:dyDescent="0.25">
      <c r="B249" s="15"/>
      <c r="C249" s="15"/>
      <c r="D249" s="15"/>
      <c r="E249" s="15"/>
      <c r="F249" s="15"/>
      <c r="G249" s="16"/>
      <c r="H249" s="15"/>
    </row>
    <row r="250" spans="2:8" ht="15" customHeight="1" x14ac:dyDescent="0.25">
      <c r="B250" s="15"/>
      <c r="C250" s="15"/>
      <c r="D250" s="15"/>
      <c r="E250" s="15"/>
      <c r="F250" s="15"/>
      <c r="G250" s="16"/>
      <c r="H250" s="15"/>
    </row>
    <row r="251" spans="2:8" ht="15" customHeight="1" x14ac:dyDescent="0.25">
      <c r="B251" s="15"/>
      <c r="C251" s="15"/>
      <c r="D251" s="15"/>
      <c r="E251" s="15"/>
      <c r="F251" s="15"/>
      <c r="G251" s="16"/>
      <c r="H251" s="15"/>
    </row>
  </sheetData>
  <mergeCells count="2">
    <mergeCell ref="B2:H2"/>
    <mergeCell ref="B3:H3"/>
  </mergeCells>
  <dataValidations count="2">
    <dataValidation type="list" allowBlank="1" sqref="D6:D605" xr:uid="{00000000-0002-0000-0300-000000000000}">
      <formula1>"Enero,Febrero,Marzo,Abril,Mayo,Junio,Julio,Agosto,Septiembre,Octubre,Noviembre,Diciembre"</formula1>
      <formula2>0</formula2>
    </dataValidation>
    <dataValidation type="list" allowBlank="1" showErrorMessage="1" errorTitle="Valor no válido" error="Elige un valor de la lista (defínelo en la hoja Configuración)." prompt="Selecciona de la lista" sqref="E6:E605" xr:uid="{00000000-0002-0000-0300-000001000000}">
      <formula1>LISTA_CATGASTO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4A5A"/>
  </sheetPr>
  <dimension ref="B2:P31"/>
  <sheetViews>
    <sheetView zoomScale="85" zoomScaleNormal="85" workbookViewId="0">
      <pane xSplit="2" ySplit="8" topLeftCell="C9" activePane="bottomRight" state="frozen"/>
      <selection activeCell="B2" sqref="B2"/>
      <selection pane="topRight" activeCell="B2" sqref="B2"/>
      <selection pane="bottomLeft" activeCell="B2" sqref="B2"/>
      <selection pane="bottomRight" activeCell="R17" sqref="R17:V23"/>
    </sheetView>
  </sheetViews>
  <sheetFormatPr baseColWidth="10" defaultColWidth="8.5703125" defaultRowHeight="15" x14ac:dyDescent="0.25"/>
  <cols>
    <col min="1" max="1" width="3" customWidth="1"/>
    <col min="2" max="2" width="22" customWidth="1"/>
    <col min="3" max="3" width="11" customWidth="1"/>
    <col min="4" max="4" width="13.5703125" customWidth="1"/>
    <col min="5" max="14" width="11" customWidth="1"/>
    <col min="15" max="15" width="15" customWidth="1"/>
    <col min="16" max="16" width="13" customWidth="1"/>
  </cols>
  <sheetData>
    <row r="2" spans="2:16" ht="28.5" customHeight="1" x14ac:dyDescent="0.25">
      <c r="B2" s="47" t="s">
        <v>80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ht="15" customHeight="1" x14ac:dyDescent="0.25">
      <c r="B3" s="40" t="s">
        <v>81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5" spans="2:16" ht="36.75" customHeight="1" x14ac:dyDescent="0.25">
      <c r="B5" s="17" t="s">
        <v>82</v>
      </c>
      <c r="C5" s="18">
        <f>Dashboard!$D$3</f>
        <v>2025</v>
      </c>
      <c r="D5" s="72" t="s">
        <v>83</v>
      </c>
      <c r="E5" s="73"/>
      <c r="F5" s="73"/>
    </row>
    <row r="7" spans="2:16" ht="6" customHeight="1" x14ac:dyDescent="0.25"/>
    <row r="8" spans="2:16" ht="21.75" customHeight="1" x14ac:dyDescent="0.25">
      <c r="B8" s="39" t="s">
        <v>84</v>
      </c>
      <c r="C8" s="39" t="s">
        <v>85</v>
      </c>
      <c r="D8" s="39" t="s">
        <v>86</v>
      </c>
      <c r="E8" s="39" t="s">
        <v>87</v>
      </c>
      <c r="F8" s="39" t="s">
        <v>88</v>
      </c>
      <c r="G8" s="39" t="s">
        <v>89</v>
      </c>
      <c r="H8" s="39" t="s">
        <v>90</v>
      </c>
      <c r="I8" s="39" t="s">
        <v>91</v>
      </c>
      <c r="J8" s="39" t="s">
        <v>92</v>
      </c>
      <c r="K8" s="39" t="s">
        <v>93</v>
      </c>
      <c r="L8" s="39" t="s">
        <v>94</v>
      </c>
      <c r="M8" s="39" t="s">
        <v>95</v>
      </c>
      <c r="N8" s="39" t="s">
        <v>96</v>
      </c>
      <c r="O8" s="39" t="s">
        <v>97</v>
      </c>
      <c r="P8" s="39" t="s">
        <v>98</v>
      </c>
    </row>
    <row r="9" spans="2:16" ht="18" customHeight="1" x14ac:dyDescent="0.25">
      <c r="B9" s="74" t="s">
        <v>99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2:16" ht="18" customHeight="1" x14ac:dyDescent="0.25">
      <c r="B10" s="75" t="str">
        <f>Configuración!$B$6</f>
        <v>Producto A</v>
      </c>
      <c r="C10" s="76">
        <f>SUMIFS('Datos Ventas'!$I$6:$I$605,'Datos Ventas'!$E$6:$E$605,$B10,'Datos Ventas'!$D$6:$D$605,"Enero",'Datos Ventas'!$C$6:$C$605,$C$5)</f>
        <v>425000</v>
      </c>
      <c r="D10" s="76">
        <f>SUMIFS('Datos Ventas'!$I$6:$I$605,'Datos Ventas'!$E$6:$E$605,$B10,'Datos Ventas'!$D$6:$D$605,"Febrero",'Datos Ventas'!$C$6:$C$605,$C$5)</f>
        <v>0</v>
      </c>
      <c r="E10" s="76">
        <f>SUMIFS('Datos Ventas'!$I$6:$I$605,'Datos Ventas'!$E$6:$E$605,$B10,'Datos Ventas'!$D$6:$D$605,"Marzo",'Datos Ventas'!$C$6:$C$605,$C$5)</f>
        <v>0</v>
      </c>
      <c r="F10" s="76">
        <f>SUMIFS('Datos Ventas'!$I$6:$I$605,'Datos Ventas'!$E$6:$E$605,$B10,'Datos Ventas'!$D$6:$D$605,"Abril",'Datos Ventas'!$C$6:$C$605,$C$5)</f>
        <v>0</v>
      </c>
      <c r="G10" s="76">
        <f>SUMIFS('Datos Ventas'!$I$6:$I$605,'Datos Ventas'!$E$6:$E$605,$B10,'Datos Ventas'!$D$6:$D$605,"Mayo",'Datos Ventas'!$C$6:$C$605,$C$5)</f>
        <v>0</v>
      </c>
      <c r="H10" s="76">
        <f>SUMIFS('Datos Ventas'!$I$6:$I$605,'Datos Ventas'!$E$6:$E$605,$B10,'Datos Ventas'!$D$6:$D$605,"Junio",'Datos Ventas'!$C$6:$C$605,$C$5)</f>
        <v>0</v>
      </c>
      <c r="I10" s="76">
        <f>SUMIFS('Datos Ventas'!$I$6:$I$605,'Datos Ventas'!$E$6:$E$605,$B10,'Datos Ventas'!$D$6:$D$605,"Julio",'Datos Ventas'!$C$6:$C$605,$C$5)</f>
        <v>0</v>
      </c>
      <c r="J10" s="76">
        <f>SUMIFS('Datos Ventas'!$I$6:$I$605,'Datos Ventas'!$E$6:$E$605,$B10,'Datos Ventas'!$D$6:$D$605,"Agosto",'Datos Ventas'!$C$6:$C$605,$C$5)</f>
        <v>0</v>
      </c>
      <c r="K10" s="76">
        <f>SUMIFS('Datos Ventas'!$I$6:$I$605,'Datos Ventas'!$E$6:$E$605,$B10,'Datos Ventas'!$D$6:$D$605,"Septiembre",'Datos Ventas'!$C$6:$C$605,$C$5)</f>
        <v>0</v>
      </c>
      <c r="L10" s="76">
        <f>SUMIFS('Datos Ventas'!$I$6:$I$605,'Datos Ventas'!$E$6:$E$605,$B10,'Datos Ventas'!$D$6:$D$605,"Octubre",'Datos Ventas'!$C$6:$C$605,$C$5)</f>
        <v>0</v>
      </c>
      <c r="M10" s="76">
        <f>SUMIFS('Datos Ventas'!$I$6:$I$605,'Datos Ventas'!$E$6:$E$605,$B10,'Datos Ventas'!$D$6:$D$605,"Noviembre",'Datos Ventas'!$C$6:$C$605,$C$5)</f>
        <v>0</v>
      </c>
      <c r="N10" s="76">
        <f>SUMIFS('Datos Ventas'!$I$6:$I$605,'Datos Ventas'!$E$6:$E$605,$B10,'Datos Ventas'!$D$6:$D$605,"Diciembre",'Datos Ventas'!$C$6:$C$605,$C$5)</f>
        <v>0</v>
      </c>
      <c r="O10" s="77">
        <f>SUM(C10:N10)</f>
        <v>425000</v>
      </c>
      <c r="P10" s="78">
        <f>IF(O15=0,0,O10/O15)</f>
        <v>0.2982456140350877</v>
      </c>
    </row>
    <row r="11" spans="2:16" ht="18" customHeight="1" x14ac:dyDescent="0.25">
      <c r="B11" s="79" t="str">
        <f>Configuración!$B$7</f>
        <v>Producto B</v>
      </c>
      <c r="C11" s="80">
        <f>SUMIFS('Datos Ventas'!$I$6:$I$605,'Datos Ventas'!$E$6:$E$605,$B11,'Datos Ventas'!$D$6:$D$605,"Enero",'Datos Ventas'!$C$6:$C$605,$C$5)</f>
        <v>0</v>
      </c>
      <c r="D11" s="80">
        <f>SUMIFS('Datos Ventas'!$I$6:$I$605,'Datos Ventas'!$E$6:$E$605,$B11,'Datos Ventas'!$D$6:$D$605,"Febrero",'Datos Ventas'!$C$6:$C$605,$C$5)</f>
        <v>475000</v>
      </c>
      <c r="E11" s="80">
        <f>SUMIFS('Datos Ventas'!$I$6:$I$605,'Datos Ventas'!$E$6:$E$605,$B11,'Datos Ventas'!$D$6:$D$605,"Marzo",'Datos Ventas'!$C$6:$C$605,$C$5)</f>
        <v>0</v>
      </c>
      <c r="F11" s="80">
        <f>SUMIFS('Datos Ventas'!$I$6:$I$605,'Datos Ventas'!$E$6:$E$605,$B11,'Datos Ventas'!$D$6:$D$605,"Abril",'Datos Ventas'!$C$6:$C$605,$C$5)</f>
        <v>0</v>
      </c>
      <c r="G11" s="80">
        <f>SUMIFS('Datos Ventas'!$I$6:$I$605,'Datos Ventas'!$E$6:$E$605,$B11,'Datos Ventas'!$D$6:$D$605,"Mayo",'Datos Ventas'!$C$6:$C$605,$C$5)</f>
        <v>0</v>
      </c>
      <c r="H11" s="80">
        <f>SUMIFS('Datos Ventas'!$I$6:$I$605,'Datos Ventas'!$E$6:$E$605,$B11,'Datos Ventas'!$D$6:$D$605,"Junio",'Datos Ventas'!$C$6:$C$605,$C$5)</f>
        <v>0</v>
      </c>
      <c r="I11" s="80">
        <f>SUMIFS('Datos Ventas'!$I$6:$I$605,'Datos Ventas'!$E$6:$E$605,$B11,'Datos Ventas'!$D$6:$D$605,"Julio",'Datos Ventas'!$C$6:$C$605,$C$5)</f>
        <v>0</v>
      </c>
      <c r="J11" s="80">
        <f>SUMIFS('Datos Ventas'!$I$6:$I$605,'Datos Ventas'!$E$6:$E$605,$B11,'Datos Ventas'!$D$6:$D$605,"Agosto",'Datos Ventas'!$C$6:$C$605,$C$5)</f>
        <v>0</v>
      </c>
      <c r="K11" s="80">
        <f>SUMIFS('Datos Ventas'!$I$6:$I$605,'Datos Ventas'!$E$6:$E$605,$B11,'Datos Ventas'!$D$6:$D$605,"Septiembre",'Datos Ventas'!$C$6:$C$605,$C$5)</f>
        <v>0</v>
      </c>
      <c r="L11" s="80">
        <f>SUMIFS('Datos Ventas'!$I$6:$I$605,'Datos Ventas'!$E$6:$E$605,$B11,'Datos Ventas'!$D$6:$D$605,"Octubre",'Datos Ventas'!$C$6:$C$605,$C$5)</f>
        <v>0</v>
      </c>
      <c r="M11" s="80">
        <f>SUMIFS('Datos Ventas'!$I$6:$I$605,'Datos Ventas'!$E$6:$E$605,$B11,'Datos Ventas'!$D$6:$D$605,"Noviembre",'Datos Ventas'!$C$6:$C$605,$C$5)</f>
        <v>0</v>
      </c>
      <c r="N11" s="80">
        <f>SUMIFS('Datos Ventas'!$I$6:$I$605,'Datos Ventas'!$E$6:$E$605,$B11,'Datos Ventas'!$D$6:$D$605,"Diciembre",'Datos Ventas'!$C$6:$C$605,$C$5)</f>
        <v>0</v>
      </c>
      <c r="O11" s="77">
        <f>SUM(C11:N11)</f>
        <v>475000</v>
      </c>
      <c r="P11" s="78">
        <f>IF(O15=0,0,O11/O15)</f>
        <v>0.33333333333333331</v>
      </c>
    </row>
    <row r="12" spans="2:16" ht="18" customHeight="1" x14ac:dyDescent="0.25">
      <c r="B12" s="75" t="str">
        <f>Configuración!$B$8</f>
        <v>Producto C</v>
      </c>
      <c r="C12" s="76">
        <f>SUMIFS('Datos Ventas'!$I$6:$I$605,'Datos Ventas'!$E$6:$E$605,$B12,'Datos Ventas'!$D$6:$D$605,"Enero",'Datos Ventas'!$C$6:$C$605,$C$5)</f>
        <v>0</v>
      </c>
      <c r="D12" s="76">
        <f>SUMIFS('Datos Ventas'!$I$6:$I$605,'Datos Ventas'!$E$6:$E$605,$B12,'Datos Ventas'!$D$6:$D$605,"Febrero",'Datos Ventas'!$C$6:$C$605,$C$5)</f>
        <v>0</v>
      </c>
      <c r="E12" s="76">
        <f>SUMIFS('Datos Ventas'!$I$6:$I$605,'Datos Ventas'!$E$6:$E$605,$B12,'Datos Ventas'!$D$6:$D$605,"Marzo",'Datos Ventas'!$C$6:$C$605,$C$5)</f>
        <v>525000</v>
      </c>
      <c r="F12" s="76">
        <f>SUMIFS('Datos Ventas'!$I$6:$I$605,'Datos Ventas'!$E$6:$E$605,$B12,'Datos Ventas'!$D$6:$D$605,"Abril",'Datos Ventas'!$C$6:$C$605,$C$5)</f>
        <v>0</v>
      </c>
      <c r="G12" s="76">
        <f>SUMIFS('Datos Ventas'!$I$6:$I$605,'Datos Ventas'!$E$6:$E$605,$B12,'Datos Ventas'!$D$6:$D$605,"Mayo",'Datos Ventas'!$C$6:$C$605,$C$5)</f>
        <v>0</v>
      </c>
      <c r="H12" s="76">
        <f>SUMIFS('Datos Ventas'!$I$6:$I$605,'Datos Ventas'!$E$6:$E$605,$B12,'Datos Ventas'!$D$6:$D$605,"Junio",'Datos Ventas'!$C$6:$C$605,$C$5)</f>
        <v>0</v>
      </c>
      <c r="I12" s="76">
        <f>SUMIFS('Datos Ventas'!$I$6:$I$605,'Datos Ventas'!$E$6:$E$605,$B12,'Datos Ventas'!$D$6:$D$605,"Julio",'Datos Ventas'!$C$6:$C$605,$C$5)</f>
        <v>0</v>
      </c>
      <c r="J12" s="76">
        <f>SUMIFS('Datos Ventas'!$I$6:$I$605,'Datos Ventas'!$E$6:$E$605,$B12,'Datos Ventas'!$D$6:$D$605,"Agosto",'Datos Ventas'!$C$6:$C$605,$C$5)</f>
        <v>0</v>
      </c>
      <c r="K12" s="76">
        <f>SUMIFS('Datos Ventas'!$I$6:$I$605,'Datos Ventas'!$E$6:$E$605,$B12,'Datos Ventas'!$D$6:$D$605,"Septiembre",'Datos Ventas'!$C$6:$C$605,$C$5)</f>
        <v>0</v>
      </c>
      <c r="L12" s="76">
        <f>SUMIFS('Datos Ventas'!$I$6:$I$605,'Datos Ventas'!$E$6:$E$605,$B12,'Datos Ventas'!$D$6:$D$605,"Octubre",'Datos Ventas'!$C$6:$C$605,$C$5)</f>
        <v>0</v>
      </c>
      <c r="M12" s="76">
        <f>SUMIFS('Datos Ventas'!$I$6:$I$605,'Datos Ventas'!$E$6:$E$605,$B12,'Datos Ventas'!$D$6:$D$605,"Noviembre",'Datos Ventas'!$C$6:$C$605,$C$5)</f>
        <v>0</v>
      </c>
      <c r="N12" s="76">
        <f>SUMIFS('Datos Ventas'!$I$6:$I$605,'Datos Ventas'!$E$6:$E$605,$B12,'Datos Ventas'!$D$6:$D$605,"Diciembre",'Datos Ventas'!$C$6:$C$605,$C$5)</f>
        <v>0</v>
      </c>
      <c r="O12" s="77">
        <f>SUM(C12:N12)</f>
        <v>525000</v>
      </c>
      <c r="P12" s="78">
        <f>IF(O15=0,0,O12/O15)</f>
        <v>0.36842105263157893</v>
      </c>
    </row>
    <row r="13" spans="2:16" ht="18" customHeight="1" x14ac:dyDescent="0.25">
      <c r="B13" s="79" t="str">
        <f>Configuración!$B$9</f>
        <v>Producto D</v>
      </c>
      <c r="C13" s="80">
        <f>SUMIFS('Datos Ventas'!$I$6:$I$605,'Datos Ventas'!$E$6:$E$605,$B13,'Datos Ventas'!$D$6:$D$605,"Enero",'Datos Ventas'!$C$6:$C$605,$C$5)</f>
        <v>0</v>
      </c>
      <c r="D13" s="80">
        <f>SUMIFS('Datos Ventas'!$I$6:$I$605,'Datos Ventas'!$E$6:$E$605,$B13,'Datos Ventas'!$D$6:$D$605,"Febrero",'Datos Ventas'!$C$6:$C$605,$C$5)</f>
        <v>0</v>
      </c>
      <c r="E13" s="80">
        <f>SUMIFS('Datos Ventas'!$I$6:$I$605,'Datos Ventas'!$E$6:$E$605,$B13,'Datos Ventas'!$D$6:$D$605,"Marzo",'Datos Ventas'!$C$6:$C$605,$C$5)</f>
        <v>0</v>
      </c>
      <c r="F13" s="80">
        <f>SUMIFS('Datos Ventas'!$I$6:$I$605,'Datos Ventas'!$E$6:$E$605,$B13,'Datos Ventas'!$D$6:$D$605,"Abril",'Datos Ventas'!$C$6:$C$605,$C$5)</f>
        <v>0</v>
      </c>
      <c r="G13" s="80">
        <f>SUMIFS('Datos Ventas'!$I$6:$I$605,'Datos Ventas'!$E$6:$E$605,$B13,'Datos Ventas'!$D$6:$D$605,"Mayo",'Datos Ventas'!$C$6:$C$605,$C$5)</f>
        <v>0</v>
      </c>
      <c r="H13" s="80">
        <f>SUMIFS('Datos Ventas'!$I$6:$I$605,'Datos Ventas'!$E$6:$E$605,$B13,'Datos Ventas'!$D$6:$D$605,"Junio",'Datos Ventas'!$C$6:$C$605,$C$5)</f>
        <v>0</v>
      </c>
      <c r="I13" s="80">
        <f>SUMIFS('Datos Ventas'!$I$6:$I$605,'Datos Ventas'!$E$6:$E$605,$B13,'Datos Ventas'!$D$6:$D$605,"Julio",'Datos Ventas'!$C$6:$C$605,$C$5)</f>
        <v>0</v>
      </c>
      <c r="J13" s="80">
        <f>SUMIFS('Datos Ventas'!$I$6:$I$605,'Datos Ventas'!$E$6:$E$605,$B13,'Datos Ventas'!$D$6:$D$605,"Agosto",'Datos Ventas'!$C$6:$C$605,$C$5)</f>
        <v>0</v>
      </c>
      <c r="K13" s="80">
        <f>SUMIFS('Datos Ventas'!$I$6:$I$605,'Datos Ventas'!$E$6:$E$605,$B13,'Datos Ventas'!$D$6:$D$605,"Septiembre",'Datos Ventas'!$C$6:$C$605,$C$5)</f>
        <v>0</v>
      </c>
      <c r="L13" s="80">
        <f>SUMIFS('Datos Ventas'!$I$6:$I$605,'Datos Ventas'!$E$6:$E$605,$B13,'Datos Ventas'!$D$6:$D$605,"Octubre",'Datos Ventas'!$C$6:$C$605,$C$5)</f>
        <v>0</v>
      </c>
      <c r="M13" s="80">
        <f>SUMIFS('Datos Ventas'!$I$6:$I$605,'Datos Ventas'!$E$6:$E$605,$B13,'Datos Ventas'!$D$6:$D$605,"Noviembre",'Datos Ventas'!$C$6:$C$605,$C$5)</f>
        <v>0</v>
      </c>
      <c r="N13" s="80">
        <f>SUMIFS('Datos Ventas'!$I$6:$I$605,'Datos Ventas'!$E$6:$E$605,$B13,'Datos Ventas'!$D$6:$D$605,"Diciembre",'Datos Ventas'!$C$6:$C$605,$C$5)</f>
        <v>0</v>
      </c>
      <c r="O13" s="77">
        <f>SUM(C13:N13)</f>
        <v>0</v>
      </c>
      <c r="P13" s="78">
        <f>IF(O15=0,0,O13/O15)</f>
        <v>0</v>
      </c>
    </row>
    <row r="14" spans="2:16" ht="18" customHeight="1" x14ac:dyDescent="0.25">
      <c r="B14" s="75" t="str">
        <f>Configuración!$B$10</f>
        <v>Producto E</v>
      </c>
      <c r="C14" s="76">
        <f>SUMIFS('Datos Ventas'!$I$6:$I$605,'Datos Ventas'!$E$6:$E$605,$B14,'Datos Ventas'!$D$6:$D$605,"Enero",'Datos Ventas'!$C$6:$C$605,$C$5)</f>
        <v>0</v>
      </c>
      <c r="D14" s="76">
        <f>SUMIFS('Datos Ventas'!$I$6:$I$605,'Datos Ventas'!$E$6:$E$605,$B14,'Datos Ventas'!$D$6:$D$605,"Febrero",'Datos Ventas'!$C$6:$C$605,$C$5)</f>
        <v>0</v>
      </c>
      <c r="E14" s="76">
        <f>SUMIFS('Datos Ventas'!$I$6:$I$605,'Datos Ventas'!$E$6:$E$605,$B14,'Datos Ventas'!$D$6:$D$605,"Marzo",'Datos Ventas'!$C$6:$C$605,$C$5)</f>
        <v>0</v>
      </c>
      <c r="F14" s="76">
        <f>SUMIFS('Datos Ventas'!$I$6:$I$605,'Datos Ventas'!$E$6:$E$605,$B14,'Datos Ventas'!$D$6:$D$605,"Abril",'Datos Ventas'!$C$6:$C$605,$C$5)</f>
        <v>0</v>
      </c>
      <c r="G14" s="76">
        <f>SUMIFS('Datos Ventas'!$I$6:$I$605,'Datos Ventas'!$E$6:$E$605,$B14,'Datos Ventas'!$D$6:$D$605,"Mayo",'Datos Ventas'!$C$6:$C$605,$C$5)</f>
        <v>0</v>
      </c>
      <c r="H14" s="76">
        <f>SUMIFS('Datos Ventas'!$I$6:$I$605,'Datos Ventas'!$E$6:$E$605,$B14,'Datos Ventas'!$D$6:$D$605,"Junio",'Datos Ventas'!$C$6:$C$605,$C$5)</f>
        <v>0</v>
      </c>
      <c r="I14" s="76">
        <f>SUMIFS('Datos Ventas'!$I$6:$I$605,'Datos Ventas'!$E$6:$E$605,$B14,'Datos Ventas'!$D$6:$D$605,"Julio",'Datos Ventas'!$C$6:$C$605,$C$5)</f>
        <v>0</v>
      </c>
      <c r="J14" s="76">
        <f>SUMIFS('Datos Ventas'!$I$6:$I$605,'Datos Ventas'!$E$6:$E$605,$B14,'Datos Ventas'!$D$6:$D$605,"Agosto",'Datos Ventas'!$C$6:$C$605,$C$5)</f>
        <v>0</v>
      </c>
      <c r="K14" s="76">
        <f>SUMIFS('Datos Ventas'!$I$6:$I$605,'Datos Ventas'!$E$6:$E$605,$B14,'Datos Ventas'!$D$6:$D$605,"Septiembre",'Datos Ventas'!$C$6:$C$605,$C$5)</f>
        <v>0</v>
      </c>
      <c r="L14" s="76">
        <f>SUMIFS('Datos Ventas'!$I$6:$I$605,'Datos Ventas'!$E$6:$E$605,$B14,'Datos Ventas'!$D$6:$D$605,"Octubre",'Datos Ventas'!$C$6:$C$605,$C$5)</f>
        <v>0</v>
      </c>
      <c r="M14" s="76">
        <f>SUMIFS('Datos Ventas'!$I$6:$I$605,'Datos Ventas'!$E$6:$E$605,$B14,'Datos Ventas'!$D$6:$D$605,"Noviembre",'Datos Ventas'!$C$6:$C$605,$C$5)</f>
        <v>0</v>
      </c>
      <c r="N14" s="76">
        <f>SUMIFS('Datos Ventas'!$I$6:$I$605,'Datos Ventas'!$E$6:$E$605,$B14,'Datos Ventas'!$D$6:$D$605,"Diciembre",'Datos Ventas'!$C$6:$C$605,$C$5)</f>
        <v>0</v>
      </c>
      <c r="O14" s="77">
        <f>SUM(C14:N14)</f>
        <v>0</v>
      </c>
      <c r="P14" s="78">
        <f>IF(O15=0,0,O14/O15)</f>
        <v>0</v>
      </c>
    </row>
    <row r="15" spans="2:16" ht="19.5" customHeight="1" x14ac:dyDescent="0.25">
      <c r="B15" s="81" t="s">
        <v>100</v>
      </c>
      <c r="C15" s="82">
        <f t="shared" ref="C15:O15" si="0">SUM(C10:C14)</f>
        <v>425000</v>
      </c>
      <c r="D15" s="82">
        <f t="shared" si="0"/>
        <v>475000</v>
      </c>
      <c r="E15" s="82">
        <f t="shared" si="0"/>
        <v>525000</v>
      </c>
      <c r="F15" s="82">
        <f t="shared" si="0"/>
        <v>0</v>
      </c>
      <c r="G15" s="82">
        <f t="shared" si="0"/>
        <v>0</v>
      </c>
      <c r="H15" s="82">
        <f t="shared" si="0"/>
        <v>0</v>
      </c>
      <c r="I15" s="82">
        <f t="shared" si="0"/>
        <v>0</v>
      </c>
      <c r="J15" s="82">
        <f t="shared" si="0"/>
        <v>0</v>
      </c>
      <c r="K15" s="82">
        <f t="shared" si="0"/>
        <v>0</v>
      </c>
      <c r="L15" s="82">
        <f t="shared" si="0"/>
        <v>0</v>
      </c>
      <c r="M15" s="82">
        <f t="shared" si="0"/>
        <v>0</v>
      </c>
      <c r="N15" s="82">
        <f t="shared" si="0"/>
        <v>0</v>
      </c>
      <c r="O15" s="21">
        <f t="shared" si="0"/>
        <v>1425000</v>
      </c>
      <c r="P15" s="62"/>
    </row>
    <row r="17" spans="2:16" ht="18" customHeight="1" x14ac:dyDescent="0.25">
      <c r="B17" s="74" t="s">
        <v>101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</row>
    <row r="18" spans="2:16" ht="18" customHeight="1" x14ac:dyDescent="0.25">
      <c r="B18" s="75" t="str">
        <f>Configuración!$D$6</f>
        <v>Norte</v>
      </c>
      <c r="C18" s="76">
        <f>SUMIFS('Datos Ventas'!$I$6:$I$605,'Datos Ventas'!$F$6:$F$605,$B18,'Datos Ventas'!$D$6:$D$605,"Enero",'Datos Ventas'!$C$6:$C$605,$C$5)</f>
        <v>425000</v>
      </c>
      <c r="D18" s="76">
        <f>SUMIFS('Datos Ventas'!$I$6:$I$605,'Datos Ventas'!$F$6:$F$605,$B18,'Datos Ventas'!$D$6:$D$605,"Febrero",'Datos Ventas'!$C$6:$C$605,$C$5)</f>
        <v>0</v>
      </c>
      <c r="E18" s="76">
        <f>SUMIFS('Datos Ventas'!$I$6:$I$605,'Datos Ventas'!$F$6:$F$605,$B18,'Datos Ventas'!$D$6:$D$605,"Marzo",'Datos Ventas'!$C$6:$C$605,$C$5)</f>
        <v>0</v>
      </c>
      <c r="F18" s="76">
        <f>SUMIFS('Datos Ventas'!$I$6:$I$605,'Datos Ventas'!$F$6:$F$605,$B18,'Datos Ventas'!$D$6:$D$605,"Abril",'Datos Ventas'!$C$6:$C$605,$C$5)</f>
        <v>0</v>
      </c>
      <c r="G18" s="76">
        <f>SUMIFS('Datos Ventas'!$I$6:$I$605,'Datos Ventas'!$F$6:$F$605,$B18,'Datos Ventas'!$D$6:$D$605,"Mayo",'Datos Ventas'!$C$6:$C$605,$C$5)</f>
        <v>0</v>
      </c>
      <c r="H18" s="76">
        <f>SUMIFS('Datos Ventas'!$I$6:$I$605,'Datos Ventas'!$F$6:$F$605,$B18,'Datos Ventas'!$D$6:$D$605,"Junio",'Datos Ventas'!$C$6:$C$605,$C$5)</f>
        <v>0</v>
      </c>
      <c r="I18" s="76">
        <f>SUMIFS('Datos Ventas'!$I$6:$I$605,'Datos Ventas'!$F$6:$F$605,$B18,'Datos Ventas'!$D$6:$D$605,"Julio",'Datos Ventas'!$C$6:$C$605,$C$5)</f>
        <v>0</v>
      </c>
      <c r="J18" s="76">
        <f>SUMIFS('Datos Ventas'!$I$6:$I$605,'Datos Ventas'!$F$6:$F$605,$B18,'Datos Ventas'!$D$6:$D$605,"Agosto",'Datos Ventas'!$C$6:$C$605,$C$5)</f>
        <v>0</v>
      </c>
      <c r="K18" s="76">
        <f>SUMIFS('Datos Ventas'!$I$6:$I$605,'Datos Ventas'!$F$6:$F$605,$B18,'Datos Ventas'!$D$6:$D$605,"Septiembre",'Datos Ventas'!$C$6:$C$605,$C$5)</f>
        <v>0</v>
      </c>
      <c r="L18" s="76">
        <f>SUMIFS('Datos Ventas'!$I$6:$I$605,'Datos Ventas'!$F$6:$F$605,$B18,'Datos Ventas'!$D$6:$D$605,"Octubre",'Datos Ventas'!$C$6:$C$605,$C$5)</f>
        <v>0</v>
      </c>
      <c r="M18" s="76">
        <f>SUMIFS('Datos Ventas'!$I$6:$I$605,'Datos Ventas'!$F$6:$F$605,$B18,'Datos Ventas'!$D$6:$D$605,"Noviembre",'Datos Ventas'!$C$6:$C$605,$C$5)</f>
        <v>0</v>
      </c>
      <c r="N18" s="76">
        <f>SUMIFS('Datos Ventas'!$I$6:$I$605,'Datos Ventas'!$F$6:$F$605,$B18,'Datos Ventas'!$D$6:$D$605,"Diciembre",'Datos Ventas'!$C$6:$C$605,$C$5)</f>
        <v>0</v>
      </c>
      <c r="O18" s="77">
        <f>SUM(C18:N18)</f>
        <v>425000</v>
      </c>
      <c r="P18" s="78">
        <f>IF(O15=0,0,O18/O15)</f>
        <v>0.2982456140350877</v>
      </c>
    </row>
    <row r="19" spans="2:16" ht="18" customHeight="1" x14ac:dyDescent="0.25">
      <c r="B19" s="79" t="str">
        <f>Configuración!$D$7</f>
        <v>Sur</v>
      </c>
      <c r="C19" s="80">
        <f>SUMIFS('Datos Ventas'!$I$6:$I$605,'Datos Ventas'!$F$6:$F$605,$B19,'Datos Ventas'!$D$6:$D$605,"Enero",'Datos Ventas'!$C$6:$C$605,$C$5)</f>
        <v>0</v>
      </c>
      <c r="D19" s="80">
        <f>SUMIFS('Datos Ventas'!$I$6:$I$605,'Datos Ventas'!$F$6:$F$605,$B19,'Datos Ventas'!$D$6:$D$605,"Febrero",'Datos Ventas'!$C$6:$C$605,$C$5)</f>
        <v>475000</v>
      </c>
      <c r="E19" s="80">
        <f>SUMIFS('Datos Ventas'!$I$6:$I$605,'Datos Ventas'!$F$6:$F$605,$B19,'Datos Ventas'!$D$6:$D$605,"Marzo",'Datos Ventas'!$C$6:$C$605,$C$5)</f>
        <v>0</v>
      </c>
      <c r="F19" s="80">
        <f>SUMIFS('Datos Ventas'!$I$6:$I$605,'Datos Ventas'!$F$6:$F$605,$B19,'Datos Ventas'!$D$6:$D$605,"Abril",'Datos Ventas'!$C$6:$C$605,$C$5)</f>
        <v>0</v>
      </c>
      <c r="G19" s="80">
        <f>SUMIFS('Datos Ventas'!$I$6:$I$605,'Datos Ventas'!$F$6:$F$605,$B19,'Datos Ventas'!$D$6:$D$605,"Mayo",'Datos Ventas'!$C$6:$C$605,$C$5)</f>
        <v>0</v>
      </c>
      <c r="H19" s="80">
        <f>SUMIFS('Datos Ventas'!$I$6:$I$605,'Datos Ventas'!$F$6:$F$605,$B19,'Datos Ventas'!$D$6:$D$605,"Junio",'Datos Ventas'!$C$6:$C$605,$C$5)</f>
        <v>0</v>
      </c>
      <c r="I19" s="80">
        <f>SUMIFS('Datos Ventas'!$I$6:$I$605,'Datos Ventas'!$F$6:$F$605,$B19,'Datos Ventas'!$D$6:$D$605,"Julio",'Datos Ventas'!$C$6:$C$605,$C$5)</f>
        <v>0</v>
      </c>
      <c r="J19" s="80">
        <f>SUMIFS('Datos Ventas'!$I$6:$I$605,'Datos Ventas'!$F$6:$F$605,$B19,'Datos Ventas'!$D$6:$D$605,"Agosto",'Datos Ventas'!$C$6:$C$605,$C$5)</f>
        <v>0</v>
      </c>
      <c r="K19" s="80">
        <f>SUMIFS('Datos Ventas'!$I$6:$I$605,'Datos Ventas'!$F$6:$F$605,$B19,'Datos Ventas'!$D$6:$D$605,"Septiembre",'Datos Ventas'!$C$6:$C$605,$C$5)</f>
        <v>0</v>
      </c>
      <c r="L19" s="80">
        <f>SUMIFS('Datos Ventas'!$I$6:$I$605,'Datos Ventas'!$F$6:$F$605,$B19,'Datos Ventas'!$D$6:$D$605,"Octubre",'Datos Ventas'!$C$6:$C$605,$C$5)</f>
        <v>0</v>
      </c>
      <c r="M19" s="80">
        <f>SUMIFS('Datos Ventas'!$I$6:$I$605,'Datos Ventas'!$F$6:$F$605,$B19,'Datos Ventas'!$D$6:$D$605,"Noviembre",'Datos Ventas'!$C$6:$C$605,$C$5)</f>
        <v>0</v>
      </c>
      <c r="N19" s="80">
        <f>SUMIFS('Datos Ventas'!$I$6:$I$605,'Datos Ventas'!$F$6:$F$605,$B19,'Datos Ventas'!$D$6:$D$605,"Diciembre",'Datos Ventas'!$C$6:$C$605,$C$5)</f>
        <v>0</v>
      </c>
      <c r="O19" s="77">
        <f>SUM(C19:N19)</f>
        <v>475000</v>
      </c>
      <c r="P19" s="78">
        <f>IF(O15=0,0,O19/O15)</f>
        <v>0.33333333333333331</v>
      </c>
    </row>
    <row r="20" spans="2:16" ht="18" customHeight="1" x14ac:dyDescent="0.25">
      <c r="B20" s="75" t="str">
        <f>Configuración!$D$8</f>
        <v>Centro</v>
      </c>
      <c r="C20" s="76">
        <f>SUMIFS('Datos Ventas'!$I$6:$I$605,'Datos Ventas'!$F$6:$F$605,$B20,'Datos Ventas'!$D$6:$D$605,"Enero",'Datos Ventas'!$C$6:$C$605,$C$5)</f>
        <v>0</v>
      </c>
      <c r="D20" s="76">
        <f>SUMIFS('Datos Ventas'!$I$6:$I$605,'Datos Ventas'!$F$6:$F$605,$B20,'Datos Ventas'!$D$6:$D$605,"Febrero",'Datos Ventas'!$C$6:$C$605,$C$5)</f>
        <v>0</v>
      </c>
      <c r="E20" s="76">
        <f>SUMIFS('Datos Ventas'!$I$6:$I$605,'Datos Ventas'!$F$6:$F$605,$B20,'Datos Ventas'!$D$6:$D$605,"Marzo",'Datos Ventas'!$C$6:$C$605,$C$5)</f>
        <v>525000</v>
      </c>
      <c r="F20" s="76">
        <f>SUMIFS('Datos Ventas'!$I$6:$I$605,'Datos Ventas'!$F$6:$F$605,$B20,'Datos Ventas'!$D$6:$D$605,"Abril",'Datos Ventas'!$C$6:$C$605,$C$5)</f>
        <v>0</v>
      </c>
      <c r="G20" s="76">
        <f>SUMIFS('Datos Ventas'!$I$6:$I$605,'Datos Ventas'!$F$6:$F$605,$B20,'Datos Ventas'!$D$6:$D$605,"Mayo",'Datos Ventas'!$C$6:$C$605,$C$5)</f>
        <v>0</v>
      </c>
      <c r="H20" s="76">
        <f>SUMIFS('Datos Ventas'!$I$6:$I$605,'Datos Ventas'!$F$6:$F$605,$B20,'Datos Ventas'!$D$6:$D$605,"Junio",'Datos Ventas'!$C$6:$C$605,$C$5)</f>
        <v>0</v>
      </c>
      <c r="I20" s="76">
        <f>SUMIFS('Datos Ventas'!$I$6:$I$605,'Datos Ventas'!$F$6:$F$605,$B20,'Datos Ventas'!$D$6:$D$605,"Julio",'Datos Ventas'!$C$6:$C$605,$C$5)</f>
        <v>0</v>
      </c>
      <c r="J20" s="76">
        <f>SUMIFS('Datos Ventas'!$I$6:$I$605,'Datos Ventas'!$F$6:$F$605,$B20,'Datos Ventas'!$D$6:$D$605,"Agosto",'Datos Ventas'!$C$6:$C$605,$C$5)</f>
        <v>0</v>
      </c>
      <c r="K20" s="76">
        <f>SUMIFS('Datos Ventas'!$I$6:$I$605,'Datos Ventas'!$F$6:$F$605,$B20,'Datos Ventas'!$D$6:$D$605,"Septiembre",'Datos Ventas'!$C$6:$C$605,$C$5)</f>
        <v>0</v>
      </c>
      <c r="L20" s="76">
        <f>SUMIFS('Datos Ventas'!$I$6:$I$605,'Datos Ventas'!$F$6:$F$605,$B20,'Datos Ventas'!$D$6:$D$605,"Octubre",'Datos Ventas'!$C$6:$C$605,$C$5)</f>
        <v>0</v>
      </c>
      <c r="M20" s="76">
        <f>SUMIFS('Datos Ventas'!$I$6:$I$605,'Datos Ventas'!$F$6:$F$605,$B20,'Datos Ventas'!$D$6:$D$605,"Noviembre",'Datos Ventas'!$C$6:$C$605,$C$5)</f>
        <v>0</v>
      </c>
      <c r="N20" s="76">
        <f>SUMIFS('Datos Ventas'!$I$6:$I$605,'Datos Ventas'!$F$6:$F$605,$B20,'Datos Ventas'!$D$6:$D$605,"Diciembre",'Datos Ventas'!$C$6:$C$605,$C$5)</f>
        <v>0</v>
      </c>
      <c r="O20" s="77">
        <f>SUM(C20:N20)</f>
        <v>525000</v>
      </c>
      <c r="P20" s="78">
        <f>IF(O15=0,0,O20/O15)</f>
        <v>0.36842105263157893</v>
      </c>
    </row>
    <row r="21" spans="2:16" ht="18" customHeight="1" x14ac:dyDescent="0.25">
      <c r="B21" s="79" t="str">
        <f>Configuración!$D$9</f>
        <v>Oriente</v>
      </c>
      <c r="C21" s="80">
        <f>SUMIFS('Datos Ventas'!$I$6:$I$605,'Datos Ventas'!$F$6:$F$605,$B21,'Datos Ventas'!$D$6:$D$605,"Enero",'Datos Ventas'!$C$6:$C$605,$C$5)</f>
        <v>0</v>
      </c>
      <c r="D21" s="80">
        <f>SUMIFS('Datos Ventas'!$I$6:$I$605,'Datos Ventas'!$F$6:$F$605,$B21,'Datos Ventas'!$D$6:$D$605,"Febrero",'Datos Ventas'!$C$6:$C$605,$C$5)</f>
        <v>0</v>
      </c>
      <c r="E21" s="80">
        <f>SUMIFS('Datos Ventas'!$I$6:$I$605,'Datos Ventas'!$F$6:$F$605,$B21,'Datos Ventas'!$D$6:$D$605,"Marzo",'Datos Ventas'!$C$6:$C$605,$C$5)</f>
        <v>0</v>
      </c>
      <c r="F21" s="80">
        <f>SUMIFS('Datos Ventas'!$I$6:$I$605,'Datos Ventas'!$F$6:$F$605,$B21,'Datos Ventas'!$D$6:$D$605,"Abril",'Datos Ventas'!$C$6:$C$605,$C$5)</f>
        <v>0</v>
      </c>
      <c r="G21" s="80">
        <f>SUMIFS('Datos Ventas'!$I$6:$I$605,'Datos Ventas'!$F$6:$F$605,$B21,'Datos Ventas'!$D$6:$D$605,"Mayo",'Datos Ventas'!$C$6:$C$605,$C$5)</f>
        <v>0</v>
      </c>
      <c r="H21" s="80">
        <f>SUMIFS('Datos Ventas'!$I$6:$I$605,'Datos Ventas'!$F$6:$F$605,$B21,'Datos Ventas'!$D$6:$D$605,"Junio",'Datos Ventas'!$C$6:$C$605,$C$5)</f>
        <v>0</v>
      </c>
      <c r="I21" s="80">
        <f>SUMIFS('Datos Ventas'!$I$6:$I$605,'Datos Ventas'!$F$6:$F$605,$B21,'Datos Ventas'!$D$6:$D$605,"Julio",'Datos Ventas'!$C$6:$C$605,$C$5)</f>
        <v>0</v>
      </c>
      <c r="J21" s="80">
        <f>SUMIFS('Datos Ventas'!$I$6:$I$605,'Datos Ventas'!$F$6:$F$605,$B21,'Datos Ventas'!$D$6:$D$605,"Agosto",'Datos Ventas'!$C$6:$C$605,$C$5)</f>
        <v>0</v>
      </c>
      <c r="K21" s="80">
        <f>SUMIFS('Datos Ventas'!$I$6:$I$605,'Datos Ventas'!$F$6:$F$605,$B21,'Datos Ventas'!$D$6:$D$605,"Septiembre",'Datos Ventas'!$C$6:$C$605,$C$5)</f>
        <v>0</v>
      </c>
      <c r="L21" s="80">
        <f>SUMIFS('Datos Ventas'!$I$6:$I$605,'Datos Ventas'!$F$6:$F$605,$B21,'Datos Ventas'!$D$6:$D$605,"Octubre",'Datos Ventas'!$C$6:$C$605,$C$5)</f>
        <v>0</v>
      </c>
      <c r="M21" s="80">
        <f>SUMIFS('Datos Ventas'!$I$6:$I$605,'Datos Ventas'!$F$6:$F$605,$B21,'Datos Ventas'!$D$6:$D$605,"Noviembre",'Datos Ventas'!$C$6:$C$605,$C$5)</f>
        <v>0</v>
      </c>
      <c r="N21" s="80">
        <f>SUMIFS('Datos Ventas'!$I$6:$I$605,'Datos Ventas'!$F$6:$F$605,$B21,'Datos Ventas'!$D$6:$D$605,"Diciembre",'Datos Ventas'!$C$6:$C$605,$C$5)</f>
        <v>0</v>
      </c>
      <c r="O21" s="77">
        <f>SUM(C21:N21)</f>
        <v>0</v>
      </c>
      <c r="P21" s="78">
        <f>IF(O15=0,0,O21/O15)</f>
        <v>0</v>
      </c>
    </row>
    <row r="22" spans="2:16" ht="18" customHeight="1" x14ac:dyDescent="0.25">
      <c r="B22" s="75" t="str">
        <f>Configuración!$D$10</f>
        <v>Occidente</v>
      </c>
      <c r="C22" s="76">
        <f>SUMIFS('Datos Ventas'!$I$6:$I$605,'Datos Ventas'!$F$6:$F$605,$B22,'Datos Ventas'!$D$6:$D$605,"Enero",'Datos Ventas'!$C$6:$C$605,$C$5)</f>
        <v>0</v>
      </c>
      <c r="D22" s="76">
        <f>SUMIFS('Datos Ventas'!$I$6:$I$605,'Datos Ventas'!$F$6:$F$605,$B22,'Datos Ventas'!$D$6:$D$605,"Febrero",'Datos Ventas'!$C$6:$C$605,$C$5)</f>
        <v>0</v>
      </c>
      <c r="E22" s="76">
        <f>SUMIFS('Datos Ventas'!$I$6:$I$605,'Datos Ventas'!$F$6:$F$605,$B22,'Datos Ventas'!$D$6:$D$605,"Marzo",'Datos Ventas'!$C$6:$C$605,$C$5)</f>
        <v>0</v>
      </c>
      <c r="F22" s="76">
        <f>SUMIFS('Datos Ventas'!$I$6:$I$605,'Datos Ventas'!$F$6:$F$605,$B22,'Datos Ventas'!$D$6:$D$605,"Abril",'Datos Ventas'!$C$6:$C$605,$C$5)</f>
        <v>0</v>
      </c>
      <c r="G22" s="76">
        <f>SUMIFS('Datos Ventas'!$I$6:$I$605,'Datos Ventas'!$F$6:$F$605,$B22,'Datos Ventas'!$D$6:$D$605,"Mayo",'Datos Ventas'!$C$6:$C$605,$C$5)</f>
        <v>0</v>
      </c>
      <c r="H22" s="76">
        <f>SUMIFS('Datos Ventas'!$I$6:$I$605,'Datos Ventas'!$F$6:$F$605,$B22,'Datos Ventas'!$D$6:$D$605,"Junio",'Datos Ventas'!$C$6:$C$605,$C$5)</f>
        <v>0</v>
      </c>
      <c r="I22" s="76">
        <f>SUMIFS('Datos Ventas'!$I$6:$I$605,'Datos Ventas'!$F$6:$F$605,$B22,'Datos Ventas'!$D$6:$D$605,"Julio",'Datos Ventas'!$C$6:$C$605,$C$5)</f>
        <v>0</v>
      </c>
      <c r="J22" s="76">
        <f>SUMIFS('Datos Ventas'!$I$6:$I$605,'Datos Ventas'!$F$6:$F$605,$B22,'Datos Ventas'!$D$6:$D$605,"Agosto",'Datos Ventas'!$C$6:$C$605,$C$5)</f>
        <v>0</v>
      </c>
      <c r="K22" s="76">
        <f>SUMIFS('Datos Ventas'!$I$6:$I$605,'Datos Ventas'!$F$6:$F$605,$B22,'Datos Ventas'!$D$6:$D$605,"Septiembre",'Datos Ventas'!$C$6:$C$605,$C$5)</f>
        <v>0</v>
      </c>
      <c r="L22" s="76">
        <f>SUMIFS('Datos Ventas'!$I$6:$I$605,'Datos Ventas'!$F$6:$F$605,$B22,'Datos Ventas'!$D$6:$D$605,"Octubre",'Datos Ventas'!$C$6:$C$605,$C$5)</f>
        <v>0</v>
      </c>
      <c r="M22" s="76">
        <f>SUMIFS('Datos Ventas'!$I$6:$I$605,'Datos Ventas'!$F$6:$F$605,$B22,'Datos Ventas'!$D$6:$D$605,"Noviembre",'Datos Ventas'!$C$6:$C$605,$C$5)</f>
        <v>0</v>
      </c>
      <c r="N22" s="76">
        <f>SUMIFS('Datos Ventas'!$I$6:$I$605,'Datos Ventas'!$F$6:$F$605,$B22,'Datos Ventas'!$D$6:$D$605,"Diciembre",'Datos Ventas'!$C$6:$C$605,$C$5)</f>
        <v>0</v>
      </c>
      <c r="O22" s="77">
        <f>SUM(C22:N22)</f>
        <v>0</v>
      </c>
      <c r="P22" s="78">
        <f>IF(O15=0,0,O22/O15)</f>
        <v>0</v>
      </c>
    </row>
    <row r="23" spans="2:16" ht="19.5" customHeight="1" x14ac:dyDescent="0.25">
      <c r="B23" s="81" t="s">
        <v>102</v>
      </c>
      <c r="C23" s="82">
        <f t="shared" ref="C23:O23" si="1">SUM(C18:C22)</f>
        <v>425000</v>
      </c>
      <c r="D23" s="82">
        <f t="shared" si="1"/>
        <v>475000</v>
      </c>
      <c r="E23" s="82">
        <f t="shared" si="1"/>
        <v>525000</v>
      </c>
      <c r="F23" s="82">
        <f t="shared" si="1"/>
        <v>0</v>
      </c>
      <c r="G23" s="82">
        <f t="shared" si="1"/>
        <v>0</v>
      </c>
      <c r="H23" s="82">
        <f t="shared" si="1"/>
        <v>0</v>
      </c>
      <c r="I23" s="82">
        <f t="shared" si="1"/>
        <v>0</v>
      </c>
      <c r="J23" s="82">
        <f t="shared" si="1"/>
        <v>0</v>
      </c>
      <c r="K23" s="82">
        <f t="shared" si="1"/>
        <v>0</v>
      </c>
      <c r="L23" s="82">
        <f t="shared" si="1"/>
        <v>0</v>
      </c>
      <c r="M23" s="82">
        <f t="shared" si="1"/>
        <v>0</v>
      </c>
      <c r="N23" s="82">
        <f t="shared" si="1"/>
        <v>0</v>
      </c>
      <c r="O23" s="21">
        <f t="shared" si="1"/>
        <v>1425000</v>
      </c>
      <c r="P23" s="62"/>
    </row>
    <row r="25" spans="2:16" ht="18" customHeight="1" x14ac:dyDescent="0.25">
      <c r="B25" s="74" t="s">
        <v>103</v>
      </c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</row>
    <row r="26" spans="2:16" ht="18" customHeight="1" x14ac:dyDescent="0.25">
      <c r="B26" s="75" t="str">
        <f>Configuración!$E$6</f>
        <v>Carlos Ríos</v>
      </c>
      <c r="C26" s="83">
        <f>SUMIFS('Datos Ventas'!$I$6:$I$605,'Datos Ventas'!$G$6:$G$605,$B26,'Datos Ventas'!$D$6:$D$605,"Enero",'Datos Ventas'!$C$6:$C$605,$C$5)</f>
        <v>425000</v>
      </c>
      <c r="D26" s="83">
        <f>SUMIFS('Datos Ventas'!$I$6:$I$605,'Datos Ventas'!$G$6:$G$605,$B26,'Datos Ventas'!$D$6:$D$605,"Febrero",'Datos Ventas'!$C$6:$C$605,$C$5)</f>
        <v>0</v>
      </c>
      <c r="E26" s="83">
        <f>SUMIFS('Datos Ventas'!$I$6:$I$605,'Datos Ventas'!$G$6:$G$605,$B26,'Datos Ventas'!$D$6:$D$605,"Marzo",'Datos Ventas'!$C$6:$C$605,$C$5)</f>
        <v>0</v>
      </c>
      <c r="F26" s="83">
        <f>SUMIFS('Datos Ventas'!$I$6:$I$605,'Datos Ventas'!$G$6:$G$605,$B26,'Datos Ventas'!$D$6:$D$605,"Abril",'Datos Ventas'!$C$6:$C$605,$C$5)</f>
        <v>0</v>
      </c>
      <c r="G26" s="83">
        <f>SUMIFS('Datos Ventas'!$I$6:$I$605,'Datos Ventas'!$G$6:$G$605,$B26,'Datos Ventas'!$D$6:$D$605,"Mayo",'Datos Ventas'!$C$6:$C$605,$C$5)</f>
        <v>0</v>
      </c>
      <c r="H26" s="83">
        <f>SUMIFS('Datos Ventas'!$I$6:$I$605,'Datos Ventas'!$G$6:$G$605,$B26,'Datos Ventas'!$D$6:$D$605,"Junio",'Datos Ventas'!$C$6:$C$605,$C$5)</f>
        <v>0</v>
      </c>
      <c r="I26" s="83">
        <f>SUMIFS('Datos Ventas'!$I$6:$I$605,'Datos Ventas'!$G$6:$G$605,$B26,'Datos Ventas'!$D$6:$D$605,"Julio",'Datos Ventas'!$C$6:$C$605,$C$5)</f>
        <v>0</v>
      </c>
      <c r="J26" s="83">
        <f>SUMIFS('Datos Ventas'!$I$6:$I$605,'Datos Ventas'!$G$6:$G$605,$B26,'Datos Ventas'!$D$6:$D$605,"Agosto",'Datos Ventas'!$C$6:$C$605,$C$5)</f>
        <v>0</v>
      </c>
      <c r="K26" s="83">
        <f>SUMIFS('Datos Ventas'!$I$6:$I$605,'Datos Ventas'!$G$6:$G$605,$B26,'Datos Ventas'!$D$6:$D$605,"Septiembre",'Datos Ventas'!$C$6:$C$605,$C$5)</f>
        <v>0</v>
      </c>
      <c r="L26" s="83">
        <f>SUMIFS('Datos Ventas'!$I$6:$I$605,'Datos Ventas'!$G$6:$G$605,$B26,'Datos Ventas'!$D$6:$D$605,"Octubre",'Datos Ventas'!$C$6:$C$605,$C$5)</f>
        <v>0</v>
      </c>
      <c r="M26" s="83">
        <f>SUMIFS('Datos Ventas'!$I$6:$I$605,'Datos Ventas'!$G$6:$G$605,$B26,'Datos Ventas'!$D$6:$D$605,"Noviembre",'Datos Ventas'!$C$6:$C$605,$C$5)</f>
        <v>0</v>
      </c>
      <c r="N26" s="83">
        <f>SUMIFS('Datos Ventas'!$I$6:$I$605,'Datos Ventas'!$G$6:$G$605,$B26,'Datos Ventas'!$D$6:$D$605,"Diciembre",'Datos Ventas'!$C$6:$C$605,$C$5)</f>
        <v>0</v>
      </c>
      <c r="O26" s="84">
        <f>SUM(C26:N26)</f>
        <v>425000</v>
      </c>
      <c r="P26" s="85">
        <f>IF(O15=0,0,O26/O15)</f>
        <v>0.2982456140350877</v>
      </c>
    </row>
    <row r="27" spans="2:16" ht="18" customHeight="1" x14ac:dyDescent="0.25">
      <c r="B27" s="79" t="str">
        <f>Configuración!$E$7</f>
        <v>María López</v>
      </c>
      <c r="C27" s="86">
        <f>SUMIFS('Datos Ventas'!$I$6:$I$605,'Datos Ventas'!$G$6:$G$605,$B27,'Datos Ventas'!$D$6:$D$605,"Enero",'Datos Ventas'!$C$6:$C$605,$C$5)</f>
        <v>0</v>
      </c>
      <c r="D27" s="86">
        <f>SUMIFS('Datos Ventas'!$I$6:$I$605,'Datos Ventas'!$G$6:$G$605,$B27,'Datos Ventas'!$D$6:$D$605,"Febrero",'Datos Ventas'!$C$6:$C$605,$C$5)</f>
        <v>475000</v>
      </c>
      <c r="E27" s="86">
        <f>SUMIFS('Datos Ventas'!$I$6:$I$605,'Datos Ventas'!$G$6:$G$605,$B27,'Datos Ventas'!$D$6:$D$605,"Marzo",'Datos Ventas'!$C$6:$C$605,$C$5)</f>
        <v>0</v>
      </c>
      <c r="F27" s="86">
        <f>SUMIFS('Datos Ventas'!$I$6:$I$605,'Datos Ventas'!$G$6:$G$605,$B27,'Datos Ventas'!$D$6:$D$605,"Abril",'Datos Ventas'!$C$6:$C$605,$C$5)</f>
        <v>0</v>
      </c>
      <c r="G27" s="86">
        <f>SUMIFS('Datos Ventas'!$I$6:$I$605,'Datos Ventas'!$G$6:$G$605,$B27,'Datos Ventas'!$D$6:$D$605,"Mayo",'Datos Ventas'!$C$6:$C$605,$C$5)</f>
        <v>0</v>
      </c>
      <c r="H27" s="86">
        <f>SUMIFS('Datos Ventas'!$I$6:$I$605,'Datos Ventas'!$G$6:$G$605,$B27,'Datos Ventas'!$D$6:$D$605,"Junio",'Datos Ventas'!$C$6:$C$605,$C$5)</f>
        <v>0</v>
      </c>
      <c r="I27" s="86">
        <f>SUMIFS('Datos Ventas'!$I$6:$I$605,'Datos Ventas'!$G$6:$G$605,$B27,'Datos Ventas'!$D$6:$D$605,"Julio",'Datos Ventas'!$C$6:$C$605,$C$5)</f>
        <v>0</v>
      </c>
      <c r="J27" s="86">
        <f>SUMIFS('Datos Ventas'!$I$6:$I$605,'Datos Ventas'!$G$6:$G$605,$B27,'Datos Ventas'!$D$6:$D$605,"Agosto",'Datos Ventas'!$C$6:$C$605,$C$5)</f>
        <v>0</v>
      </c>
      <c r="K27" s="86">
        <f>SUMIFS('Datos Ventas'!$I$6:$I$605,'Datos Ventas'!$G$6:$G$605,$B27,'Datos Ventas'!$D$6:$D$605,"Septiembre",'Datos Ventas'!$C$6:$C$605,$C$5)</f>
        <v>0</v>
      </c>
      <c r="L27" s="86">
        <f>SUMIFS('Datos Ventas'!$I$6:$I$605,'Datos Ventas'!$G$6:$G$605,$B27,'Datos Ventas'!$D$6:$D$605,"Octubre",'Datos Ventas'!$C$6:$C$605,$C$5)</f>
        <v>0</v>
      </c>
      <c r="M27" s="86">
        <f>SUMIFS('Datos Ventas'!$I$6:$I$605,'Datos Ventas'!$G$6:$G$605,$B27,'Datos Ventas'!$D$6:$D$605,"Noviembre",'Datos Ventas'!$C$6:$C$605,$C$5)</f>
        <v>0</v>
      </c>
      <c r="N27" s="86">
        <f>SUMIFS('Datos Ventas'!$I$6:$I$605,'Datos Ventas'!$G$6:$G$605,$B27,'Datos Ventas'!$D$6:$D$605,"Diciembre",'Datos Ventas'!$C$6:$C$605,$C$5)</f>
        <v>0</v>
      </c>
      <c r="O27" s="84">
        <f>SUM(C27:N27)</f>
        <v>475000</v>
      </c>
      <c r="P27" s="85">
        <f>IF(O15=0,0,O27/O15)</f>
        <v>0.33333333333333331</v>
      </c>
    </row>
    <row r="28" spans="2:16" ht="18" customHeight="1" x14ac:dyDescent="0.25">
      <c r="B28" s="75" t="str">
        <f>Configuración!$E$8</f>
        <v>Juan Pérez</v>
      </c>
      <c r="C28" s="83">
        <f>SUMIFS('Datos Ventas'!$I$6:$I$605,'Datos Ventas'!$G$6:$G$605,$B28,'Datos Ventas'!$D$6:$D$605,"Enero",'Datos Ventas'!$C$6:$C$605,$C$5)</f>
        <v>0</v>
      </c>
      <c r="D28" s="83">
        <f>SUMIFS('Datos Ventas'!$I$6:$I$605,'Datos Ventas'!$G$6:$G$605,$B28,'Datos Ventas'!$D$6:$D$605,"Febrero",'Datos Ventas'!$C$6:$C$605,$C$5)</f>
        <v>0</v>
      </c>
      <c r="E28" s="83">
        <f>SUMIFS('Datos Ventas'!$I$6:$I$605,'Datos Ventas'!$G$6:$G$605,$B28,'Datos Ventas'!$D$6:$D$605,"Marzo",'Datos Ventas'!$C$6:$C$605,$C$5)</f>
        <v>525000</v>
      </c>
      <c r="F28" s="83">
        <f>SUMIFS('Datos Ventas'!$I$6:$I$605,'Datos Ventas'!$G$6:$G$605,$B28,'Datos Ventas'!$D$6:$D$605,"Abril",'Datos Ventas'!$C$6:$C$605,$C$5)</f>
        <v>0</v>
      </c>
      <c r="G28" s="83">
        <f>SUMIFS('Datos Ventas'!$I$6:$I$605,'Datos Ventas'!$G$6:$G$605,$B28,'Datos Ventas'!$D$6:$D$605,"Mayo",'Datos Ventas'!$C$6:$C$605,$C$5)</f>
        <v>0</v>
      </c>
      <c r="H28" s="83">
        <f>SUMIFS('Datos Ventas'!$I$6:$I$605,'Datos Ventas'!$G$6:$G$605,$B28,'Datos Ventas'!$D$6:$D$605,"Junio",'Datos Ventas'!$C$6:$C$605,$C$5)</f>
        <v>0</v>
      </c>
      <c r="I28" s="83">
        <f>SUMIFS('Datos Ventas'!$I$6:$I$605,'Datos Ventas'!$G$6:$G$605,$B28,'Datos Ventas'!$D$6:$D$605,"Julio",'Datos Ventas'!$C$6:$C$605,$C$5)</f>
        <v>0</v>
      </c>
      <c r="J28" s="83">
        <f>SUMIFS('Datos Ventas'!$I$6:$I$605,'Datos Ventas'!$G$6:$G$605,$B28,'Datos Ventas'!$D$6:$D$605,"Agosto",'Datos Ventas'!$C$6:$C$605,$C$5)</f>
        <v>0</v>
      </c>
      <c r="K28" s="83">
        <f>SUMIFS('Datos Ventas'!$I$6:$I$605,'Datos Ventas'!$G$6:$G$605,$B28,'Datos Ventas'!$D$6:$D$605,"Septiembre",'Datos Ventas'!$C$6:$C$605,$C$5)</f>
        <v>0</v>
      </c>
      <c r="L28" s="83">
        <f>SUMIFS('Datos Ventas'!$I$6:$I$605,'Datos Ventas'!$G$6:$G$605,$B28,'Datos Ventas'!$D$6:$D$605,"Octubre",'Datos Ventas'!$C$6:$C$605,$C$5)</f>
        <v>0</v>
      </c>
      <c r="M28" s="83">
        <f>SUMIFS('Datos Ventas'!$I$6:$I$605,'Datos Ventas'!$G$6:$G$605,$B28,'Datos Ventas'!$D$6:$D$605,"Noviembre",'Datos Ventas'!$C$6:$C$605,$C$5)</f>
        <v>0</v>
      </c>
      <c r="N28" s="83">
        <f>SUMIFS('Datos Ventas'!$I$6:$I$605,'Datos Ventas'!$G$6:$G$605,$B28,'Datos Ventas'!$D$6:$D$605,"Diciembre",'Datos Ventas'!$C$6:$C$605,$C$5)</f>
        <v>0</v>
      </c>
      <c r="O28" s="84">
        <f>SUM(C28:N28)</f>
        <v>525000</v>
      </c>
      <c r="P28" s="85">
        <f>IF(O15=0,0,O28/O15)</f>
        <v>0.36842105263157893</v>
      </c>
    </row>
    <row r="29" spans="2:16" ht="18" customHeight="1" x14ac:dyDescent="0.25">
      <c r="B29" s="79" t="str">
        <f>Configuración!$E$9</f>
        <v>Ana Torres</v>
      </c>
      <c r="C29" s="86">
        <f>SUMIFS('Datos Ventas'!$I$6:$I$605,'Datos Ventas'!$G$6:$G$605,$B29,'Datos Ventas'!$D$6:$D$605,"Enero",'Datos Ventas'!$C$6:$C$605,$C$5)</f>
        <v>0</v>
      </c>
      <c r="D29" s="86">
        <f>SUMIFS('Datos Ventas'!$I$6:$I$605,'Datos Ventas'!$G$6:$G$605,$B29,'Datos Ventas'!$D$6:$D$605,"Febrero",'Datos Ventas'!$C$6:$C$605,$C$5)</f>
        <v>0</v>
      </c>
      <c r="E29" s="86">
        <f>SUMIFS('Datos Ventas'!$I$6:$I$605,'Datos Ventas'!$G$6:$G$605,$B29,'Datos Ventas'!$D$6:$D$605,"Marzo",'Datos Ventas'!$C$6:$C$605,$C$5)</f>
        <v>0</v>
      </c>
      <c r="F29" s="86">
        <f>SUMIFS('Datos Ventas'!$I$6:$I$605,'Datos Ventas'!$G$6:$G$605,$B29,'Datos Ventas'!$D$6:$D$605,"Abril",'Datos Ventas'!$C$6:$C$605,$C$5)</f>
        <v>0</v>
      </c>
      <c r="G29" s="86">
        <f>SUMIFS('Datos Ventas'!$I$6:$I$605,'Datos Ventas'!$G$6:$G$605,$B29,'Datos Ventas'!$D$6:$D$605,"Mayo",'Datos Ventas'!$C$6:$C$605,$C$5)</f>
        <v>0</v>
      </c>
      <c r="H29" s="86">
        <f>SUMIFS('Datos Ventas'!$I$6:$I$605,'Datos Ventas'!$G$6:$G$605,$B29,'Datos Ventas'!$D$6:$D$605,"Junio",'Datos Ventas'!$C$6:$C$605,$C$5)</f>
        <v>0</v>
      </c>
      <c r="I29" s="86">
        <f>SUMIFS('Datos Ventas'!$I$6:$I$605,'Datos Ventas'!$G$6:$G$605,$B29,'Datos Ventas'!$D$6:$D$605,"Julio",'Datos Ventas'!$C$6:$C$605,$C$5)</f>
        <v>0</v>
      </c>
      <c r="J29" s="86">
        <f>SUMIFS('Datos Ventas'!$I$6:$I$605,'Datos Ventas'!$G$6:$G$605,$B29,'Datos Ventas'!$D$6:$D$605,"Agosto",'Datos Ventas'!$C$6:$C$605,$C$5)</f>
        <v>0</v>
      </c>
      <c r="K29" s="86">
        <f>SUMIFS('Datos Ventas'!$I$6:$I$605,'Datos Ventas'!$G$6:$G$605,$B29,'Datos Ventas'!$D$6:$D$605,"Septiembre",'Datos Ventas'!$C$6:$C$605,$C$5)</f>
        <v>0</v>
      </c>
      <c r="L29" s="86">
        <f>SUMIFS('Datos Ventas'!$I$6:$I$605,'Datos Ventas'!$G$6:$G$605,$B29,'Datos Ventas'!$D$6:$D$605,"Octubre",'Datos Ventas'!$C$6:$C$605,$C$5)</f>
        <v>0</v>
      </c>
      <c r="M29" s="86">
        <f>SUMIFS('Datos Ventas'!$I$6:$I$605,'Datos Ventas'!$G$6:$G$605,$B29,'Datos Ventas'!$D$6:$D$605,"Noviembre",'Datos Ventas'!$C$6:$C$605,$C$5)</f>
        <v>0</v>
      </c>
      <c r="N29" s="86">
        <f>SUMIFS('Datos Ventas'!$I$6:$I$605,'Datos Ventas'!$G$6:$G$605,$B29,'Datos Ventas'!$D$6:$D$605,"Diciembre",'Datos Ventas'!$C$6:$C$605,$C$5)</f>
        <v>0</v>
      </c>
      <c r="O29" s="84">
        <f>SUM(C29:N29)</f>
        <v>0</v>
      </c>
      <c r="P29" s="85">
        <f>IF(O15=0,0,O29/O15)</f>
        <v>0</v>
      </c>
    </row>
    <row r="30" spans="2:16" ht="18" customHeight="1" x14ac:dyDescent="0.25">
      <c r="B30" s="75" t="str">
        <f>Configuración!$E$10</f>
        <v>Pedro Salas</v>
      </c>
      <c r="C30" s="83">
        <f>SUMIFS('Datos Ventas'!$I$6:$I$605,'Datos Ventas'!$G$6:$G$605,$B30,'Datos Ventas'!$D$6:$D$605,"Enero",'Datos Ventas'!$C$6:$C$605,$C$5)</f>
        <v>0</v>
      </c>
      <c r="D30" s="83">
        <f>SUMIFS('Datos Ventas'!$I$6:$I$605,'Datos Ventas'!$G$6:$G$605,$B30,'Datos Ventas'!$D$6:$D$605,"Febrero",'Datos Ventas'!$C$6:$C$605,$C$5)</f>
        <v>0</v>
      </c>
      <c r="E30" s="83">
        <f>SUMIFS('Datos Ventas'!$I$6:$I$605,'Datos Ventas'!$G$6:$G$605,$B30,'Datos Ventas'!$D$6:$D$605,"Marzo",'Datos Ventas'!$C$6:$C$605,$C$5)</f>
        <v>0</v>
      </c>
      <c r="F30" s="83">
        <f>SUMIFS('Datos Ventas'!$I$6:$I$605,'Datos Ventas'!$G$6:$G$605,$B30,'Datos Ventas'!$D$6:$D$605,"Abril",'Datos Ventas'!$C$6:$C$605,$C$5)</f>
        <v>0</v>
      </c>
      <c r="G30" s="83">
        <f>SUMIFS('Datos Ventas'!$I$6:$I$605,'Datos Ventas'!$G$6:$G$605,$B30,'Datos Ventas'!$D$6:$D$605,"Mayo",'Datos Ventas'!$C$6:$C$605,$C$5)</f>
        <v>0</v>
      </c>
      <c r="H30" s="83">
        <f>SUMIFS('Datos Ventas'!$I$6:$I$605,'Datos Ventas'!$G$6:$G$605,$B30,'Datos Ventas'!$D$6:$D$605,"Junio",'Datos Ventas'!$C$6:$C$605,$C$5)</f>
        <v>0</v>
      </c>
      <c r="I30" s="83">
        <f>SUMIFS('Datos Ventas'!$I$6:$I$605,'Datos Ventas'!$G$6:$G$605,$B30,'Datos Ventas'!$D$6:$D$605,"Julio",'Datos Ventas'!$C$6:$C$605,$C$5)</f>
        <v>0</v>
      </c>
      <c r="J30" s="83">
        <f>SUMIFS('Datos Ventas'!$I$6:$I$605,'Datos Ventas'!$G$6:$G$605,$B30,'Datos Ventas'!$D$6:$D$605,"Agosto",'Datos Ventas'!$C$6:$C$605,$C$5)</f>
        <v>0</v>
      </c>
      <c r="K30" s="83">
        <f>SUMIFS('Datos Ventas'!$I$6:$I$605,'Datos Ventas'!$G$6:$G$605,$B30,'Datos Ventas'!$D$6:$D$605,"Septiembre",'Datos Ventas'!$C$6:$C$605,$C$5)</f>
        <v>0</v>
      </c>
      <c r="L30" s="83">
        <f>SUMIFS('Datos Ventas'!$I$6:$I$605,'Datos Ventas'!$G$6:$G$605,$B30,'Datos Ventas'!$D$6:$D$605,"Octubre",'Datos Ventas'!$C$6:$C$605,$C$5)</f>
        <v>0</v>
      </c>
      <c r="M30" s="83">
        <f>SUMIFS('Datos Ventas'!$I$6:$I$605,'Datos Ventas'!$G$6:$G$605,$B30,'Datos Ventas'!$D$6:$D$605,"Noviembre",'Datos Ventas'!$C$6:$C$605,$C$5)</f>
        <v>0</v>
      </c>
      <c r="N30" s="83">
        <f>SUMIFS('Datos Ventas'!$I$6:$I$605,'Datos Ventas'!$G$6:$G$605,$B30,'Datos Ventas'!$D$6:$D$605,"Diciembre",'Datos Ventas'!$C$6:$C$605,$C$5)</f>
        <v>0</v>
      </c>
      <c r="O30" s="84">
        <f>SUM(C30:N30)</f>
        <v>0</v>
      </c>
      <c r="P30" s="85">
        <f>IF(O15=0,0,O30/O15)</f>
        <v>0</v>
      </c>
    </row>
    <row r="31" spans="2:16" ht="19.5" customHeight="1" x14ac:dyDescent="0.25">
      <c r="B31" s="19" t="s">
        <v>104</v>
      </c>
      <c r="C31" s="20">
        <f t="shared" ref="C31:O31" si="2">SUM(C26:C30)</f>
        <v>425000</v>
      </c>
      <c r="D31" s="20">
        <f t="shared" si="2"/>
        <v>475000</v>
      </c>
      <c r="E31" s="20">
        <f t="shared" si="2"/>
        <v>525000</v>
      </c>
      <c r="F31" s="20">
        <f t="shared" si="2"/>
        <v>0</v>
      </c>
      <c r="G31" s="20">
        <f t="shared" si="2"/>
        <v>0</v>
      </c>
      <c r="H31" s="20">
        <f t="shared" si="2"/>
        <v>0</v>
      </c>
      <c r="I31" s="20">
        <f t="shared" si="2"/>
        <v>0</v>
      </c>
      <c r="J31" s="20">
        <f t="shared" si="2"/>
        <v>0</v>
      </c>
      <c r="K31" s="20">
        <f t="shared" si="2"/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1">
        <f t="shared" si="2"/>
        <v>1425000</v>
      </c>
    </row>
  </sheetData>
  <mergeCells count="6">
    <mergeCell ref="B2:P2"/>
    <mergeCell ref="B3:P3"/>
    <mergeCell ref="B9:P9"/>
    <mergeCell ref="B17:P17"/>
    <mergeCell ref="B25:P2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4A5A"/>
  </sheetPr>
  <dimension ref="B2:P16"/>
  <sheetViews>
    <sheetView zoomScale="85" zoomScaleNormal="85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23" sqref="F23"/>
    </sheetView>
  </sheetViews>
  <sheetFormatPr baseColWidth="10" defaultColWidth="8.5703125" defaultRowHeight="15" x14ac:dyDescent="0.25"/>
  <cols>
    <col min="1" max="1" width="3" customWidth="1"/>
    <col min="2" max="2" width="22" customWidth="1"/>
    <col min="3" max="14" width="11" customWidth="1"/>
    <col min="15" max="15" width="15" customWidth="1"/>
    <col min="16" max="16" width="13" customWidth="1"/>
  </cols>
  <sheetData>
    <row r="2" spans="2:16" ht="27" customHeight="1" x14ac:dyDescent="0.25">
      <c r="B2" s="47" t="s">
        <v>105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ht="15" customHeight="1" x14ac:dyDescent="0.25">
      <c r="B3" s="88" t="s">
        <v>106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5" spans="2:16" ht="27.75" customHeight="1" x14ac:dyDescent="0.25">
      <c r="B5" s="17" t="s">
        <v>82</v>
      </c>
      <c r="C5" s="18">
        <f>Dashboard!$D$3</f>
        <v>2025</v>
      </c>
      <c r="D5" s="72" t="s">
        <v>83</v>
      </c>
      <c r="E5" s="71"/>
      <c r="F5" s="71"/>
    </row>
    <row r="7" spans="2:16" ht="6" customHeight="1" x14ac:dyDescent="0.25"/>
    <row r="8" spans="2:16" ht="21.75" customHeight="1" x14ac:dyDescent="0.25">
      <c r="B8" s="39" t="s">
        <v>107</v>
      </c>
      <c r="C8" s="39" t="s">
        <v>85</v>
      </c>
      <c r="D8" s="39" t="s">
        <v>86</v>
      </c>
      <c r="E8" s="39" t="s">
        <v>87</v>
      </c>
      <c r="F8" s="39" t="s">
        <v>88</v>
      </c>
      <c r="G8" s="39" t="s">
        <v>89</v>
      </c>
      <c r="H8" s="39" t="s">
        <v>90</v>
      </c>
      <c r="I8" s="39" t="s">
        <v>91</v>
      </c>
      <c r="J8" s="39" t="s">
        <v>92</v>
      </c>
      <c r="K8" s="39" t="s">
        <v>93</v>
      </c>
      <c r="L8" s="39" t="s">
        <v>94</v>
      </c>
      <c r="M8" s="39" t="s">
        <v>95</v>
      </c>
      <c r="N8" s="39" t="s">
        <v>96</v>
      </c>
      <c r="O8" s="39" t="s">
        <v>97</v>
      </c>
      <c r="P8" s="39" t="s">
        <v>98</v>
      </c>
    </row>
    <row r="9" spans="2:16" ht="18" customHeight="1" x14ac:dyDescent="0.25">
      <c r="B9" s="74" t="s">
        <v>108</v>
      </c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2:16" ht="18" customHeight="1" x14ac:dyDescent="0.25">
      <c r="B10" s="89" t="str">
        <f>Configuración!$F$6</f>
        <v>Arriendo</v>
      </c>
      <c r="C10" s="90">
        <f>SUMIFS('Datos Gastos'!$G$6:$G$605,'Datos Gastos'!$E$6:$E$605,$B10,'Datos Gastos'!$D$6:$D$605,"Enero",'Datos Gastos'!$C$6:$C$605,$C$5)</f>
        <v>320000</v>
      </c>
      <c r="D10" s="90">
        <f>SUMIFS('Datos Gastos'!$G$6:$G$605,'Datos Gastos'!$E$6:$E$605,$B10,'Datos Gastos'!$D$6:$D$605,"Febrero",'Datos Gastos'!$C$6:$C$605,$C$5)</f>
        <v>0</v>
      </c>
      <c r="E10" s="90">
        <f>SUMIFS('Datos Gastos'!$G$6:$G$605,'Datos Gastos'!$E$6:$E$605,$B10,'Datos Gastos'!$D$6:$D$605,"Marzo",'Datos Gastos'!$C$6:$C$605,$C$5)</f>
        <v>0</v>
      </c>
      <c r="F10" s="90">
        <f>SUMIFS('Datos Gastos'!$G$6:$G$605,'Datos Gastos'!$E$6:$E$605,$B10,'Datos Gastos'!$D$6:$D$605,"Abril",'Datos Gastos'!$C$6:$C$605,$C$5)</f>
        <v>0</v>
      </c>
      <c r="G10" s="90">
        <f>SUMIFS('Datos Gastos'!$G$6:$G$605,'Datos Gastos'!$E$6:$E$605,$B10,'Datos Gastos'!$D$6:$D$605,"Mayo",'Datos Gastos'!$C$6:$C$605,$C$5)</f>
        <v>0</v>
      </c>
      <c r="H10" s="90">
        <f>SUMIFS('Datos Gastos'!$G$6:$G$605,'Datos Gastos'!$E$6:$E$605,$B10,'Datos Gastos'!$D$6:$D$605,"Junio",'Datos Gastos'!$C$6:$C$605,$C$5)</f>
        <v>0</v>
      </c>
      <c r="I10" s="90">
        <f>SUMIFS('Datos Gastos'!$G$6:$G$605,'Datos Gastos'!$E$6:$E$605,$B10,'Datos Gastos'!$D$6:$D$605,"Julio",'Datos Gastos'!$C$6:$C$605,$C$5)</f>
        <v>0</v>
      </c>
      <c r="J10" s="90">
        <f>SUMIFS('Datos Gastos'!$G$6:$G$605,'Datos Gastos'!$E$6:$E$605,$B10,'Datos Gastos'!$D$6:$D$605,"Agosto",'Datos Gastos'!$C$6:$C$605,$C$5)</f>
        <v>0</v>
      </c>
      <c r="K10" s="90">
        <f>SUMIFS('Datos Gastos'!$G$6:$G$605,'Datos Gastos'!$E$6:$E$605,$B10,'Datos Gastos'!$D$6:$D$605,"Septiembre",'Datos Gastos'!$C$6:$C$605,$C$5)</f>
        <v>0</v>
      </c>
      <c r="L10" s="90">
        <f>SUMIFS('Datos Gastos'!$G$6:$G$605,'Datos Gastos'!$E$6:$E$605,$B10,'Datos Gastos'!$D$6:$D$605,"Octubre",'Datos Gastos'!$C$6:$C$605,$C$5)</f>
        <v>0</v>
      </c>
      <c r="M10" s="90">
        <f>SUMIFS('Datos Gastos'!$G$6:$G$605,'Datos Gastos'!$E$6:$E$605,$B10,'Datos Gastos'!$D$6:$D$605,"Noviembre",'Datos Gastos'!$C$6:$C$605,$C$5)</f>
        <v>0</v>
      </c>
      <c r="N10" s="90">
        <f>SUMIFS('Datos Gastos'!$G$6:$G$605,'Datos Gastos'!$E$6:$E$605,$B10,'Datos Gastos'!$D$6:$D$605,"Diciembre",'Datos Gastos'!$C$6:$C$605,$C$5)</f>
        <v>0</v>
      </c>
      <c r="O10" s="77">
        <f t="shared" ref="O10:O15" si="0">SUM(C10:N10)</f>
        <v>320000</v>
      </c>
      <c r="P10" s="78">
        <f>IF(O16=0,0,O10/O16)</f>
        <v>0.29629629629629628</v>
      </c>
    </row>
    <row r="11" spans="2:16" ht="18" customHeight="1" x14ac:dyDescent="0.25">
      <c r="B11" s="79" t="str">
        <f>Configuración!$F$7</f>
        <v>Sueldos</v>
      </c>
      <c r="C11" s="80">
        <f>SUMIFS('Datos Gastos'!$G$6:$G$605,'Datos Gastos'!$E$6:$E$605,$B11,'Datos Gastos'!$D$6:$D$605,"Enero",'Datos Gastos'!$C$6:$C$605,$C$5)</f>
        <v>0</v>
      </c>
      <c r="D11" s="80">
        <f>SUMIFS('Datos Gastos'!$G$6:$G$605,'Datos Gastos'!$E$6:$E$605,$B11,'Datos Gastos'!$D$6:$D$605,"Febrero",'Datos Gastos'!$C$6:$C$605,$C$5)</f>
        <v>360000</v>
      </c>
      <c r="E11" s="80">
        <f>SUMIFS('Datos Gastos'!$G$6:$G$605,'Datos Gastos'!$E$6:$E$605,$B11,'Datos Gastos'!$D$6:$D$605,"Marzo",'Datos Gastos'!$C$6:$C$605,$C$5)</f>
        <v>0</v>
      </c>
      <c r="F11" s="80">
        <f>SUMIFS('Datos Gastos'!$G$6:$G$605,'Datos Gastos'!$E$6:$E$605,$B11,'Datos Gastos'!$D$6:$D$605,"Abril",'Datos Gastos'!$C$6:$C$605,$C$5)</f>
        <v>0</v>
      </c>
      <c r="G11" s="80">
        <f>SUMIFS('Datos Gastos'!$G$6:$G$605,'Datos Gastos'!$E$6:$E$605,$B11,'Datos Gastos'!$D$6:$D$605,"Mayo",'Datos Gastos'!$C$6:$C$605,$C$5)</f>
        <v>0</v>
      </c>
      <c r="H11" s="80">
        <f>SUMIFS('Datos Gastos'!$G$6:$G$605,'Datos Gastos'!$E$6:$E$605,$B11,'Datos Gastos'!$D$6:$D$605,"Junio",'Datos Gastos'!$C$6:$C$605,$C$5)</f>
        <v>0</v>
      </c>
      <c r="I11" s="80">
        <f>SUMIFS('Datos Gastos'!$G$6:$G$605,'Datos Gastos'!$E$6:$E$605,$B11,'Datos Gastos'!$D$6:$D$605,"Julio",'Datos Gastos'!$C$6:$C$605,$C$5)</f>
        <v>0</v>
      </c>
      <c r="J11" s="80">
        <f>SUMIFS('Datos Gastos'!$G$6:$G$605,'Datos Gastos'!$E$6:$E$605,$B11,'Datos Gastos'!$D$6:$D$605,"Agosto",'Datos Gastos'!$C$6:$C$605,$C$5)</f>
        <v>0</v>
      </c>
      <c r="K11" s="80">
        <f>SUMIFS('Datos Gastos'!$G$6:$G$605,'Datos Gastos'!$E$6:$E$605,$B11,'Datos Gastos'!$D$6:$D$605,"Septiembre",'Datos Gastos'!$C$6:$C$605,$C$5)</f>
        <v>0</v>
      </c>
      <c r="L11" s="80">
        <f>SUMIFS('Datos Gastos'!$G$6:$G$605,'Datos Gastos'!$E$6:$E$605,$B11,'Datos Gastos'!$D$6:$D$605,"Octubre",'Datos Gastos'!$C$6:$C$605,$C$5)</f>
        <v>0</v>
      </c>
      <c r="M11" s="80">
        <f>SUMIFS('Datos Gastos'!$G$6:$G$605,'Datos Gastos'!$E$6:$E$605,$B11,'Datos Gastos'!$D$6:$D$605,"Noviembre",'Datos Gastos'!$C$6:$C$605,$C$5)</f>
        <v>0</v>
      </c>
      <c r="N11" s="80">
        <f>SUMIFS('Datos Gastos'!$G$6:$G$605,'Datos Gastos'!$E$6:$E$605,$B11,'Datos Gastos'!$D$6:$D$605,"Diciembre",'Datos Gastos'!$C$6:$C$605,$C$5)</f>
        <v>0</v>
      </c>
      <c r="O11" s="77">
        <f t="shared" si="0"/>
        <v>360000</v>
      </c>
      <c r="P11" s="78">
        <f>IF(O16=0,0,O11/O16)</f>
        <v>0.33333333333333331</v>
      </c>
    </row>
    <row r="12" spans="2:16" ht="18" customHeight="1" x14ac:dyDescent="0.25">
      <c r="B12" s="89" t="str">
        <f>Configuración!$F$8</f>
        <v>Servicios básicos</v>
      </c>
      <c r="C12" s="90">
        <f>SUMIFS('Datos Gastos'!$G$6:$G$605,'Datos Gastos'!$E$6:$E$605,$B12,'Datos Gastos'!$D$6:$D$605,"Enero",'Datos Gastos'!$C$6:$C$605,$C$5)</f>
        <v>0</v>
      </c>
      <c r="D12" s="90">
        <f>SUMIFS('Datos Gastos'!$G$6:$G$605,'Datos Gastos'!$E$6:$E$605,$B12,'Datos Gastos'!$D$6:$D$605,"Febrero",'Datos Gastos'!$C$6:$C$605,$C$5)</f>
        <v>0</v>
      </c>
      <c r="E12" s="90">
        <f>SUMIFS('Datos Gastos'!$G$6:$G$605,'Datos Gastos'!$E$6:$E$605,$B12,'Datos Gastos'!$D$6:$D$605,"Marzo",'Datos Gastos'!$C$6:$C$605,$C$5)</f>
        <v>0</v>
      </c>
      <c r="F12" s="90">
        <f>SUMIFS('Datos Gastos'!$G$6:$G$605,'Datos Gastos'!$E$6:$E$605,$B12,'Datos Gastos'!$D$6:$D$605,"Abril",'Datos Gastos'!$C$6:$C$605,$C$5)</f>
        <v>0</v>
      </c>
      <c r="G12" s="90">
        <f>SUMIFS('Datos Gastos'!$G$6:$G$605,'Datos Gastos'!$E$6:$E$605,$B12,'Datos Gastos'!$D$6:$D$605,"Mayo",'Datos Gastos'!$C$6:$C$605,$C$5)</f>
        <v>0</v>
      </c>
      <c r="H12" s="90">
        <f>SUMIFS('Datos Gastos'!$G$6:$G$605,'Datos Gastos'!$E$6:$E$605,$B12,'Datos Gastos'!$D$6:$D$605,"Junio",'Datos Gastos'!$C$6:$C$605,$C$5)</f>
        <v>0</v>
      </c>
      <c r="I12" s="90">
        <f>SUMIFS('Datos Gastos'!$G$6:$G$605,'Datos Gastos'!$E$6:$E$605,$B12,'Datos Gastos'!$D$6:$D$605,"Julio",'Datos Gastos'!$C$6:$C$605,$C$5)</f>
        <v>0</v>
      </c>
      <c r="J12" s="90">
        <f>SUMIFS('Datos Gastos'!$G$6:$G$605,'Datos Gastos'!$E$6:$E$605,$B12,'Datos Gastos'!$D$6:$D$605,"Agosto",'Datos Gastos'!$C$6:$C$605,$C$5)</f>
        <v>0</v>
      </c>
      <c r="K12" s="90">
        <f>SUMIFS('Datos Gastos'!$G$6:$G$605,'Datos Gastos'!$E$6:$E$605,$B12,'Datos Gastos'!$D$6:$D$605,"Septiembre",'Datos Gastos'!$C$6:$C$605,$C$5)</f>
        <v>0</v>
      </c>
      <c r="L12" s="90">
        <f>SUMIFS('Datos Gastos'!$G$6:$G$605,'Datos Gastos'!$E$6:$E$605,$B12,'Datos Gastos'!$D$6:$D$605,"Octubre",'Datos Gastos'!$C$6:$C$605,$C$5)</f>
        <v>0</v>
      </c>
      <c r="M12" s="90">
        <f>SUMIFS('Datos Gastos'!$G$6:$G$605,'Datos Gastos'!$E$6:$E$605,$B12,'Datos Gastos'!$D$6:$D$605,"Noviembre",'Datos Gastos'!$C$6:$C$605,$C$5)</f>
        <v>0</v>
      </c>
      <c r="N12" s="90">
        <f>SUMIFS('Datos Gastos'!$G$6:$G$605,'Datos Gastos'!$E$6:$E$605,$B12,'Datos Gastos'!$D$6:$D$605,"Diciembre",'Datos Gastos'!$C$6:$C$605,$C$5)</f>
        <v>0</v>
      </c>
      <c r="O12" s="77">
        <f t="shared" si="0"/>
        <v>0</v>
      </c>
      <c r="P12" s="78">
        <f>IF(O16=0,0,O12/O16)</f>
        <v>0</v>
      </c>
    </row>
    <row r="13" spans="2:16" ht="18" customHeight="1" x14ac:dyDescent="0.25">
      <c r="B13" s="79" t="str">
        <f>Configuración!$F$9</f>
        <v>Insumos</v>
      </c>
      <c r="C13" s="80">
        <f>SUMIFS('Datos Gastos'!$G$6:$G$605,'Datos Gastos'!$E$6:$E$605,$B13,'Datos Gastos'!$D$6:$D$605,"Enero",'Datos Gastos'!$C$6:$C$605,$C$5)</f>
        <v>0</v>
      </c>
      <c r="D13" s="80">
        <f>SUMIFS('Datos Gastos'!$G$6:$G$605,'Datos Gastos'!$E$6:$E$605,$B13,'Datos Gastos'!$D$6:$D$605,"Febrero",'Datos Gastos'!$C$6:$C$605,$C$5)</f>
        <v>0</v>
      </c>
      <c r="E13" s="80">
        <f>SUMIFS('Datos Gastos'!$G$6:$G$605,'Datos Gastos'!$E$6:$E$605,$B13,'Datos Gastos'!$D$6:$D$605,"Marzo",'Datos Gastos'!$C$6:$C$605,$C$5)</f>
        <v>400000</v>
      </c>
      <c r="F13" s="80">
        <f>SUMIFS('Datos Gastos'!$G$6:$G$605,'Datos Gastos'!$E$6:$E$605,$B13,'Datos Gastos'!$D$6:$D$605,"Abril",'Datos Gastos'!$C$6:$C$605,$C$5)</f>
        <v>0</v>
      </c>
      <c r="G13" s="80">
        <f>SUMIFS('Datos Gastos'!$G$6:$G$605,'Datos Gastos'!$E$6:$E$605,$B13,'Datos Gastos'!$D$6:$D$605,"Mayo",'Datos Gastos'!$C$6:$C$605,$C$5)</f>
        <v>0</v>
      </c>
      <c r="H13" s="80">
        <f>SUMIFS('Datos Gastos'!$G$6:$G$605,'Datos Gastos'!$E$6:$E$605,$B13,'Datos Gastos'!$D$6:$D$605,"Junio",'Datos Gastos'!$C$6:$C$605,$C$5)</f>
        <v>0</v>
      </c>
      <c r="I13" s="80">
        <f>SUMIFS('Datos Gastos'!$G$6:$G$605,'Datos Gastos'!$E$6:$E$605,$B13,'Datos Gastos'!$D$6:$D$605,"Julio",'Datos Gastos'!$C$6:$C$605,$C$5)</f>
        <v>0</v>
      </c>
      <c r="J13" s="80">
        <f>SUMIFS('Datos Gastos'!$G$6:$G$605,'Datos Gastos'!$E$6:$E$605,$B13,'Datos Gastos'!$D$6:$D$605,"Agosto",'Datos Gastos'!$C$6:$C$605,$C$5)</f>
        <v>0</v>
      </c>
      <c r="K13" s="80">
        <f>SUMIFS('Datos Gastos'!$G$6:$G$605,'Datos Gastos'!$E$6:$E$605,$B13,'Datos Gastos'!$D$6:$D$605,"Septiembre",'Datos Gastos'!$C$6:$C$605,$C$5)</f>
        <v>0</v>
      </c>
      <c r="L13" s="80">
        <f>SUMIFS('Datos Gastos'!$G$6:$G$605,'Datos Gastos'!$E$6:$E$605,$B13,'Datos Gastos'!$D$6:$D$605,"Octubre",'Datos Gastos'!$C$6:$C$605,$C$5)</f>
        <v>0</v>
      </c>
      <c r="M13" s="80">
        <f>SUMIFS('Datos Gastos'!$G$6:$G$605,'Datos Gastos'!$E$6:$E$605,$B13,'Datos Gastos'!$D$6:$D$605,"Noviembre",'Datos Gastos'!$C$6:$C$605,$C$5)</f>
        <v>0</v>
      </c>
      <c r="N13" s="80">
        <f>SUMIFS('Datos Gastos'!$G$6:$G$605,'Datos Gastos'!$E$6:$E$605,$B13,'Datos Gastos'!$D$6:$D$605,"Diciembre",'Datos Gastos'!$C$6:$C$605,$C$5)</f>
        <v>0</v>
      </c>
      <c r="O13" s="77">
        <f t="shared" si="0"/>
        <v>400000</v>
      </c>
      <c r="P13" s="78">
        <f>IF(O16=0,0,O13/O16)</f>
        <v>0.37037037037037035</v>
      </c>
    </row>
    <row r="14" spans="2:16" ht="18" customHeight="1" x14ac:dyDescent="0.25">
      <c r="B14" s="89" t="str">
        <f>Configuración!$F$10</f>
        <v>Publicidad</v>
      </c>
      <c r="C14" s="90">
        <f>SUMIFS('Datos Gastos'!$G$6:$G$605,'Datos Gastos'!$E$6:$E$605,$B14,'Datos Gastos'!$D$6:$D$605,"Enero",'Datos Gastos'!$C$6:$C$605,$C$5)</f>
        <v>0</v>
      </c>
      <c r="D14" s="90">
        <f>SUMIFS('Datos Gastos'!$G$6:$G$605,'Datos Gastos'!$E$6:$E$605,$B14,'Datos Gastos'!$D$6:$D$605,"Febrero",'Datos Gastos'!$C$6:$C$605,$C$5)</f>
        <v>0</v>
      </c>
      <c r="E14" s="90">
        <f>SUMIFS('Datos Gastos'!$G$6:$G$605,'Datos Gastos'!$E$6:$E$605,$B14,'Datos Gastos'!$D$6:$D$605,"Marzo",'Datos Gastos'!$C$6:$C$605,$C$5)</f>
        <v>0</v>
      </c>
      <c r="F14" s="90">
        <f>SUMIFS('Datos Gastos'!$G$6:$G$605,'Datos Gastos'!$E$6:$E$605,$B14,'Datos Gastos'!$D$6:$D$605,"Abril",'Datos Gastos'!$C$6:$C$605,$C$5)</f>
        <v>0</v>
      </c>
      <c r="G14" s="90">
        <f>SUMIFS('Datos Gastos'!$G$6:$G$605,'Datos Gastos'!$E$6:$E$605,$B14,'Datos Gastos'!$D$6:$D$605,"Mayo",'Datos Gastos'!$C$6:$C$605,$C$5)</f>
        <v>0</v>
      </c>
      <c r="H14" s="90">
        <f>SUMIFS('Datos Gastos'!$G$6:$G$605,'Datos Gastos'!$E$6:$E$605,$B14,'Datos Gastos'!$D$6:$D$605,"Junio",'Datos Gastos'!$C$6:$C$605,$C$5)</f>
        <v>0</v>
      </c>
      <c r="I14" s="90">
        <f>SUMIFS('Datos Gastos'!$G$6:$G$605,'Datos Gastos'!$E$6:$E$605,$B14,'Datos Gastos'!$D$6:$D$605,"Julio",'Datos Gastos'!$C$6:$C$605,$C$5)</f>
        <v>0</v>
      </c>
      <c r="J14" s="90">
        <f>SUMIFS('Datos Gastos'!$G$6:$G$605,'Datos Gastos'!$E$6:$E$605,$B14,'Datos Gastos'!$D$6:$D$605,"Agosto",'Datos Gastos'!$C$6:$C$605,$C$5)</f>
        <v>0</v>
      </c>
      <c r="K14" s="90">
        <f>SUMIFS('Datos Gastos'!$G$6:$G$605,'Datos Gastos'!$E$6:$E$605,$B14,'Datos Gastos'!$D$6:$D$605,"Septiembre",'Datos Gastos'!$C$6:$C$605,$C$5)</f>
        <v>0</v>
      </c>
      <c r="L14" s="90">
        <f>SUMIFS('Datos Gastos'!$G$6:$G$605,'Datos Gastos'!$E$6:$E$605,$B14,'Datos Gastos'!$D$6:$D$605,"Octubre",'Datos Gastos'!$C$6:$C$605,$C$5)</f>
        <v>0</v>
      </c>
      <c r="M14" s="90">
        <f>SUMIFS('Datos Gastos'!$G$6:$G$605,'Datos Gastos'!$E$6:$E$605,$B14,'Datos Gastos'!$D$6:$D$605,"Noviembre",'Datos Gastos'!$C$6:$C$605,$C$5)</f>
        <v>0</v>
      </c>
      <c r="N14" s="90">
        <f>SUMIFS('Datos Gastos'!$G$6:$G$605,'Datos Gastos'!$E$6:$E$605,$B14,'Datos Gastos'!$D$6:$D$605,"Diciembre",'Datos Gastos'!$C$6:$C$605,$C$5)</f>
        <v>0</v>
      </c>
      <c r="O14" s="77">
        <f t="shared" si="0"/>
        <v>0</v>
      </c>
      <c r="P14" s="78">
        <f>IF(O16=0,0,O14/O16)</f>
        <v>0</v>
      </c>
    </row>
    <row r="15" spans="2:16" ht="18" customHeight="1" x14ac:dyDescent="0.25">
      <c r="B15" s="79" t="str">
        <f>Configuración!$F$11</f>
        <v>Otros gastos</v>
      </c>
      <c r="C15" s="80">
        <f>SUMIFS('Datos Gastos'!$G$6:$G$605,'Datos Gastos'!$E$6:$E$605,$B15,'Datos Gastos'!$D$6:$D$605,"Enero",'Datos Gastos'!$C$6:$C$605,$C$5)</f>
        <v>0</v>
      </c>
      <c r="D15" s="80">
        <f>SUMIFS('Datos Gastos'!$G$6:$G$605,'Datos Gastos'!$E$6:$E$605,$B15,'Datos Gastos'!$D$6:$D$605,"Febrero",'Datos Gastos'!$C$6:$C$605,$C$5)</f>
        <v>0</v>
      </c>
      <c r="E15" s="80">
        <f>SUMIFS('Datos Gastos'!$G$6:$G$605,'Datos Gastos'!$E$6:$E$605,$B15,'Datos Gastos'!$D$6:$D$605,"Marzo",'Datos Gastos'!$C$6:$C$605,$C$5)</f>
        <v>0</v>
      </c>
      <c r="F15" s="80">
        <f>SUMIFS('Datos Gastos'!$G$6:$G$605,'Datos Gastos'!$E$6:$E$605,$B15,'Datos Gastos'!$D$6:$D$605,"Abril",'Datos Gastos'!$C$6:$C$605,$C$5)</f>
        <v>0</v>
      </c>
      <c r="G15" s="80">
        <f>SUMIFS('Datos Gastos'!$G$6:$G$605,'Datos Gastos'!$E$6:$E$605,$B15,'Datos Gastos'!$D$6:$D$605,"Mayo",'Datos Gastos'!$C$6:$C$605,$C$5)</f>
        <v>0</v>
      </c>
      <c r="H15" s="80">
        <f>SUMIFS('Datos Gastos'!$G$6:$G$605,'Datos Gastos'!$E$6:$E$605,$B15,'Datos Gastos'!$D$6:$D$605,"Junio",'Datos Gastos'!$C$6:$C$605,$C$5)</f>
        <v>0</v>
      </c>
      <c r="I15" s="80">
        <f>SUMIFS('Datos Gastos'!$G$6:$G$605,'Datos Gastos'!$E$6:$E$605,$B15,'Datos Gastos'!$D$6:$D$605,"Julio",'Datos Gastos'!$C$6:$C$605,$C$5)</f>
        <v>0</v>
      </c>
      <c r="J15" s="80">
        <f>SUMIFS('Datos Gastos'!$G$6:$G$605,'Datos Gastos'!$E$6:$E$605,$B15,'Datos Gastos'!$D$6:$D$605,"Agosto",'Datos Gastos'!$C$6:$C$605,$C$5)</f>
        <v>0</v>
      </c>
      <c r="K15" s="80">
        <f>SUMIFS('Datos Gastos'!$G$6:$G$605,'Datos Gastos'!$E$6:$E$605,$B15,'Datos Gastos'!$D$6:$D$605,"Septiembre",'Datos Gastos'!$C$6:$C$605,$C$5)</f>
        <v>0</v>
      </c>
      <c r="L15" s="80">
        <f>SUMIFS('Datos Gastos'!$G$6:$G$605,'Datos Gastos'!$E$6:$E$605,$B15,'Datos Gastos'!$D$6:$D$605,"Octubre",'Datos Gastos'!$C$6:$C$605,$C$5)</f>
        <v>0</v>
      </c>
      <c r="M15" s="80">
        <f>SUMIFS('Datos Gastos'!$G$6:$G$605,'Datos Gastos'!$E$6:$E$605,$B15,'Datos Gastos'!$D$6:$D$605,"Noviembre",'Datos Gastos'!$C$6:$C$605,$C$5)</f>
        <v>0</v>
      </c>
      <c r="N15" s="80">
        <f>SUMIFS('Datos Gastos'!$G$6:$G$605,'Datos Gastos'!$E$6:$E$605,$B15,'Datos Gastos'!$D$6:$D$605,"Diciembre",'Datos Gastos'!$C$6:$C$605,$C$5)</f>
        <v>0</v>
      </c>
      <c r="O15" s="77">
        <f t="shared" si="0"/>
        <v>0</v>
      </c>
      <c r="P15" s="78">
        <f>IF(O16=0,0,O15/O16)</f>
        <v>0</v>
      </c>
    </row>
    <row r="16" spans="2:16" ht="19.5" customHeight="1" x14ac:dyDescent="0.25">
      <c r="B16" s="81" t="s">
        <v>109</v>
      </c>
      <c r="C16" s="82">
        <f t="shared" ref="C16:O16" si="1">SUM(C10:C15)</f>
        <v>320000</v>
      </c>
      <c r="D16" s="82">
        <f t="shared" si="1"/>
        <v>360000</v>
      </c>
      <c r="E16" s="82">
        <f t="shared" si="1"/>
        <v>400000</v>
      </c>
      <c r="F16" s="82">
        <f t="shared" si="1"/>
        <v>0</v>
      </c>
      <c r="G16" s="82">
        <f t="shared" si="1"/>
        <v>0</v>
      </c>
      <c r="H16" s="82">
        <f t="shared" si="1"/>
        <v>0</v>
      </c>
      <c r="I16" s="82">
        <f t="shared" si="1"/>
        <v>0</v>
      </c>
      <c r="J16" s="82">
        <f t="shared" si="1"/>
        <v>0</v>
      </c>
      <c r="K16" s="82">
        <f t="shared" si="1"/>
        <v>0</v>
      </c>
      <c r="L16" s="82">
        <f t="shared" si="1"/>
        <v>0</v>
      </c>
      <c r="M16" s="82">
        <f t="shared" si="1"/>
        <v>0</v>
      </c>
      <c r="N16" s="82">
        <f t="shared" si="1"/>
        <v>0</v>
      </c>
      <c r="O16" s="21">
        <f t="shared" si="1"/>
        <v>1080000</v>
      </c>
      <c r="P16" s="62"/>
    </row>
  </sheetData>
  <mergeCells count="4">
    <mergeCell ref="B2:P2"/>
    <mergeCell ref="B3:P3"/>
    <mergeCell ref="B9:P9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84C"/>
  </sheetPr>
  <dimension ref="B1:V67"/>
  <sheetViews>
    <sheetView showGridLines="0" zoomScale="90" zoomScaleNormal="90" workbookViewId="0">
      <selection activeCell="P16" sqref="P16"/>
    </sheetView>
  </sheetViews>
  <sheetFormatPr baseColWidth="10" defaultColWidth="8.5703125" defaultRowHeight="15" x14ac:dyDescent="0.25"/>
  <cols>
    <col min="1" max="1" width="1" customWidth="1"/>
    <col min="2" max="2" width="9" customWidth="1"/>
    <col min="3" max="12" width="12" customWidth="1"/>
    <col min="13" max="22" width="10.5703125" customWidth="1"/>
  </cols>
  <sheetData>
    <row r="1" spans="2:22" ht="29.25" customHeight="1" x14ac:dyDescent="0.25"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2:22" ht="18" customHeight="1" x14ac:dyDescent="0.25">
      <c r="B2" s="92" t="s">
        <v>110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 spans="2:22" ht="30" customHeight="1" x14ac:dyDescent="0.25">
      <c r="B3" s="35" t="s">
        <v>111</v>
      </c>
      <c r="C3" s="35"/>
      <c r="D3" s="36">
        <v>2025</v>
      </c>
      <c r="E3" s="36"/>
      <c r="F3" s="93" t="s">
        <v>112</v>
      </c>
      <c r="G3" s="93"/>
      <c r="H3" s="93"/>
    </row>
    <row r="4" spans="2:22" ht="7.5" customHeight="1" x14ac:dyDescent="0.25"/>
    <row r="5" spans="2:22" ht="15.75" customHeight="1" x14ac:dyDescent="0.25">
      <c r="B5" s="94" t="s">
        <v>113</v>
      </c>
      <c r="C5" s="94"/>
      <c r="D5" s="94"/>
      <c r="E5" s="94" t="s">
        <v>114</v>
      </c>
      <c r="F5" s="94"/>
      <c r="G5" s="94"/>
      <c r="H5" s="94" t="s">
        <v>115</v>
      </c>
      <c r="I5" s="94"/>
      <c r="J5" s="94"/>
      <c r="K5" s="94" t="s">
        <v>116</v>
      </c>
      <c r="L5" s="94"/>
      <c r="M5" s="94"/>
      <c r="N5" s="95" t="s">
        <v>117</v>
      </c>
      <c r="O5" s="95"/>
      <c r="P5" s="95"/>
      <c r="Q5" s="95" t="s">
        <v>118</v>
      </c>
      <c r="R5" s="95"/>
      <c r="S5" s="95"/>
    </row>
    <row r="6" spans="2:22" ht="30" customHeight="1" x14ac:dyDescent="0.25">
      <c r="B6" s="107">
        <f>C49</f>
        <v>1425000</v>
      </c>
      <c r="C6" s="108"/>
      <c r="D6" s="109"/>
      <c r="E6" s="107">
        <f>C50</f>
        <v>1080000</v>
      </c>
      <c r="F6" s="108"/>
      <c r="G6" s="109"/>
      <c r="H6" s="107">
        <f>C51</f>
        <v>345000</v>
      </c>
      <c r="I6" s="108"/>
      <c r="J6" s="109"/>
      <c r="K6" s="110">
        <f>IF(C49=0,0,C51/C49)</f>
        <v>0.24210526315789474</v>
      </c>
      <c r="L6" s="111"/>
      <c r="M6" s="112"/>
      <c r="N6" s="110">
        <f>IF(C52=0,0,(C49-C52)/C52)</f>
        <v>2.1097046413502108E-3</v>
      </c>
      <c r="O6" s="111"/>
      <c r="P6" s="112"/>
      <c r="Q6" s="110">
        <f>IF(C54=0,0,(C51-C54)/C54)</f>
        <v>1.7421602787456446E-3</v>
      </c>
      <c r="R6" s="111"/>
      <c r="S6" s="111"/>
    </row>
    <row r="7" spans="2:22" ht="21.75" customHeight="1" x14ac:dyDescent="0.25">
      <c r="B7" s="113"/>
      <c r="C7" s="114"/>
      <c r="D7" s="115"/>
      <c r="E7" s="113"/>
      <c r="F7" s="114"/>
      <c r="G7" s="115"/>
      <c r="H7" s="113"/>
      <c r="I7" s="114"/>
      <c r="J7" s="115"/>
      <c r="K7" s="116"/>
      <c r="L7" s="117"/>
      <c r="M7" s="118"/>
      <c r="N7" s="116"/>
      <c r="O7" s="117"/>
      <c r="P7" s="118"/>
      <c r="Q7" s="116"/>
      <c r="R7" s="117"/>
      <c r="S7" s="117"/>
    </row>
    <row r="8" spans="2:22" ht="7.5" customHeight="1" x14ac:dyDescent="0.25"/>
    <row r="9" spans="2:22" ht="15.75" customHeight="1" x14ac:dyDescent="0.25">
      <c r="B9" s="94" t="s">
        <v>119</v>
      </c>
      <c r="C9" s="94"/>
      <c r="D9" s="94"/>
      <c r="E9" s="94" t="s">
        <v>120</v>
      </c>
      <c r="F9" s="94"/>
      <c r="G9" s="94"/>
      <c r="H9" s="94" t="s">
        <v>121</v>
      </c>
      <c r="I9" s="94"/>
      <c r="J9" s="94"/>
      <c r="K9" s="94" t="s">
        <v>122</v>
      </c>
      <c r="L9" s="94"/>
      <c r="M9" s="94"/>
      <c r="N9" s="94" t="s">
        <v>123</v>
      </c>
      <c r="O9" s="94"/>
      <c r="P9" s="94"/>
      <c r="Q9" s="94" t="s">
        <v>124</v>
      </c>
      <c r="R9" s="94"/>
      <c r="S9" s="94"/>
    </row>
    <row r="10" spans="2:22" ht="27.75" customHeight="1" x14ac:dyDescent="0.25">
      <c r="B10" s="106">
        <f>C52</f>
        <v>1422000</v>
      </c>
      <c r="C10" s="106"/>
      <c r="D10" s="106"/>
      <c r="E10" s="106">
        <f>C53</f>
        <v>1077600</v>
      </c>
      <c r="F10" s="106"/>
      <c r="G10" s="106"/>
      <c r="H10" s="106">
        <f>C54</f>
        <v>344400</v>
      </c>
      <c r="I10" s="106"/>
      <c r="J10" s="106"/>
      <c r="K10" s="106">
        <f>C49/12</f>
        <v>118750</v>
      </c>
      <c r="L10" s="106"/>
      <c r="M10" s="106"/>
      <c r="N10" s="106">
        <f>C50/12</f>
        <v>90000</v>
      </c>
      <c r="O10" s="106"/>
      <c r="P10" s="106"/>
      <c r="Q10" s="106">
        <f>C51/12</f>
        <v>28750</v>
      </c>
      <c r="R10" s="106"/>
      <c r="S10" s="106"/>
    </row>
    <row r="11" spans="2:22" ht="19.5" customHeight="1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</row>
    <row r="12" spans="2:22" ht="7.5" customHeight="1" x14ac:dyDescent="0.25"/>
    <row r="13" spans="2:22" ht="19.5" customHeight="1" x14ac:dyDescent="0.25">
      <c r="B13" s="3" t="s">
        <v>125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22" ht="19.5" customHeight="1" x14ac:dyDescent="0.25">
      <c r="B14" s="39" t="s">
        <v>61</v>
      </c>
      <c r="C14" s="39" t="s">
        <v>126</v>
      </c>
      <c r="D14" s="39" t="s">
        <v>127</v>
      </c>
      <c r="E14" s="39" t="s">
        <v>128</v>
      </c>
      <c r="F14" s="39" t="s">
        <v>129</v>
      </c>
      <c r="G14" s="39" t="s">
        <v>130</v>
      </c>
      <c r="H14" s="39" t="s">
        <v>131</v>
      </c>
      <c r="I14" s="39" t="s">
        <v>132</v>
      </c>
      <c r="J14" s="39" t="s">
        <v>133</v>
      </c>
      <c r="K14" s="39" t="s">
        <v>134</v>
      </c>
      <c r="L14" s="39" t="s">
        <v>135</v>
      </c>
    </row>
    <row r="15" spans="2:22" ht="18" customHeight="1" x14ac:dyDescent="0.25">
      <c r="B15" s="22" t="s">
        <v>85</v>
      </c>
      <c r="C15" s="87">
        <f t="shared" ref="C15:E26" si="0">C56</f>
        <v>425000</v>
      </c>
      <c r="D15" s="87">
        <f t="shared" si="0"/>
        <v>320000</v>
      </c>
      <c r="E15" s="102">
        <f t="shared" si="0"/>
        <v>105000</v>
      </c>
      <c r="F15" s="78">
        <f t="shared" ref="F15:F27" si="1">IF(C15=0,0,E15/C15)</f>
        <v>0.24705882352941178</v>
      </c>
      <c r="G15" s="87">
        <f t="shared" ref="G15:I26" si="2">F56</f>
        <v>424000</v>
      </c>
      <c r="H15" s="87">
        <f t="shared" si="2"/>
        <v>319200</v>
      </c>
      <c r="I15" s="102">
        <f t="shared" si="2"/>
        <v>104800</v>
      </c>
      <c r="J15" s="78">
        <f t="shared" ref="J15:J27" si="3">IF(G15=0,0,(C15-G15)/G15)</f>
        <v>2.3584905660377358E-3</v>
      </c>
      <c r="K15" s="78">
        <f t="shared" ref="K15:K27" si="4">IF(I15=0,0,(E15-I15)/IF(I15&lt;0,-I15,I15))</f>
        <v>1.9083969465648854E-3</v>
      </c>
      <c r="L15" s="22" t="str">
        <f t="shared" ref="L15:L26" si="5">IF(E15&gt;0,"OK","PÉRDIDA")</f>
        <v>OK</v>
      </c>
    </row>
    <row r="16" spans="2:22" ht="18" customHeight="1" x14ac:dyDescent="0.25">
      <c r="B16" s="23" t="s">
        <v>86</v>
      </c>
      <c r="C16" s="80">
        <f t="shared" si="0"/>
        <v>475000</v>
      </c>
      <c r="D16" s="80">
        <f t="shared" si="0"/>
        <v>360000</v>
      </c>
      <c r="E16" s="102">
        <f t="shared" si="0"/>
        <v>115000</v>
      </c>
      <c r="F16" s="78">
        <f t="shared" si="1"/>
        <v>0.24210526315789474</v>
      </c>
      <c r="G16" s="80">
        <f t="shared" si="2"/>
        <v>474000</v>
      </c>
      <c r="H16" s="80">
        <f t="shared" si="2"/>
        <v>359200</v>
      </c>
      <c r="I16" s="102">
        <f t="shared" si="2"/>
        <v>114800</v>
      </c>
      <c r="J16" s="78">
        <f t="shared" si="3"/>
        <v>2.1097046413502108E-3</v>
      </c>
      <c r="K16" s="78">
        <f t="shared" si="4"/>
        <v>1.7421602787456446E-3</v>
      </c>
      <c r="L16" s="23" t="str">
        <f t="shared" si="5"/>
        <v>OK</v>
      </c>
    </row>
    <row r="17" spans="2:12" ht="18" customHeight="1" x14ac:dyDescent="0.25">
      <c r="B17" s="22" t="s">
        <v>87</v>
      </c>
      <c r="C17" s="87">
        <f t="shared" si="0"/>
        <v>525000</v>
      </c>
      <c r="D17" s="87">
        <f t="shared" si="0"/>
        <v>400000</v>
      </c>
      <c r="E17" s="102">
        <f t="shared" si="0"/>
        <v>125000</v>
      </c>
      <c r="F17" s="78">
        <f t="shared" si="1"/>
        <v>0.23809523809523808</v>
      </c>
      <c r="G17" s="87">
        <f t="shared" si="2"/>
        <v>524000</v>
      </c>
      <c r="H17" s="87">
        <f t="shared" si="2"/>
        <v>399200</v>
      </c>
      <c r="I17" s="102">
        <f t="shared" si="2"/>
        <v>124800</v>
      </c>
      <c r="J17" s="78">
        <f t="shared" si="3"/>
        <v>1.9083969465648854E-3</v>
      </c>
      <c r="K17" s="78">
        <f t="shared" si="4"/>
        <v>1.6025641025641025E-3</v>
      </c>
      <c r="L17" s="22" t="str">
        <f t="shared" si="5"/>
        <v>OK</v>
      </c>
    </row>
    <row r="18" spans="2:12" ht="18" customHeight="1" x14ac:dyDescent="0.25">
      <c r="B18" s="23" t="s">
        <v>88</v>
      </c>
      <c r="C18" s="80">
        <f t="shared" si="0"/>
        <v>0</v>
      </c>
      <c r="D18" s="80">
        <f t="shared" si="0"/>
        <v>0</v>
      </c>
      <c r="E18" s="102">
        <f t="shared" si="0"/>
        <v>0</v>
      </c>
      <c r="F18" s="78">
        <f t="shared" si="1"/>
        <v>0</v>
      </c>
      <c r="G18" s="80">
        <f t="shared" si="2"/>
        <v>0</v>
      </c>
      <c r="H18" s="80">
        <f t="shared" si="2"/>
        <v>0</v>
      </c>
      <c r="I18" s="102">
        <f t="shared" si="2"/>
        <v>0</v>
      </c>
      <c r="J18" s="78">
        <f t="shared" si="3"/>
        <v>0</v>
      </c>
      <c r="K18" s="78">
        <f t="shared" si="4"/>
        <v>0</v>
      </c>
      <c r="L18" s="23" t="str">
        <f t="shared" si="5"/>
        <v>PÉRDIDA</v>
      </c>
    </row>
    <row r="19" spans="2:12" ht="18" customHeight="1" x14ac:dyDescent="0.25">
      <c r="B19" s="22" t="s">
        <v>89</v>
      </c>
      <c r="C19" s="87">
        <f t="shared" si="0"/>
        <v>0</v>
      </c>
      <c r="D19" s="87">
        <f t="shared" si="0"/>
        <v>0</v>
      </c>
      <c r="E19" s="102">
        <f t="shared" si="0"/>
        <v>0</v>
      </c>
      <c r="F19" s="78">
        <f t="shared" si="1"/>
        <v>0</v>
      </c>
      <c r="G19" s="87">
        <f t="shared" si="2"/>
        <v>0</v>
      </c>
      <c r="H19" s="87">
        <f t="shared" si="2"/>
        <v>0</v>
      </c>
      <c r="I19" s="102">
        <f t="shared" si="2"/>
        <v>0</v>
      </c>
      <c r="J19" s="78">
        <f t="shared" si="3"/>
        <v>0</v>
      </c>
      <c r="K19" s="78">
        <f t="shared" si="4"/>
        <v>0</v>
      </c>
      <c r="L19" s="22" t="str">
        <f t="shared" si="5"/>
        <v>PÉRDIDA</v>
      </c>
    </row>
    <row r="20" spans="2:12" ht="18" customHeight="1" x14ac:dyDescent="0.25">
      <c r="B20" s="23" t="s">
        <v>90</v>
      </c>
      <c r="C20" s="80">
        <f t="shared" si="0"/>
        <v>0</v>
      </c>
      <c r="D20" s="80">
        <f t="shared" si="0"/>
        <v>0</v>
      </c>
      <c r="E20" s="102">
        <f t="shared" si="0"/>
        <v>0</v>
      </c>
      <c r="F20" s="78">
        <f t="shared" si="1"/>
        <v>0</v>
      </c>
      <c r="G20" s="80">
        <f t="shared" si="2"/>
        <v>0</v>
      </c>
      <c r="H20" s="80">
        <f t="shared" si="2"/>
        <v>0</v>
      </c>
      <c r="I20" s="102">
        <f t="shared" si="2"/>
        <v>0</v>
      </c>
      <c r="J20" s="78">
        <f t="shared" si="3"/>
        <v>0</v>
      </c>
      <c r="K20" s="78">
        <f t="shared" si="4"/>
        <v>0</v>
      </c>
      <c r="L20" s="23" t="str">
        <f t="shared" si="5"/>
        <v>PÉRDIDA</v>
      </c>
    </row>
    <row r="21" spans="2:12" ht="18" customHeight="1" x14ac:dyDescent="0.25">
      <c r="B21" s="22" t="s">
        <v>91</v>
      </c>
      <c r="C21" s="87">
        <f t="shared" si="0"/>
        <v>0</v>
      </c>
      <c r="D21" s="87">
        <f t="shared" si="0"/>
        <v>0</v>
      </c>
      <c r="E21" s="102">
        <f t="shared" si="0"/>
        <v>0</v>
      </c>
      <c r="F21" s="78">
        <f t="shared" si="1"/>
        <v>0</v>
      </c>
      <c r="G21" s="87">
        <f t="shared" si="2"/>
        <v>0</v>
      </c>
      <c r="H21" s="87">
        <f t="shared" si="2"/>
        <v>0</v>
      </c>
      <c r="I21" s="102">
        <f t="shared" si="2"/>
        <v>0</v>
      </c>
      <c r="J21" s="78">
        <f t="shared" si="3"/>
        <v>0</v>
      </c>
      <c r="K21" s="78">
        <f t="shared" si="4"/>
        <v>0</v>
      </c>
      <c r="L21" s="22" t="str">
        <f t="shared" si="5"/>
        <v>PÉRDIDA</v>
      </c>
    </row>
    <row r="22" spans="2:12" ht="18" customHeight="1" x14ac:dyDescent="0.25">
      <c r="B22" s="23" t="s">
        <v>92</v>
      </c>
      <c r="C22" s="80">
        <f t="shared" si="0"/>
        <v>0</v>
      </c>
      <c r="D22" s="80">
        <f t="shared" si="0"/>
        <v>0</v>
      </c>
      <c r="E22" s="102">
        <f t="shared" si="0"/>
        <v>0</v>
      </c>
      <c r="F22" s="78">
        <f t="shared" si="1"/>
        <v>0</v>
      </c>
      <c r="G22" s="80">
        <f t="shared" si="2"/>
        <v>0</v>
      </c>
      <c r="H22" s="80">
        <f t="shared" si="2"/>
        <v>0</v>
      </c>
      <c r="I22" s="102">
        <f t="shared" si="2"/>
        <v>0</v>
      </c>
      <c r="J22" s="78">
        <f t="shared" si="3"/>
        <v>0</v>
      </c>
      <c r="K22" s="78">
        <f t="shared" si="4"/>
        <v>0</v>
      </c>
      <c r="L22" s="23" t="str">
        <f t="shared" si="5"/>
        <v>PÉRDIDA</v>
      </c>
    </row>
    <row r="23" spans="2:12" ht="18" customHeight="1" x14ac:dyDescent="0.25">
      <c r="B23" s="22" t="s">
        <v>93</v>
      </c>
      <c r="C23" s="87">
        <f t="shared" si="0"/>
        <v>0</v>
      </c>
      <c r="D23" s="87">
        <f t="shared" si="0"/>
        <v>0</v>
      </c>
      <c r="E23" s="102">
        <f t="shared" si="0"/>
        <v>0</v>
      </c>
      <c r="F23" s="78">
        <f t="shared" si="1"/>
        <v>0</v>
      </c>
      <c r="G23" s="87">
        <f t="shared" si="2"/>
        <v>0</v>
      </c>
      <c r="H23" s="87">
        <f t="shared" si="2"/>
        <v>0</v>
      </c>
      <c r="I23" s="102">
        <f t="shared" si="2"/>
        <v>0</v>
      </c>
      <c r="J23" s="78">
        <f t="shared" si="3"/>
        <v>0</v>
      </c>
      <c r="K23" s="78">
        <f t="shared" si="4"/>
        <v>0</v>
      </c>
      <c r="L23" s="22" t="str">
        <f t="shared" si="5"/>
        <v>PÉRDIDA</v>
      </c>
    </row>
    <row r="24" spans="2:12" ht="18" customHeight="1" x14ac:dyDescent="0.25">
      <c r="B24" s="23" t="s">
        <v>94</v>
      </c>
      <c r="C24" s="80">
        <f t="shared" si="0"/>
        <v>0</v>
      </c>
      <c r="D24" s="80">
        <f t="shared" si="0"/>
        <v>0</v>
      </c>
      <c r="E24" s="102">
        <f t="shared" si="0"/>
        <v>0</v>
      </c>
      <c r="F24" s="78">
        <f t="shared" si="1"/>
        <v>0</v>
      </c>
      <c r="G24" s="80">
        <f t="shared" si="2"/>
        <v>0</v>
      </c>
      <c r="H24" s="80">
        <f t="shared" si="2"/>
        <v>0</v>
      </c>
      <c r="I24" s="102">
        <f t="shared" si="2"/>
        <v>0</v>
      </c>
      <c r="J24" s="78">
        <f t="shared" si="3"/>
        <v>0</v>
      </c>
      <c r="K24" s="78">
        <f t="shared" si="4"/>
        <v>0</v>
      </c>
      <c r="L24" s="23" t="str">
        <f t="shared" si="5"/>
        <v>PÉRDIDA</v>
      </c>
    </row>
    <row r="25" spans="2:12" ht="18" customHeight="1" x14ac:dyDescent="0.25">
      <c r="B25" s="22" t="s">
        <v>95</v>
      </c>
      <c r="C25" s="87">
        <f t="shared" si="0"/>
        <v>0</v>
      </c>
      <c r="D25" s="87">
        <f t="shared" si="0"/>
        <v>0</v>
      </c>
      <c r="E25" s="102">
        <f t="shared" si="0"/>
        <v>0</v>
      </c>
      <c r="F25" s="78">
        <f t="shared" si="1"/>
        <v>0</v>
      </c>
      <c r="G25" s="87">
        <f t="shared" si="2"/>
        <v>0</v>
      </c>
      <c r="H25" s="87">
        <f t="shared" si="2"/>
        <v>0</v>
      </c>
      <c r="I25" s="102">
        <f t="shared" si="2"/>
        <v>0</v>
      </c>
      <c r="J25" s="78">
        <f t="shared" si="3"/>
        <v>0</v>
      </c>
      <c r="K25" s="78">
        <f t="shared" si="4"/>
        <v>0</v>
      </c>
      <c r="L25" s="22" t="str">
        <f t="shared" si="5"/>
        <v>PÉRDIDA</v>
      </c>
    </row>
    <row r="26" spans="2:12" ht="18" customHeight="1" x14ac:dyDescent="0.25">
      <c r="B26" s="23" t="s">
        <v>96</v>
      </c>
      <c r="C26" s="80">
        <f t="shared" si="0"/>
        <v>0</v>
      </c>
      <c r="D26" s="80">
        <f t="shared" si="0"/>
        <v>0</v>
      </c>
      <c r="E26" s="102">
        <f t="shared" si="0"/>
        <v>0</v>
      </c>
      <c r="F26" s="78">
        <f t="shared" si="1"/>
        <v>0</v>
      </c>
      <c r="G26" s="80">
        <f t="shared" si="2"/>
        <v>0</v>
      </c>
      <c r="H26" s="80">
        <f t="shared" si="2"/>
        <v>0</v>
      </c>
      <c r="I26" s="102">
        <f t="shared" si="2"/>
        <v>0</v>
      </c>
      <c r="J26" s="78">
        <f t="shared" si="3"/>
        <v>0</v>
      </c>
      <c r="K26" s="78">
        <f t="shared" si="4"/>
        <v>0</v>
      </c>
      <c r="L26" s="23" t="str">
        <f t="shared" si="5"/>
        <v>PÉRDIDA</v>
      </c>
    </row>
    <row r="27" spans="2:12" ht="19.5" customHeight="1" x14ac:dyDescent="0.25">
      <c r="B27" s="24" t="s">
        <v>136</v>
      </c>
      <c r="C27" s="21">
        <f>SUM(C15:C26)</f>
        <v>1425000</v>
      </c>
      <c r="D27" s="21">
        <f>SUM(D15:D26)</f>
        <v>1080000</v>
      </c>
      <c r="E27" s="21">
        <f>SUM(E15:E26)</f>
        <v>345000</v>
      </c>
      <c r="F27" s="25">
        <f t="shared" si="1"/>
        <v>0.24210526315789474</v>
      </c>
      <c r="G27" s="21">
        <f>SUM(G15:G26)</f>
        <v>1422000</v>
      </c>
      <c r="H27" s="21">
        <f>SUM(H15:H26)</f>
        <v>1077600</v>
      </c>
      <c r="I27" s="21">
        <f>SUM(I15:I26)</f>
        <v>344400</v>
      </c>
      <c r="J27" s="25">
        <f t="shared" si="3"/>
        <v>2.1097046413502108E-3</v>
      </c>
      <c r="K27" s="25">
        <f t="shared" si="4"/>
        <v>1.7421602787456446E-3</v>
      </c>
      <c r="L27" s="62"/>
    </row>
    <row r="28" spans="2:12" ht="7.5" customHeight="1" x14ac:dyDescent="0.25"/>
    <row r="29" spans="2:12" ht="19.5" customHeight="1" x14ac:dyDescent="0.25">
      <c r="C29" s="2" t="s">
        <v>137</v>
      </c>
      <c r="D29" s="2"/>
      <c r="E29" s="2"/>
      <c r="F29" s="2"/>
      <c r="G29" s="2"/>
      <c r="H29" s="2"/>
      <c r="I29" s="2"/>
      <c r="J29" s="2"/>
    </row>
    <row r="30" spans="2:12" ht="28.5" customHeight="1" x14ac:dyDescent="0.25">
      <c r="C30" s="96" t="s">
        <v>60</v>
      </c>
      <c r="D30" s="97"/>
      <c r="E30" s="39" t="s">
        <v>126</v>
      </c>
      <c r="F30" s="39" t="s">
        <v>127</v>
      </c>
      <c r="G30" s="39" t="s">
        <v>128</v>
      </c>
      <c r="H30" s="39" t="s">
        <v>129</v>
      </c>
      <c r="I30" s="39" t="s">
        <v>138</v>
      </c>
      <c r="J30" s="39" t="s">
        <v>139</v>
      </c>
    </row>
    <row r="31" spans="2:12" ht="18" customHeight="1" x14ac:dyDescent="0.25">
      <c r="C31" s="98">
        <v>2023</v>
      </c>
      <c r="D31" s="99"/>
      <c r="E31" s="87">
        <f>SUMIFS('Datos Ventas'!$I$6:$I$605,'Datos Ventas'!$C$6:$C$605,C31)</f>
        <v>1419000</v>
      </c>
      <c r="F31" s="87">
        <f>SUMIFS('Datos Gastos'!$G$6:$G$605,'Datos Gastos'!$C$6:$C$605,C31)</f>
        <v>1075200</v>
      </c>
      <c r="G31" s="102">
        <f>E31-F31</f>
        <v>343800</v>
      </c>
      <c r="H31" s="78">
        <f>IF(E31=0,0,G31/E31)</f>
        <v>0.24228329809725158</v>
      </c>
      <c r="I31" s="26" t="s">
        <v>140</v>
      </c>
      <c r="J31" s="26" t="s">
        <v>140</v>
      </c>
    </row>
    <row r="32" spans="2:12" ht="18" customHeight="1" x14ac:dyDescent="0.25">
      <c r="C32" s="100">
        <v>2024</v>
      </c>
      <c r="D32" s="101"/>
      <c r="E32" s="80">
        <f>SUMIFS('Datos Ventas'!$I$6:$I$605,'Datos Ventas'!$C$6:$C$605,C32)</f>
        <v>1422000</v>
      </c>
      <c r="F32" s="80">
        <f>SUMIFS('Datos Gastos'!$G$6:$G$605,'Datos Gastos'!$C$6:$C$605,C32)</f>
        <v>1077600</v>
      </c>
      <c r="G32" s="102">
        <f>E32-F32</f>
        <v>344400</v>
      </c>
      <c r="H32" s="78">
        <f>IF(E32=0,0,G32/E32)</f>
        <v>0.24219409282700421</v>
      </c>
      <c r="I32" s="78">
        <f>IF(E31=0,0,(E32-E31)/E31)</f>
        <v>2.1141649048625794E-3</v>
      </c>
      <c r="J32" s="78">
        <f>IF(G31=0,0,(G32-G31)/IF(G31&lt;0,-G31,G31))</f>
        <v>1.7452006980802793E-3</v>
      </c>
    </row>
    <row r="33" spans="3:10" ht="18" customHeight="1" x14ac:dyDescent="0.25">
      <c r="C33" s="98">
        <v>2025</v>
      </c>
      <c r="D33" s="99"/>
      <c r="E33" s="87">
        <f>SUMIFS('Datos Ventas'!$I$6:$I$605,'Datos Ventas'!$C$6:$C$605,C33)</f>
        <v>1425000</v>
      </c>
      <c r="F33" s="87">
        <f>SUMIFS('Datos Gastos'!$G$6:$G$605,'Datos Gastos'!$C$6:$C$605,C33)</f>
        <v>1080000</v>
      </c>
      <c r="G33" s="102">
        <f>E33-F33</f>
        <v>345000</v>
      </c>
      <c r="H33" s="78">
        <f>IF(E33=0,0,G33/E33)</f>
        <v>0.24210526315789474</v>
      </c>
      <c r="I33" s="78">
        <f>IF(E32=0,0,(E33-E32)/E32)</f>
        <v>2.1097046413502108E-3</v>
      </c>
      <c r="J33" s="78">
        <f>IF(G32=0,0,(G33-G32)/IF(G32&lt;0,-G32,G32))</f>
        <v>1.7421602787456446E-3</v>
      </c>
    </row>
    <row r="34" spans="3:10" ht="18" customHeight="1" x14ac:dyDescent="0.25">
      <c r="C34" s="100">
        <v>2026</v>
      </c>
      <c r="D34" s="101"/>
      <c r="E34" s="80">
        <f>SUMIFS('Datos Ventas'!$I$6:$I$605,'Datos Ventas'!$C$6:$C$605,C34)</f>
        <v>0</v>
      </c>
      <c r="F34" s="80">
        <f>SUMIFS('Datos Gastos'!$G$6:$G$605,'Datos Gastos'!$C$6:$C$605,C34)</f>
        <v>0</v>
      </c>
      <c r="G34" s="102">
        <f>E34-F34</f>
        <v>0</v>
      </c>
      <c r="H34" s="78">
        <f>IF(E34=0,0,G34/E34)</f>
        <v>0</v>
      </c>
      <c r="I34" s="78">
        <f>IF(E33=0,0,(E34-E33)/E33)</f>
        <v>-1</v>
      </c>
      <c r="J34" s="78">
        <f>IF(G33=0,0,(G34-G33)/IF(G33&lt;0,-G33,G33))</f>
        <v>-1</v>
      </c>
    </row>
    <row r="35" spans="3:10" ht="18" customHeight="1" x14ac:dyDescent="0.25">
      <c r="C35" s="98">
        <v>2027</v>
      </c>
      <c r="D35" s="99"/>
      <c r="E35" s="87">
        <f>SUMIFS('Datos Ventas'!$I$6:$I$605,'Datos Ventas'!$C$6:$C$605,C35)</f>
        <v>0</v>
      </c>
      <c r="F35" s="87">
        <f>SUMIFS('Datos Gastos'!$G$6:$G$605,'Datos Gastos'!$C$6:$C$605,C35)</f>
        <v>0</v>
      </c>
      <c r="G35" s="102">
        <f>E35-F35</f>
        <v>0</v>
      </c>
      <c r="H35" s="78">
        <f>IF(E35=0,0,G35/E35)</f>
        <v>0</v>
      </c>
      <c r="I35" s="78">
        <f>IF(E34=0,0,(E35-E34)/E34)</f>
        <v>0</v>
      </c>
      <c r="J35" s="78">
        <f>IF(G34=0,0,(G35-G34)/IF(G34&lt;0,-G34,G34))</f>
        <v>0</v>
      </c>
    </row>
    <row r="49" spans="2:8" ht="14.25" customHeight="1" x14ac:dyDescent="0.25">
      <c r="B49" s="27" t="s">
        <v>141</v>
      </c>
      <c r="C49" s="28">
        <f>SUMIFS('Datos Ventas'!$I$6:$I$605,'Datos Ventas'!$C$6:$C$605,$D$3)</f>
        <v>1425000</v>
      </c>
    </row>
    <row r="50" spans="2:8" ht="14.25" customHeight="1" x14ac:dyDescent="0.25">
      <c r="B50" s="27" t="s">
        <v>142</v>
      </c>
      <c r="C50" s="28">
        <f>SUMIFS('Datos Gastos'!$G$6:$G$605,'Datos Gastos'!$C$6:$C$605,$D$3)</f>
        <v>1080000</v>
      </c>
    </row>
    <row r="51" spans="2:8" ht="14.25" customHeight="1" x14ac:dyDescent="0.25">
      <c r="B51" s="27" t="s">
        <v>143</v>
      </c>
      <c r="C51" s="28">
        <f>C49-C50</f>
        <v>345000</v>
      </c>
    </row>
    <row r="52" spans="2:8" ht="14.25" customHeight="1" x14ac:dyDescent="0.25">
      <c r="B52" s="27" t="s">
        <v>144</v>
      </c>
      <c r="C52" s="28">
        <f>SUMIFS('Datos Ventas'!$I$6:$I$605,'Datos Ventas'!$C$6:$C$605,$D$3-1)</f>
        <v>1422000</v>
      </c>
    </row>
    <row r="53" spans="2:8" ht="14.25" customHeight="1" x14ac:dyDescent="0.25">
      <c r="B53" s="27" t="s">
        <v>145</v>
      </c>
      <c r="C53" s="28">
        <f>SUMIFS('Datos Gastos'!$G$6:$G$605,'Datos Gastos'!$C$6:$C$605,$D$3-1)</f>
        <v>1077600</v>
      </c>
    </row>
    <row r="54" spans="2:8" ht="14.25" customHeight="1" x14ac:dyDescent="0.25">
      <c r="B54" s="27" t="s">
        <v>146</v>
      </c>
      <c r="C54" s="28">
        <f>C52-C53</f>
        <v>344400</v>
      </c>
    </row>
    <row r="56" spans="2:8" ht="14.25" customHeight="1" x14ac:dyDescent="0.25">
      <c r="B56" s="27" t="s">
        <v>68</v>
      </c>
      <c r="C56" s="28">
        <f>SUMIFS('Datos Ventas'!$I$6:$I$605,'Datos Ventas'!$C$6:$C$605,$D$3,'Datos Ventas'!$D$6:$D$605,"Enero")</f>
        <v>425000</v>
      </c>
      <c r="D56" s="28">
        <f>SUMIFS('Datos Gastos'!$G$6:$G$605,'Datos Gastos'!$C$6:$C$605,$D$3,'Datos Gastos'!$D$6:$D$605,"Enero")</f>
        <v>320000</v>
      </c>
      <c r="E56" s="28">
        <f t="shared" ref="E56:E67" si="6">C56-D56</f>
        <v>105000</v>
      </c>
      <c r="F56" s="28">
        <f>SUMIFS('Datos Ventas'!$I$6:$I$605,'Datos Ventas'!$C$6:$C$605,$D$3-1,'Datos Ventas'!$D$6:$D$605,"Enero")</f>
        <v>424000</v>
      </c>
      <c r="G56" s="28">
        <f>SUMIFS('Datos Gastos'!$G$6:$G$605,'Datos Gastos'!$C$6:$C$605,$D$3-1,'Datos Gastos'!$D$6:$D$605,"Enero")</f>
        <v>319200</v>
      </c>
      <c r="H56" s="28">
        <f t="shared" ref="H56:H67" si="7">F56-G56</f>
        <v>104800</v>
      </c>
    </row>
    <row r="57" spans="2:8" ht="14.25" customHeight="1" x14ac:dyDescent="0.25">
      <c r="B57" s="27" t="s">
        <v>69</v>
      </c>
      <c r="C57" s="28">
        <f>SUMIFS('Datos Ventas'!$I$6:$I$605,'Datos Ventas'!$C$6:$C$605,$D$3,'Datos Ventas'!$D$6:$D$605,"Febrero")</f>
        <v>475000</v>
      </c>
      <c r="D57" s="28">
        <f>SUMIFS('Datos Gastos'!$G$6:$G$605,'Datos Gastos'!$C$6:$C$605,$D$3,'Datos Gastos'!$D$6:$D$605,"Febrero")</f>
        <v>360000</v>
      </c>
      <c r="E57" s="28">
        <f t="shared" si="6"/>
        <v>115000</v>
      </c>
      <c r="F57" s="28">
        <f>SUMIFS('Datos Ventas'!$I$6:$I$605,'Datos Ventas'!$C$6:$C$605,$D$3-1,'Datos Ventas'!$D$6:$D$605,"Febrero")</f>
        <v>474000</v>
      </c>
      <c r="G57" s="28">
        <f>SUMIFS('Datos Gastos'!$G$6:$G$605,'Datos Gastos'!$C$6:$C$605,$D$3-1,'Datos Gastos'!$D$6:$D$605,"Febrero")</f>
        <v>359200</v>
      </c>
      <c r="H57" s="28">
        <f t="shared" si="7"/>
        <v>114800</v>
      </c>
    </row>
    <row r="58" spans="2:8" ht="14.25" customHeight="1" x14ac:dyDescent="0.25">
      <c r="B58" s="27" t="s">
        <v>70</v>
      </c>
      <c r="C58" s="28">
        <f>SUMIFS('Datos Ventas'!$I$6:$I$605,'Datos Ventas'!$C$6:$C$605,$D$3,'Datos Ventas'!$D$6:$D$605,"Marzo")</f>
        <v>525000</v>
      </c>
      <c r="D58" s="28">
        <f>SUMIFS('Datos Gastos'!$G$6:$G$605,'Datos Gastos'!$C$6:$C$605,$D$3,'Datos Gastos'!$D$6:$D$605,"Marzo")</f>
        <v>400000</v>
      </c>
      <c r="E58" s="28">
        <f t="shared" si="6"/>
        <v>125000</v>
      </c>
      <c r="F58" s="28">
        <f>SUMIFS('Datos Ventas'!$I$6:$I$605,'Datos Ventas'!$C$6:$C$605,$D$3-1,'Datos Ventas'!$D$6:$D$605,"Marzo")</f>
        <v>524000</v>
      </c>
      <c r="G58" s="28">
        <f>SUMIFS('Datos Gastos'!$G$6:$G$605,'Datos Gastos'!$C$6:$C$605,$D$3-1,'Datos Gastos'!$D$6:$D$605,"Marzo")</f>
        <v>399200</v>
      </c>
      <c r="H58" s="28">
        <f t="shared" si="7"/>
        <v>124800</v>
      </c>
    </row>
    <row r="59" spans="2:8" ht="14.25" customHeight="1" x14ac:dyDescent="0.25">
      <c r="B59" s="27" t="s">
        <v>147</v>
      </c>
      <c r="C59" s="28">
        <f>SUMIFS('Datos Ventas'!$I$6:$I$605,'Datos Ventas'!$C$6:$C$605,$D$3,'Datos Ventas'!$D$6:$D$605,"Abril")</f>
        <v>0</v>
      </c>
      <c r="D59" s="28">
        <f>SUMIFS('Datos Gastos'!$G$6:$G$605,'Datos Gastos'!$C$6:$C$605,$D$3,'Datos Gastos'!$D$6:$D$605,"Abril")</f>
        <v>0</v>
      </c>
      <c r="E59" s="28">
        <f t="shared" si="6"/>
        <v>0</v>
      </c>
      <c r="F59" s="28">
        <f>SUMIFS('Datos Ventas'!$I$6:$I$605,'Datos Ventas'!$C$6:$C$605,$D$3-1,'Datos Ventas'!$D$6:$D$605,"Abril")</f>
        <v>0</v>
      </c>
      <c r="G59" s="28">
        <f>SUMIFS('Datos Gastos'!$G$6:$G$605,'Datos Gastos'!$C$6:$C$605,$D$3-1,'Datos Gastos'!$D$6:$D$605,"Abril")</f>
        <v>0</v>
      </c>
      <c r="H59" s="28">
        <f t="shared" si="7"/>
        <v>0</v>
      </c>
    </row>
    <row r="60" spans="2:8" ht="14.25" customHeight="1" x14ac:dyDescent="0.25">
      <c r="B60" s="27" t="s">
        <v>148</v>
      </c>
      <c r="C60" s="28">
        <f>SUMIFS('Datos Ventas'!$I$6:$I$605,'Datos Ventas'!$C$6:$C$605,$D$3,'Datos Ventas'!$D$6:$D$605,"Mayo")</f>
        <v>0</v>
      </c>
      <c r="D60" s="28">
        <f>SUMIFS('Datos Gastos'!$G$6:$G$605,'Datos Gastos'!$C$6:$C$605,$D$3,'Datos Gastos'!$D$6:$D$605,"Mayo")</f>
        <v>0</v>
      </c>
      <c r="E60" s="28">
        <f t="shared" si="6"/>
        <v>0</v>
      </c>
      <c r="F60" s="28">
        <f>SUMIFS('Datos Ventas'!$I$6:$I$605,'Datos Ventas'!$C$6:$C$605,$D$3-1,'Datos Ventas'!$D$6:$D$605,"Mayo")</f>
        <v>0</v>
      </c>
      <c r="G60" s="28">
        <f>SUMIFS('Datos Gastos'!$G$6:$G$605,'Datos Gastos'!$C$6:$C$605,$D$3-1,'Datos Gastos'!$D$6:$D$605,"Mayo")</f>
        <v>0</v>
      </c>
      <c r="H60" s="28">
        <f t="shared" si="7"/>
        <v>0</v>
      </c>
    </row>
    <row r="61" spans="2:8" ht="14.25" customHeight="1" x14ac:dyDescent="0.25">
      <c r="B61" s="27" t="s">
        <v>149</v>
      </c>
      <c r="C61" s="28">
        <f>SUMIFS('Datos Ventas'!$I$6:$I$605,'Datos Ventas'!$C$6:$C$605,$D$3,'Datos Ventas'!$D$6:$D$605,"Junio")</f>
        <v>0</v>
      </c>
      <c r="D61" s="28">
        <f>SUMIFS('Datos Gastos'!$G$6:$G$605,'Datos Gastos'!$C$6:$C$605,$D$3,'Datos Gastos'!$D$6:$D$605,"Junio")</f>
        <v>0</v>
      </c>
      <c r="E61" s="28">
        <f t="shared" si="6"/>
        <v>0</v>
      </c>
      <c r="F61" s="28">
        <f>SUMIFS('Datos Ventas'!$I$6:$I$605,'Datos Ventas'!$C$6:$C$605,$D$3-1,'Datos Ventas'!$D$6:$D$605,"Junio")</f>
        <v>0</v>
      </c>
      <c r="G61" s="28">
        <f>SUMIFS('Datos Gastos'!$G$6:$G$605,'Datos Gastos'!$C$6:$C$605,$D$3-1,'Datos Gastos'!$D$6:$D$605,"Junio")</f>
        <v>0</v>
      </c>
      <c r="H61" s="28">
        <f t="shared" si="7"/>
        <v>0</v>
      </c>
    </row>
    <row r="62" spans="2:8" ht="14.25" customHeight="1" x14ac:dyDescent="0.25">
      <c r="B62" s="27" t="s">
        <v>150</v>
      </c>
      <c r="C62" s="28">
        <f>SUMIFS('Datos Ventas'!$I$6:$I$605,'Datos Ventas'!$C$6:$C$605,$D$3,'Datos Ventas'!$D$6:$D$605,"Julio")</f>
        <v>0</v>
      </c>
      <c r="D62" s="28">
        <f>SUMIFS('Datos Gastos'!$G$6:$G$605,'Datos Gastos'!$C$6:$C$605,$D$3,'Datos Gastos'!$D$6:$D$605,"Julio")</f>
        <v>0</v>
      </c>
      <c r="E62" s="28">
        <f t="shared" si="6"/>
        <v>0</v>
      </c>
      <c r="F62" s="28">
        <f>SUMIFS('Datos Ventas'!$I$6:$I$605,'Datos Ventas'!$C$6:$C$605,$D$3-1,'Datos Ventas'!$D$6:$D$605,"Julio")</f>
        <v>0</v>
      </c>
      <c r="G62" s="28">
        <f>SUMIFS('Datos Gastos'!$G$6:$G$605,'Datos Gastos'!$C$6:$C$605,$D$3-1,'Datos Gastos'!$D$6:$D$605,"Julio")</f>
        <v>0</v>
      </c>
      <c r="H62" s="28">
        <f t="shared" si="7"/>
        <v>0</v>
      </c>
    </row>
    <row r="63" spans="2:8" ht="14.25" customHeight="1" x14ac:dyDescent="0.25">
      <c r="B63" s="27" t="s">
        <v>151</v>
      </c>
      <c r="C63" s="28">
        <f>SUMIFS('Datos Ventas'!$I$6:$I$605,'Datos Ventas'!$C$6:$C$605,$D$3,'Datos Ventas'!$D$6:$D$605,"Agosto")</f>
        <v>0</v>
      </c>
      <c r="D63" s="28">
        <f>SUMIFS('Datos Gastos'!$G$6:$G$605,'Datos Gastos'!$C$6:$C$605,$D$3,'Datos Gastos'!$D$6:$D$605,"Agosto")</f>
        <v>0</v>
      </c>
      <c r="E63" s="28">
        <f t="shared" si="6"/>
        <v>0</v>
      </c>
      <c r="F63" s="28">
        <f>SUMIFS('Datos Ventas'!$I$6:$I$605,'Datos Ventas'!$C$6:$C$605,$D$3-1,'Datos Ventas'!$D$6:$D$605,"Agosto")</f>
        <v>0</v>
      </c>
      <c r="G63" s="28">
        <f>SUMIFS('Datos Gastos'!$G$6:$G$605,'Datos Gastos'!$C$6:$C$605,$D$3-1,'Datos Gastos'!$D$6:$D$605,"Agosto")</f>
        <v>0</v>
      </c>
      <c r="H63" s="28">
        <f t="shared" si="7"/>
        <v>0</v>
      </c>
    </row>
    <row r="64" spans="2:8" ht="14.25" customHeight="1" x14ac:dyDescent="0.25">
      <c r="B64" s="27" t="s">
        <v>152</v>
      </c>
      <c r="C64" s="28">
        <f>SUMIFS('Datos Ventas'!$I$6:$I$605,'Datos Ventas'!$C$6:$C$605,$D$3,'Datos Ventas'!$D$6:$D$605,"Septiembre")</f>
        <v>0</v>
      </c>
      <c r="D64" s="28">
        <f>SUMIFS('Datos Gastos'!$G$6:$G$605,'Datos Gastos'!$C$6:$C$605,$D$3,'Datos Gastos'!$D$6:$D$605,"Septiembre")</f>
        <v>0</v>
      </c>
      <c r="E64" s="28">
        <f t="shared" si="6"/>
        <v>0</v>
      </c>
      <c r="F64" s="28">
        <f>SUMIFS('Datos Ventas'!$I$6:$I$605,'Datos Ventas'!$C$6:$C$605,$D$3-1,'Datos Ventas'!$D$6:$D$605,"Septiembre")</f>
        <v>0</v>
      </c>
      <c r="G64" s="28">
        <f>SUMIFS('Datos Gastos'!$G$6:$G$605,'Datos Gastos'!$C$6:$C$605,$D$3-1,'Datos Gastos'!$D$6:$D$605,"Septiembre")</f>
        <v>0</v>
      </c>
      <c r="H64" s="28">
        <f t="shared" si="7"/>
        <v>0</v>
      </c>
    </row>
    <row r="65" spans="2:8" ht="14.25" customHeight="1" x14ac:dyDescent="0.25">
      <c r="B65" s="27" t="s">
        <v>153</v>
      </c>
      <c r="C65" s="28">
        <f>SUMIFS('Datos Ventas'!$I$6:$I$605,'Datos Ventas'!$C$6:$C$605,$D$3,'Datos Ventas'!$D$6:$D$605,"Octubre")</f>
        <v>0</v>
      </c>
      <c r="D65" s="28">
        <f>SUMIFS('Datos Gastos'!$G$6:$G$605,'Datos Gastos'!$C$6:$C$605,$D$3,'Datos Gastos'!$D$6:$D$605,"Octubre")</f>
        <v>0</v>
      </c>
      <c r="E65" s="28">
        <f t="shared" si="6"/>
        <v>0</v>
      </c>
      <c r="F65" s="28">
        <f>SUMIFS('Datos Ventas'!$I$6:$I$605,'Datos Ventas'!$C$6:$C$605,$D$3-1,'Datos Ventas'!$D$6:$D$605,"Octubre")</f>
        <v>0</v>
      </c>
      <c r="G65" s="28">
        <f>SUMIFS('Datos Gastos'!$G$6:$G$605,'Datos Gastos'!$C$6:$C$605,$D$3-1,'Datos Gastos'!$D$6:$D$605,"Octubre")</f>
        <v>0</v>
      </c>
      <c r="H65" s="28">
        <f t="shared" si="7"/>
        <v>0</v>
      </c>
    </row>
    <row r="66" spans="2:8" ht="14.25" customHeight="1" x14ac:dyDescent="0.25">
      <c r="B66" s="27" t="s">
        <v>154</v>
      </c>
      <c r="C66" s="28">
        <f>SUMIFS('Datos Ventas'!$I$6:$I$605,'Datos Ventas'!$C$6:$C$605,$D$3,'Datos Ventas'!$D$6:$D$605,"Noviembre")</f>
        <v>0</v>
      </c>
      <c r="D66" s="28">
        <f>SUMIFS('Datos Gastos'!$G$6:$G$605,'Datos Gastos'!$C$6:$C$605,$D$3,'Datos Gastos'!$D$6:$D$605,"Noviembre")</f>
        <v>0</v>
      </c>
      <c r="E66" s="28">
        <f t="shared" si="6"/>
        <v>0</v>
      </c>
      <c r="F66" s="28">
        <f>SUMIFS('Datos Ventas'!$I$6:$I$605,'Datos Ventas'!$C$6:$C$605,$D$3-1,'Datos Ventas'!$D$6:$D$605,"Noviembre")</f>
        <v>0</v>
      </c>
      <c r="G66" s="28">
        <f>SUMIFS('Datos Gastos'!$G$6:$G$605,'Datos Gastos'!$C$6:$C$605,$D$3-1,'Datos Gastos'!$D$6:$D$605,"Noviembre")</f>
        <v>0</v>
      </c>
      <c r="H66" s="28">
        <f t="shared" si="7"/>
        <v>0</v>
      </c>
    </row>
    <row r="67" spans="2:8" ht="14.25" customHeight="1" x14ac:dyDescent="0.25">
      <c r="B67" s="27" t="s">
        <v>155</v>
      </c>
      <c r="C67" s="28">
        <f>SUMIFS('Datos Ventas'!$I$6:$I$605,'Datos Ventas'!$C$6:$C$605,$D$3,'Datos Ventas'!$D$6:$D$605,"Diciembre")</f>
        <v>0</v>
      </c>
      <c r="D67" s="28">
        <f>SUMIFS('Datos Gastos'!$G$6:$G$605,'Datos Gastos'!$C$6:$C$605,$D$3,'Datos Gastos'!$D$6:$D$605,"Diciembre")</f>
        <v>0</v>
      </c>
      <c r="E67" s="28">
        <f t="shared" si="6"/>
        <v>0</v>
      </c>
      <c r="F67" s="28">
        <f>SUMIFS('Datos Ventas'!$I$6:$I$605,'Datos Ventas'!$C$6:$C$605,$D$3-1,'Datos Ventas'!$D$6:$D$605,"Diciembre")</f>
        <v>0</v>
      </c>
      <c r="G67" s="28">
        <f>SUMIFS('Datos Gastos'!$G$6:$G$605,'Datos Gastos'!$C$6:$C$605,$D$3-1,'Datos Gastos'!$D$6:$D$605,"Diciembre")</f>
        <v>0</v>
      </c>
      <c r="H67" s="28">
        <f t="shared" si="7"/>
        <v>0</v>
      </c>
    </row>
  </sheetData>
  <mergeCells count="37">
    <mergeCell ref="C33:D33"/>
    <mergeCell ref="C34:D34"/>
    <mergeCell ref="C35:D35"/>
    <mergeCell ref="B13:L13"/>
    <mergeCell ref="C29:J29"/>
    <mergeCell ref="C30:D30"/>
    <mergeCell ref="C31:D31"/>
    <mergeCell ref="C32:D32"/>
    <mergeCell ref="Q9:S9"/>
    <mergeCell ref="B10:D11"/>
    <mergeCell ref="E10:G11"/>
    <mergeCell ref="H10:J11"/>
    <mergeCell ref="K10:M11"/>
    <mergeCell ref="N10:P11"/>
    <mergeCell ref="Q10:S11"/>
    <mergeCell ref="B9:D9"/>
    <mergeCell ref="E9:G9"/>
    <mergeCell ref="H9:J9"/>
    <mergeCell ref="K9:M9"/>
    <mergeCell ref="N9:P9"/>
    <mergeCell ref="Q5:S5"/>
    <mergeCell ref="B6:D7"/>
    <mergeCell ref="E6:G7"/>
    <mergeCell ref="H6:J7"/>
    <mergeCell ref="K6:M7"/>
    <mergeCell ref="N6:P7"/>
    <mergeCell ref="Q6:S7"/>
    <mergeCell ref="B5:D5"/>
    <mergeCell ref="E5:G5"/>
    <mergeCell ref="H5:J5"/>
    <mergeCell ref="K5:M5"/>
    <mergeCell ref="N5:P5"/>
    <mergeCell ref="B1:V1"/>
    <mergeCell ref="B2:V2"/>
    <mergeCell ref="B3:C3"/>
    <mergeCell ref="D3:E3"/>
    <mergeCell ref="F3:H3"/>
  </mergeCells>
  <conditionalFormatting sqref="E15:E26">
    <cfRule type="cellIs" dxfId="7" priority="4" operator="greaterThan">
      <formula>0</formula>
    </cfRule>
    <cfRule type="cellIs" dxfId="6" priority="5" operator="lessThan">
      <formula>0</formula>
    </cfRule>
  </conditionalFormatting>
  <conditionalFormatting sqref="I31:J35">
    <cfRule type="cellIs" dxfId="5" priority="8" operator="greaterThan">
      <formula>0</formula>
    </cfRule>
    <cfRule type="cellIs" dxfId="4" priority="9" operator="lessThan">
      <formula>0</formula>
    </cfRule>
  </conditionalFormatting>
  <conditionalFormatting sqref="J15:K26">
    <cfRule type="cellIs" dxfId="3" priority="6" operator="greaterThan">
      <formula>0</formula>
    </cfRule>
    <cfRule type="cellIs" dxfId="2" priority="7" operator="lessThan">
      <formula>0</formula>
    </cfRule>
  </conditionalFormatting>
  <conditionalFormatting sqref="L15:L26">
    <cfRule type="expression" dxfId="1" priority="2">
      <formula>L15="OK"</formula>
    </cfRule>
    <cfRule type="expression" dxfId="0" priority="3">
      <formula>L15="PÉRDIDA"</formula>
    </cfRule>
  </conditionalFormatting>
  <dataValidations count="1">
    <dataValidation type="list" sqref="D3" xr:uid="{00000000-0002-0000-0600-000000000000}">
      <formula1>"2020,2021,2022,2023,2024,2025,2026,2027,2028,2029,2030"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B2335"/>
  </sheetPr>
  <dimension ref="B2:U16"/>
  <sheetViews>
    <sheetView showGridLines="0" zoomScale="80" zoomScaleNormal="80" workbookViewId="0">
      <selection activeCell="L16" sqref="L16"/>
    </sheetView>
  </sheetViews>
  <sheetFormatPr baseColWidth="10" defaultColWidth="8.5703125" defaultRowHeight="15" x14ac:dyDescent="0.25"/>
  <cols>
    <col min="3" max="3" width="11.5703125" customWidth="1"/>
    <col min="4" max="4" width="12" customWidth="1"/>
    <col min="5" max="5" width="12.140625" customWidth="1"/>
    <col min="6" max="6" width="11.140625" customWidth="1"/>
    <col min="7" max="7" width="11.5703125" customWidth="1"/>
    <col min="9" max="9" width="15" customWidth="1"/>
    <col min="10" max="10" width="12.5703125" customWidth="1"/>
    <col min="13" max="13" width="13.42578125" customWidth="1"/>
    <col min="16" max="16" width="11.28515625" customWidth="1"/>
    <col min="17" max="17" width="11" customWidth="1"/>
    <col min="18" max="18" width="14" customWidth="1"/>
  </cols>
  <sheetData>
    <row r="2" spans="2:21" ht="27.75" customHeight="1" x14ac:dyDescent="0.25">
      <c r="B2" s="47" t="s">
        <v>156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4" spans="2:21" ht="33.75" customHeight="1" x14ac:dyDescent="0.25">
      <c r="B4" s="103" t="s">
        <v>157</v>
      </c>
      <c r="C4" s="103" t="s">
        <v>158</v>
      </c>
      <c r="D4" s="103" t="s">
        <v>159</v>
      </c>
      <c r="E4" s="103" t="s">
        <v>160</v>
      </c>
      <c r="F4" s="103" t="s">
        <v>161</v>
      </c>
      <c r="G4" s="103" t="s">
        <v>162</v>
      </c>
      <c r="I4" s="103" t="s">
        <v>163</v>
      </c>
      <c r="J4" s="103" t="s">
        <v>158</v>
      </c>
      <c r="L4" s="103" t="s">
        <v>164</v>
      </c>
      <c r="M4" s="103" t="s">
        <v>158</v>
      </c>
      <c r="O4" s="103" t="s">
        <v>165</v>
      </c>
      <c r="P4" s="103" t="s">
        <v>158</v>
      </c>
      <c r="Q4" s="103" t="s">
        <v>159</v>
      </c>
      <c r="R4" s="103" t="s">
        <v>160</v>
      </c>
    </row>
    <row r="5" spans="2:21" ht="22.5" customHeight="1" x14ac:dyDescent="0.25">
      <c r="B5" s="29" t="s">
        <v>85</v>
      </c>
      <c r="C5" s="104">
        <f>Dashboard!C56</f>
        <v>425000</v>
      </c>
      <c r="D5" s="104">
        <f>Dashboard!D56</f>
        <v>320000</v>
      </c>
      <c r="E5" s="104">
        <f>Dashboard!E56</f>
        <v>105000</v>
      </c>
      <c r="F5" s="104">
        <f>Dashboard!F56</f>
        <v>424000</v>
      </c>
      <c r="G5" s="104">
        <f>Dashboard!G56</f>
        <v>319200</v>
      </c>
      <c r="I5" s="30" t="str">
        <f>Configuración!$B$6</f>
        <v>Producto A</v>
      </c>
      <c r="J5" s="104">
        <f>'Resumen Ventas'!O10</f>
        <v>425000</v>
      </c>
      <c r="L5" s="30" t="str">
        <f>Configuración!$D$6</f>
        <v>Norte</v>
      </c>
      <c r="M5" s="104">
        <f>'Resumen Ventas'!O18</f>
        <v>425000</v>
      </c>
      <c r="O5" s="31">
        <v>2023</v>
      </c>
      <c r="P5" s="104">
        <f>Dashboard!E31</f>
        <v>1419000</v>
      </c>
      <c r="Q5" s="104">
        <f>Dashboard!F31</f>
        <v>1075200</v>
      </c>
      <c r="R5" s="104">
        <f>Dashboard!G31</f>
        <v>343800</v>
      </c>
    </row>
    <row r="6" spans="2:21" ht="22.5" customHeight="1" x14ac:dyDescent="0.25">
      <c r="B6" s="32" t="s">
        <v>86</v>
      </c>
      <c r="C6" s="105">
        <f>Dashboard!C57</f>
        <v>475000</v>
      </c>
      <c r="D6" s="105">
        <f>Dashboard!D57</f>
        <v>360000</v>
      </c>
      <c r="E6" s="105">
        <f>Dashboard!E57</f>
        <v>115000</v>
      </c>
      <c r="F6" s="105">
        <f>Dashboard!F57</f>
        <v>474000</v>
      </c>
      <c r="G6" s="105">
        <f>Dashboard!G57</f>
        <v>359200</v>
      </c>
      <c r="I6" s="33" t="str">
        <f>Configuración!$B$7</f>
        <v>Producto B</v>
      </c>
      <c r="J6" s="105">
        <f>'Resumen Ventas'!O11</f>
        <v>475000</v>
      </c>
      <c r="L6" s="33" t="str">
        <f>Configuración!$D$7</f>
        <v>Sur</v>
      </c>
      <c r="M6" s="105">
        <f>'Resumen Ventas'!O19</f>
        <v>475000</v>
      </c>
      <c r="O6" s="34">
        <v>2024</v>
      </c>
      <c r="P6" s="105">
        <f>Dashboard!E32</f>
        <v>1422000</v>
      </c>
      <c r="Q6" s="105">
        <f>Dashboard!F32</f>
        <v>1077600</v>
      </c>
      <c r="R6" s="105">
        <f>Dashboard!G32</f>
        <v>344400</v>
      </c>
    </row>
    <row r="7" spans="2:21" ht="22.5" customHeight="1" x14ac:dyDescent="0.25">
      <c r="B7" s="29" t="s">
        <v>87</v>
      </c>
      <c r="C7" s="104">
        <f>Dashboard!C58</f>
        <v>525000</v>
      </c>
      <c r="D7" s="104">
        <f>Dashboard!D58</f>
        <v>400000</v>
      </c>
      <c r="E7" s="104">
        <f>Dashboard!E58</f>
        <v>125000</v>
      </c>
      <c r="F7" s="104">
        <f>Dashboard!F58</f>
        <v>524000</v>
      </c>
      <c r="G7" s="104">
        <f>Dashboard!G58</f>
        <v>399200</v>
      </c>
      <c r="I7" s="30" t="str">
        <f>Configuración!$B$8</f>
        <v>Producto C</v>
      </c>
      <c r="J7" s="104">
        <f>'Resumen Ventas'!O12</f>
        <v>525000</v>
      </c>
      <c r="L7" s="30" t="str">
        <f>Configuración!$D$8</f>
        <v>Centro</v>
      </c>
      <c r="M7" s="104">
        <f>'Resumen Ventas'!O20</f>
        <v>525000</v>
      </c>
      <c r="O7" s="31">
        <v>2025</v>
      </c>
      <c r="P7" s="104">
        <f>Dashboard!E33</f>
        <v>1425000</v>
      </c>
      <c r="Q7" s="104">
        <f>Dashboard!F33</f>
        <v>1080000</v>
      </c>
      <c r="R7" s="104">
        <f>Dashboard!G33</f>
        <v>345000</v>
      </c>
    </row>
    <row r="8" spans="2:21" ht="22.5" customHeight="1" x14ac:dyDescent="0.25">
      <c r="B8" s="32" t="s">
        <v>88</v>
      </c>
      <c r="C8" s="105">
        <f>Dashboard!C59</f>
        <v>0</v>
      </c>
      <c r="D8" s="105">
        <f>Dashboard!D59</f>
        <v>0</v>
      </c>
      <c r="E8" s="105">
        <f>Dashboard!E59</f>
        <v>0</v>
      </c>
      <c r="F8" s="105">
        <f>Dashboard!F59</f>
        <v>0</v>
      </c>
      <c r="G8" s="105">
        <f>Dashboard!G59</f>
        <v>0</v>
      </c>
      <c r="I8" s="33" t="str">
        <f>Configuración!$B$9</f>
        <v>Producto D</v>
      </c>
      <c r="J8" s="105">
        <f>'Resumen Ventas'!O13</f>
        <v>0</v>
      </c>
      <c r="L8" s="33" t="str">
        <f>Configuración!$D$9</f>
        <v>Oriente</v>
      </c>
      <c r="M8" s="105">
        <f>'Resumen Ventas'!O21</f>
        <v>0</v>
      </c>
      <c r="O8" s="34">
        <v>2026</v>
      </c>
      <c r="P8" s="105">
        <f>Dashboard!E34</f>
        <v>0</v>
      </c>
      <c r="Q8" s="105">
        <f>Dashboard!F34</f>
        <v>0</v>
      </c>
      <c r="R8" s="105">
        <f>Dashboard!G34</f>
        <v>0</v>
      </c>
    </row>
    <row r="9" spans="2:21" ht="22.5" customHeight="1" x14ac:dyDescent="0.25">
      <c r="B9" s="29" t="s">
        <v>89</v>
      </c>
      <c r="C9" s="104">
        <f>Dashboard!C60</f>
        <v>0</v>
      </c>
      <c r="D9" s="104">
        <f>Dashboard!D60</f>
        <v>0</v>
      </c>
      <c r="E9" s="104">
        <f>Dashboard!E60</f>
        <v>0</v>
      </c>
      <c r="F9" s="104">
        <f>Dashboard!F60</f>
        <v>0</v>
      </c>
      <c r="G9" s="104">
        <f>Dashboard!G60</f>
        <v>0</v>
      </c>
      <c r="I9" s="30" t="str">
        <f>Configuración!$B$10</f>
        <v>Producto E</v>
      </c>
      <c r="J9" s="104">
        <f>'Resumen Ventas'!O14</f>
        <v>0</v>
      </c>
      <c r="L9" s="30" t="str">
        <f>Configuración!$D$10</f>
        <v>Occidente</v>
      </c>
      <c r="M9" s="104">
        <f>'Resumen Ventas'!O22</f>
        <v>0</v>
      </c>
      <c r="O9" s="31">
        <v>2027</v>
      </c>
      <c r="P9" s="104">
        <f>Dashboard!E35</f>
        <v>0</v>
      </c>
      <c r="Q9" s="104">
        <f>Dashboard!F35</f>
        <v>0</v>
      </c>
      <c r="R9" s="104">
        <f>Dashboard!G35</f>
        <v>0</v>
      </c>
    </row>
    <row r="10" spans="2:21" ht="14.25" customHeight="1" x14ac:dyDescent="0.25">
      <c r="B10" s="32" t="s">
        <v>90</v>
      </c>
      <c r="C10" s="105">
        <f>Dashboard!C61</f>
        <v>0</v>
      </c>
      <c r="D10" s="105">
        <f>Dashboard!D61</f>
        <v>0</v>
      </c>
      <c r="E10" s="105">
        <f>Dashboard!E61</f>
        <v>0</v>
      </c>
      <c r="F10" s="105">
        <f>Dashboard!F61</f>
        <v>0</v>
      </c>
      <c r="G10" s="105">
        <f>Dashboard!G61</f>
        <v>0</v>
      </c>
    </row>
    <row r="11" spans="2:21" ht="14.25" customHeight="1" x14ac:dyDescent="0.25">
      <c r="B11" s="29" t="s">
        <v>91</v>
      </c>
      <c r="C11" s="104">
        <f>Dashboard!C62</f>
        <v>0</v>
      </c>
      <c r="D11" s="104">
        <f>Dashboard!D62</f>
        <v>0</v>
      </c>
      <c r="E11" s="104">
        <f>Dashboard!E62</f>
        <v>0</v>
      </c>
      <c r="F11" s="104">
        <f>Dashboard!F62</f>
        <v>0</v>
      </c>
      <c r="G11" s="104">
        <f>Dashboard!G62</f>
        <v>0</v>
      </c>
    </row>
    <row r="12" spans="2:21" ht="14.25" customHeight="1" x14ac:dyDescent="0.25">
      <c r="B12" s="32" t="s">
        <v>92</v>
      </c>
      <c r="C12" s="105">
        <f>Dashboard!C63</f>
        <v>0</v>
      </c>
      <c r="D12" s="105">
        <f>Dashboard!D63</f>
        <v>0</v>
      </c>
      <c r="E12" s="105">
        <f>Dashboard!E63</f>
        <v>0</v>
      </c>
      <c r="F12" s="105">
        <f>Dashboard!F63</f>
        <v>0</v>
      </c>
      <c r="G12" s="105">
        <f>Dashboard!G63</f>
        <v>0</v>
      </c>
    </row>
    <row r="13" spans="2:21" ht="14.25" customHeight="1" x14ac:dyDescent="0.25">
      <c r="B13" s="29" t="s">
        <v>93</v>
      </c>
      <c r="C13" s="104">
        <f>Dashboard!C64</f>
        <v>0</v>
      </c>
      <c r="D13" s="104">
        <f>Dashboard!D64</f>
        <v>0</v>
      </c>
      <c r="E13" s="104">
        <f>Dashboard!E64</f>
        <v>0</v>
      </c>
      <c r="F13" s="104">
        <f>Dashboard!F64</f>
        <v>0</v>
      </c>
      <c r="G13" s="104">
        <f>Dashboard!G64</f>
        <v>0</v>
      </c>
    </row>
    <row r="14" spans="2:21" ht="14.25" customHeight="1" x14ac:dyDescent="0.25">
      <c r="B14" s="32" t="s">
        <v>94</v>
      </c>
      <c r="C14" s="105">
        <f>Dashboard!C65</f>
        <v>0</v>
      </c>
      <c r="D14" s="105">
        <f>Dashboard!D65</f>
        <v>0</v>
      </c>
      <c r="E14" s="105">
        <f>Dashboard!E65</f>
        <v>0</v>
      </c>
      <c r="F14" s="105">
        <f>Dashboard!F65</f>
        <v>0</v>
      </c>
      <c r="G14" s="105">
        <f>Dashboard!G65</f>
        <v>0</v>
      </c>
    </row>
    <row r="15" spans="2:21" ht="14.25" customHeight="1" x14ac:dyDescent="0.25">
      <c r="B15" s="29" t="s">
        <v>95</v>
      </c>
      <c r="C15" s="104">
        <f>Dashboard!C66</f>
        <v>0</v>
      </c>
      <c r="D15" s="104">
        <f>Dashboard!D66</f>
        <v>0</v>
      </c>
      <c r="E15" s="104">
        <f>Dashboard!E66</f>
        <v>0</v>
      </c>
      <c r="F15" s="104">
        <f>Dashboard!F66</f>
        <v>0</v>
      </c>
      <c r="G15" s="104">
        <f>Dashboard!G66</f>
        <v>0</v>
      </c>
    </row>
    <row r="16" spans="2:21" ht="14.25" customHeight="1" x14ac:dyDescent="0.25">
      <c r="B16" s="32" t="s">
        <v>96</v>
      </c>
      <c r="C16" s="105">
        <f>Dashboard!C67</f>
        <v>0</v>
      </c>
      <c r="D16" s="105">
        <f>Dashboard!D67</f>
        <v>0</v>
      </c>
      <c r="E16" s="105">
        <f>Dashboard!E67</f>
        <v>0</v>
      </c>
      <c r="F16" s="105">
        <f>Dashboard!F67</f>
        <v>0</v>
      </c>
      <c r="G16" s="105">
        <f>Dashboard!G67</f>
        <v>0</v>
      </c>
    </row>
  </sheetData>
  <mergeCells count="1">
    <mergeCell ref="B2:U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Inicio</vt:lpstr>
      <vt:lpstr>Configuración</vt:lpstr>
      <vt:lpstr>Datos Ventas</vt:lpstr>
      <vt:lpstr>Datos Gastos</vt:lpstr>
      <vt:lpstr>Resumen Ventas</vt:lpstr>
      <vt:lpstr>Resumen Gastos</vt:lpstr>
      <vt:lpstr>Dashboard</vt:lpstr>
      <vt:lpstr>Gráficos</vt:lpstr>
      <vt:lpstr>LISTA_CATGASTO</vt:lpstr>
      <vt:lpstr>LISTA_CATVENTA</vt:lpstr>
      <vt:lpstr>LISTA_PRODUCTOS</vt:lpstr>
      <vt:lpstr>LISTA_REGIONES</vt:lpstr>
      <vt:lpstr>LISTA_VENDEDORES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202437656</cp:lastModifiedBy>
  <cp:revision>4</cp:revision>
  <dcterms:created xsi:type="dcterms:W3CDTF">2026-06-05T15:40:41Z</dcterms:created>
  <dcterms:modified xsi:type="dcterms:W3CDTF">2026-06-21T18:29:52Z</dcterms:modified>
  <dc:language>en-US</dc:language>
</cp:coreProperties>
</file>