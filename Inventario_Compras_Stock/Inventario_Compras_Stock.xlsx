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NICOLAS-PC\Desktop\pymex-web\Inventario_Compras_Stock\"/>
    </mc:Choice>
  </mc:AlternateContent>
  <xr:revisionPtr revIDLastSave="0" documentId="13_ncr:1_{29814923-BFC6-478E-B53B-4CECFC29ACFB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Inicio" sheetId="1" r:id="rId1"/>
    <sheet name="Compras Entradas" sheetId="4" r:id="rId2"/>
    <sheet name="Productos" sheetId="3" r:id="rId3"/>
    <sheet name="Ventas Salidas" sheetId="5" r:id="rId4"/>
    <sheet name="Inventario" sheetId="6" r:id="rId5"/>
    <sheet name="Dashboard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26" i="6" l="1"/>
  <c r="J226" i="6" s="1"/>
  <c r="C226" i="6"/>
  <c r="D226" i="6"/>
  <c r="E226" i="6"/>
  <c r="F226" i="6"/>
  <c r="G226" i="6"/>
  <c r="H226" i="6"/>
  <c r="I226" i="6"/>
  <c r="K226" i="6"/>
  <c r="L226" i="6"/>
  <c r="B227" i="6"/>
  <c r="K227" i="6" s="1"/>
  <c r="C227" i="6"/>
  <c r="D227" i="6"/>
  <c r="E227" i="6"/>
  <c r="F227" i="6"/>
  <c r="G227" i="6"/>
  <c r="B228" i="6"/>
  <c r="I228" i="6" s="1"/>
  <c r="C228" i="6"/>
  <c r="D228" i="6"/>
  <c r="E228" i="6"/>
  <c r="F228" i="6"/>
  <c r="G228" i="6"/>
  <c r="H228" i="6"/>
  <c r="B229" i="6"/>
  <c r="I229" i="6" s="1"/>
  <c r="C229" i="6"/>
  <c r="D229" i="6"/>
  <c r="E229" i="6"/>
  <c r="F229" i="6"/>
  <c r="G229" i="6"/>
  <c r="B216" i="6"/>
  <c r="I216" i="6" s="1"/>
  <c r="C216" i="6"/>
  <c r="D216" i="6"/>
  <c r="E216" i="6"/>
  <c r="F216" i="6"/>
  <c r="G216" i="6"/>
  <c r="H216" i="6"/>
  <c r="J216" i="6"/>
  <c r="K216" i="6"/>
  <c r="L216" i="6"/>
  <c r="B217" i="6"/>
  <c r="K217" i="6" s="1"/>
  <c r="C217" i="6"/>
  <c r="D217" i="6"/>
  <c r="E217" i="6"/>
  <c r="F217" i="6"/>
  <c r="G217" i="6"/>
  <c r="B218" i="6"/>
  <c r="I218" i="6" s="1"/>
  <c r="C218" i="6"/>
  <c r="D218" i="6"/>
  <c r="E218" i="6"/>
  <c r="F218" i="6"/>
  <c r="G218" i="6"/>
  <c r="H218" i="6"/>
  <c r="L218" i="6"/>
  <c r="B219" i="6"/>
  <c r="I219" i="6" s="1"/>
  <c r="C219" i="6"/>
  <c r="D219" i="6"/>
  <c r="E219" i="6"/>
  <c r="F219" i="6"/>
  <c r="G219" i="6"/>
  <c r="B220" i="6"/>
  <c r="I220" i="6" s="1"/>
  <c r="C220" i="6"/>
  <c r="D220" i="6"/>
  <c r="E220" i="6"/>
  <c r="F220" i="6"/>
  <c r="G220" i="6"/>
  <c r="B221" i="6"/>
  <c r="K221" i="6" s="1"/>
  <c r="C221" i="6"/>
  <c r="D221" i="6"/>
  <c r="E221" i="6"/>
  <c r="F221" i="6"/>
  <c r="G221" i="6"/>
  <c r="B222" i="6"/>
  <c r="H222" i="6" s="1"/>
  <c r="C222" i="6"/>
  <c r="D222" i="6"/>
  <c r="E222" i="6"/>
  <c r="F222" i="6"/>
  <c r="G222" i="6"/>
  <c r="B223" i="6"/>
  <c r="I223" i="6" s="1"/>
  <c r="C223" i="6"/>
  <c r="D223" i="6"/>
  <c r="E223" i="6"/>
  <c r="F223" i="6"/>
  <c r="G223" i="6"/>
  <c r="J223" i="6"/>
  <c r="B224" i="6"/>
  <c r="H224" i="6" s="1"/>
  <c r="C224" i="6"/>
  <c r="D224" i="6"/>
  <c r="E224" i="6"/>
  <c r="F224" i="6"/>
  <c r="G224" i="6"/>
  <c r="B225" i="6"/>
  <c r="K225" i="6" s="1"/>
  <c r="C225" i="6"/>
  <c r="D225" i="6"/>
  <c r="E225" i="6"/>
  <c r="F225" i="6"/>
  <c r="G225" i="6"/>
  <c r="G504" i="6"/>
  <c r="F504" i="6"/>
  <c r="E504" i="6"/>
  <c r="D504" i="6"/>
  <c r="C504" i="6"/>
  <c r="B504" i="6"/>
  <c r="H504" i="6" s="1"/>
  <c r="G503" i="6"/>
  <c r="F503" i="6"/>
  <c r="E503" i="6"/>
  <c r="D503" i="6"/>
  <c r="C503" i="6"/>
  <c r="B503" i="6"/>
  <c r="I503" i="6" s="1"/>
  <c r="G502" i="6"/>
  <c r="F502" i="6"/>
  <c r="E502" i="6"/>
  <c r="D502" i="6"/>
  <c r="C502" i="6"/>
  <c r="B502" i="6"/>
  <c r="K502" i="6" s="1"/>
  <c r="G501" i="6"/>
  <c r="F501" i="6"/>
  <c r="E501" i="6"/>
  <c r="D501" i="6"/>
  <c r="C501" i="6"/>
  <c r="B501" i="6"/>
  <c r="G500" i="6"/>
  <c r="F500" i="6"/>
  <c r="E500" i="6"/>
  <c r="D500" i="6"/>
  <c r="C500" i="6"/>
  <c r="B500" i="6"/>
  <c r="I500" i="6" s="1"/>
  <c r="G499" i="6"/>
  <c r="F499" i="6"/>
  <c r="E499" i="6"/>
  <c r="D499" i="6"/>
  <c r="C499" i="6"/>
  <c r="B499" i="6"/>
  <c r="G498" i="6"/>
  <c r="F498" i="6"/>
  <c r="E498" i="6"/>
  <c r="D498" i="6"/>
  <c r="C498" i="6"/>
  <c r="B498" i="6"/>
  <c r="H498" i="6" s="1"/>
  <c r="G497" i="6"/>
  <c r="F497" i="6"/>
  <c r="E497" i="6"/>
  <c r="D497" i="6"/>
  <c r="C497" i="6"/>
  <c r="B497" i="6"/>
  <c r="G496" i="6"/>
  <c r="F496" i="6"/>
  <c r="E496" i="6"/>
  <c r="D496" i="6"/>
  <c r="C496" i="6"/>
  <c r="B496" i="6"/>
  <c r="K496" i="6" s="1"/>
  <c r="G495" i="6"/>
  <c r="F495" i="6"/>
  <c r="E495" i="6"/>
  <c r="D495" i="6"/>
  <c r="C495" i="6"/>
  <c r="B495" i="6"/>
  <c r="J495" i="6" s="1"/>
  <c r="G494" i="6"/>
  <c r="F494" i="6"/>
  <c r="E494" i="6"/>
  <c r="D494" i="6"/>
  <c r="C494" i="6"/>
  <c r="B494" i="6"/>
  <c r="H494" i="6" s="1"/>
  <c r="G493" i="6"/>
  <c r="F493" i="6"/>
  <c r="E493" i="6"/>
  <c r="D493" i="6"/>
  <c r="C493" i="6"/>
  <c r="B493" i="6"/>
  <c r="G492" i="6"/>
  <c r="F492" i="6"/>
  <c r="E492" i="6"/>
  <c r="D492" i="6"/>
  <c r="C492" i="6"/>
  <c r="B492" i="6"/>
  <c r="G491" i="6"/>
  <c r="F491" i="6"/>
  <c r="E491" i="6"/>
  <c r="D491" i="6"/>
  <c r="C491" i="6"/>
  <c r="B491" i="6"/>
  <c r="G490" i="6"/>
  <c r="F490" i="6"/>
  <c r="E490" i="6"/>
  <c r="D490" i="6"/>
  <c r="C490" i="6"/>
  <c r="B490" i="6"/>
  <c r="G489" i="6"/>
  <c r="F489" i="6"/>
  <c r="E489" i="6"/>
  <c r="D489" i="6"/>
  <c r="C489" i="6"/>
  <c r="B489" i="6"/>
  <c r="I489" i="6" s="1"/>
  <c r="G488" i="6"/>
  <c r="F488" i="6"/>
  <c r="E488" i="6"/>
  <c r="D488" i="6"/>
  <c r="C488" i="6"/>
  <c r="B488" i="6"/>
  <c r="G487" i="6"/>
  <c r="F487" i="6"/>
  <c r="E487" i="6"/>
  <c r="D487" i="6"/>
  <c r="C487" i="6"/>
  <c r="B487" i="6"/>
  <c r="G486" i="6"/>
  <c r="F486" i="6"/>
  <c r="E486" i="6"/>
  <c r="D486" i="6"/>
  <c r="C486" i="6"/>
  <c r="B486" i="6"/>
  <c r="G485" i="6"/>
  <c r="F485" i="6"/>
  <c r="E485" i="6"/>
  <c r="D485" i="6"/>
  <c r="C485" i="6"/>
  <c r="B485" i="6"/>
  <c r="G484" i="6"/>
  <c r="F484" i="6"/>
  <c r="E484" i="6"/>
  <c r="D484" i="6"/>
  <c r="C484" i="6"/>
  <c r="B484" i="6"/>
  <c r="N484" i="6" s="1"/>
  <c r="G483" i="6"/>
  <c r="F483" i="6"/>
  <c r="E483" i="6"/>
  <c r="D483" i="6"/>
  <c r="C483" i="6"/>
  <c r="B483" i="6"/>
  <c r="G482" i="6"/>
  <c r="F482" i="6"/>
  <c r="E482" i="6"/>
  <c r="D482" i="6"/>
  <c r="C482" i="6"/>
  <c r="B482" i="6"/>
  <c r="H482" i="6" s="1"/>
  <c r="G481" i="6"/>
  <c r="F481" i="6"/>
  <c r="E481" i="6"/>
  <c r="D481" i="6"/>
  <c r="C481" i="6"/>
  <c r="B481" i="6"/>
  <c r="G480" i="6"/>
  <c r="F480" i="6"/>
  <c r="E480" i="6"/>
  <c r="D480" i="6"/>
  <c r="C480" i="6"/>
  <c r="B480" i="6"/>
  <c r="H480" i="6" s="1"/>
  <c r="G479" i="6"/>
  <c r="F479" i="6"/>
  <c r="E479" i="6"/>
  <c r="D479" i="6"/>
  <c r="C479" i="6"/>
  <c r="B479" i="6"/>
  <c r="N479" i="6" s="1"/>
  <c r="G478" i="6"/>
  <c r="F478" i="6"/>
  <c r="E478" i="6"/>
  <c r="D478" i="6"/>
  <c r="C478" i="6"/>
  <c r="B478" i="6"/>
  <c r="K478" i="6" s="1"/>
  <c r="G477" i="6"/>
  <c r="F477" i="6"/>
  <c r="E477" i="6"/>
  <c r="D477" i="6"/>
  <c r="C477" i="6"/>
  <c r="B477" i="6"/>
  <c r="K477" i="6" s="1"/>
  <c r="G476" i="6"/>
  <c r="F476" i="6"/>
  <c r="E476" i="6"/>
  <c r="D476" i="6"/>
  <c r="C476" i="6"/>
  <c r="B476" i="6"/>
  <c r="N476" i="6" s="1"/>
  <c r="N475" i="6"/>
  <c r="G475" i="6"/>
  <c r="F475" i="6"/>
  <c r="E475" i="6"/>
  <c r="D475" i="6"/>
  <c r="C475" i="6"/>
  <c r="B475" i="6"/>
  <c r="H475" i="6" s="1"/>
  <c r="G474" i="6"/>
  <c r="F474" i="6"/>
  <c r="E474" i="6"/>
  <c r="D474" i="6"/>
  <c r="C474" i="6"/>
  <c r="B474" i="6"/>
  <c r="G473" i="6"/>
  <c r="F473" i="6"/>
  <c r="E473" i="6"/>
  <c r="D473" i="6"/>
  <c r="C473" i="6"/>
  <c r="B473" i="6"/>
  <c r="I472" i="6"/>
  <c r="H472" i="6"/>
  <c r="G472" i="6"/>
  <c r="F472" i="6"/>
  <c r="E472" i="6"/>
  <c r="D472" i="6"/>
  <c r="C472" i="6"/>
  <c r="B472" i="6"/>
  <c r="K472" i="6" s="1"/>
  <c r="G471" i="6"/>
  <c r="F471" i="6"/>
  <c r="E471" i="6"/>
  <c r="D471" i="6"/>
  <c r="C471" i="6"/>
  <c r="B471" i="6"/>
  <c r="G470" i="6"/>
  <c r="F470" i="6"/>
  <c r="E470" i="6"/>
  <c r="D470" i="6"/>
  <c r="C470" i="6"/>
  <c r="B470" i="6"/>
  <c r="G469" i="6"/>
  <c r="F469" i="6"/>
  <c r="E469" i="6"/>
  <c r="D469" i="6"/>
  <c r="C469" i="6"/>
  <c r="B469" i="6"/>
  <c r="H469" i="6" s="1"/>
  <c r="G468" i="6"/>
  <c r="F468" i="6"/>
  <c r="E468" i="6"/>
  <c r="D468" i="6"/>
  <c r="C468" i="6"/>
  <c r="B468" i="6"/>
  <c r="G467" i="6"/>
  <c r="F467" i="6"/>
  <c r="E467" i="6"/>
  <c r="D467" i="6"/>
  <c r="C467" i="6"/>
  <c r="B467" i="6"/>
  <c r="H467" i="6" s="1"/>
  <c r="G466" i="6"/>
  <c r="F466" i="6"/>
  <c r="E466" i="6"/>
  <c r="D466" i="6"/>
  <c r="C466" i="6"/>
  <c r="B466" i="6"/>
  <c r="K466" i="6" s="1"/>
  <c r="G465" i="6"/>
  <c r="F465" i="6"/>
  <c r="E465" i="6"/>
  <c r="D465" i="6"/>
  <c r="C465" i="6"/>
  <c r="B465" i="6"/>
  <c r="G464" i="6"/>
  <c r="F464" i="6"/>
  <c r="E464" i="6"/>
  <c r="D464" i="6"/>
  <c r="C464" i="6"/>
  <c r="B464" i="6"/>
  <c r="G463" i="6"/>
  <c r="F463" i="6"/>
  <c r="E463" i="6"/>
  <c r="D463" i="6"/>
  <c r="C463" i="6"/>
  <c r="B463" i="6"/>
  <c r="N463" i="6" s="1"/>
  <c r="G462" i="6"/>
  <c r="F462" i="6"/>
  <c r="E462" i="6"/>
  <c r="D462" i="6"/>
  <c r="C462" i="6"/>
  <c r="B462" i="6"/>
  <c r="N462" i="6" s="1"/>
  <c r="G461" i="6"/>
  <c r="F461" i="6"/>
  <c r="E461" i="6"/>
  <c r="D461" i="6"/>
  <c r="C461" i="6"/>
  <c r="B461" i="6"/>
  <c r="I461" i="6" s="1"/>
  <c r="G460" i="6"/>
  <c r="F460" i="6"/>
  <c r="E460" i="6"/>
  <c r="D460" i="6"/>
  <c r="C460" i="6"/>
  <c r="B460" i="6"/>
  <c r="N460" i="6" s="1"/>
  <c r="G459" i="6"/>
  <c r="F459" i="6"/>
  <c r="E459" i="6"/>
  <c r="D459" i="6"/>
  <c r="C459" i="6"/>
  <c r="B459" i="6"/>
  <c r="L459" i="6" s="1"/>
  <c r="G458" i="6"/>
  <c r="F458" i="6"/>
  <c r="E458" i="6"/>
  <c r="D458" i="6"/>
  <c r="C458" i="6"/>
  <c r="B458" i="6"/>
  <c r="G457" i="6"/>
  <c r="F457" i="6"/>
  <c r="E457" i="6"/>
  <c r="D457" i="6"/>
  <c r="C457" i="6"/>
  <c r="B457" i="6"/>
  <c r="G456" i="6"/>
  <c r="F456" i="6"/>
  <c r="E456" i="6"/>
  <c r="D456" i="6"/>
  <c r="C456" i="6"/>
  <c r="B456" i="6"/>
  <c r="H456" i="6" s="1"/>
  <c r="G455" i="6"/>
  <c r="F455" i="6"/>
  <c r="E455" i="6"/>
  <c r="D455" i="6"/>
  <c r="C455" i="6"/>
  <c r="B455" i="6"/>
  <c r="L455" i="6" s="1"/>
  <c r="G454" i="6"/>
  <c r="F454" i="6"/>
  <c r="E454" i="6"/>
  <c r="D454" i="6"/>
  <c r="C454" i="6"/>
  <c r="B454" i="6"/>
  <c r="K454" i="6" s="1"/>
  <c r="G453" i="6"/>
  <c r="F453" i="6"/>
  <c r="E453" i="6"/>
  <c r="D453" i="6"/>
  <c r="C453" i="6"/>
  <c r="B453" i="6"/>
  <c r="G452" i="6"/>
  <c r="F452" i="6"/>
  <c r="E452" i="6"/>
  <c r="D452" i="6"/>
  <c r="C452" i="6"/>
  <c r="B452" i="6"/>
  <c r="N452" i="6" s="1"/>
  <c r="G451" i="6"/>
  <c r="F451" i="6"/>
  <c r="E451" i="6"/>
  <c r="D451" i="6"/>
  <c r="C451" i="6"/>
  <c r="B451" i="6"/>
  <c r="G450" i="6"/>
  <c r="F450" i="6"/>
  <c r="E450" i="6"/>
  <c r="D450" i="6"/>
  <c r="C450" i="6"/>
  <c r="B450" i="6"/>
  <c r="H450" i="6" s="1"/>
  <c r="G449" i="6"/>
  <c r="F449" i="6"/>
  <c r="E449" i="6"/>
  <c r="D449" i="6"/>
  <c r="C449" i="6"/>
  <c r="B449" i="6"/>
  <c r="G448" i="6"/>
  <c r="F448" i="6"/>
  <c r="E448" i="6"/>
  <c r="D448" i="6"/>
  <c r="C448" i="6"/>
  <c r="B448" i="6"/>
  <c r="K448" i="6" s="1"/>
  <c r="G447" i="6"/>
  <c r="F447" i="6"/>
  <c r="E447" i="6"/>
  <c r="D447" i="6"/>
  <c r="C447" i="6"/>
  <c r="B447" i="6"/>
  <c r="J447" i="6" s="1"/>
  <c r="G446" i="6"/>
  <c r="F446" i="6"/>
  <c r="E446" i="6"/>
  <c r="D446" i="6"/>
  <c r="C446" i="6"/>
  <c r="B446" i="6"/>
  <c r="H446" i="6" s="1"/>
  <c r="G445" i="6"/>
  <c r="F445" i="6"/>
  <c r="E445" i="6"/>
  <c r="D445" i="6"/>
  <c r="C445" i="6"/>
  <c r="B445" i="6"/>
  <c r="G444" i="6"/>
  <c r="F444" i="6"/>
  <c r="E444" i="6"/>
  <c r="D444" i="6"/>
  <c r="C444" i="6"/>
  <c r="B444" i="6"/>
  <c r="G443" i="6"/>
  <c r="F443" i="6"/>
  <c r="E443" i="6"/>
  <c r="D443" i="6"/>
  <c r="C443" i="6"/>
  <c r="B443" i="6"/>
  <c r="N443" i="6" s="1"/>
  <c r="G442" i="6"/>
  <c r="F442" i="6"/>
  <c r="E442" i="6"/>
  <c r="D442" i="6"/>
  <c r="C442" i="6"/>
  <c r="B442" i="6"/>
  <c r="G441" i="6"/>
  <c r="F441" i="6"/>
  <c r="E441" i="6"/>
  <c r="D441" i="6"/>
  <c r="C441" i="6"/>
  <c r="B441" i="6"/>
  <c r="J441" i="6" s="1"/>
  <c r="G440" i="6"/>
  <c r="F440" i="6"/>
  <c r="E440" i="6"/>
  <c r="D440" i="6"/>
  <c r="C440" i="6"/>
  <c r="B440" i="6"/>
  <c r="G439" i="6"/>
  <c r="F439" i="6"/>
  <c r="E439" i="6"/>
  <c r="D439" i="6"/>
  <c r="C439" i="6"/>
  <c r="B439" i="6"/>
  <c r="N439" i="6" s="1"/>
  <c r="G438" i="6"/>
  <c r="F438" i="6"/>
  <c r="E438" i="6"/>
  <c r="D438" i="6"/>
  <c r="C438" i="6"/>
  <c r="B438" i="6"/>
  <c r="N438" i="6" s="1"/>
  <c r="G437" i="6"/>
  <c r="F437" i="6"/>
  <c r="E437" i="6"/>
  <c r="D437" i="6"/>
  <c r="C437" i="6"/>
  <c r="B437" i="6"/>
  <c r="G436" i="6"/>
  <c r="F436" i="6"/>
  <c r="E436" i="6"/>
  <c r="D436" i="6"/>
  <c r="C436" i="6"/>
  <c r="B436" i="6"/>
  <c r="N436" i="6" s="1"/>
  <c r="G435" i="6"/>
  <c r="F435" i="6"/>
  <c r="E435" i="6"/>
  <c r="D435" i="6"/>
  <c r="C435" i="6"/>
  <c r="B435" i="6"/>
  <c r="J435" i="6" s="1"/>
  <c r="G434" i="6"/>
  <c r="F434" i="6"/>
  <c r="E434" i="6"/>
  <c r="D434" i="6"/>
  <c r="C434" i="6"/>
  <c r="B434" i="6"/>
  <c r="K434" i="6" s="1"/>
  <c r="G433" i="6"/>
  <c r="F433" i="6"/>
  <c r="E433" i="6"/>
  <c r="D433" i="6"/>
  <c r="C433" i="6"/>
  <c r="B433" i="6"/>
  <c r="H433" i="6" s="1"/>
  <c r="G432" i="6"/>
  <c r="F432" i="6"/>
  <c r="E432" i="6"/>
  <c r="D432" i="6"/>
  <c r="C432" i="6"/>
  <c r="B432" i="6"/>
  <c r="G431" i="6"/>
  <c r="F431" i="6"/>
  <c r="E431" i="6"/>
  <c r="D431" i="6"/>
  <c r="C431" i="6"/>
  <c r="B431" i="6"/>
  <c r="N431" i="6" s="1"/>
  <c r="G430" i="6"/>
  <c r="F430" i="6"/>
  <c r="E430" i="6"/>
  <c r="D430" i="6"/>
  <c r="C430" i="6"/>
  <c r="B430" i="6"/>
  <c r="G429" i="6"/>
  <c r="F429" i="6"/>
  <c r="E429" i="6"/>
  <c r="D429" i="6"/>
  <c r="C429" i="6"/>
  <c r="B429" i="6"/>
  <c r="G428" i="6"/>
  <c r="F428" i="6"/>
  <c r="E428" i="6"/>
  <c r="D428" i="6"/>
  <c r="C428" i="6"/>
  <c r="B428" i="6"/>
  <c r="N428" i="6" s="1"/>
  <c r="G427" i="6"/>
  <c r="F427" i="6"/>
  <c r="E427" i="6"/>
  <c r="D427" i="6"/>
  <c r="C427" i="6"/>
  <c r="B427" i="6"/>
  <c r="G426" i="6"/>
  <c r="F426" i="6"/>
  <c r="E426" i="6"/>
  <c r="D426" i="6"/>
  <c r="C426" i="6"/>
  <c r="B426" i="6"/>
  <c r="K426" i="6" s="1"/>
  <c r="G425" i="6"/>
  <c r="F425" i="6"/>
  <c r="E425" i="6"/>
  <c r="D425" i="6"/>
  <c r="C425" i="6"/>
  <c r="B425" i="6"/>
  <c r="I425" i="6" s="1"/>
  <c r="G424" i="6"/>
  <c r="F424" i="6"/>
  <c r="E424" i="6"/>
  <c r="D424" i="6"/>
  <c r="C424" i="6"/>
  <c r="B424" i="6"/>
  <c r="G423" i="6"/>
  <c r="F423" i="6"/>
  <c r="E423" i="6"/>
  <c r="D423" i="6"/>
  <c r="C423" i="6"/>
  <c r="B423" i="6"/>
  <c r="N423" i="6" s="1"/>
  <c r="G422" i="6"/>
  <c r="F422" i="6"/>
  <c r="E422" i="6"/>
  <c r="D422" i="6"/>
  <c r="C422" i="6"/>
  <c r="B422" i="6"/>
  <c r="K422" i="6" s="1"/>
  <c r="G421" i="6"/>
  <c r="F421" i="6"/>
  <c r="E421" i="6"/>
  <c r="D421" i="6"/>
  <c r="C421" i="6"/>
  <c r="B421" i="6"/>
  <c r="J421" i="6" s="1"/>
  <c r="G420" i="6"/>
  <c r="F420" i="6"/>
  <c r="E420" i="6"/>
  <c r="D420" i="6"/>
  <c r="C420" i="6"/>
  <c r="B420" i="6"/>
  <c r="G419" i="6"/>
  <c r="F419" i="6"/>
  <c r="E419" i="6"/>
  <c r="D419" i="6"/>
  <c r="C419" i="6"/>
  <c r="B419" i="6"/>
  <c r="N419" i="6" s="1"/>
  <c r="G418" i="6"/>
  <c r="F418" i="6"/>
  <c r="E418" i="6"/>
  <c r="D418" i="6"/>
  <c r="C418" i="6"/>
  <c r="B418" i="6"/>
  <c r="G417" i="6"/>
  <c r="F417" i="6"/>
  <c r="E417" i="6"/>
  <c r="D417" i="6"/>
  <c r="C417" i="6"/>
  <c r="B417" i="6"/>
  <c r="G416" i="6"/>
  <c r="F416" i="6"/>
  <c r="E416" i="6"/>
  <c r="D416" i="6"/>
  <c r="C416" i="6"/>
  <c r="B416" i="6"/>
  <c r="K416" i="6" s="1"/>
  <c r="G415" i="6"/>
  <c r="F415" i="6"/>
  <c r="E415" i="6"/>
  <c r="D415" i="6"/>
  <c r="C415" i="6"/>
  <c r="B415" i="6"/>
  <c r="K415" i="6" s="1"/>
  <c r="G414" i="6"/>
  <c r="F414" i="6"/>
  <c r="E414" i="6"/>
  <c r="D414" i="6"/>
  <c r="C414" i="6"/>
  <c r="B414" i="6"/>
  <c r="N414" i="6" s="1"/>
  <c r="G413" i="6"/>
  <c r="F413" i="6"/>
  <c r="E413" i="6"/>
  <c r="D413" i="6"/>
  <c r="C413" i="6"/>
  <c r="B413" i="6"/>
  <c r="N413" i="6" s="1"/>
  <c r="G412" i="6"/>
  <c r="F412" i="6"/>
  <c r="E412" i="6"/>
  <c r="D412" i="6"/>
  <c r="C412" i="6"/>
  <c r="B412" i="6"/>
  <c r="N412" i="6" s="1"/>
  <c r="G411" i="6"/>
  <c r="F411" i="6"/>
  <c r="E411" i="6"/>
  <c r="D411" i="6"/>
  <c r="C411" i="6"/>
  <c r="B411" i="6"/>
  <c r="L411" i="6" s="1"/>
  <c r="G410" i="6"/>
  <c r="F410" i="6"/>
  <c r="E410" i="6"/>
  <c r="D410" i="6"/>
  <c r="C410" i="6"/>
  <c r="B410" i="6"/>
  <c r="G409" i="6"/>
  <c r="F409" i="6"/>
  <c r="E409" i="6"/>
  <c r="D409" i="6"/>
  <c r="C409" i="6"/>
  <c r="B409" i="6"/>
  <c r="J409" i="6" s="1"/>
  <c r="G408" i="6"/>
  <c r="F408" i="6"/>
  <c r="E408" i="6"/>
  <c r="D408" i="6"/>
  <c r="C408" i="6"/>
  <c r="B408" i="6"/>
  <c r="H408" i="6" s="1"/>
  <c r="G407" i="6"/>
  <c r="F407" i="6"/>
  <c r="E407" i="6"/>
  <c r="D407" i="6"/>
  <c r="C407" i="6"/>
  <c r="B407" i="6"/>
  <c r="G406" i="6"/>
  <c r="F406" i="6"/>
  <c r="E406" i="6"/>
  <c r="D406" i="6"/>
  <c r="C406" i="6"/>
  <c r="B406" i="6"/>
  <c r="N406" i="6" s="1"/>
  <c r="G405" i="6"/>
  <c r="F405" i="6"/>
  <c r="E405" i="6"/>
  <c r="D405" i="6"/>
  <c r="C405" i="6"/>
  <c r="B405" i="6"/>
  <c r="J405" i="6" s="1"/>
  <c r="G404" i="6"/>
  <c r="F404" i="6"/>
  <c r="E404" i="6"/>
  <c r="D404" i="6"/>
  <c r="C404" i="6"/>
  <c r="B404" i="6"/>
  <c r="G403" i="6"/>
  <c r="F403" i="6"/>
  <c r="E403" i="6"/>
  <c r="D403" i="6"/>
  <c r="C403" i="6"/>
  <c r="B403" i="6"/>
  <c r="K403" i="6" s="1"/>
  <c r="G402" i="6"/>
  <c r="F402" i="6"/>
  <c r="E402" i="6"/>
  <c r="D402" i="6"/>
  <c r="C402" i="6"/>
  <c r="B402" i="6"/>
  <c r="K402" i="6" s="1"/>
  <c r="G401" i="6"/>
  <c r="F401" i="6"/>
  <c r="E401" i="6"/>
  <c r="D401" i="6"/>
  <c r="C401" i="6"/>
  <c r="B401" i="6"/>
  <c r="G400" i="6"/>
  <c r="F400" i="6"/>
  <c r="E400" i="6"/>
  <c r="D400" i="6"/>
  <c r="C400" i="6"/>
  <c r="B400" i="6"/>
  <c r="K400" i="6" s="1"/>
  <c r="G399" i="6"/>
  <c r="F399" i="6"/>
  <c r="E399" i="6"/>
  <c r="D399" i="6"/>
  <c r="C399" i="6"/>
  <c r="B399" i="6"/>
  <c r="G398" i="6"/>
  <c r="F398" i="6"/>
  <c r="E398" i="6"/>
  <c r="D398" i="6"/>
  <c r="C398" i="6"/>
  <c r="B398" i="6"/>
  <c r="I398" i="6" s="1"/>
  <c r="G397" i="6"/>
  <c r="F397" i="6"/>
  <c r="E397" i="6"/>
  <c r="D397" i="6"/>
  <c r="C397" i="6"/>
  <c r="B397" i="6"/>
  <c r="H397" i="6" s="1"/>
  <c r="G396" i="6"/>
  <c r="F396" i="6"/>
  <c r="E396" i="6"/>
  <c r="D396" i="6"/>
  <c r="C396" i="6"/>
  <c r="B396" i="6"/>
  <c r="G395" i="6"/>
  <c r="F395" i="6"/>
  <c r="E395" i="6"/>
  <c r="D395" i="6"/>
  <c r="C395" i="6"/>
  <c r="B395" i="6"/>
  <c r="G394" i="6"/>
  <c r="F394" i="6"/>
  <c r="E394" i="6"/>
  <c r="D394" i="6"/>
  <c r="C394" i="6"/>
  <c r="B394" i="6"/>
  <c r="N394" i="6" s="1"/>
  <c r="G393" i="6"/>
  <c r="F393" i="6"/>
  <c r="E393" i="6"/>
  <c r="D393" i="6"/>
  <c r="C393" i="6"/>
  <c r="B393" i="6"/>
  <c r="L393" i="6" s="1"/>
  <c r="G392" i="6"/>
  <c r="F392" i="6"/>
  <c r="E392" i="6"/>
  <c r="D392" i="6"/>
  <c r="C392" i="6"/>
  <c r="B392" i="6"/>
  <c r="J392" i="6" s="1"/>
  <c r="G391" i="6"/>
  <c r="F391" i="6"/>
  <c r="E391" i="6"/>
  <c r="D391" i="6"/>
  <c r="C391" i="6"/>
  <c r="B391" i="6"/>
  <c r="N391" i="6" s="1"/>
  <c r="G390" i="6"/>
  <c r="F390" i="6"/>
  <c r="E390" i="6"/>
  <c r="D390" i="6"/>
  <c r="C390" i="6"/>
  <c r="B390" i="6"/>
  <c r="G389" i="6"/>
  <c r="F389" i="6"/>
  <c r="E389" i="6"/>
  <c r="D389" i="6"/>
  <c r="C389" i="6"/>
  <c r="B389" i="6"/>
  <c r="G388" i="6"/>
  <c r="F388" i="6"/>
  <c r="E388" i="6"/>
  <c r="D388" i="6"/>
  <c r="C388" i="6"/>
  <c r="B388" i="6"/>
  <c r="N388" i="6" s="1"/>
  <c r="G387" i="6"/>
  <c r="F387" i="6"/>
  <c r="E387" i="6"/>
  <c r="D387" i="6"/>
  <c r="C387" i="6"/>
  <c r="B387" i="6"/>
  <c r="L387" i="6" s="1"/>
  <c r="G386" i="6"/>
  <c r="F386" i="6"/>
  <c r="E386" i="6"/>
  <c r="D386" i="6"/>
  <c r="C386" i="6"/>
  <c r="B386" i="6"/>
  <c r="G385" i="6"/>
  <c r="F385" i="6"/>
  <c r="E385" i="6"/>
  <c r="D385" i="6"/>
  <c r="C385" i="6"/>
  <c r="B385" i="6"/>
  <c r="L385" i="6" s="1"/>
  <c r="G384" i="6"/>
  <c r="F384" i="6"/>
  <c r="E384" i="6"/>
  <c r="D384" i="6"/>
  <c r="C384" i="6"/>
  <c r="B384" i="6"/>
  <c r="K384" i="6" s="1"/>
  <c r="G383" i="6"/>
  <c r="F383" i="6"/>
  <c r="E383" i="6"/>
  <c r="D383" i="6"/>
  <c r="C383" i="6"/>
  <c r="B383" i="6"/>
  <c r="N383" i="6" s="1"/>
  <c r="G382" i="6"/>
  <c r="F382" i="6"/>
  <c r="E382" i="6"/>
  <c r="D382" i="6"/>
  <c r="C382" i="6"/>
  <c r="B382" i="6"/>
  <c r="L382" i="6" s="1"/>
  <c r="G381" i="6"/>
  <c r="F381" i="6"/>
  <c r="E381" i="6"/>
  <c r="D381" i="6"/>
  <c r="C381" i="6"/>
  <c r="B381" i="6"/>
  <c r="L381" i="6" s="1"/>
  <c r="G380" i="6"/>
  <c r="F380" i="6"/>
  <c r="E380" i="6"/>
  <c r="D380" i="6"/>
  <c r="C380" i="6"/>
  <c r="B380" i="6"/>
  <c r="G379" i="6"/>
  <c r="F379" i="6"/>
  <c r="E379" i="6"/>
  <c r="D379" i="6"/>
  <c r="C379" i="6"/>
  <c r="B379" i="6"/>
  <c r="G378" i="6"/>
  <c r="F378" i="6"/>
  <c r="E378" i="6"/>
  <c r="D378" i="6"/>
  <c r="C378" i="6"/>
  <c r="B378" i="6"/>
  <c r="G377" i="6"/>
  <c r="F377" i="6"/>
  <c r="E377" i="6"/>
  <c r="D377" i="6"/>
  <c r="C377" i="6"/>
  <c r="B377" i="6"/>
  <c r="G376" i="6"/>
  <c r="F376" i="6"/>
  <c r="E376" i="6"/>
  <c r="D376" i="6"/>
  <c r="C376" i="6"/>
  <c r="B376" i="6"/>
  <c r="I376" i="6" s="1"/>
  <c r="G375" i="6"/>
  <c r="F375" i="6"/>
  <c r="E375" i="6"/>
  <c r="D375" i="6"/>
  <c r="C375" i="6"/>
  <c r="B375" i="6"/>
  <c r="G374" i="6"/>
  <c r="F374" i="6"/>
  <c r="E374" i="6"/>
  <c r="D374" i="6"/>
  <c r="C374" i="6"/>
  <c r="B374" i="6"/>
  <c r="N374" i="6" s="1"/>
  <c r="G373" i="6"/>
  <c r="F373" i="6"/>
  <c r="E373" i="6"/>
  <c r="D373" i="6"/>
  <c r="C373" i="6"/>
  <c r="B373" i="6"/>
  <c r="G372" i="6"/>
  <c r="F372" i="6"/>
  <c r="E372" i="6"/>
  <c r="D372" i="6"/>
  <c r="C372" i="6"/>
  <c r="B372" i="6"/>
  <c r="L372" i="6" s="1"/>
  <c r="G371" i="6"/>
  <c r="F371" i="6"/>
  <c r="E371" i="6"/>
  <c r="D371" i="6"/>
  <c r="C371" i="6"/>
  <c r="B371" i="6"/>
  <c r="N371" i="6" s="1"/>
  <c r="G370" i="6"/>
  <c r="F370" i="6"/>
  <c r="E370" i="6"/>
  <c r="D370" i="6"/>
  <c r="C370" i="6"/>
  <c r="B370" i="6"/>
  <c r="N370" i="6" s="1"/>
  <c r="G369" i="6"/>
  <c r="F369" i="6"/>
  <c r="E369" i="6"/>
  <c r="D369" i="6"/>
  <c r="C369" i="6"/>
  <c r="B369" i="6"/>
  <c r="G368" i="6"/>
  <c r="F368" i="6"/>
  <c r="E368" i="6"/>
  <c r="D368" i="6"/>
  <c r="C368" i="6"/>
  <c r="B368" i="6"/>
  <c r="N368" i="6" s="1"/>
  <c r="G367" i="6"/>
  <c r="F367" i="6"/>
  <c r="E367" i="6"/>
  <c r="D367" i="6"/>
  <c r="C367" i="6"/>
  <c r="B367" i="6"/>
  <c r="J367" i="6" s="1"/>
  <c r="G366" i="6"/>
  <c r="F366" i="6"/>
  <c r="E366" i="6"/>
  <c r="D366" i="6"/>
  <c r="C366" i="6"/>
  <c r="B366" i="6"/>
  <c r="L366" i="6" s="1"/>
  <c r="G365" i="6"/>
  <c r="F365" i="6"/>
  <c r="E365" i="6"/>
  <c r="D365" i="6"/>
  <c r="C365" i="6"/>
  <c r="B365" i="6"/>
  <c r="H365" i="6" s="1"/>
  <c r="G364" i="6"/>
  <c r="F364" i="6"/>
  <c r="E364" i="6"/>
  <c r="D364" i="6"/>
  <c r="C364" i="6"/>
  <c r="B364" i="6"/>
  <c r="G363" i="6"/>
  <c r="F363" i="6"/>
  <c r="E363" i="6"/>
  <c r="D363" i="6"/>
  <c r="C363" i="6"/>
  <c r="B363" i="6"/>
  <c r="G362" i="6"/>
  <c r="F362" i="6"/>
  <c r="E362" i="6"/>
  <c r="D362" i="6"/>
  <c r="C362" i="6"/>
  <c r="B362" i="6"/>
  <c r="G361" i="6"/>
  <c r="F361" i="6"/>
  <c r="E361" i="6"/>
  <c r="D361" i="6"/>
  <c r="C361" i="6"/>
  <c r="B361" i="6"/>
  <c r="L361" i="6" s="1"/>
  <c r="G360" i="6"/>
  <c r="F360" i="6"/>
  <c r="E360" i="6"/>
  <c r="D360" i="6"/>
  <c r="C360" i="6"/>
  <c r="B360" i="6"/>
  <c r="G359" i="6"/>
  <c r="F359" i="6"/>
  <c r="E359" i="6"/>
  <c r="D359" i="6"/>
  <c r="C359" i="6"/>
  <c r="B359" i="6"/>
  <c r="K358" i="6"/>
  <c r="I358" i="6"/>
  <c r="G358" i="6"/>
  <c r="F358" i="6"/>
  <c r="E358" i="6"/>
  <c r="D358" i="6"/>
  <c r="C358" i="6"/>
  <c r="B358" i="6"/>
  <c r="L358" i="6" s="1"/>
  <c r="G357" i="6"/>
  <c r="F357" i="6"/>
  <c r="E357" i="6"/>
  <c r="D357" i="6"/>
  <c r="C357" i="6"/>
  <c r="B357" i="6"/>
  <c r="G356" i="6"/>
  <c r="F356" i="6"/>
  <c r="E356" i="6"/>
  <c r="D356" i="6"/>
  <c r="C356" i="6"/>
  <c r="B356" i="6"/>
  <c r="L356" i="6" s="1"/>
  <c r="G355" i="6"/>
  <c r="F355" i="6"/>
  <c r="E355" i="6"/>
  <c r="D355" i="6"/>
  <c r="C355" i="6"/>
  <c r="B355" i="6"/>
  <c r="G354" i="6"/>
  <c r="F354" i="6"/>
  <c r="E354" i="6"/>
  <c r="D354" i="6"/>
  <c r="C354" i="6"/>
  <c r="B354" i="6"/>
  <c r="G353" i="6"/>
  <c r="F353" i="6"/>
  <c r="E353" i="6"/>
  <c r="D353" i="6"/>
  <c r="C353" i="6"/>
  <c r="B353" i="6"/>
  <c r="G352" i="6"/>
  <c r="F352" i="6"/>
  <c r="E352" i="6"/>
  <c r="D352" i="6"/>
  <c r="C352" i="6"/>
  <c r="B352" i="6"/>
  <c r="J352" i="6" s="1"/>
  <c r="G351" i="6"/>
  <c r="F351" i="6"/>
  <c r="E351" i="6"/>
  <c r="D351" i="6"/>
  <c r="C351" i="6"/>
  <c r="B351" i="6"/>
  <c r="I351" i="6" s="1"/>
  <c r="G350" i="6"/>
  <c r="F350" i="6"/>
  <c r="E350" i="6"/>
  <c r="D350" i="6"/>
  <c r="C350" i="6"/>
  <c r="B350" i="6"/>
  <c r="N350" i="6" s="1"/>
  <c r="G349" i="6"/>
  <c r="F349" i="6"/>
  <c r="E349" i="6"/>
  <c r="D349" i="6"/>
  <c r="C349" i="6"/>
  <c r="B349" i="6"/>
  <c r="L349" i="6" s="1"/>
  <c r="G348" i="6"/>
  <c r="F348" i="6"/>
  <c r="E348" i="6"/>
  <c r="D348" i="6"/>
  <c r="C348" i="6"/>
  <c r="B348" i="6"/>
  <c r="N348" i="6" s="1"/>
  <c r="G347" i="6"/>
  <c r="F347" i="6"/>
  <c r="E347" i="6"/>
  <c r="D347" i="6"/>
  <c r="C347" i="6"/>
  <c r="B347" i="6"/>
  <c r="J347" i="6" s="1"/>
  <c r="G346" i="6"/>
  <c r="F346" i="6"/>
  <c r="E346" i="6"/>
  <c r="D346" i="6"/>
  <c r="C346" i="6"/>
  <c r="B346" i="6"/>
  <c r="G345" i="6"/>
  <c r="F345" i="6"/>
  <c r="E345" i="6"/>
  <c r="D345" i="6"/>
  <c r="C345" i="6"/>
  <c r="B345" i="6"/>
  <c r="L345" i="6" s="1"/>
  <c r="G344" i="6"/>
  <c r="F344" i="6"/>
  <c r="E344" i="6"/>
  <c r="D344" i="6"/>
  <c r="C344" i="6"/>
  <c r="B344" i="6"/>
  <c r="J344" i="6" s="1"/>
  <c r="I343" i="6"/>
  <c r="G343" i="6"/>
  <c r="F343" i="6"/>
  <c r="E343" i="6"/>
  <c r="D343" i="6"/>
  <c r="C343" i="6"/>
  <c r="B343" i="6"/>
  <c r="H343" i="6" s="1"/>
  <c r="G342" i="6"/>
  <c r="F342" i="6"/>
  <c r="E342" i="6"/>
  <c r="D342" i="6"/>
  <c r="C342" i="6"/>
  <c r="B342" i="6"/>
  <c r="J342" i="6" s="1"/>
  <c r="G341" i="6"/>
  <c r="F341" i="6"/>
  <c r="E341" i="6"/>
  <c r="D341" i="6"/>
  <c r="C341" i="6"/>
  <c r="B341" i="6"/>
  <c r="G340" i="6"/>
  <c r="F340" i="6"/>
  <c r="E340" i="6"/>
  <c r="D340" i="6"/>
  <c r="C340" i="6"/>
  <c r="B340" i="6"/>
  <c r="G339" i="6"/>
  <c r="F339" i="6"/>
  <c r="E339" i="6"/>
  <c r="D339" i="6"/>
  <c r="C339" i="6"/>
  <c r="B339" i="6"/>
  <c r="H339" i="6" s="1"/>
  <c r="G338" i="6"/>
  <c r="F338" i="6"/>
  <c r="E338" i="6"/>
  <c r="D338" i="6"/>
  <c r="C338" i="6"/>
  <c r="B338" i="6"/>
  <c r="K338" i="6" s="1"/>
  <c r="G337" i="6"/>
  <c r="F337" i="6"/>
  <c r="E337" i="6"/>
  <c r="D337" i="6"/>
  <c r="C337" i="6"/>
  <c r="B337" i="6"/>
  <c r="G336" i="6"/>
  <c r="F336" i="6"/>
  <c r="E336" i="6"/>
  <c r="D336" i="6"/>
  <c r="C336" i="6"/>
  <c r="B336" i="6"/>
  <c r="N336" i="6" s="1"/>
  <c r="K335" i="6"/>
  <c r="I335" i="6"/>
  <c r="G335" i="6"/>
  <c r="F335" i="6"/>
  <c r="E335" i="6"/>
  <c r="D335" i="6"/>
  <c r="C335" i="6"/>
  <c r="B335" i="6"/>
  <c r="J335" i="6" s="1"/>
  <c r="G334" i="6"/>
  <c r="F334" i="6"/>
  <c r="E334" i="6"/>
  <c r="D334" i="6"/>
  <c r="C334" i="6"/>
  <c r="B334" i="6"/>
  <c r="G333" i="6"/>
  <c r="F333" i="6"/>
  <c r="E333" i="6"/>
  <c r="D333" i="6"/>
  <c r="C333" i="6"/>
  <c r="B333" i="6"/>
  <c r="L333" i="6" s="1"/>
  <c r="G332" i="6"/>
  <c r="F332" i="6"/>
  <c r="E332" i="6"/>
  <c r="D332" i="6"/>
  <c r="C332" i="6"/>
  <c r="B332" i="6"/>
  <c r="J332" i="6" s="1"/>
  <c r="G331" i="6"/>
  <c r="F331" i="6"/>
  <c r="E331" i="6"/>
  <c r="D331" i="6"/>
  <c r="C331" i="6"/>
  <c r="B331" i="6"/>
  <c r="I331" i="6" s="1"/>
  <c r="G330" i="6"/>
  <c r="F330" i="6"/>
  <c r="E330" i="6"/>
  <c r="D330" i="6"/>
  <c r="C330" i="6"/>
  <c r="B330" i="6"/>
  <c r="G329" i="6"/>
  <c r="F329" i="6"/>
  <c r="E329" i="6"/>
  <c r="D329" i="6"/>
  <c r="C329" i="6"/>
  <c r="B329" i="6"/>
  <c r="K329" i="6" s="1"/>
  <c r="G328" i="6"/>
  <c r="F328" i="6"/>
  <c r="E328" i="6"/>
  <c r="D328" i="6"/>
  <c r="C328" i="6"/>
  <c r="B328" i="6"/>
  <c r="H328" i="6" s="1"/>
  <c r="G327" i="6"/>
  <c r="F327" i="6"/>
  <c r="E327" i="6"/>
  <c r="D327" i="6"/>
  <c r="C327" i="6"/>
  <c r="B327" i="6"/>
  <c r="I327" i="6" s="1"/>
  <c r="G326" i="6"/>
  <c r="F326" i="6"/>
  <c r="E326" i="6"/>
  <c r="D326" i="6"/>
  <c r="C326" i="6"/>
  <c r="B326" i="6"/>
  <c r="H326" i="6" s="1"/>
  <c r="G325" i="6"/>
  <c r="F325" i="6"/>
  <c r="E325" i="6"/>
  <c r="D325" i="6"/>
  <c r="C325" i="6"/>
  <c r="B325" i="6"/>
  <c r="G324" i="6"/>
  <c r="F324" i="6"/>
  <c r="E324" i="6"/>
  <c r="D324" i="6"/>
  <c r="C324" i="6"/>
  <c r="B324" i="6"/>
  <c r="G323" i="6"/>
  <c r="F323" i="6"/>
  <c r="E323" i="6"/>
  <c r="D323" i="6"/>
  <c r="C323" i="6"/>
  <c r="B323" i="6"/>
  <c r="G322" i="6"/>
  <c r="F322" i="6"/>
  <c r="E322" i="6"/>
  <c r="D322" i="6"/>
  <c r="C322" i="6"/>
  <c r="B322" i="6"/>
  <c r="G321" i="6"/>
  <c r="F321" i="6"/>
  <c r="E321" i="6"/>
  <c r="D321" i="6"/>
  <c r="C321" i="6"/>
  <c r="B321" i="6"/>
  <c r="H321" i="6" s="1"/>
  <c r="G320" i="6"/>
  <c r="F320" i="6"/>
  <c r="E320" i="6"/>
  <c r="D320" i="6"/>
  <c r="C320" i="6"/>
  <c r="B320" i="6"/>
  <c r="J320" i="6" s="1"/>
  <c r="G319" i="6"/>
  <c r="F319" i="6"/>
  <c r="E319" i="6"/>
  <c r="D319" i="6"/>
  <c r="C319" i="6"/>
  <c r="B319" i="6"/>
  <c r="L319" i="6" s="1"/>
  <c r="G318" i="6"/>
  <c r="F318" i="6"/>
  <c r="E318" i="6"/>
  <c r="D318" i="6"/>
  <c r="C318" i="6"/>
  <c r="B318" i="6"/>
  <c r="G317" i="6"/>
  <c r="F317" i="6"/>
  <c r="E317" i="6"/>
  <c r="D317" i="6"/>
  <c r="C317" i="6"/>
  <c r="B317" i="6"/>
  <c r="I317" i="6" s="1"/>
  <c r="G316" i="6"/>
  <c r="F316" i="6"/>
  <c r="E316" i="6"/>
  <c r="D316" i="6"/>
  <c r="C316" i="6"/>
  <c r="B316" i="6"/>
  <c r="N316" i="6" s="1"/>
  <c r="G315" i="6"/>
  <c r="F315" i="6"/>
  <c r="E315" i="6"/>
  <c r="D315" i="6"/>
  <c r="C315" i="6"/>
  <c r="B315" i="6"/>
  <c r="I315" i="6" s="1"/>
  <c r="G314" i="6"/>
  <c r="F314" i="6"/>
  <c r="E314" i="6"/>
  <c r="D314" i="6"/>
  <c r="C314" i="6"/>
  <c r="B314" i="6"/>
  <c r="N314" i="6" s="1"/>
  <c r="G313" i="6"/>
  <c r="F313" i="6"/>
  <c r="E313" i="6"/>
  <c r="D313" i="6"/>
  <c r="C313" i="6"/>
  <c r="B313" i="6"/>
  <c r="G312" i="6"/>
  <c r="F312" i="6"/>
  <c r="E312" i="6"/>
  <c r="D312" i="6"/>
  <c r="C312" i="6"/>
  <c r="B312" i="6"/>
  <c r="G311" i="6"/>
  <c r="F311" i="6"/>
  <c r="E311" i="6"/>
  <c r="D311" i="6"/>
  <c r="C311" i="6"/>
  <c r="B311" i="6"/>
  <c r="L311" i="6" s="1"/>
  <c r="G310" i="6"/>
  <c r="F310" i="6"/>
  <c r="E310" i="6"/>
  <c r="D310" i="6"/>
  <c r="C310" i="6"/>
  <c r="B310" i="6"/>
  <c r="G309" i="6"/>
  <c r="F309" i="6"/>
  <c r="E309" i="6"/>
  <c r="D309" i="6"/>
  <c r="C309" i="6"/>
  <c r="B309" i="6"/>
  <c r="G308" i="6"/>
  <c r="F308" i="6"/>
  <c r="E308" i="6"/>
  <c r="D308" i="6"/>
  <c r="C308" i="6"/>
  <c r="B308" i="6"/>
  <c r="G307" i="6"/>
  <c r="F307" i="6"/>
  <c r="E307" i="6"/>
  <c r="D307" i="6"/>
  <c r="C307" i="6"/>
  <c r="B307" i="6"/>
  <c r="K306" i="6"/>
  <c r="G306" i="6"/>
  <c r="F306" i="6"/>
  <c r="E306" i="6"/>
  <c r="D306" i="6"/>
  <c r="C306" i="6"/>
  <c r="B306" i="6"/>
  <c r="H306" i="6" s="1"/>
  <c r="G305" i="6"/>
  <c r="F305" i="6"/>
  <c r="E305" i="6"/>
  <c r="D305" i="6"/>
  <c r="C305" i="6"/>
  <c r="B305" i="6"/>
  <c r="G304" i="6"/>
  <c r="F304" i="6"/>
  <c r="E304" i="6"/>
  <c r="D304" i="6"/>
  <c r="C304" i="6"/>
  <c r="B304" i="6"/>
  <c r="H304" i="6" s="1"/>
  <c r="G303" i="6"/>
  <c r="F303" i="6"/>
  <c r="E303" i="6"/>
  <c r="D303" i="6"/>
  <c r="C303" i="6"/>
  <c r="B303" i="6"/>
  <c r="G302" i="6"/>
  <c r="F302" i="6"/>
  <c r="E302" i="6"/>
  <c r="D302" i="6"/>
  <c r="C302" i="6"/>
  <c r="B302" i="6"/>
  <c r="H302" i="6" s="1"/>
  <c r="G301" i="6"/>
  <c r="F301" i="6"/>
  <c r="E301" i="6"/>
  <c r="D301" i="6"/>
  <c r="C301" i="6"/>
  <c r="B301" i="6"/>
  <c r="H301" i="6" s="1"/>
  <c r="G300" i="6"/>
  <c r="F300" i="6"/>
  <c r="E300" i="6"/>
  <c r="D300" i="6"/>
  <c r="C300" i="6"/>
  <c r="B300" i="6"/>
  <c r="H300" i="6" s="1"/>
  <c r="G299" i="6"/>
  <c r="F299" i="6"/>
  <c r="E299" i="6"/>
  <c r="D299" i="6"/>
  <c r="C299" i="6"/>
  <c r="B299" i="6"/>
  <c r="G298" i="6"/>
  <c r="F298" i="6"/>
  <c r="E298" i="6"/>
  <c r="D298" i="6"/>
  <c r="C298" i="6"/>
  <c r="B298" i="6"/>
  <c r="H298" i="6" s="1"/>
  <c r="G297" i="6"/>
  <c r="F297" i="6"/>
  <c r="E297" i="6"/>
  <c r="D297" i="6"/>
  <c r="C297" i="6"/>
  <c r="B297" i="6"/>
  <c r="H297" i="6" s="1"/>
  <c r="G296" i="6"/>
  <c r="F296" i="6"/>
  <c r="E296" i="6"/>
  <c r="D296" i="6"/>
  <c r="C296" i="6"/>
  <c r="B296" i="6"/>
  <c r="G295" i="6"/>
  <c r="F295" i="6"/>
  <c r="E295" i="6"/>
  <c r="D295" i="6"/>
  <c r="C295" i="6"/>
  <c r="B295" i="6"/>
  <c r="L295" i="6" s="1"/>
  <c r="G294" i="6"/>
  <c r="F294" i="6"/>
  <c r="E294" i="6"/>
  <c r="D294" i="6"/>
  <c r="C294" i="6"/>
  <c r="B294" i="6"/>
  <c r="H294" i="6" s="1"/>
  <c r="G293" i="6"/>
  <c r="F293" i="6"/>
  <c r="E293" i="6"/>
  <c r="D293" i="6"/>
  <c r="C293" i="6"/>
  <c r="B293" i="6"/>
  <c r="L293" i="6" s="1"/>
  <c r="G292" i="6"/>
  <c r="F292" i="6"/>
  <c r="E292" i="6"/>
  <c r="D292" i="6"/>
  <c r="C292" i="6"/>
  <c r="B292" i="6"/>
  <c r="K292" i="6" s="1"/>
  <c r="G291" i="6"/>
  <c r="F291" i="6"/>
  <c r="E291" i="6"/>
  <c r="D291" i="6"/>
  <c r="C291" i="6"/>
  <c r="B291" i="6"/>
  <c r="H291" i="6" s="1"/>
  <c r="G290" i="6"/>
  <c r="F290" i="6"/>
  <c r="E290" i="6"/>
  <c r="D290" i="6"/>
  <c r="C290" i="6"/>
  <c r="B290" i="6"/>
  <c r="J290" i="6" s="1"/>
  <c r="K289" i="6"/>
  <c r="I289" i="6"/>
  <c r="G289" i="6"/>
  <c r="F289" i="6"/>
  <c r="E289" i="6"/>
  <c r="D289" i="6"/>
  <c r="C289" i="6"/>
  <c r="B289" i="6"/>
  <c r="J289" i="6" s="1"/>
  <c r="G288" i="6"/>
  <c r="F288" i="6"/>
  <c r="E288" i="6"/>
  <c r="D288" i="6"/>
  <c r="C288" i="6"/>
  <c r="B288" i="6"/>
  <c r="G287" i="6"/>
  <c r="F287" i="6"/>
  <c r="E287" i="6"/>
  <c r="D287" i="6"/>
  <c r="C287" i="6"/>
  <c r="B287" i="6"/>
  <c r="G286" i="6"/>
  <c r="F286" i="6"/>
  <c r="E286" i="6"/>
  <c r="D286" i="6"/>
  <c r="C286" i="6"/>
  <c r="B286" i="6"/>
  <c r="G285" i="6"/>
  <c r="F285" i="6"/>
  <c r="E285" i="6"/>
  <c r="D285" i="6"/>
  <c r="C285" i="6"/>
  <c r="B285" i="6"/>
  <c r="I285" i="6" s="1"/>
  <c r="G284" i="6"/>
  <c r="F284" i="6"/>
  <c r="E284" i="6"/>
  <c r="D284" i="6"/>
  <c r="C284" i="6"/>
  <c r="B284" i="6"/>
  <c r="N284" i="6" s="1"/>
  <c r="G283" i="6"/>
  <c r="F283" i="6"/>
  <c r="E283" i="6"/>
  <c r="D283" i="6"/>
  <c r="C283" i="6"/>
  <c r="B283" i="6"/>
  <c r="G282" i="6"/>
  <c r="F282" i="6"/>
  <c r="E282" i="6"/>
  <c r="D282" i="6"/>
  <c r="C282" i="6"/>
  <c r="B282" i="6"/>
  <c r="G281" i="6"/>
  <c r="F281" i="6"/>
  <c r="E281" i="6"/>
  <c r="D281" i="6"/>
  <c r="C281" i="6"/>
  <c r="B281" i="6"/>
  <c r="J281" i="6" s="1"/>
  <c r="G280" i="6"/>
  <c r="F280" i="6"/>
  <c r="E280" i="6"/>
  <c r="D280" i="6"/>
  <c r="C280" i="6"/>
  <c r="B280" i="6"/>
  <c r="J280" i="6" s="1"/>
  <c r="G279" i="6"/>
  <c r="F279" i="6"/>
  <c r="E279" i="6"/>
  <c r="D279" i="6"/>
  <c r="C279" i="6"/>
  <c r="B279" i="6"/>
  <c r="G278" i="6"/>
  <c r="F278" i="6"/>
  <c r="E278" i="6"/>
  <c r="D278" i="6"/>
  <c r="C278" i="6"/>
  <c r="B278" i="6"/>
  <c r="H278" i="6" s="1"/>
  <c r="G277" i="6"/>
  <c r="F277" i="6"/>
  <c r="E277" i="6"/>
  <c r="D277" i="6"/>
  <c r="C277" i="6"/>
  <c r="B277" i="6"/>
  <c r="L277" i="6" s="1"/>
  <c r="G276" i="6"/>
  <c r="F276" i="6"/>
  <c r="E276" i="6"/>
  <c r="D276" i="6"/>
  <c r="C276" i="6"/>
  <c r="B276" i="6"/>
  <c r="G275" i="6"/>
  <c r="F275" i="6"/>
  <c r="E275" i="6"/>
  <c r="D275" i="6"/>
  <c r="C275" i="6"/>
  <c r="B275" i="6"/>
  <c r="G274" i="6"/>
  <c r="F274" i="6"/>
  <c r="E274" i="6"/>
  <c r="D274" i="6"/>
  <c r="C274" i="6"/>
  <c r="B274" i="6"/>
  <c r="G273" i="6"/>
  <c r="F273" i="6"/>
  <c r="E273" i="6"/>
  <c r="D273" i="6"/>
  <c r="C273" i="6"/>
  <c r="B273" i="6"/>
  <c r="G272" i="6"/>
  <c r="F272" i="6"/>
  <c r="E272" i="6"/>
  <c r="D272" i="6"/>
  <c r="C272" i="6"/>
  <c r="B272" i="6"/>
  <c r="G271" i="6"/>
  <c r="F271" i="6"/>
  <c r="E271" i="6"/>
  <c r="D271" i="6"/>
  <c r="C271" i="6"/>
  <c r="B271" i="6"/>
  <c r="N271" i="6" s="1"/>
  <c r="G270" i="6"/>
  <c r="F270" i="6"/>
  <c r="E270" i="6"/>
  <c r="D270" i="6"/>
  <c r="C270" i="6"/>
  <c r="B270" i="6"/>
  <c r="I270" i="6" s="1"/>
  <c r="G269" i="6"/>
  <c r="F269" i="6"/>
  <c r="E269" i="6"/>
  <c r="D269" i="6"/>
  <c r="C269" i="6"/>
  <c r="B269" i="6"/>
  <c r="L269" i="6" s="1"/>
  <c r="G268" i="6"/>
  <c r="F268" i="6"/>
  <c r="E268" i="6"/>
  <c r="D268" i="6"/>
  <c r="C268" i="6"/>
  <c r="B268" i="6"/>
  <c r="N268" i="6" s="1"/>
  <c r="L267" i="6"/>
  <c r="G267" i="6"/>
  <c r="F267" i="6"/>
  <c r="E267" i="6"/>
  <c r="D267" i="6"/>
  <c r="C267" i="6"/>
  <c r="B267" i="6"/>
  <c r="K267" i="6" s="1"/>
  <c r="G266" i="6"/>
  <c r="F266" i="6"/>
  <c r="E266" i="6"/>
  <c r="D266" i="6"/>
  <c r="C266" i="6"/>
  <c r="B266" i="6"/>
  <c r="N266" i="6" s="1"/>
  <c r="G265" i="6"/>
  <c r="F265" i="6"/>
  <c r="E265" i="6"/>
  <c r="D265" i="6"/>
  <c r="C265" i="6"/>
  <c r="B265" i="6"/>
  <c r="H265" i="6" s="1"/>
  <c r="G264" i="6"/>
  <c r="F264" i="6"/>
  <c r="E264" i="6"/>
  <c r="D264" i="6"/>
  <c r="C264" i="6"/>
  <c r="B264" i="6"/>
  <c r="G263" i="6"/>
  <c r="F263" i="6"/>
  <c r="E263" i="6"/>
  <c r="D263" i="6"/>
  <c r="C263" i="6"/>
  <c r="B263" i="6"/>
  <c r="L263" i="6" s="1"/>
  <c r="G262" i="6"/>
  <c r="F262" i="6"/>
  <c r="E262" i="6"/>
  <c r="D262" i="6"/>
  <c r="C262" i="6"/>
  <c r="B262" i="6"/>
  <c r="N262" i="6" s="1"/>
  <c r="G261" i="6"/>
  <c r="F261" i="6"/>
  <c r="E261" i="6"/>
  <c r="D261" i="6"/>
  <c r="C261" i="6"/>
  <c r="B261" i="6"/>
  <c r="J261" i="6" s="1"/>
  <c r="G260" i="6"/>
  <c r="F260" i="6"/>
  <c r="E260" i="6"/>
  <c r="D260" i="6"/>
  <c r="C260" i="6"/>
  <c r="B260" i="6"/>
  <c r="J260" i="6" s="1"/>
  <c r="G259" i="6"/>
  <c r="F259" i="6"/>
  <c r="E259" i="6"/>
  <c r="D259" i="6"/>
  <c r="C259" i="6"/>
  <c r="B259" i="6"/>
  <c r="K259" i="6" s="1"/>
  <c r="G258" i="6"/>
  <c r="F258" i="6"/>
  <c r="E258" i="6"/>
  <c r="D258" i="6"/>
  <c r="C258" i="6"/>
  <c r="B258" i="6"/>
  <c r="G257" i="6"/>
  <c r="F257" i="6"/>
  <c r="E257" i="6"/>
  <c r="D257" i="6"/>
  <c r="C257" i="6"/>
  <c r="B257" i="6"/>
  <c r="J257" i="6" s="1"/>
  <c r="G256" i="6"/>
  <c r="F256" i="6"/>
  <c r="E256" i="6"/>
  <c r="D256" i="6"/>
  <c r="C256" i="6"/>
  <c r="B256" i="6"/>
  <c r="G255" i="6"/>
  <c r="F255" i="6"/>
  <c r="E255" i="6"/>
  <c r="D255" i="6"/>
  <c r="C255" i="6"/>
  <c r="B255" i="6"/>
  <c r="H255" i="6" s="1"/>
  <c r="G254" i="6"/>
  <c r="F254" i="6"/>
  <c r="E254" i="6"/>
  <c r="D254" i="6"/>
  <c r="C254" i="6"/>
  <c r="B254" i="6"/>
  <c r="I254" i="6" s="1"/>
  <c r="G253" i="6"/>
  <c r="F253" i="6"/>
  <c r="E253" i="6"/>
  <c r="D253" i="6"/>
  <c r="C253" i="6"/>
  <c r="B253" i="6"/>
  <c r="G252" i="6"/>
  <c r="F252" i="6"/>
  <c r="E252" i="6"/>
  <c r="D252" i="6"/>
  <c r="C252" i="6"/>
  <c r="B252" i="6"/>
  <c r="G251" i="6"/>
  <c r="F251" i="6"/>
  <c r="E251" i="6"/>
  <c r="D251" i="6"/>
  <c r="C251" i="6"/>
  <c r="B251" i="6"/>
  <c r="L251" i="6" s="1"/>
  <c r="G250" i="6"/>
  <c r="F250" i="6"/>
  <c r="E250" i="6"/>
  <c r="D250" i="6"/>
  <c r="C250" i="6"/>
  <c r="B250" i="6"/>
  <c r="N250" i="6" s="1"/>
  <c r="G249" i="6"/>
  <c r="F249" i="6"/>
  <c r="E249" i="6"/>
  <c r="D249" i="6"/>
  <c r="C249" i="6"/>
  <c r="B249" i="6"/>
  <c r="K249" i="6" s="1"/>
  <c r="G248" i="6"/>
  <c r="F248" i="6"/>
  <c r="E248" i="6"/>
  <c r="D248" i="6"/>
  <c r="C248" i="6"/>
  <c r="B248" i="6"/>
  <c r="H248" i="6" s="1"/>
  <c r="G247" i="6"/>
  <c r="F247" i="6"/>
  <c r="E247" i="6"/>
  <c r="D247" i="6"/>
  <c r="C247" i="6"/>
  <c r="B247" i="6"/>
  <c r="I247" i="6" s="1"/>
  <c r="G246" i="6"/>
  <c r="F246" i="6"/>
  <c r="E246" i="6"/>
  <c r="D246" i="6"/>
  <c r="C246" i="6"/>
  <c r="B246" i="6"/>
  <c r="H246" i="6" s="1"/>
  <c r="G245" i="6"/>
  <c r="F245" i="6"/>
  <c r="E245" i="6"/>
  <c r="D245" i="6"/>
  <c r="C245" i="6"/>
  <c r="B245" i="6"/>
  <c r="G244" i="6"/>
  <c r="F244" i="6"/>
  <c r="E244" i="6"/>
  <c r="D244" i="6"/>
  <c r="C244" i="6"/>
  <c r="B244" i="6"/>
  <c r="N244" i="6" s="1"/>
  <c r="G243" i="6"/>
  <c r="F243" i="6"/>
  <c r="E243" i="6"/>
  <c r="D243" i="6"/>
  <c r="C243" i="6"/>
  <c r="B243" i="6"/>
  <c r="G242" i="6"/>
  <c r="F242" i="6"/>
  <c r="E242" i="6"/>
  <c r="D242" i="6"/>
  <c r="C242" i="6"/>
  <c r="B242" i="6"/>
  <c r="H242" i="6" s="1"/>
  <c r="G241" i="6"/>
  <c r="F241" i="6"/>
  <c r="E241" i="6"/>
  <c r="D241" i="6"/>
  <c r="C241" i="6"/>
  <c r="B241" i="6"/>
  <c r="L241" i="6" s="1"/>
  <c r="G240" i="6"/>
  <c r="F240" i="6"/>
  <c r="E240" i="6"/>
  <c r="D240" i="6"/>
  <c r="C240" i="6"/>
  <c r="B240" i="6"/>
  <c r="L240" i="6" s="1"/>
  <c r="G239" i="6"/>
  <c r="F239" i="6"/>
  <c r="E239" i="6"/>
  <c r="D239" i="6"/>
  <c r="C239" i="6"/>
  <c r="B239" i="6"/>
  <c r="L239" i="6" s="1"/>
  <c r="G238" i="6"/>
  <c r="F238" i="6"/>
  <c r="E238" i="6"/>
  <c r="D238" i="6"/>
  <c r="C238" i="6"/>
  <c r="B238" i="6"/>
  <c r="J238" i="6" s="1"/>
  <c r="G237" i="6"/>
  <c r="F237" i="6"/>
  <c r="E237" i="6"/>
  <c r="D237" i="6"/>
  <c r="C237" i="6"/>
  <c r="B237" i="6"/>
  <c r="G236" i="6"/>
  <c r="F236" i="6"/>
  <c r="E236" i="6"/>
  <c r="D236" i="6"/>
  <c r="C236" i="6"/>
  <c r="B236" i="6"/>
  <c r="G235" i="6"/>
  <c r="F235" i="6"/>
  <c r="E235" i="6"/>
  <c r="D235" i="6"/>
  <c r="C235" i="6"/>
  <c r="B235" i="6"/>
  <c r="L235" i="6" s="1"/>
  <c r="G234" i="6"/>
  <c r="F234" i="6"/>
  <c r="E234" i="6"/>
  <c r="D234" i="6"/>
  <c r="C234" i="6"/>
  <c r="B234" i="6"/>
  <c r="J234" i="6" s="1"/>
  <c r="G233" i="6"/>
  <c r="F233" i="6"/>
  <c r="E233" i="6"/>
  <c r="D233" i="6"/>
  <c r="C233" i="6"/>
  <c r="B233" i="6"/>
  <c r="L233" i="6" s="1"/>
  <c r="G232" i="6"/>
  <c r="F232" i="6"/>
  <c r="E232" i="6"/>
  <c r="D232" i="6"/>
  <c r="C232" i="6"/>
  <c r="B232" i="6"/>
  <c r="J232" i="6" s="1"/>
  <c r="G231" i="6"/>
  <c r="F231" i="6"/>
  <c r="E231" i="6"/>
  <c r="D231" i="6"/>
  <c r="C231" i="6"/>
  <c r="B231" i="6"/>
  <c r="L231" i="6" s="1"/>
  <c r="G230" i="6"/>
  <c r="F230" i="6"/>
  <c r="E230" i="6"/>
  <c r="D230" i="6"/>
  <c r="C230" i="6"/>
  <c r="B230" i="6"/>
  <c r="K230" i="6" s="1"/>
  <c r="G215" i="6"/>
  <c r="F215" i="6"/>
  <c r="E215" i="6"/>
  <c r="D215" i="6"/>
  <c r="C215" i="6"/>
  <c r="B215" i="6"/>
  <c r="G214" i="6"/>
  <c r="F214" i="6"/>
  <c r="E214" i="6"/>
  <c r="D214" i="6"/>
  <c r="C214" i="6"/>
  <c r="B214" i="6"/>
  <c r="K214" i="6" s="1"/>
  <c r="G213" i="6"/>
  <c r="F213" i="6"/>
  <c r="E213" i="6"/>
  <c r="D213" i="6"/>
  <c r="C213" i="6"/>
  <c r="B213" i="6"/>
  <c r="L213" i="6" s="1"/>
  <c r="G212" i="6"/>
  <c r="F212" i="6"/>
  <c r="E212" i="6"/>
  <c r="D212" i="6"/>
  <c r="C212" i="6"/>
  <c r="B212" i="6"/>
  <c r="J212" i="6" s="1"/>
  <c r="G211" i="6"/>
  <c r="F211" i="6"/>
  <c r="E211" i="6"/>
  <c r="D211" i="6"/>
  <c r="C211" i="6"/>
  <c r="B211" i="6"/>
  <c r="G210" i="6"/>
  <c r="F210" i="6"/>
  <c r="E210" i="6"/>
  <c r="D210" i="6"/>
  <c r="C210" i="6"/>
  <c r="B210" i="6"/>
  <c r="G209" i="6"/>
  <c r="F209" i="6"/>
  <c r="E209" i="6"/>
  <c r="D209" i="6"/>
  <c r="C209" i="6"/>
  <c r="B209" i="6"/>
  <c r="L209" i="6" s="1"/>
  <c r="L208" i="6"/>
  <c r="I208" i="6"/>
  <c r="G208" i="6"/>
  <c r="F208" i="6"/>
  <c r="E208" i="6"/>
  <c r="D208" i="6"/>
  <c r="C208" i="6"/>
  <c r="B208" i="6"/>
  <c r="K208" i="6" s="1"/>
  <c r="G207" i="6"/>
  <c r="F207" i="6"/>
  <c r="E207" i="6"/>
  <c r="D207" i="6"/>
  <c r="C207" i="6"/>
  <c r="B207" i="6"/>
  <c r="G206" i="6"/>
  <c r="F206" i="6"/>
  <c r="E206" i="6"/>
  <c r="D206" i="6"/>
  <c r="C206" i="6"/>
  <c r="B206" i="6"/>
  <c r="K206" i="6" s="1"/>
  <c r="G205" i="6"/>
  <c r="F205" i="6"/>
  <c r="E205" i="6"/>
  <c r="D205" i="6"/>
  <c r="C205" i="6"/>
  <c r="B205" i="6"/>
  <c r="G204" i="6"/>
  <c r="F204" i="6"/>
  <c r="E204" i="6"/>
  <c r="D204" i="6"/>
  <c r="C204" i="6"/>
  <c r="B204" i="6"/>
  <c r="K204" i="6" s="1"/>
  <c r="G203" i="6"/>
  <c r="F203" i="6"/>
  <c r="E203" i="6"/>
  <c r="D203" i="6"/>
  <c r="C203" i="6"/>
  <c r="B203" i="6"/>
  <c r="L203" i="6" s="1"/>
  <c r="G202" i="6"/>
  <c r="F202" i="6"/>
  <c r="E202" i="6"/>
  <c r="D202" i="6"/>
  <c r="C202" i="6"/>
  <c r="B202" i="6"/>
  <c r="J202" i="6" s="1"/>
  <c r="G201" i="6"/>
  <c r="F201" i="6"/>
  <c r="E201" i="6"/>
  <c r="D201" i="6"/>
  <c r="C201" i="6"/>
  <c r="B201" i="6"/>
  <c r="G200" i="6"/>
  <c r="F200" i="6"/>
  <c r="E200" i="6"/>
  <c r="D200" i="6"/>
  <c r="C200" i="6"/>
  <c r="B200" i="6"/>
  <c r="J200" i="6" s="1"/>
  <c r="G199" i="6"/>
  <c r="F199" i="6"/>
  <c r="E199" i="6"/>
  <c r="D199" i="6"/>
  <c r="C199" i="6"/>
  <c r="B199" i="6"/>
  <c r="I199" i="6" s="1"/>
  <c r="G198" i="6"/>
  <c r="F198" i="6"/>
  <c r="E198" i="6"/>
  <c r="D198" i="6"/>
  <c r="C198" i="6"/>
  <c r="B198" i="6"/>
  <c r="K198" i="6" s="1"/>
  <c r="I197" i="6"/>
  <c r="G197" i="6"/>
  <c r="F197" i="6"/>
  <c r="E197" i="6"/>
  <c r="D197" i="6"/>
  <c r="C197" i="6"/>
  <c r="B197" i="6"/>
  <c r="G196" i="6"/>
  <c r="F196" i="6"/>
  <c r="E196" i="6"/>
  <c r="D196" i="6"/>
  <c r="C196" i="6"/>
  <c r="B196" i="6"/>
  <c r="J196" i="6" s="1"/>
  <c r="G195" i="6"/>
  <c r="F195" i="6"/>
  <c r="E195" i="6"/>
  <c r="D195" i="6"/>
  <c r="C195" i="6"/>
  <c r="B195" i="6"/>
  <c r="G194" i="6"/>
  <c r="F194" i="6"/>
  <c r="E194" i="6"/>
  <c r="D194" i="6"/>
  <c r="C194" i="6"/>
  <c r="B194" i="6"/>
  <c r="I194" i="6" s="1"/>
  <c r="G193" i="6"/>
  <c r="F193" i="6"/>
  <c r="E193" i="6"/>
  <c r="D193" i="6"/>
  <c r="C193" i="6"/>
  <c r="B193" i="6"/>
  <c r="I193" i="6" s="1"/>
  <c r="I192" i="6"/>
  <c r="G192" i="6"/>
  <c r="F192" i="6"/>
  <c r="E192" i="6"/>
  <c r="D192" i="6"/>
  <c r="C192" i="6"/>
  <c r="B192" i="6"/>
  <c r="J192" i="6" s="1"/>
  <c r="G191" i="6"/>
  <c r="F191" i="6"/>
  <c r="E191" i="6"/>
  <c r="D191" i="6"/>
  <c r="C191" i="6"/>
  <c r="B191" i="6"/>
  <c r="I191" i="6" s="1"/>
  <c r="J190" i="6"/>
  <c r="G190" i="6"/>
  <c r="F190" i="6"/>
  <c r="E190" i="6"/>
  <c r="D190" i="6"/>
  <c r="C190" i="6"/>
  <c r="B190" i="6"/>
  <c r="I190" i="6" s="1"/>
  <c r="G189" i="6"/>
  <c r="F189" i="6"/>
  <c r="E189" i="6"/>
  <c r="D189" i="6"/>
  <c r="C189" i="6"/>
  <c r="B189" i="6"/>
  <c r="L189" i="6" s="1"/>
  <c r="G188" i="6"/>
  <c r="F188" i="6"/>
  <c r="E188" i="6"/>
  <c r="D188" i="6"/>
  <c r="C188" i="6"/>
  <c r="B188" i="6"/>
  <c r="J188" i="6" s="1"/>
  <c r="G187" i="6"/>
  <c r="F187" i="6"/>
  <c r="E187" i="6"/>
  <c r="D187" i="6"/>
  <c r="C187" i="6"/>
  <c r="B187" i="6"/>
  <c r="I187" i="6" s="1"/>
  <c r="G186" i="6"/>
  <c r="F186" i="6"/>
  <c r="E186" i="6"/>
  <c r="D186" i="6"/>
  <c r="C186" i="6"/>
  <c r="B186" i="6"/>
  <c r="K186" i="6" s="1"/>
  <c r="G185" i="6"/>
  <c r="F185" i="6"/>
  <c r="E185" i="6"/>
  <c r="D185" i="6"/>
  <c r="C185" i="6"/>
  <c r="B185" i="6"/>
  <c r="I185" i="6" s="1"/>
  <c r="G184" i="6"/>
  <c r="F184" i="6"/>
  <c r="E184" i="6"/>
  <c r="D184" i="6"/>
  <c r="C184" i="6"/>
  <c r="B184" i="6"/>
  <c r="I184" i="6" s="1"/>
  <c r="G183" i="6"/>
  <c r="F183" i="6"/>
  <c r="E183" i="6"/>
  <c r="D183" i="6"/>
  <c r="C183" i="6"/>
  <c r="B183" i="6"/>
  <c r="G182" i="6"/>
  <c r="F182" i="6"/>
  <c r="E182" i="6"/>
  <c r="D182" i="6"/>
  <c r="C182" i="6"/>
  <c r="B182" i="6"/>
  <c r="J182" i="6" s="1"/>
  <c r="G181" i="6"/>
  <c r="F181" i="6"/>
  <c r="E181" i="6"/>
  <c r="D181" i="6"/>
  <c r="C181" i="6"/>
  <c r="B181" i="6"/>
  <c r="L181" i="6" s="1"/>
  <c r="G180" i="6"/>
  <c r="F180" i="6"/>
  <c r="E180" i="6"/>
  <c r="D180" i="6"/>
  <c r="C180" i="6"/>
  <c r="B180" i="6"/>
  <c r="G179" i="6"/>
  <c r="F179" i="6"/>
  <c r="E179" i="6"/>
  <c r="D179" i="6"/>
  <c r="C179" i="6"/>
  <c r="B179" i="6"/>
  <c r="G178" i="6"/>
  <c r="F178" i="6"/>
  <c r="E178" i="6"/>
  <c r="D178" i="6"/>
  <c r="C178" i="6"/>
  <c r="B178" i="6"/>
  <c r="G177" i="6"/>
  <c r="F177" i="6"/>
  <c r="E177" i="6"/>
  <c r="D177" i="6"/>
  <c r="C177" i="6"/>
  <c r="B177" i="6"/>
  <c r="G176" i="6"/>
  <c r="F176" i="6"/>
  <c r="E176" i="6"/>
  <c r="D176" i="6"/>
  <c r="C176" i="6"/>
  <c r="B176" i="6"/>
  <c r="K176" i="6" s="1"/>
  <c r="G175" i="6"/>
  <c r="F175" i="6"/>
  <c r="E175" i="6"/>
  <c r="D175" i="6"/>
  <c r="C175" i="6"/>
  <c r="B175" i="6"/>
  <c r="I175" i="6" s="1"/>
  <c r="G174" i="6"/>
  <c r="F174" i="6"/>
  <c r="E174" i="6"/>
  <c r="D174" i="6"/>
  <c r="C174" i="6"/>
  <c r="B174" i="6"/>
  <c r="K174" i="6" s="1"/>
  <c r="G173" i="6"/>
  <c r="F173" i="6"/>
  <c r="E173" i="6"/>
  <c r="D173" i="6"/>
  <c r="C173" i="6"/>
  <c r="B173" i="6"/>
  <c r="G172" i="6"/>
  <c r="F172" i="6"/>
  <c r="E172" i="6"/>
  <c r="D172" i="6"/>
  <c r="C172" i="6"/>
  <c r="B172" i="6"/>
  <c r="K172" i="6" s="1"/>
  <c r="G171" i="6"/>
  <c r="F171" i="6"/>
  <c r="E171" i="6"/>
  <c r="D171" i="6"/>
  <c r="C171" i="6"/>
  <c r="B171" i="6"/>
  <c r="G170" i="6"/>
  <c r="F170" i="6"/>
  <c r="E170" i="6"/>
  <c r="D170" i="6"/>
  <c r="C170" i="6"/>
  <c r="B170" i="6"/>
  <c r="G169" i="6"/>
  <c r="F169" i="6"/>
  <c r="E169" i="6"/>
  <c r="D169" i="6"/>
  <c r="C169" i="6"/>
  <c r="B169" i="6"/>
  <c r="N169" i="6" s="1"/>
  <c r="G168" i="6"/>
  <c r="F168" i="6"/>
  <c r="E168" i="6"/>
  <c r="D168" i="6"/>
  <c r="C168" i="6"/>
  <c r="B168" i="6"/>
  <c r="N168" i="6" s="1"/>
  <c r="G167" i="6"/>
  <c r="F167" i="6"/>
  <c r="E167" i="6"/>
  <c r="D167" i="6"/>
  <c r="C167" i="6"/>
  <c r="B167" i="6"/>
  <c r="N167" i="6" s="1"/>
  <c r="G166" i="6"/>
  <c r="F166" i="6"/>
  <c r="E166" i="6"/>
  <c r="D166" i="6"/>
  <c r="C166" i="6"/>
  <c r="B166" i="6"/>
  <c r="N166" i="6" s="1"/>
  <c r="G165" i="6"/>
  <c r="F165" i="6"/>
  <c r="E165" i="6"/>
  <c r="D165" i="6"/>
  <c r="C165" i="6"/>
  <c r="B165" i="6"/>
  <c r="L165" i="6" s="1"/>
  <c r="G164" i="6"/>
  <c r="F164" i="6"/>
  <c r="E164" i="6"/>
  <c r="D164" i="6"/>
  <c r="C164" i="6"/>
  <c r="B164" i="6"/>
  <c r="N164" i="6" s="1"/>
  <c r="G163" i="6"/>
  <c r="F163" i="6"/>
  <c r="E163" i="6"/>
  <c r="D163" i="6"/>
  <c r="C163" i="6"/>
  <c r="B163" i="6"/>
  <c r="G162" i="6"/>
  <c r="F162" i="6"/>
  <c r="E162" i="6"/>
  <c r="D162" i="6"/>
  <c r="C162" i="6"/>
  <c r="B162" i="6"/>
  <c r="N162" i="6" s="1"/>
  <c r="G161" i="6"/>
  <c r="F161" i="6"/>
  <c r="E161" i="6"/>
  <c r="D161" i="6"/>
  <c r="C161" i="6"/>
  <c r="B161" i="6"/>
  <c r="G160" i="6"/>
  <c r="F160" i="6"/>
  <c r="E160" i="6"/>
  <c r="D160" i="6"/>
  <c r="C160" i="6"/>
  <c r="B160" i="6"/>
  <c r="I160" i="6" s="1"/>
  <c r="G159" i="6"/>
  <c r="F159" i="6"/>
  <c r="E159" i="6"/>
  <c r="D159" i="6"/>
  <c r="C159" i="6"/>
  <c r="B159" i="6"/>
  <c r="H159" i="6" s="1"/>
  <c r="G158" i="6"/>
  <c r="F158" i="6"/>
  <c r="E158" i="6"/>
  <c r="D158" i="6"/>
  <c r="C158" i="6"/>
  <c r="B158" i="6"/>
  <c r="I158" i="6" s="1"/>
  <c r="N157" i="6"/>
  <c r="G157" i="6"/>
  <c r="F157" i="6"/>
  <c r="E157" i="6"/>
  <c r="D157" i="6"/>
  <c r="C157" i="6"/>
  <c r="B157" i="6"/>
  <c r="L157" i="6" s="1"/>
  <c r="G156" i="6"/>
  <c r="F156" i="6"/>
  <c r="E156" i="6"/>
  <c r="D156" i="6"/>
  <c r="C156" i="6"/>
  <c r="B156" i="6"/>
  <c r="N156" i="6" s="1"/>
  <c r="G155" i="6"/>
  <c r="F155" i="6"/>
  <c r="E155" i="6"/>
  <c r="D155" i="6"/>
  <c r="C155" i="6"/>
  <c r="B155" i="6"/>
  <c r="G154" i="6"/>
  <c r="F154" i="6"/>
  <c r="E154" i="6"/>
  <c r="D154" i="6"/>
  <c r="C154" i="6"/>
  <c r="B154" i="6"/>
  <c r="J154" i="6" s="1"/>
  <c r="G153" i="6"/>
  <c r="F153" i="6"/>
  <c r="E153" i="6"/>
  <c r="D153" i="6"/>
  <c r="C153" i="6"/>
  <c r="B153" i="6"/>
  <c r="G152" i="6"/>
  <c r="F152" i="6"/>
  <c r="E152" i="6"/>
  <c r="D152" i="6"/>
  <c r="C152" i="6"/>
  <c r="B152" i="6"/>
  <c r="G151" i="6"/>
  <c r="F151" i="6"/>
  <c r="E151" i="6"/>
  <c r="D151" i="6"/>
  <c r="C151" i="6"/>
  <c r="B151" i="6"/>
  <c r="G150" i="6"/>
  <c r="F150" i="6"/>
  <c r="E150" i="6"/>
  <c r="D150" i="6"/>
  <c r="C150" i="6"/>
  <c r="B150" i="6"/>
  <c r="N150" i="6" s="1"/>
  <c r="G149" i="6"/>
  <c r="F149" i="6"/>
  <c r="E149" i="6"/>
  <c r="D149" i="6"/>
  <c r="C149" i="6"/>
  <c r="B149" i="6"/>
  <c r="I149" i="6" s="1"/>
  <c r="G148" i="6"/>
  <c r="F148" i="6"/>
  <c r="E148" i="6"/>
  <c r="D148" i="6"/>
  <c r="C148" i="6"/>
  <c r="B148" i="6"/>
  <c r="L148" i="6" s="1"/>
  <c r="G147" i="6"/>
  <c r="F147" i="6"/>
  <c r="E147" i="6"/>
  <c r="D147" i="6"/>
  <c r="C147" i="6"/>
  <c r="B147" i="6"/>
  <c r="L147" i="6" s="1"/>
  <c r="G146" i="6"/>
  <c r="F146" i="6"/>
  <c r="E146" i="6"/>
  <c r="D146" i="6"/>
  <c r="C146" i="6"/>
  <c r="B146" i="6"/>
  <c r="G145" i="6"/>
  <c r="F145" i="6"/>
  <c r="E145" i="6"/>
  <c r="D145" i="6"/>
  <c r="C145" i="6"/>
  <c r="B145" i="6"/>
  <c r="G144" i="6"/>
  <c r="F144" i="6"/>
  <c r="E144" i="6"/>
  <c r="D144" i="6"/>
  <c r="C144" i="6"/>
  <c r="B144" i="6"/>
  <c r="N144" i="6" s="1"/>
  <c r="G143" i="6"/>
  <c r="F143" i="6"/>
  <c r="E143" i="6"/>
  <c r="D143" i="6"/>
  <c r="C143" i="6"/>
  <c r="B143" i="6"/>
  <c r="I143" i="6" s="1"/>
  <c r="G142" i="6"/>
  <c r="F142" i="6"/>
  <c r="E142" i="6"/>
  <c r="D142" i="6"/>
  <c r="C142" i="6"/>
  <c r="B142" i="6"/>
  <c r="N142" i="6" s="1"/>
  <c r="G141" i="6"/>
  <c r="F141" i="6"/>
  <c r="E141" i="6"/>
  <c r="D141" i="6"/>
  <c r="C141" i="6"/>
  <c r="B141" i="6"/>
  <c r="G140" i="6"/>
  <c r="F140" i="6"/>
  <c r="E140" i="6"/>
  <c r="D140" i="6"/>
  <c r="C140" i="6"/>
  <c r="B140" i="6"/>
  <c r="N140" i="6" s="1"/>
  <c r="G139" i="6"/>
  <c r="F139" i="6"/>
  <c r="E139" i="6"/>
  <c r="D139" i="6"/>
  <c r="C139" i="6"/>
  <c r="B139" i="6"/>
  <c r="N139" i="6" s="1"/>
  <c r="G138" i="6"/>
  <c r="F138" i="6"/>
  <c r="E138" i="6"/>
  <c r="D138" i="6"/>
  <c r="C138" i="6"/>
  <c r="B138" i="6"/>
  <c r="N138" i="6" s="1"/>
  <c r="G137" i="6"/>
  <c r="F137" i="6"/>
  <c r="E137" i="6"/>
  <c r="D137" i="6"/>
  <c r="C137" i="6"/>
  <c r="B137" i="6"/>
  <c r="L137" i="6" s="1"/>
  <c r="G136" i="6"/>
  <c r="F136" i="6"/>
  <c r="E136" i="6"/>
  <c r="D136" i="6"/>
  <c r="C136" i="6"/>
  <c r="B136" i="6"/>
  <c r="H136" i="6" s="1"/>
  <c r="G135" i="6"/>
  <c r="F135" i="6"/>
  <c r="E135" i="6"/>
  <c r="D135" i="6"/>
  <c r="C135" i="6"/>
  <c r="B135" i="6"/>
  <c r="G134" i="6"/>
  <c r="F134" i="6"/>
  <c r="E134" i="6"/>
  <c r="D134" i="6"/>
  <c r="C134" i="6"/>
  <c r="B134" i="6"/>
  <c r="N134" i="6" s="1"/>
  <c r="G133" i="6"/>
  <c r="F133" i="6"/>
  <c r="E133" i="6"/>
  <c r="D133" i="6"/>
  <c r="C133" i="6"/>
  <c r="B133" i="6"/>
  <c r="N133" i="6" s="1"/>
  <c r="G132" i="6"/>
  <c r="F132" i="6"/>
  <c r="E132" i="6"/>
  <c r="D132" i="6"/>
  <c r="C132" i="6"/>
  <c r="B132" i="6"/>
  <c r="N132" i="6" s="1"/>
  <c r="G131" i="6"/>
  <c r="F131" i="6"/>
  <c r="E131" i="6"/>
  <c r="D131" i="6"/>
  <c r="C131" i="6"/>
  <c r="B131" i="6"/>
  <c r="L131" i="6" s="1"/>
  <c r="G130" i="6"/>
  <c r="F130" i="6"/>
  <c r="E130" i="6"/>
  <c r="D130" i="6"/>
  <c r="C130" i="6"/>
  <c r="B130" i="6"/>
  <c r="G129" i="6"/>
  <c r="F129" i="6"/>
  <c r="E129" i="6"/>
  <c r="D129" i="6"/>
  <c r="C129" i="6"/>
  <c r="B129" i="6"/>
  <c r="G128" i="6"/>
  <c r="F128" i="6"/>
  <c r="E128" i="6"/>
  <c r="D128" i="6"/>
  <c r="C128" i="6"/>
  <c r="B128" i="6"/>
  <c r="G127" i="6"/>
  <c r="F127" i="6"/>
  <c r="E127" i="6"/>
  <c r="D127" i="6"/>
  <c r="C127" i="6"/>
  <c r="B127" i="6"/>
  <c r="N127" i="6" s="1"/>
  <c r="G126" i="6"/>
  <c r="F126" i="6"/>
  <c r="E126" i="6"/>
  <c r="D126" i="6"/>
  <c r="C126" i="6"/>
  <c r="B126" i="6"/>
  <c r="N126" i="6" s="1"/>
  <c r="G125" i="6"/>
  <c r="F125" i="6"/>
  <c r="E125" i="6"/>
  <c r="D125" i="6"/>
  <c r="C125" i="6"/>
  <c r="B125" i="6"/>
  <c r="N125" i="6" s="1"/>
  <c r="G124" i="6"/>
  <c r="F124" i="6"/>
  <c r="E124" i="6"/>
  <c r="D124" i="6"/>
  <c r="C124" i="6"/>
  <c r="B124" i="6"/>
  <c r="G123" i="6"/>
  <c r="F123" i="6"/>
  <c r="E123" i="6"/>
  <c r="D123" i="6"/>
  <c r="C123" i="6"/>
  <c r="B123" i="6"/>
  <c r="N123" i="6" s="1"/>
  <c r="G122" i="6"/>
  <c r="F122" i="6"/>
  <c r="E122" i="6"/>
  <c r="D122" i="6"/>
  <c r="C122" i="6"/>
  <c r="B122" i="6"/>
  <c r="N122" i="6" s="1"/>
  <c r="G121" i="6"/>
  <c r="F121" i="6"/>
  <c r="E121" i="6"/>
  <c r="D121" i="6"/>
  <c r="C121" i="6"/>
  <c r="B121" i="6"/>
  <c r="L121" i="6" s="1"/>
  <c r="G120" i="6"/>
  <c r="F120" i="6"/>
  <c r="E120" i="6"/>
  <c r="D120" i="6"/>
  <c r="C120" i="6"/>
  <c r="B120" i="6"/>
  <c r="N120" i="6" s="1"/>
  <c r="G119" i="6"/>
  <c r="F119" i="6"/>
  <c r="E119" i="6"/>
  <c r="D119" i="6"/>
  <c r="C119" i="6"/>
  <c r="B119" i="6"/>
  <c r="N119" i="6" s="1"/>
  <c r="G118" i="6"/>
  <c r="F118" i="6"/>
  <c r="E118" i="6"/>
  <c r="D118" i="6"/>
  <c r="C118" i="6"/>
  <c r="B118" i="6"/>
  <c r="L118" i="6" s="1"/>
  <c r="G117" i="6"/>
  <c r="F117" i="6"/>
  <c r="E117" i="6"/>
  <c r="D117" i="6"/>
  <c r="C117" i="6"/>
  <c r="B117" i="6"/>
  <c r="I117" i="6" s="1"/>
  <c r="G116" i="6"/>
  <c r="F116" i="6"/>
  <c r="E116" i="6"/>
  <c r="D116" i="6"/>
  <c r="C116" i="6"/>
  <c r="B116" i="6"/>
  <c r="N116" i="6" s="1"/>
  <c r="G115" i="6"/>
  <c r="F115" i="6"/>
  <c r="E115" i="6"/>
  <c r="D115" i="6"/>
  <c r="C115" i="6"/>
  <c r="B115" i="6"/>
  <c r="N115" i="6" s="1"/>
  <c r="G114" i="6"/>
  <c r="F114" i="6"/>
  <c r="E114" i="6"/>
  <c r="D114" i="6"/>
  <c r="C114" i="6"/>
  <c r="B114" i="6"/>
  <c r="L114" i="6" s="1"/>
  <c r="G113" i="6"/>
  <c r="F113" i="6"/>
  <c r="E113" i="6"/>
  <c r="D113" i="6"/>
  <c r="C113" i="6"/>
  <c r="B113" i="6"/>
  <c r="I113" i="6" s="1"/>
  <c r="G112" i="6"/>
  <c r="F112" i="6"/>
  <c r="E112" i="6"/>
  <c r="D112" i="6"/>
  <c r="C112" i="6"/>
  <c r="B112" i="6"/>
  <c r="H112" i="6" s="1"/>
  <c r="G111" i="6"/>
  <c r="F111" i="6"/>
  <c r="E111" i="6"/>
  <c r="D111" i="6"/>
  <c r="C111" i="6"/>
  <c r="B111" i="6"/>
  <c r="L111" i="6" s="1"/>
  <c r="G110" i="6"/>
  <c r="F110" i="6"/>
  <c r="E110" i="6"/>
  <c r="D110" i="6"/>
  <c r="C110" i="6"/>
  <c r="B110" i="6"/>
  <c r="G109" i="6"/>
  <c r="F109" i="6"/>
  <c r="E109" i="6"/>
  <c r="D109" i="6"/>
  <c r="C109" i="6"/>
  <c r="B109" i="6"/>
  <c r="L109" i="6" s="1"/>
  <c r="G108" i="6"/>
  <c r="F108" i="6"/>
  <c r="E108" i="6"/>
  <c r="D108" i="6"/>
  <c r="C108" i="6"/>
  <c r="B108" i="6"/>
  <c r="J108" i="6" s="1"/>
  <c r="G107" i="6"/>
  <c r="F107" i="6"/>
  <c r="E107" i="6"/>
  <c r="D107" i="6"/>
  <c r="C107" i="6"/>
  <c r="B107" i="6"/>
  <c r="L107" i="6" s="1"/>
  <c r="G106" i="6"/>
  <c r="F106" i="6"/>
  <c r="E106" i="6"/>
  <c r="D106" i="6"/>
  <c r="C106" i="6"/>
  <c r="B106" i="6"/>
  <c r="J106" i="6" s="1"/>
  <c r="G105" i="6"/>
  <c r="F105" i="6"/>
  <c r="E105" i="6"/>
  <c r="D105" i="6"/>
  <c r="C105" i="6"/>
  <c r="B105" i="6"/>
  <c r="G104" i="6"/>
  <c r="F104" i="6"/>
  <c r="E104" i="6"/>
  <c r="D104" i="6"/>
  <c r="C104" i="6"/>
  <c r="B104" i="6"/>
  <c r="G103" i="6"/>
  <c r="F103" i="6"/>
  <c r="E103" i="6"/>
  <c r="D103" i="6"/>
  <c r="C103" i="6"/>
  <c r="B103" i="6"/>
  <c r="N103" i="6" s="1"/>
  <c r="G102" i="6"/>
  <c r="F102" i="6"/>
  <c r="E102" i="6"/>
  <c r="D102" i="6"/>
  <c r="C102" i="6"/>
  <c r="B102" i="6"/>
  <c r="N102" i="6" s="1"/>
  <c r="G101" i="6"/>
  <c r="F101" i="6"/>
  <c r="E101" i="6"/>
  <c r="D101" i="6"/>
  <c r="C101" i="6"/>
  <c r="B101" i="6"/>
  <c r="N101" i="6" s="1"/>
  <c r="G100" i="6"/>
  <c r="F100" i="6"/>
  <c r="E100" i="6"/>
  <c r="D100" i="6"/>
  <c r="C100" i="6"/>
  <c r="B100" i="6"/>
  <c r="L100" i="6" s="1"/>
  <c r="G99" i="6"/>
  <c r="F99" i="6"/>
  <c r="E99" i="6"/>
  <c r="D99" i="6"/>
  <c r="C99" i="6"/>
  <c r="B99" i="6"/>
  <c r="N99" i="6" s="1"/>
  <c r="G98" i="6"/>
  <c r="F98" i="6"/>
  <c r="E98" i="6"/>
  <c r="D98" i="6"/>
  <c r="C98" i="6"/>
  <c r="B98" i="6"/>
  <c r="N98" i="6" s="1"/>
  <c r="G97" i="6"/>
  <c r="F97" i="6"/>
  <c r="E97" i="6"/>
  <c r="D97" i="6"/>
  <c r="C97" i="6"/>
  <c r="B97" i="6"/>
  <c r="L97" i="6" s="1"/>
  <c r="G96" i="6"/>
  <c r="F96" i="6"/>
  <c r="E96" i="6"/>
  <c r="D96" i="6"/>
  <c r="C96" i="6"/>
  <c r="B96" i="6"/>
  <c r="N96" i="6" s="1"/>
  <c r="G95" i="6"/>
  <c r="F95" i="6"/>
  <c r="E95" i="6"/>
  <c r="D95" i="6"/>
  <c r="C95" i="6"/>
  <c r="B95" i="6"/>
  <c r="L95" i="6" s="1"/>
  <c r="G94" i="6"/>
  <c r="F94" i="6"/>
  <c r="E94" i="6"/>
  <c r="D94" i="6"/>
  <c r="C94" i="6"/>
  <c r="B94" i="6"/>
  <c r="L94" i="6" s="1"/>
  <c r="G93" i="6"/>
  <c r="F93" i="6"/>
  <c r="E93" i="6"/>
  <c r="D93" i="6"/>
  <c r="C93" i="6"/>
  <c r="B93" i="6"/>
  <c r="I93" i="6" s="1"/>
  <c r="G92" i="6"/>
  <c r="F92" i="6"/>
  <c r="E92" i="6"/>
  <c r="D92" i="6"/>
  <c r="C92" i="6"/>
  <c r="B92" i="6"/>
  <c r="N92" i="6" s="1"/>
  <c r="G91" i="6"/>
  <c r="F91" i="6"/>
  <c r="E91" i="6"/>
  <c r="D91" i="6"/>
  <c r="C91" i="6"/>
  <c r="B91" i="6"/>
  <c r="G90" i="6"/>
  <c r="F90" i="6"/>
  <c r="E90" i="6"/>
  <c r="D90" i="6"/>
  <c r="C90" i="6"/>
  <c r="B90" i="6"/>
  <c r="G89" i="6"/>
  <c r="F89" i="6"/>
  <c r="E89" i="6"/>
  <c r="D89" i="6"/>
  <c r="C89" i="6"/>
  <c r="B89" i="6"/>
  <c r="N89" i="6" s="1"/>
  <c r="G88" i="6"/>
  <c r="F88" i="6"/>
  <c r="E88" i="6"/>
  <c r="D88" i="6"/>
  <c r="C88" i="6"/>
  <c r="B88" i="6"/>
  <c r="H88" i="6" s="1"/>
  <c r="G87" i="6"/>
  <c r="F87" i="6"/>
  <c r="E87" i="6"/>
  <c r="D87" i="6"/>
  <c r="C87" i="6"/>
  <c r="B87" i="6"/>
  <c r="K86" i="6"/>
  <c r="G86" i="6"/>
  <c r="F86" i="6"/>
  <c r="E86" i="6"/>
  <c r="D86" i="6"/>
  <c r="C86" i="6"/>
  <c r="B86" i="6"/>
  <c r="G85" i="6"/>
  <c r="F85" i="6"/>
  <c r="E85" i="6"/>
  <c r="D85" i="6"/>
  <c r="C85" i="6"/>
  <c r="B85" i="6"/>
  <c r="N85" i="6" s="1"/>
  <c r="G84" i="6"/>
  <c r="F84" i="6"/>
  <c r="E84" i="6"/>
  <c r="D84" i="6"/>
  <c r="C84" i="6"/>
  <c r="B84" i="6"/>
  <c r="I84" i="6" s="1"/>
  <c r="G83" i="6"/>
  <c r="F83" i="6"/>
  <c r="E83" i="6"/>
  <c r="D83" i="6"/>
  <c r="C83" i="6"/>
  <c r="B83" i="6"/>
  <c r="L83" i="6" s="1"/>
  <c r="G82" i="6"/>
  <c r="F82" i="6"/>
  <c r="E82" i="6"/>
  <c r="D82" i="6"/>
  <c r="C82" i="6"/>
  <c r="B82" i="6"/>
  <c r="J82" i="6" s="1"/>
  <c r="G81" i="6"/>
  <c r="F81" i="6"/>
  <c r="E81" i="6"/>
  <c r="D81" i="6"/>
  <c r="C81" i="6"/>
  <c r="B81" i="6"/>
  <c r="G80" i="6"/>
  <c r="F80" i="6"/>
  <c r="E80" i="6"/>
  <c r="D80" i="6"/>
  <c r="C80" i="6"/>
  <c r="B80" i="6"/>
  <c r="I80" i="6" s="1"/>
  <c r="G79" i="6"/>
  <c r="F79" i="6"/>
  <c r="E79" i="6"/>
  <c r="D79" i="6"/>
  <c r="C79" i="6"/>
  <c r="B79" i="6"/>
  <c r="N79" i="6" s="1"/>
  <c r="G78" i="6"/>
  <c r="F78" i="6"/>
  <c r="E78" i="6"/>
  <c r="D78" i="6"/>
  <c r="C78" i="6"/>
  <c r="B78" i="6"/>
  <c r="N78" i="6" s="1"/>
  <c r="G77" i="6"/>
  <c r="F77" i="6"/>
  <c r="E77" i="6"/>
  <c r="D77" i="6"/>
  <c r="C77" i="6"/>
  <c r="B77" i="6"/>
  <c r="N77" i="6" s="1"/>
  <c r="G76" i="6"/>
  <c r="F76" i="6"/>
  <c r="E76" i="6"/>
  <c r="D76" i="6"/>
  <c r="C76" i="6"/>
  <c r="B76" i="6"/>
  <c r="J76" i="6" s="1"/>
  <c r="G75" i="6"/>
  <c r="F75" i="6"/>
  <c r="E75" i="6"/>
  <c r="D75" i="6"/>
  <c r="C75" i="6"/>
  <c r="B75" i="6"/>
  <c r="I75" i="6" s="1"/>
  <c r="G74" i="6"/>
  <c r="F74" i="6"/>
  <c r="E74" i="6"/>
  <c r="D74" i="6"/>
  <c r="C74" i="6"/>
  <c r="B74" i="6"/>
  <c r="N74" i="6" s="1"/>
  <c r="G73" i="6"/>
  <c r="F73" i="6"/>
  <c r="E73" i="6"/>
  <c r="D73" i="6"/>
  <c r="C73" i="6"/>
  <c r="B73" i="6"/>
  <c r="N73" i="6" s="1"/>
  <c r="H72" i="6"/>
  <c r="G72" i="6"/>
  <c r="F72" i="6"/>
  <c r="E72" i="6"/>
  <c r="D72" i="6"/>
  <c r="C72" i="6"/>
  <c r="B72" i="6"/>
  <c r="N72" i="6" s="1"/>
  <c r="G71" i="6"/>
  <c r="F71" i="6"/>
  <c r="E71" i="6"/>
  <c r="D71" i="6"/>
  <c r="C71" i="6"/>
  <c r="B71" i="6"/>
  <c r="N71" i="6" s="1"/>
  <c r="G70" i="6"/>
  <c r="F70" i="6"/>
  <c r="E70" i="6"/>
  <c r="D70" i="6"/>
  <c r="C70" i="6"/>
  <c r="B70" i="6"/>
  <c r="L70" i="6" s="1"/>
  <c r="G69" i="6"/>
  <c r="F69" i="6"/>
  <c r="E69" i="6"/>
  <c r="D69" i="6"/>
  <c r="C69" i="6"/>
  <c r="B69" i="6"/>
  <c r="I69" i="6" s="1"/>
  <c r="G68" i="6"/>
  <c r="F68" i="6"/>
  <c r="E68" i="6"/>
  <c r="D68" i="6"/>
  <c r="C68" i="6"/>
  <c r="B68" i="6"/>
  <c r="N68" i="6" s="1"/>
  <c r="G67" i="6"/>
  <c r="F67" i="6"/>
  <c r="E67" i="6"/>
  <c r="D67" i="6"/>
  <c r="C67" i="6"/>
  <c r="B67" i="6"/>
  <c r="G66" i="6"/>
  <c r="F66" i="6"/>
  <c r="E66" i="6"/>
  <c r="D66" i="6"/>
  <c r="C66" i="6"/>
  <c r="B66" i="6"/>
  <c r="N66" i="6" s="1"/>
  <c r="G65" i="6"/>
  <c r="F65" i="6"/>
  <c r="E65" i="6"/>
  <c r="D65" i="6"/>
  <c r="C65" i="6"/>
  <c r="B65" i="6"/>
  <c r="L65" i="6" s="1"/>
  <c r="G64" i="6"/>
  <c r="F64" i="6"/>
  <c r="E64" i="6"/>
  <c r="D64" i="6"/>
  <c r="C64" i="6"/>
  <c r="B64" i="6"/>
  <c r="K64" i="6" s="1"/>
  <c r="G63" i="6"/>
  <c r="F63" i="6"/>
  <c r="E63" i="6"/>
  <c r="D63" i="6"/>
  <c r="C63" i="6"/>
  <c r="B63" i="6"/>
  <c r="N63" i="6" s="1"/>
  <c r="G62" i="6"/>
  <c r="F62" i="6"/>
  <c r="E62" i="6"/>
  <c r="D62" i="6"/>
  <c r="C62" i="6"/>
  <c r="B62" i="6"/>
  <c r="N62" i="6" s="1"/>
  <c r="G61" i="6"/>
  <c r="F61" i="6"/>
  <c r="E61" i="6"/>
  <c r="D61" i="6"/>
  <c r="C61" i="6"/>
  <c r="B61" i="6"/>
  <c r="K61" i="6" s="1"/>
  <c r="G60" i="6"/>
  <c r="F60" i="6"/>
  <c r="E60" i="6"/>
  <c r="D60" i="6"/>
  <c r="C60" i="6"/>
  <c r="B60" i="6"/>
  <c r="L60" i="6" s="1"/>
  <c r="G59" i="6"/>
  <c r="F59" i="6"/>
  <c r="E59" i="6"/>
  <c r="D59" i="6"/>
  <c r="C59" i="6"/>
  <c r="B59" i="6"/>
  <c r="N59" i="6" s="1"/>
  <c r="G58" i="6"/>
  <c r="F58" i="6"/>
  <c r="E58" i="6"/>
  <c r="D58" i="6"/>
  <c r="C58" i="6"/>
  <c r="B58" i="6"/>
  <c r="K58" i="6" s="1"/>
  <c r="G57" i="6"/>
  <c r="F57" i="6"/>
  <c r="E57" i="6"/>
  <c r="D57" i="6"/>
  <c r="C57" i="6"/>
  <c r="B57" i="6"/>
  <c r="N57" i="6" s="1"/>
  <c r="G56" i="6"/>
  <c r="F56" i="6"/>
  <c r="E56" i="6"/>
  <c r="D56" i="6"/>
  <c r="C56" i="6"/>
  <c r="B56" i="6"/>
  <c r="N56" i="6" s="1"/>
  <c r="G55" i="6"/>
  <c r="F55" i="6"/>
  <c r="E55" i="6"/>
  <c r="D55" i="6"/>
  <c r="C55" i="6"/>
  <c r="B55" i="6"/>
  <c r="N55" i="6" s="1"/>
  <c r="G54" i="6"/>
  <c r="F54" i="6"/>
  <c r="E54" i="6"/>
  <c r="D54" i="6"/>
  <c r="C54" i="6"/>
  <c r="B54" i="6"/>
  <c r="L54" i="6" s="1"/>
  <c r="G53" i="6"/>
  <c r="F53" i="6"/>
  <c r="E53" i="6"/>
  <c r="D53" i="6"/>
  <c r="C53" i="6"/>
  <c r="B53" i="6"/>
  <c r="K53" i="6" s="1"/>
  <c r="G52" i="6"/>
  <c r="F52" i="6"/>
  <c r="E52" i="6"/>
  <c r="D52" i="6"/>
  <c r="C52" i="6"/>
  <c r="B52" i="6"/>
  <c r="L52" i="6" s="1"/>
  <c r="G51" i="6"/>
  <c r="F51" i="6"/>
  <c r="E51" i="6"/>
  <c r="D51" i="6"/>
  <c r="C51" i="6"/>
  <c r="B51" i="6"/>
  <c r="N51" i="6" s="1"/>
  <c r="G50" i="6"/>
  <c r="F50" i="6"/>
  <c r="E50" i="6"/>
  <c r="D50" i="6"/>
  <c r="C50" i="6"/>
  <c r="B50" i="6"/>
  <c r="K50" i="6" s="1"/>
  <c r="G49" i="6"/>
  <c r="F49" i="6"/>
  <c r="E49" i="6"/>
  <c r="D49" i="6"/>
  <c r="C49" i="6"/>
  <c r="B49" i="6"/>
  <c r="K49" i="6" s="1"/>
  <c r="G48" i="6"/>
  <c r="F48" i="6"/>
  <c r="E48" i="6"/>
  <c r="D48" i="6"/>
  <c r="C48" i="6"/>
  <c r="B48" i="6"/>
  <c r="L48" i="6" s="1"/>
  <c r="G47" i="6"/>
  <c r="F47" i="6"/>
  <c r="E47" i="6"/>
  <c r="D47" i="6"/>
  <c r="C47" i="6"/>
  <c r="B47" i="6"/>
  <c r="N47" i="6" s="1"/>
  <c r="G46" i="6"/>
  <c r="F46" i="6"/>
  <c r="E46" i="6"/>
  <c r="D46" i="6"/>
  <c r="C46" i="6"/>
  <c r="B46" i="6"/>
  <c r="L46" i="6" s="1"/>
  <c r="G45" i="6"/>
  <c r="F45" i="6"/>
  <c r="E45" i="6"/>
  <c r="D45" i="6"/>
  <c r="C45" i="6"/>
  <c r="B45" i="6"/>
  <c r="N45" i="6" s="1"/>
  <c r="G44" i="6"/>
  <c r="F44" i="6"/>
  <c r="E44" i="6"/>
  <c r="D44" i="6"/>
  <c r="C44" i="6"/>
  <c r="B44" i="6"/>
  <c r="L44" i="6" s="1"/>
  <c r="G43" i="6"/>
  <c r="F43" i="6"/>
  <c r="E43" i="6"/>
  <c r="D43" i="6"/>
  <c r="C43" i="6"/>
  <c r="B43" i="6"/>
  <c r="N43" i="6" s="1"/>
  <c r="G42" i="6"/>
  <c r="F42" i="6"/>
  <c r="E42" i="6"/>
  <c r="D42" i="6"/>
  <c r="C42" i="6"/>
  <c r="B42" i="6"/>
  <c r="K42" i="6" s="1"/>
  <c r="G41" i="6"/>
  <c r="F41" i="6"/>
  <c r="E41" i="6"/>
  <c r="D41" i="6"/>
  <c r="C41" i="6"/>
  <c r="B41" i="6"/>
  <c r="N41" i="6" s="1"/>
  <c r="G40" i="6"/>
  <c r="F40" i="6"/>
  <c r="E40" i="6"/>
  <c r="D40" i="6"/>
  <c r="C40" i="6"/>
  <c r="B40" i="6"/>
  <c r="L40" i="6" s="1"/>
  <c r="G39" i="6"/>
  <c r="F39" i="6"/>
  <c r="E39" i="6"/>
  <c r="D39" i="6"/>
  <c r="C39" i="6"/>
  <c r="B39" i="6"/>
  <c r="N39" i="6" s="1"/>
  <c r="G38" i="6"/>
  <c r="F38" i="6"/>
  <c r="E38" i="6"/>
  <c r="D38" i="6"/>
  <c r="C38" i="6"/>
  <c r="B38" i="6"/>
  <c r="K38" i="6" s="1"/>
  <c r="G37" i="6"/>
  <c r="F37" i="6"/>
  <c r="E37" i="6"/>
  <c r="D37" i="6"/>
  <c r="C37" i="6"/>
  <c r="B37" i="6"/>
  <c r="N37" i="6" s="1"/>
  <c r="G36" i="6"/>
  <c r="F36" i="6"/>
  <c r="E36" i="6"/>
  <c r="D36" i="6"/>
  <c r="C36" i="6"/>
  <c r="B36" i="6"/>
  <c r="L36" i="6" s="1"/>
  <c r="G35" i="6"/>
  <c r="F35" i="6"/>
  <c r="E35" i="6"/>
  <c r="D35" i="6"/>
  <c r="C35" i="6"/>
  <c r="B35" i="6"/>
  <c r="N35" i="6" s="1"/>
  <c r="G34" i="6"/>
  <c r="F34" i="6"/>
  <c r="E34" i="6"/>
  <c r="D34" i="6"/>
  <c r="C34" i="6"/>
  <c r="B34" i="6"/>
  <c r="K34" i="6" s="1"/>
  <c r="G33" i="6"/>
  <c r="F33" i="6"/>
  <c r="E33" i="6"/>
  <c r="D33" i="6"/>
  <c r="C33" i="6"/>
  <c r="B33" i="6"/>
  <c r="N33" i="6" s="1"/>
  <c r="G32" i="6"/>
  <c r="F32" i="6"/>
  <c r="E32" i="6"/>
  <c r="D32" i="6"/>
  <c r="C32" i="6"/>
  <c r="B32" i="6"/>
  <c r="K32" i="6" s="1"/>
  <c r="G31" i="6"/>
  <c r="F31" i="6"/>
  <c r="E31" i="6"/>
  <c r="D31" i="6"/>
  <c r="C31" i="6"/>
  <c r="B31" i="6"/>
  <c r="N31" i="6" s="1"/>
  <c r="G30" i="6"/>
  <c r="F30" i="6"/>
  <c r="E30" i="6"/>
  <c r="D30" i="6"/>
  <c r="C30" i="6"/>
  <c r="B30" i="6"/>
  <c r="L30" i="6" s="1"/>
  <c r="G29" i="6"/>
  <c r="F29" i="6"/>
  <c r="E29" i="6"/>
  <c r="D29" i="6"/>
  <c r="C29" i="6"/>
  <c r="B29" i="6"/>
  <c r="N29" i="6" s="1"/>
  <c r="G28" i="6"/>
  <c r="F28" i="6"/>
  <c r="E28" i="6"/>
  <c r="D28" i="6"/>
  <c r="C28" i="6"/>
  <c r="B28" i="6"/>
  <c r="L28" i="6" s="1"/>
  <c r="G27" i="6"/>
  <c r="F27" i="6"/>
  <c r="E27" i="6"/>
  <c r="D27" i="6"/>
  <c r="C27" i="6"/>
  <c r="B27" i="6"/>
  <c r="N27" i="6" s="1"/>
  <c r="G26" i="6"/>
  <c r="F26" i="6"/>
  <c r="E26" i="6"/>
  <c r="D26" i="6"/>
  <c r="C26" i="6"/>
  <c r="B26" i="6"/>
  <c r="K26" i="6" s="1"/>
  <c r="G25" i="6"/>
  <c r="F25" i="6"/>
  <c r="E25" i="6"/>
  <c r="D25" i="6"/>
  <c r="C25" i="6"/>
  <c r="B25" i="6"/>
  <c r="N25" i="6" s="1"/>
  <c r="G24" i="6"/>
  <c r="F24" i="6"/>
  <c r="E24" i="6"/>
  <c r="D24" i="6"/>
  <c r="C24" i="6"/>
  <c r="B24" i="6"/>
  <c r="L24" i="6" s="1"/>
  <c r="N23" i="6"/>
  <c r="G23" i="6"/>
  <c r="F23" i="6"/>
  <c r="E23" i="6"/>
  <c r="D23" i="6"/>
  <c r="C23" i="6"/>
  <c r="B23" i="6"/>
  <c r="L23" i="6" s="1"/>
  <c r="G22" i="6"/>
  <c r="F22" i="6"/>
  <c r="E22" i="6"/>
  <c r="D22" i="6"/>
  <c r="C22" i="6"/>
  <c r="B22" i="6"/>
  <c r="N22" i="6" s="1"/>
  <c r="G21" i="6"/>
  <c r="F21" i="6"/>
  <c r="E21" i="6"/>
  <c r="D21" i="6"/>
  <c r="C21" i="6"/>
  <c r="B21" i="6"/>
  <c r="N21" i="6" s="1"/>
  <c r="G20" i="6"/>
  <c r="F20" i="6"/>
  <c r="E20" i="6"/>
  <c r="D20" i="6"/>
  <c r="C20" i="6"/>
  <c r="B20" i="6"/>
  <c r="L20" i="6" s="1"/>
  <c r="G19" i="6"/>
  <c r="F19" i="6"/>
  <c r="E19" i="6"/>
  <c r="D19" i="6"/>
  <c r="C19" i="6"/>
  <c r="B19" i="6"/>
  <c r="N19" i="6" s="1"/>
  <c r="G18" i="6"/>
  <c r="F18" i="6"/>
  <c r="E18" i="6"/>
  <c r="D18" i="6"/>
  <c r="C18" i="6"/>
  <c r="B18" i="6"/>
  <c r="K18" i="6" s="1"/>
  <c r="G17" i="6"/>
  <c r="F17" i="6"/>
  <c r="E17" i="6"/>
  <c r="D17" i="6"/>
  <c r="C17" i="6"/>
  <c r="B17" i="6"/>
  <c r="K17" i="6" s="1"/>
  <c r="G16" i="6"/>
  <c r="F16" i="6"/>
  <c r="E16" i="6"/>
  <c r="D16" i="6"/>
  <c r="C16" i="6"/>
  <c r="B16" i="6"/>
  <c r="N16" i="6" s="1"/>
  <c r="G15" i="6"/>
  <c r="F15" i="6"/>
  <c r="E15" i="6"/>
  <c r="D15" i="6"/>
  <c r="C15" i="6"/>
  <c r="B15" i="6"/>
  <c r="N15" i="6" s="1"/>
  <c r="G14" i="6"/>
  <c r="F14" i="6"/>
  <c r="E14" i="6"/>
  <c r="D14" i="6"/>
  <c r="C14" i="6"/>
  <c r="B14" i="6"/>
  <c r="G13" i="6"/>
  <c r="F13" i="6"/>
  <c r="E13" i="6"/>
  <c r="D13" i="6"/>
  <c r="C13" i="6"/>
  <c r="B13" i="6"/>
  <c r="G12" i="6"/>
  <c r="F12" i="6"/>
  <c r="E12" i="6"/>
  <c r="D12" i="6"/>
  <c r="C12" i="6"/>
  <c r="B12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G5" i="6"/>
  <c r="F5" i="6"/>
  <c r="E5" i="6"/>
  <c r="D5" i="6"/>
  <c r="C5" i="6"/>
  <c r="B5" i="6"/>
  <c r="E604" i="5"/>
  <c r="E603" i="5"/>
  <c r="E602" i="5"/>
  <c r="E601" i="5"/>
  <c r="E600" i="5"/>
  <c r="E599" i="5"/>
  <c r="E598" i="5"/>
  <c r="E597" i="5"/>
  <c r="E596" i="5"/>
  <c r="E595" i="5"/>
  <c r="E594" i="5"/>
  <c r="E593" i="5"/>
  <c r="E592" i="5"/>
  <c r="E591" i="5"/>
  <c r="E590" i="5"/>
  <c r="E589" i="5"/>
  <c r="E588" i="5"/>
  <c r="E587" i="5"/>
  <c r="E586" i="5"/>
  <c r="E585" i="5"/>
  <c r="E584" i="5"/>
  <c r="E583" i="5"/>
  <c r="E582" i="5"/>
  <c r="E581" i="5"/>
  <c r="E580" i="5"/>
  <c r="E579" i="5"/>
  <c r="E578" i="5"/>
  <c r="E577" i="5"/>
  <c r="E576" i="5"/>
  <c r="E575" i="5"/>
  <c r="E574" i="5"/>
  <c r="E573" i="5"/>
  <c r="E572" i="5"/>
  <c r="E571" i="5"/>
  <c r="E570" i="5"/>
  <c r="E569" i="5"/>
  <c r="E568" i="5"/>
  <c r="E567" i="5"/>
  <c r="E566" i="5"/>
  <c r="E565" i="5"/>
  <c r="E564" i="5"/>
  <c r="E563" i="5"/>
  <c r="E562" i="5"/>
  <c r="E561" i="5"/>
  <c r="E560" i="5"/>
  <c r="E559" i="5"/>
  <c r="E558" i="5"/>
  <c r="E557" i="5"/>
  <c r="E556" i="5"/>
  <c r="E555" i="5"/>
  <c r="E554" i="5"/>
  <c r="E553" i="5"/>
  <c r="E552" i="5"/>
  <c r="E551" i="5"/>
  <c r="E550" i="5"/>
  <c r="E549" i="5"/>
  <c r="E548" i="5"/>
  <c r="E547" i="5"/>
  <c r="E546" i="5"/>
  <c r="E545" i="5"/>
  <c r="E544" i="5"/>
  <c r="E543" i="5"/>
  <c r="E542" i="5"/>
  <c r="E541" i="5"/>
  <c r="E540" i="5"/>
  <c r="E539" i="5"/>
  <c r="E538" i="5"/>
  <c r="E537" i="5"/>
  <c r="E536" i="5"/>
  <c r="E535" i="5"/>
  <c r="E534" i="5"/>
  <c r="E533" i="5"/>
  <c r="E532" i="5"/>
  <c r="E531" i="5"/>
  <c r="E530" i="5"/>
  <c r="E529" i="5"/>
  <c r="E528" i="5"/>
  <c r="E527" i="5"/>
  <c r="E526" i="5"/>
  <c r="E525" i="5"/>
  <c r="E524" i="5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C9" i="5"/>
  <c r="E8" i="5"/>
  <c r="C8" i="5"/>
  <c r="E7" i="5"/>
  <c r="C7" i="5"/>
  <c r="E6" i="5"/>
  <c r="C6" i="5"/>
  <c r="E5" i="5"/>
  <c r="C5" i="5"/>
  <c r="H604" i="4"/>
  <c r="E604" i="4"/>
  <c r="H603" i="4"/>
  <c r="E603" i="4"/>
  <c r="H602" i="4"/>
  <c r="E602" i="4"/>
  <c r="H601" i="4"/>
  <c r="E601" i="4"/>
  <c r="H600" i="4"/>
  <c r="E600" i="4"/>
  <c r="H599" i="4"/>
  <c r="E599" i="4"/>
  <c r="H598" i="4"/>
  <c r="E598" i="4"/>
  <c r="H597" i="4"/>
  <c r="E597" i="4"/>
  <c r="H596" i="4"/>
  <c r="E596" i="4"/>
  <c r="H595" i="4"/>
  <c r="E595" i="4"/>
  <c r="H594" i="4"/>
  <c r="E594" i="4"/>
  <c r="H593" i="4"/>
  <c r="E593" i="4"/>
  <c r="H592" i="4"/>
  <c r="E592" i="4"/>
  <c r="H591" i="4"/>
  <c r="E591" i="4"/>
  <c r="H590" i="4"/>
  <c r="E590" i="4"/>
  <c r="H589" i="4"/>
  <c r="E589" i="4"/>
  <c r="H588" i="4"/>
  <c r="E588" i="4"/>
  <c r="H587" i="4"/>
  <c r="E587" i="4"/>
  <c r="H586" i="4"/>
  <c r="E586" i="4"/>
  <c r="H585" i="4"/>
  <c r="E585" i="4"/>
  <c r="H584" i="4"/>
  <c r="E584" i="4"/>
  <c r="H583" i="4"/>
  <c r="E583" i="4"/>
  <c r="H582" i="4"/>
  <c r="E582" i="4"/>
  <c r="H581" i="4"/>
  <c r="E581" i="4"/>
  <c r="H580" i="4"/>
  <c r="E580" i="4"/>
  <c r="H579" i="4"/>
  <c r="E579" i="4"/>
  <c r="H578" i="4"/>
  <c r="E578" i="4"/>
  <c r="H577" i="4"/>
  <c r="E577" i="4"/>
  <c r="H576" i="4"/>
  <c r="E576" i="4"/>
  <c r="H575" i="4"/>
  <c r="E575" i="4"/>
  <c r="H574" i="4"/>
  <c r="E574" i="4"/>
  <c r="H573" i="4"/>
  <c r="E573" i="4"/>
  <c r="H572" i="4"/>
  <c r="E572" i="4"/>
  <c r="H571" i="4"/>
  <c r="E571" i="4"/>
  <c r="H570" i="4"/>
  <c r="E570" i="4"/>
  <c r="H569" i="4"/>
  <c r="E569" i="4"/>
  <c r="H568" i="4"/>
  <c r="E568" i="4"/>
  <c r="H567" i="4"/>
  <c r="E567" i="4"/>
  <c r="H566" i="4"/>
  <c r="E566" i="4"/>
  <c r="H565" i="4"/>
  <c r="E565" i="4"/>
  <c r="H564" i="4"/>
  <c r="E564" i="4"/>
  <c r="H563" i="4"/>
  <c r="E563" i="4"/>
  <c r="H562" i="4"/>
  <c r="E562" i="4"/>
  <c r="H561" i="4"/>
  <c r="E561" i="4"/>
  <c r="H560" i="4"/>
  <c r="E560" i="4"/>
  <c r="H559" i="4"/>
  <c r="E559" i="4"/>
  <c r="H558" i="4"/>
  <c r="E558" i="4"/>
  <c r="H557" i="4"/>
  <c r="E557" i="4"/>
  <c r="H556" i="4"/>
  <c r="E556" i="4"/>
  <c r="H555" i="4"/>
  <c r="E555" i="4"/>
  <c r="H554" i="4"/>
  <c r="E554" i="4"/>
  <c r="H553" i="4"/>
  <c r="E553" i="4"/>
  <c r="H552" i="4"/>
  <c r="E552" i="4"/>
  <c r="H551" i="4"/>
  <c r="E551" i="4"/>
  <c r="H550" i="4"/>
  <c r="E550" i="4"/>
  <c r="H549" i="4"/>
  <c r="E549" i="4"/>
  <c r="H548" i="4"/>
  <c r="E548" i="4"/>
  <c r="H547" i="4"/>
  <c r="E547" i="4"/>
  <c r="H546" i="4"/>
  <c r="E546" i="4"/>
  <c r="H545" i="4"/>
  <c r="E545" i="4"/>
  <c r="H544" i="4"/>
  <c r="E544" i="4"/>
  <c r="H543" i="4"/>
  <c r="E543" i="4"/>
  <c r="H542" i="4"/>
  <c r="E542" i="4"/>
  <c r="H541" i="4"/>
  <c r="E541" i="4"/>
  <c r="H540" i="4"/>
  <c r="E540" i="4"/>
  <c r="H539" i="4"/>
  <c r="E539" i="4"/>
  <c r="H538" i="4"/>
  <c r="E538" i="4"/>
  <c r="H537" i="4"/>
  <c r="E537" i="4"/>
  <c r="H536" i="4"/>
  <c r="E536" i="4"/>
  <c r="H535" i="4"/>
  <c r="E535" i="4"/>
  <c r="H534" i="4"/>
  <c r="E534" i="4"/>
  <c r="H533" i="4"/>
  <c r="E533" i="4"/>
  <c r="H532" i="4"/>
  <c r="E532" i="4"/>
  <c r="H531" i="4"/>
  <c r="E531" i="4"/>
  <c r="H530" i="4"/>
  <c r="E530" i="4"/>
  <c r="H529" i="4"/>
  <c r="E529" i="4"/>
  <c r="H528" i="4"/>
  <c r="E528" i="4"/>
  <c r="H527" i="4"/>
  <c r="E527" i="4"/>
  <c r="H526" i="4"/>
  <c r="E526" i="4"/>
  <c r="H525" i="4"/>
  <c r="E525" i="4"/>
  <c r="H524" i="4"/>
  <c r="E524" i="4"/>
  <c r="H523" i="4"/>
  <c r="E523" i="4"/>
  <c r="H522" i="4"/>
  <c r="E522" i="4"/>
  <c r="H521" i="4"/>
  <c r="E521" i="4"/>
  <c r="H520" i="4"/>
  <c r="E520" i="4"/>
  <c r="H519" i="4"/>
  <c r="E519" i="4"/>
  <c r="H518" i="4"/>
  <c r="E518" i="4"/>
  <c r="H517" i="4"/>
  <c r="E517" i="4"/>
  <c r="H516" i="4"/>
  <c r="E516" i="4"/>
  <c r="H515" i="4"/>
  <c r="E515" i="4"/>
  <c r="H514" i="4"/>
  <c r="E514" i="4"/>
  <c r="H513" i="4"/>
  <c r="E513" i="4"/>
  <c r="H512" i="4"/>
  <c r="E512" i="4"/>
  <c r="H511" i="4"/>
  <c r="E511" i="4"/>
  <c r="H510" i="4"/>
  <c r="E510" i="4"/>
  <c r="H509" i="4"/>
  <c r="E509" i="4"/>
  <c r="H508" i="4"/>
  <c r="E508" i="4"/>
  <c r="H507" i="4"/>
  <c r="E507" i="4"/>
  <c r="H506" i="4"/>
  <c r="E506" i="4"/>
  <c r="H505" i="4"/>
  <c r="E505" i="4"/>
  <c r="H504" i="4"/>
  <c r="E504" i="4"/>
  <c r="H503" i="4"/>
  <c r="E503" i="4"/>
  <c r="H502" i="4"/>
  <c r="E502" i="4"/>
  <c r="H501" i="4"/>
  <c r="E501" i="4"/>
  <c r="H500" i="4"/>
  <c r="E500" i="4"/>
  <c r="H499" i="4"/>
  <c r="E499" i="4"/>
  <c r="H498" i="4"/>
  <c r="E498" i="4"/>
  <c r="H497" i="4"/>
  <c r="E497" i="4"/>
  <c r="H496" i="4"/>
  <c r="E496" i="4"/>
  <c r="H495" i="4"/>
  <c r="E495" i="4"/>
  <c r="H494" i="4"/>
  <c r="E494" i="4"/>
  <c r="H493" i="4"/>
  <c r="E493" i="4"/>
  <c r="H492" i="4"/>
  <c r="E492" i="4"/>
  <c r="H491" i="4"/>
  <c r="E491" i="4"/>
  <c r="H490" i="4"/>
  <c r="E490" i="4"/>
  <c r="H489" i="4"/>
  <c r="E489" i="4"/>
  <c r="H488" i="4"/>
  <c r="E488" i="4"/>
  <c r="H487" i="4"/>
  <c r="E487" i="4"/>
  <c r="H486" i="4"/>
  <c r="E486" i="4"/>
  <c r="H485" i="4"/>
  <c r="E485" i="4"/>
  <c r="H484" i="4"/>
  <c r="E484" i="4"/>
  <c r="H483" i="4"/>
  <c r="E483" i="4"/>
  <c r="H482" i="4"/>
  <c r="E482" i="4"/>
  <c r="H481" i="4"/>
  <c r="E481" i="4"/>
  <c r="H480" i="4"/>
  <c r="E480" i="4"/>
  <c r="H479" i="4"/>
  <c r="E479" i="4"/>
  <c r="H478" i="4"/>
  <c r="E478" i="4"/>
  <c r="H477" i="4"/>
  <c r="E477" i="4"/>
  <c r="H476" i="4"/>
  <c r="E476" i="4"/>
  <c r="H475" i="4"/>
  <c r="E475" i="4"/>
  <c r="H474" i="4"/>
  <c r="E474" i="4"/>
  <c r="H473" i="4"/>
  <c r="E473" i="4"/>
  <c r="H472" i="4"/>
  <c r="E472" i="4"/>
  <c r="H471" i="4"/>
  <c r="E471" i="4"/>
  <c r="H470" i="4"/>
  <c r="E470" i="4"/>
  <c r="H469" i="4"/>
  <c r="E469" i="4"/>
  <c r="H468" i="4"/>
  <c r="E468" i="4"/>
  <c r="H467" i="4"/>
  <c r="E467" i="4"/>
  <c r="H466" i="4"/>
  <c r="E466" i="4"/>
  <c r="H465" i="4"/>
  <c r="E465" i="4"/>
  <c r="H464" i="4"/>
  <c r="E464" i="4"/>
  <c r="H463" i="4"/>
  <c r="E463" i="4"/>
  <c r="H462" i="4"/>
  <c r="E462" i="4"/>
  <c r="H461" i="4"/>
  <c r="E461" i="4"/>
  <c r="H460" i="4"/>
  <c r="E460" i="4"/>
  <c r="H459" i="4"/>
  <c r="E459" i="4"/>
  <c r="H458" i="4"/>
  <c r="E458" i="4"/>
  <c r="H457" i="4"/>
  <c r="E457" i="4"/>
  <c r="H456" i="4"/>
  <c r="E456" i="4"/>
  <c r="H455" i="4"/>
  <c r="E455" i="4"/>
  <c r="H454" i="4"/>
  <c r="E454" i="4"/>
  <c r="H453" i="4"/>
  <c r="E453" i="4"/>
  <c r="H452" i="4"/>
  <c r="E452" i="4"/>
  <c r="H451" i="4"/>
  <c r="E451" i="4"/>
  <c r="H450" i="4"/>
  <c r="E450" i="4"/>
  <c r="H449" i="4"/>
  <c r="E449" i="4"/>
  <c r="H448" i="4"/>
  <c r="E448" i="4"/>
  <c r="H447" i="4"/>
  <c r="E447" i="4"/>
  <c r="H446" i="4"/>
  <c r="E446" i="4"/>
  <c r="H445" i="4"/>
  <c r="E445" i="4"/>
  <c r="H444" i="4"/>
  <c r="E444" i="4"/>
  <c r="H443" i="4"/>
  <c r="E443" i="4"/>
  <c r="H442" i="4"/>
  <c r="E442" i="4"/>
  <c r="H441" i="4"/>
  <c r="E441" i="4"/>
  <c r="H440" i="4"/>
  <c r="E440" i="4"/>
  <c r="H439" i="4"/>
  <c r="E439" i="4"/>
  <c r="H438" i="4"/>
  <c r="E438" i="4"/>
  <c r="H437" i="4"/>
  <c r="E437" i="4"/>
  <c r="H436" i="4"/>
  <c r="E436" i="4"/>
  <c r="H435" i="4"/>
  <c r="E435" i="4"/>
  <c r="H434" i="4"/>
  <c r="E434" i="4"/>
  <c r="H433" i="4"/>
  <c r="E433" i="4"/>
  <c r="H432" i="4"/>
  <c r="E432" i="4"/>
  <c r="H431" i="4"/>
  <c r="E431" i="4"/>
  <c r="H430" i="4"/>
  <c r="E430" i="4"/>
  <c r="H429" i="4"/>
  <c r="E429" i="4"/>
  <c r="H428" i="4"/>
  <c r="E428" i="4"/>
  <c r="H427" i="4"/>
  <c r="E427" i="4"/>
  <c r="H426" i="4"/>
  <c r="E426" i="4"/>
  <c r="H425" i="4"/>
  <c r="E425" i="4"/>
  <c r="H424" i="4"/>
  <c r="E424" i="4"/>
  <c r="H423" i="4"/>
  <c r="E423" i="4"/>
  <c r="H422" i="4"/>
  <c r="E422" i="4"/>
  <c r="H421" i="4"/>
  <c r="E421" i="4"/>
  <c r="H420" i="4"/>
  <c r="E420" i="4"/>
  <c r="H419" i="4"/>
  <c r="E419" i="4"/>
  <c r="H418" i="4"/>
  <c r="E418" i="4"/>
  <c r="H417" i="4"/>
  <c r="E417" i="4"/>
  <c r="H416" i="4"/>
  <c r="E416" i="4"/>
  <c r="H415" i="4"/>
  <c r="E415" i="4"/>
  <c r="H414" i="4"/>
  <c r="E414" i="4"/>
  <c r="H413" i="4"/>
  <c r="E413" i="4"/>
  <c r="H412" i="4"/>
  <c r="E412" i="4"/>
  <c r="H411" i="4"/>
  <c r="E411" i="4"/>
  <c r="H410" i="4"/>
  <c r="E410" i="4"/>
  <c r="H409" i="4"/>
  <c r="E409" i="4"/>
  <c r="H408" i="4"/>
  <c r="E408" i="4"/>
  <c r="H407" i="4"/>
  <c r="E407" i="4"/>
  <c r="H406" i="4"/>
  <c r="E406" i="4"/>
  <c r="H405" i="4"/>
  <c r="E405" i="4"/>
  <c r="H404" i="4"/>
  <c r="E404" i="4"/>
  <c r="H403" i="4"/>
  <c r="E403" i="4"/>
  <c r="H402" i="4"/>
  <c r="E402" i="4"/>
  <c r="H401" i="4"/>
  <c r="E401" i="4"/>
  <c r="H400" i="4"/>
  <c r="E400" i="4"/>
  <c r="H399" i="4"/>
  <c r="E399" i="4"/>
  <c r="H398" i="4"/>
  <c r="E398" i="4"/>
  <c r="H397" i="4"/>
  <c r="E397" i="4"/>
  <c r="H396" i="4"/>
  <c r="E396" i="4"/>
  <c r="H395" i="4"/>
  <c r="E395" i="4"/>
  <c r="H394" i="4"/>
  <c r="E394" i="4"/>
  <c r="H393" i="4"/>
  <c r="E393" i="4"/>
  <c r="H392" i="4"/>
  <c r="E392" i="4"/>
  <c r="H391" i="4"/>
  <c r="E391" i="4"/>
  <c r="H390" i="4"/>
  <c r="E390" i="4"/>
  <c r="H389" i="4"/>
  <c r="E389" i="4"/>
  <c r="H388" i="4"/>
  <c r="E388" i="4"/>
  <c r="H387" i="4"/>
  <c r="E387" i="4"/>
  <c r="H386" i="4"/>
  <c r="E386" i="4"/>
  <c r="H385" i="4"/>
  <c r="E385" i="4"/>
  <c r="H384" i="4"/>
  <c r="E384" i="4"/>
  <c r="H383" i="4"/>
  <c r="E383" i="4"/>
  <c r="H382" i="4"/>
  <c r="E382" i="4"/>
  <c r="H381" i="4"/>
  <c r="E381" i="4"/>
  <c r="H380" i="4"/>
  <c r="E380" i="4"/>
  <c r="H379" i="4"/>
  <c r="E379" i="4"/>
  <c r="H378" i="4"/>
  <c r="E378" i="4"/>
  <c r="H377" i="4"/>
  <c r="E377" i="4"/>
  <c r="H376" i="4"/>
  <c r="E376" i="4"/>
  <c r="H375" i="4"/>
  <c r="E375" i="4"/>
  <c r="H374" i="4"/>
  <c r="E374" i="4"/>
  <c r="H373" i="4"/>
  <c r="E373" i="4"/>
  <c r="H372" i="4"/>
  <c r="E372" i="4"/>
  <c r="H371" i="4"/>
  <c r="E371" i="4"/>
  <c r="H370" i="4"/>
  <c r="E370" i="4"/>
  <c r="H369" i="4"/>
  <c r="E369" i="4"/>
  <c r="H368" i="4"/>
  <c r="E368" i="4"/>
  <c r="H367" i="4"/>
  <c r="E367" i="4"/>
  <c r="H366" i="4"/>
  <c r="E366" i="4"/>
  <c r="H365" i="4"/>
  <c r="E365" i="4"/>
  <c r="H364" i="4"/>
  <c r="E364" i="4"/>
  <c r="H363" i="4"/>
  <c r="E363" i="4"/>
  <c r="H362" i="4"/>
  <c r="E362" i="4"/>
  <c r="H361" i="4"/>
  <c r="E361" i="4"/>
  <c r="H360" i="4"/>
  <c r="E360" i="4"/>
  <c r="H359" i="4"/>
  <c r="E359" i="4"/>
  <c r="H358" i="4"/>
  <c r="E358" i="4"/>
  <c r="H357" i="4"/>
  <c r="E357" i="4"/>
  <c r="H356" i="4"/>
  <c r="E356" i="4"/>
  <c r="H355" i="4"/>
  <c r="E355" i="4"/>
  <c r="H354" i="4"/>
  <c r="E354" i="4"/>
  <c r="H353" i="4"/>
  <c r="E353" i="4"/>
  <c r="H352" i="4"/>
  <c r="E352" i="4"/>
  <c r="H351" i="4"/>
  <c r="E351" i="4"/>
  <c r="H350" i="4"/>
  <c r="E350" i="4"/>
  <c r="H349" i="4"/>
  <c r="E349" i="4"/>
  <c r="H348" i="4"/>
  <c r="E348" i="4"/>
  <c r="H347" i="4"/>
  <c r="E347" i="4"/>
  <c r="H346" i="4"/>
  <c r="E346" i="4"/>
  <c r="H345" i="4"/>
  <c r="E345" i="4"/>
  <c r="H344" i="4"/>
  <c r="E344" i="4"/>
  <c r="H343" i="4"/>
  <c r="E343" i="4"/>
  <c r="H342" i="4"/>
  <c r="E342" i="4"/>
  <c r="H341" i="4"/>
  <c r="E341" i="4"/>
  <c r="H340" i="4"/>
  <c r="E340" i="4"/>
  <c r="H339" i="4"/>
  <c r="E339" i="4"/>
  <c r="H338" i="4"/>
  <c r="E338" i="4"/>
  <c r="H337" i="4"/>
  <c r="E337" i="4"/>
  <c r="H336" i="4"/>
  <c r="E336" i="4"/>
  <c r="H335" i="4"/>
  <c r="E335" i="4"/>
  <c r="H334" i="4"/>
  <c r="E334" i="4"/>
  <c r="H333" i="4"/>
  <c r="E333" i="4"/>
  <c r="H332" i="4"/>
  <c r="E332" i="4"/>
  <c r="H331" i="4"/>
  <c r="E331" i="4"/>
  <c r="H330" i="4"/>
  <c r="E330" i="4"/>
  <c r="H329" i="4"/>
  <c r="E329" i="4"/>
  <c r="H328" i="4"/>
  <c r="E328" i="4"/>
  <c r="H327" i="4"/>
  <c r="E327" i="4"/>
  <c r="H326" i="4"/>
  <c r="E326" i="4"/>
  <c r="H325" i="4"/>
  <c r="E325" i="4"/>
  <c r="H324" i="4"/>
  <c r="E324" i="4"/>
  <c r="H323" i="4"/>
  <c r="E323" i="4"/>
  <c r="H322" i="4"/>
  <c r="E322" i="4"/>
  <c r="H321" i="4"/>
  <c r="E321" i="4"/>
  <c r="H320" i="4"/>
  <c r="E320" i="4"/>
  <c r="H319" i="4"/>
  <c r="E319" i="4"/>
  <c r="H318" i="4"/>
  <c r="E318" i="4"/>
  <c r="H317" i="4"/>
  <c r="E317" i="4"/>
  <c r="H316" i="4"/>
  <c r="E316" i="4"/>
  <c r="H315" i="4"/>
  <c r="E315" i="4"/>
  <c r="H314" i="4"/>
  <c r="E314" i="4"/>
  <c r="H313" i="4"/>
  <c r="E313" i="4"/>
  <c r="H312" i="4"/>
  <c r="E312" i="4"/>
  <c r="H311" i="4"/>
  <c r="E311" i="4"/>
  <c r="H310" i="4"/>
  <c r="E310" i="4"/>
  <c r="H309" i="4"/>
  <c r="E309" i="4"/>
  <c r="H308" i="4"/>
  <c r="E308" i="4"/>
  <c r="H307" i="4"/>
  <c r="E307" i="4"/>
  <c r="H306" i="4"/>
  <c r="E306" i="4"/>
  <c r="H305" i="4"/>
  <c r="E305" i="4"/>
  <c r="H304" i="4"/>
  <c r="E304" i="4"/>
  <c r="H303" i="4"/>
  <c r="E303" i="4"/>
  <c r="H302" i="4"/>
  <c r="E302" i="4"/>
  <c r="H301" i="4"/>
  <c r="E301" i="4"/>
  <c r="H300" i="4"/>
  <c r="E300" i="4"/>
  <c r="H299" i="4"/>
  <c r="E299" i="4"/>
  <c r="H298" i="4"/>
  <c r="E298" i="4"/>
  <c r="H297" i="4"/>
  <c r="E297" i="4"/>
  <c r="H296" i="4"/>
  <c r="E296" i="4"/>
  <c r="H295" i="4"/>
  <c r="E295" i="4"/>
  <c r="H294" i="4"/>
  <c r="E294" i="4"/>
  <c r="H293" i="4"/>
  <c r="E293" i="4"/>
  <c r="H292" i="4"/>
  <c r="E292" i="4"/>
  <c r="H291" i="4"/>
  <c r="E291" i="4"/>
  <c r="H290" i="4"/>
  <c r="E290" i="4"/>
  <c r="H289" i="4"/>
  <c r="E289" i="4"/>
  <c r="H288" i="4"/>
  <c r="E288" i="4"/>
  <c r="H287" i="4"/>
  <c r="E287" i="4"/>
  <c r="H286" i="4"/>
  <c r="E286" i="4"/>
  <c r="H285" i="4"/>
  <c r="E285" i="4"/>
  <c r="H284" i="4"/>
  <c r="E284" i="4"/>
  <c r="H283" i="4"/>
  <c r="E283" i="4"/>
  <c r="H282" i="4"/>
  <c r="E282" i="4"/>
  <c r="H281" i="4"/>
  <c r="E281" i="4"/>
  <c r="H280" i="4"/>
  <c r="E280" i="4"/>
  <c r="H279" i="4"/>
  <c r="E279" i="4"/>
  <c r="H278" i="4"/>
  <c r="E278" i="4"/>
  <c r="H277" i="4"/>
  <c r="E277" i="4"/>
  <c r="H276" i="4"/>
  <c r="E276" i="4"/>
  <c r="H275" i="4"/>
  <c r="E275" i="4"/>
  <c r="H274" i="4"/>
  <c r="E274" i="4"/>
  <c r="H273" i="4"/>
  <c r="E273" i="4"/>
  <c r="H272" i="4"/>
  <c r="E272" i="4"/>
  <c r="H271" i="4"/>
  <c r="E271" i="4"/>
  <c r="H270" i="4"/>
  <c r="E270" i="4"/>
  <c r="H269" i="4"/>
  <c r="E269" i="4"/>
  <c r="H268" i="4"/>
  <c r="E268" i="4"/>
  <c r="H267" i="4"/>
  <c r="E267" i="4"/>
  <c r="H266" i="4"/>
  <c r="E266" i="4"/>
  <c r="H265" i="4"/>
  <c r="E265" i="4"/>
  <c r="H264" i="4"/>
  <c r="E264" i="4"/>
  <c r="H263" i="4"/>
  <c r="E263" i="4"/>
  <c r="H262" i="4"/>
  <c r="E262" i="4"/>
  <c r="H261" i="4"/>
  <c r="E261" i="4"/>
  <c r="H260" i="4"/>
  <c r="E260" i="4"/>
  <c r="H259" i="4"/>
  <c r="E259" i="4"/>
  <c r="H258" i="4"/>
  <c r="E258" i="4"/>
  <c r="H257" i="4"/>
  <c r="E257" i="4"/>
  <c r="H256" i="4"/>
  <c r="E256" i="4"/>
  <c r="H255" i="4"/>
  <c r="E255" i="4"/>
  <c r="H254" i="4"/>
  <c r="E254" i="4"/>
  <c r="H253" i="4"/>
  <c r="E253" i="4"/>
  <c r="H252" i="4"/>
  <c r="E252" i="4"/>
  <c r="H251" i="4"/>
  <c r="E251" i="4"/>
  <c r="H250" i="4"/>
  <c r="E250" i="4"/>
  <c r="H249" i="4"/>
  <c r="E249" i="4"/>
  <c r="H248" i="4"/>
  <c r="E248" i="4"/>
  <c r="H247" i="4"/>
  <c r="E247" i="4"/>
  <c r="H246" i="4"/>
  <c r="E246" i="4"/>
  <c r="H245" i="4"/>
  <c r="E245" i="4"/>
  <c r="H244" i="4"/>
  <c r="E244" i="4"/>
  <c r="H243" i="4"/>
  <c r="E243" i="4"/>
  <c r="H242" i="4"/>
  <c r="E242" i="4"/>
  <c r="H241" i="4"/>
  <c r="E241" i="4"/>
  <c r="H240" i="4"/>
  <c r="E240" i="4"/>
  <c r="H239" i="4"/>
  <c r="E239" i="4"/>
  <c r="H238" i="4"/>
  <c r="E238" i="4"/>
  <c r="H237" i="4"/>
  <c r="E237" i="4"/>
  <c r="H236" i="4"/>
  <c r="E236" i="4"/>
  <c r="H235" i="4"/>
  <c r="E235" i="4"/>
  <c r="H234" i="4"/>
  <c r="E234" i="4"/>
  <c r="H233" i="4"/>
  <c r="E233" i="4"/>
  <c r="H232" i="4"/>
  <c r="E232" i="4"/>
  <c r="H231" i="4"/>
  <c r="E231" i="4"/>
  <c r="H230" i="4"/>
  <c r="E230" i="4"/>
  <c r="H229" i="4"/>
  <c r="E229" i="4"/>
  <c r="H228" i="4"/>
  <c r="E228" i="4"/>
  <c r="H227" i="4"/>
  <c r="E227" i="4"/>
  <c r="H226" i="4"/>
  <c r="E226" i="4"/>
  <c r="H225" i="4"/>
  <c r="E225" i="4"/>
  <c r="H224" i="4"/>
  <c r="E224" i="4"/>
  <c r="H223" i="4"/>
  <c r="E223" i="4"/>
  <c r="H222" i="4"/>
  <c r="E222" i="4"/>
  <c r="H221" i="4"/>
  <c r="E221" i="4"/>
  <c r="H220" i="4"/>
  <c r="E220" i="4"/>
  <c r="H219" i="4"/>
  <c r="E219" i="4"/>
  <c r="H218" i="4"/>
  <c r="E218" i="4"/>
  <c r="H217" i="4"/>
  <c r="E217" i="4"/>
  <c r="H216" i="4"/>
  <c r="E216" i="4"/>
  <c r="H215" i="4"/>
  <c r="E215" i="4"/>
  <c r="H214" i="4"/>
  <c r="E214" i="4"/>
  <c r="H213" i="4"/>
  <c r="E213" i="4"/>
  <c r="H212" i="4"/>
  <c r="E212" i="4"/>
  <c r="H211" i="4"/>
  <c r="E211" i="4"/>
  <c r="H210" i="4"/>
  <c r="E210" i="4"/>
  <c r="H209" i="4"/>
  <c r="E209" i="4"/>
  <c r="H208" i="4"/>
  <c r="E208" i="4"/>
  <c r="H207" i="4"/>
  <c r="E207" i="4"/>
  <c r="H206" i="4"/>
  <c r="E206" i="4"/>
  <c r="H205" i="4"/>
  <c r="E205" i="4"/>
  <c r="H204" i="4"/>
  <c r="E204" i="4"/>
  <c r="H203" i="4"/>
  <c r="E203" i="4"/>
  <c r="H202" i="4"/>
  <c r="E202" i="4"/>
  <c r="H201" i="4"/>
  <c r="E201" i="4"/>
  <c r="H200" i="4"/>
  <c r="E200" i="4"/>
  <c r="H199" i="4"/>
  <c r="E199" i="4"/>
  <c r="H198" i="4"/>
  <c r="E198" i="4"/>
  <c r="H197" i="4"/>
  <c r="E197" i="4"/>
  <c r="H196" i="4"/>
  <c r="E196" i="4"/>
  <c r="H195" i="4"/>
  <c r="E195" i="4"/>
  <c r="H194" i="4"/>
  <c r="E194" i="4"/>
  <c r="H193" i="4"/>
  <c r="E193" i="4"/>
  <c r="H192" i="4"/>
  <c r="E192" i="4"/>
  <c r="H191" i="4"/>
  <c r="E191" i="4"/>
  <c r="H190" i="4"/>
  <c r="E190" i="4"/>
  <c r="H189" i="4"/>
  <c r="E189" i="4"/>
  <c r="H188" i="4"/>
  <c r="E188" i="4"/>
  <c r="H187" i="4"/>
  <c r="E187" i="4"/>
  <c r="H186" i="4"/>
  <c r="E186" i="4"/>
  <c r="H185" i="4"/>
  <c r="E185" i="4"/>
  <c r="H184" i="4"/>
  <c r="E184" i="4"/>
  <c r="H183" i="4"/>
  <c r="E183" i="4"/>
  <c r="H182" i="4"/>
  <c r="E182" i="4"/>
  <c r="H181" i="4"/>
  <c r="E181" i="4"/>
  <c r="H180" i="4"/>
  <c r="E180" i="4"/>
  <c r="H179" i="4"/>
  <c r="E179" i="4"/>
  <c r="H178" i="4"/>
  <c r="E178" i="4"/>
  <c r="H177" i="4"/>
  <c r="E177" i="4"/>
  <c r="H176" i="4"/>
  <c r="E176" i="4"/>
  <c r="H175" i="4"/>
  <c r="E175" i="4"/>
  <c r="H174" i="4"/>
  <c r="E174" i="4"/>
  <c r="H173" i="4"/>
  <c r="E173" i="4"/>
  <c r="H172" i="4"/>
  <c r="E172" i="4"/>
  <c r="H171" i="4"/>
  <c r="E171" i="4"/>
  <c r="H170" i="4"/>
  <c r="E170" i="4"/>
  <c r="H169" i="4"/>
  <c r="E169" i="4"/>
  <c r="H168" i="4"/>
  <c r="E168" i="4"/>
  <c r="H167" i="4"/>
  <c r="E167" i="4"/>
  <c r="H166" i="4"/>
  <c r="E166" i="4"/>
  <c r="H165" i="4"/>
  <c r="E165" i="4"/>
  <c r="H164" i="4"/>
  <c r="E164" i="4"/>
  <c r="H163" i="4"/>
  <c r="E163" i="4"/>
  <c r="H162" i="4"/>
  <c r="E162" i="4"/>
  <c r="H161" i="4"/>
  <c r="E161" i="4"/>
  <c r="H160" i="4"/>
  <c r="E160" i="4"/>
  <c r="H159" i="4"/>
  <c r="E159" i="4"/>
  <c r="H158" i="4"/>
  <c r="E158" i="4"/>
  <c r="H157" i="4"/>
  <c r="E157" i="4"/>
  <c r="H156" i="4"/>
  <c r="E156" i="4"/>
  <c r="H155" i="4"/>
  <c r="E155" i="4"/>
  <c r="H154" i="4"/>
  <c r="E154" i="4"/>
  <c r="H153" i="4"/>
  <c r="E153" i="4"/>
  <c r="H152" i="4"/>
  <c r="E152" i="4"/>
  <c r="H151" i="4"/>
  <c r="E151" i="4"/>
  <c r="H150" i="4"/>
  <c r="E150" i="4"/>
  <c r="H149" i="4"/>
  <c r="E149" i="4"/>
  <c r="H148" i="4"/>
  <c r="E148" i="4"/>
  <c r="H147" i="4"/>
  <c r="E147" i="4"/>
  <c r="H146" i="4"/>
  <c r="E146" i="4"/>
  <c r="H145" i="4"/>
  <c r="E145" i="4"/>
  <c r="H144" i="4"/>
  <c r="E144" i="4"/>
  <c r="H143" i="4"/>
  <c r="E143" i="4"/>
  <c r="H142" i="4"/>
  <c r="E142" i="4"/>
  <c r="H141" i="4"/>
  <c r="E141" i="4"/>
  <c r="H140" i="4"/>
  <c r="E140" i="4"/>
  <c r="H139" i="4"/>
  <c r="E139" i="4"/>
  <c r="H138" i="4"/>
  <c r="E138" i="4"/>
  <c r="H137" i="4"/>
  <c r="E137" i="4"/>
  <c r="H136" i="4"/>
  <c r="E136" i="4"/>
  <c r="H135" i="4"/>
  <c r="E135" i="4"/>
  <c r="H134" i="4"/>
  <c r="E134" i="4"/>
  <c r="H133" i="4"/>
  <c r="E133" i="4"/>
  <c r="H132" i="4"/>
  <c r="E132" i="4"/>
  <c r="H131" i="4"/>
  <c r="E131" i="4"/>
  <c r="H130" i="4"/>
  <c r="E130" i="4"/>
  <c r="H129" i="4"/>
  <c r="E129" i="4"/>
  <c r="H128" i="4"/>
  <c r="E128" i="4"/>
  <c r="H127" i="4"/>
  <c r="E127" i="4"/>
  <c r="H126" i="4"/>
  <c r="E126" i="4"/>
  <c r="H125" i="4"/>
  <c r="E125" i="4"/>
  <c r="H124" i="4"/>
  <c r="E124" i="4"/>
  <c r="H123" i="4"/>
  <c r="E123" i="4"/>
  <c r="H122" i="4"/>
  <c r="E122" i="4"/>
  <c r="H121" i="4"/>
  <c r="E121" i="4"/>
  <c r="H120" i="4"/>
  <c r="E120" i="4"/>
  <c r="H119" i="4"/>
  <c r="E119" i="4"/>
  <c r="H118" i="4"/>
  <c r="E118" i="4"/>
  <c r="H117" i="4"/>
  <c r="E117" i="4"/>
  <c r="H116" i="4"/>
  <c r="E116" i="4"/>
  <c r="H115" i="4"/>
  <c r="E115" i="4"/>
  <c r="H114" i="4"/>
  <c r="E114" i="4"/>
  <c r="H113" i="4"/>
  <c r="E113" i="4"/>
  <c r="H112" i="4"/>
  <c r="E112" i="4"/>
  <c r="H111" i="4"/>
  <c r="E111" i="4"/>
  <c r="H110" i="4"/>
  <c r="E110" i="4"/>
  <c r="H109" i="4"/>
  <c r="E109" i="4"/>
  <c r="H108" i="4"/>
  <c r="E108" i="4"/>
  <c r="H107" i="4"/>
  <c r="E107" i="4"/>
  <c r="H106" i="4"/>
  <c r="E106" i="4"/>
  <c r="H105" i="4"/>
  <c r="E105" i="4"/>
  <c r="H104" i="4"/>
  <c r="E104" i="4"/>
  <c r="H103" i="4"/>
  <c r="E103" i="4"/>
  <c r="H102" i="4"/>
  <c r="E102" i="4"/>
  <c r="H101" i="4"/>
  <c r="E101" i="4"/>
  <c r="H100" i="4"/>
  <c r="E100" i="4"/>
  <c r="H99" i="4"/>
  <c r="E99" i="4"/>
  <c r="H98" i="4"/>
  <c r="E98" i="4"/>
  <c r="H97" i="4"/>
  <c r="E97" i="4"/>
  <c r="H96" i="4"/>
  <c r="E96" i="4"/>
  <c r="H95" i="4"/>
  <c r="E95" i="4"/>
  <c r="H94" i="4"/>
  <c r="E94" i="4"/>
  <c r="H93" i="4"/>
  <c r="E93" i="4"/>
  <c r="H92" i="4"/>
  <c r="E92" i="4"/>
  <c r="H91" i="4"/>
  <c r="E91" i="4"/>
  <c r="H90" i="4"/>
  <c r="E90" i="4"/>
  <c r="H89" i="4"/>
  <c r="E89" i="4"/>
  <c r="H88" i="4"/>
  <c r="E88" i="4"/>
  <c r="H87" i="4"/>
  <c r="E87" i="4"/>
  <c r="H86" i="4"/>
  <c r="E86" i="4"/>
  <c r="H85" i="4"/>
  <c r="E85" i="4"/>
  <c r="H84" i="4"/>
  <c r="E84" i="4"/>
  <c r="H83" i="4"/>
  <c r="E83" i="4"/>
  <c r="H82" i="4"/>
  <c r="E82" i="4"/>
  <c r="H81" i="4"/>
  <c r="E81" i="4"/>
  <c r="H80" i="4"/>
  <c r="E80" i="4"/>
  <c r="H79" i="4"/>
  <c r="E79" i="4"/>
  <c r="H78" i="4"/>
  <c r="E78" i="4"/>
  <c r="H77" i="4"/>
  <c r="E77" i="4"/>
  <c r="H76" i="4"/>
  <c r="E76" i="4"/>
  <c r="H75" i="4"/>
  <c r="E75" i="4"/>
  <c r="H74" i="4"/>
  <c r="E74" i="4"/>
  <c r="H73" i="4"/>
  <c r="E73" i="4"/>
  <c r="H72" i="4"/>
  <c r="E72" i="4"/>
  <c r="H71" i="4"/>
  <c r="E71" i="4"/>
  <c r="H70" i="4"/>
  <c r="E70" i="4"/>
  <c r="H69" i="4"/>
  <c r="E69" i="4"/>
  <c r="H68" i="4"/>
  <c r="E68" i="4"/>
  <c r="H67" i="4"/>
  <c r="E67" i="4"/>
  <c r="H66" i="4"/>
  <c r="E66" i="4"/>
  <c r="H65" i="4"/>
  <c r="E65" i="4"/>
  <c r="H64" i="4"/>
  <c r="E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E32" i="4"/>
  <c r="H31" i="4"/>
  <c r="E31" i="4"/>
  <c r="H30" i="4"/>
  <c r="E30" i="4"/>
  <c r="H29" i="4"/>
  <c r="E29" i="4"/>
  <c r="H28" i="4"/>
  <c r="E28" i="4"/>
  <c r="H27" i="4"/>
  <c r="E27" i="4"/>
  <c r="H26" i="4"/>
  <c r="E26" i="4"/>
  <c r="H25" i="4"/>
  <c r="E25" i="4"/>
  <c r="H24" i="4"/>
  <c r="E24" i="4"/>
  <c r="H23" i="4"/>
  <c r="E23" i="4"/>
  <c r="H22" i="4"/>
  <c r="E22" i="4"/>
  <c r="H21" i="4"/>
  <c r="E21" i="4"/>
  <c r="H20" i="4"/>
  <c r="E20" i="4"/>
  <c r="H19" i="4"/>
  <c r="E19" i="4"/>
  <c r="H18" i="4"/>
  <c r="E18" i="4"/>
  <c r="H17" i="4"/>
  <c r="E17" i="4"/>
  <c r="H16" i="4"/>
  <c r="E16" i="4"/>
  <c r="H15" i="4"/>
  <c r="E15" i="4"/>
  <c r="H14" i="4"/>
  <c r="E14" i="4"/>
  <c r="H13" i="4"/>
  <c r="E13" i="4"/>
  <c r="H12" i="4"/>
  <c r="E12" i="4"/>
  <c r="H11" i="4"/>
  <c r="E11" i="4"/>
  <c r="H10" i="4"/>
  <c r="E10" i="4"/>
  <c r="H9" i="4"/>
  <c r="E9" i="4"/>
  <c r="H8" i="4"/>
  <c r="E8" i="4"/>
  <c r="C8" i="4"/>
  <c r="H7" i="4"/>
  <c r="E7" i="4"/>
  <c r="C7" i="4"/>
  <c r="H6" i="4"/>
  <c r="E6" i="4"/>
  <c r="C6" i="4"/>
  <c r="H5" i="4"/>
  <c r="E5" i="4"/>
  <c r="C5" i="4"/>
  <c r="H220" i="6" l="1"/>
  <c r="J194" i="6"/>
  <c r="K269" i="6"/>
  <c r="N289" i="6"/>
  <c r="J328" i="6"/>
  <c r="J366" i="6"/>
  <c r="I385" i="6"/>
  <c r="J221" i="6"/>
  <c r="J184" i="6"/>
  <c r="N269" i="6"/>
  <c r="N335" i="6"/>
  <c r="I352" i="6"/>
  <c r="N366" i="6"/>
  <c r="K385" i="6"/>
  <c r="N400" i="6"/>
  <c r="N472" i="6"/>
  <c r="K218" i="6"/>
  <c r="N385" i="6"/>
  <c r="H412" i="6"/>
  <c r="I200" i="6"/>
  <c r="H293" i="6"/>
  <c r="H219" i="6"/>
  <c r="L32" i="6"/>
  <c r="L405" i="6"/>
  <c r="J321" i="6"/>
  <c r="H182" i="6"/>
  <c r="H208" i="6"/>
  <c r="H267" i="6"/>
  <c r="L321" i="6"/>
  <c r="J225" i="6"/>
  <c r="L306" i="6"/>
  <c r="I72" i="6"/>
  <c r="N489" i="6"/>
  <c r="L229" i="6"/>
  <c r="L291" i="6"/>
  <c r="J229" i="6"/>
  <c r="N49" i="6"/>
  <c r="N61" i="6"/>
  <c r="I238" i="6"/>
  <c r="H229" i="6"/>
  <c r="N208" i="6"/>
  <c r="H69" i="6"/>
  <c r="J168" i="6"/>
  <c r="L238" i="6"/>
  <c r="I257" i="6"/>
  <c r="H403" i="6"/>
  <c r="K168" i="6"/>
  <c r="J242" i="6"/>
  <c r="K257" i="6"/>
  <c r="L220" i="6"/>
  <c r="L38" i="6"/>
  <c r="L176" i="6"/>
  <c r="I246" i="6"/>
  <c r="N257" i="6"/>
  <c r="K220" i="6"/>
  <c r="H238" i="6"/>
  <c r="N46" i="6"/>
  <c r="J246" i="6"/>
  <c r="H400" i="6"/>
  <c r="J220" i="6"/>
  <c r="H157" i="6"/>
  <c r="L246" i="6"/>
  <c r="I350" i="6"/>
  <c r="H381" i="6"/>
  <c r="I400" i="6"/>
  <c r="L223" i="6"/>
  <c r="K347" i="6"/>
  <c r="I411" i="6"/>
  <c r="H95" i="6"/>
  <c r="N121" i="6"/>
  <c r="I144" i="6"/>
  <c r="H188" i="6"/>
  <c r="I311" i="6"/>
  <c r="I73" i="6"/>
  <c r="N95" i="6"/>
  <c r="L144" i="6"/>
  <c r="H167" i="6"/>
  <c r="K188" i="6"/>
  <c r="K240" i="6"/>
  <c r="L254" i="6"/>
  <c r="K311" i="6"/>
  <c r="I446" i="6"/>
  <c r="I469" i="6"/>
  <c r="H484" i="6"/>
  <c r="J218" i="6"/>
  <c r="L159" i="6"/>
  <c r="H144" i="6"/>
  <c r="I181" i="6"/>
  <c r="L191" i="6"/>
  <c r="H73" i="6"/>
  <c r="I240" i="6"/>
  <c r="I329" i="6"/>
  <c r="H223" i="6"/>
  <c r="L133" i="6"/>
  <c r="J174" i="6"/>
  <c r="L188" i="6"/>
  <c r="H204" i="6"/>
  <c r="N240" i="6"/>
  <c r="J265" i="6"/>
  <c r="I304" i="6"/>
  <c r="N311" i="6"/>
  <c r="I333" i="6"/>
  <c r="I382" i="6"/>
  <c r="I397" i="6"/>
  <c r="J423" i="6"/>
  <c r="N446" i="6"/>
  <c r="J469" i="6"/>
  <c r="D13" i="2"/>
  <c r="K182" i="6"/>
  <c r="N214" i="6"/>
  <c r="N234" i="6"/>
  <c r="J262" i="6"/>
  <c r="I269" i="6"/>
  <c r="J291" i="6"/>
  <c r="N294" i="6"/>
  <c r="N319" i="6"/>
  <c r="L222" i="6"/>
  <c r="I198" i="6"/>
  <c r="L182" i="6"/>
  <c r="K222" i="6"/>
  <c r="L294" i="6"/>
  <c r="K78" i="6"/>
  <c r="K100" i="6"/>
  <c r="I298" i="6"/>
  <c r="H409" i="6"/>
  <c r="J222" i="6"/>
  <c r="N304" i="6"/>
  <c r="H119" i="6"/>
  <c r="H172" i="6"/>
  <c r="H202" i="6"/>
  <c r="I277" i="6"/>
  <c r="N298" i="6"/>
  <c r="I409" i="6"/>
  <c r="I222" i="6"/>
  <c r="I204" i="6"/>
  <c r="N265" i="6"/>
  <c r="K333" i="6"/>
  <c r="L423" i="6"/>
  <c r="N137" i="6"/>
  <c r="L204" i="6"/>
  <c r="I234" i="6"/>
  <c r="I294" i="6"/>
  <c r="J326" i="6"/>
  <c r="N333" i="6"/>
  <c r="L88" i="6"/>
  <c r="H164" i="6"/>
  <c r="N204" i="6"/>
  <c r="I214" i="6"/>
  <c r="K234" i="6"/>
  <c r="K244" i="6"/>
  <c r="J251" i="6"/>
  <c r="J294" i="6"/>
  <c r="J301" i="6"/>
  <c r="I319" i="6"/>
  <c r="N466" i="6"/>
  <c r="N198" i="6"/>
  <c r="L214" i="6"/>
  <c r="L234" i="6"/>
  <c r="K319" i="6"/>
  <c r="K29" i="6"/>
  <c r="H82" i="6"/>
  <c r="I119" i="6"/>
  <c r="I172" i="6"/>
  <c r="H196" i="6"/>
  <c r="K202" i="6"/>
  <c r="H232" i="6"/>
  <c r="N238" i="6"/>
  <c r="K277" i="6"/>
  <c r="N372" i="6"/>
  <c r="H234" i="6"/>
  <c r="H214" i="6"/>
  <c r="I82" i="6"/>
  <c r="H108" i="6"/>
  <c r="N165" i="6"/>
  <c r="L172" i="6"/>
  <c r="K196" i="6"/>
  <c r="L202" i="6"/>
  <c r="H212" i="6"/>
  <c r="K232" i="6"/>
  <c r="L259" i="6"/>
  <c r="N277" i="6"/>
  <c r="J302" i="6"/>
  <c r="H376" i="6"/>
  <c r="I402" i="6"/>
  <c r="L467" i="6"/>
  <c r="L224" i="6"/>
  <c r="L219" i="6"/>
  <c r="L228" i="6"/>
  <c r="N496" i="6"/>
  <c r="N17" i="6"/>
  <c r="L198" i="6"/>
  <c r="K82" i="6"/>
  <c r="L108" i="6"/>
  <c r="H123" i="6"/>
  <c r="N172" i="6"/>
  <c r="L196" i="6"/>
  <c r="K212" i="6"/>
  <c r="L232" i="6"/>
  <c r="I281" i="6"/>
  <c r="L302" i="6"/>
  <c r="K224" i="6"/>
  <c r="K219" i="6"/>
  <c r="K228" i="6"/>
  <c r="L26" i="6"/>
  <c r="K45" i="6"/>
  <c r="L64" i="6"/>
  <c r="L75" i="6"/>
  <c r="L82" i="6"/>
  <c r="H97" i="6"/>
  <c r="N108" i="6"/>
  <c r="L193" i="6"/>
  <c r="L212" i="6"/>
  <c r="N224" i="6"/>
  <c r="K281" i="6"/>
  <c r="J224" i="6"/>
  <c r="J219" i="6"/>
  <c r="J228" i="6"/>
  <c r="H198" i="6"/>
  <c r="N26" i="6"/>
  <c r="N228" i="6"/>
  <c r="I249" i="6"/>
  <c r="N281" i="6"/>
  <c r="H460" i="6"/>
  <c r="I494" i="6"/>
  <c r="I224" i="6"/>
  <c r="K229" i="6"/>
  <c r="I227" i="6"/>
  <c r="L227" i="6"/>
  <c r="H227" i="6"/>
  <c r="J227" i="6"/>
  <c r="I225" i="6"/>
  <c r="K223" i="6"/>
  <c r="I221" i="6"/>
  <c r="I217" i="6"/>
  <c r="L225" i="6"/>
  <c r="H225" i="6"/>
  <c r="L221" i="6"/>
  <c r="H221" i="6"/>
  <c r="L217" i="6"/>
  <c r="H217" i="6"/>
  <c r="J217" i="6"/>
  <c r="J130" i="6"/>
  <c r="N130" i="6"/>
  <c r="L130" i="6"/>
  <c r="I135" i="6"/>
  <c r="H135" i="6"/>
  <c r="N146" i="6"/>
  <c r="H146" i="6"/>
  <c r="I155" i="6"/>
  <c r="H155" i="6"/>
  <c r="L179" i="6"/>
  <c r="I179" i="6"/>
  <c r="L210" i="6"/>
  <c r="H210" i="6"/>
  <c r="K210" i="6"/>
  <c r="N210" i="6"/>
  <c r="N220" i="6"/>
  <c r="N236" i="6"/>
  <c r="I236" i="6"/>
  <c r="L236" i="6"/>
  <c r="H236" i="6"/>
  <c r="H252" i="6"/>
  <c r="K252" i="6"/>
  <c r="N252" i="6"/>
  <c r="J252" i="6"/>
  <c r="N399" i="6"/>
  <c r="L399" i="6"/>
  <c r="N32" i="6"/>
  <c r="N38" i="6"/>
  <c r="N64" i="6"/>
  <c r="K84" i="6"/>
  <c r="J84" i="6"/>
  <c r="L84" i="6"/>
  <c r="N86" i="6"/>
  <c r="I86" i="6"/>
  <c r="L86" i="6"/>
  <c r="H86" i="6"/>
  <c r="I87" i="6"/>
  <c r="H87" i="6"/>
  <c r="N104" i="6"/>
  <c r="I104" i="6"/>
  <c r="L106" i="6"/>
  <c r="H106" i="6"/>
  <c r="K106" i="6"/>
  <c r="N106" i="6"/>
  <c r="N145" i="6"/>
  <c r="H145" i="6"/>
  <c r="N186" i="6"/>
  <c r="I186" i="6"/>
  <c r="L186" i="6"/>
  <c r="H186" i="6"/>
  <c r="N206" i="6"/>
  <c r="I206" i="6"/>
  <c r="L206" i="6"/>
  <c r="H206" i="6"/>
  <c r="N230" i="6"/>
  <c r="I230" i="6"/>
  <c r="L230" i="6"/>
  <c r="H230" i="6"/>
  <c r="H250" i="6"/>
  <c r="J250" i="6"/>
  <c r="L250" i="6"/>
  <c r="I250" i="6"/>
  <c r="H296" i="6"/>
  <c r="J296" i="6"/>
  <c r="N296" i="6"/>
  <c r="I296" i="6"/>
  <c r="L296" i="6"/>
  <c r="K296" i="6"/>
  <c r="N309" i="6"/>
  <c r="I309" i="6"/>
  <c r="L309" i="6"/>
  <c r="H309" i="6"/>
  <c r="K309" i="6"/>
  <c r="J309" i="6"/>
  <c r="L487" i="6"/>
  <c r="I487" i="6"/>
  <c r="L15" i="6"/>
  <c r="L29" i="6"/>
  <c r="K30" i="6"/>
  <c r="N40" i="6"/>
  <c r="L55" i="6"/>
  <c r="L58" i="6"/>
  <c r="L73" i="6"/>
  <c r="H74" i="6"/>
  <c r="N75" i="6"/>
  <c r="L78" i="6"/>
  <c r="N82" i="6"/>
  <c r="N84" i="6"/>
  <c r="I133" i="6"/>
  <c r="H133" i="6"/>
  <c r="L135" i="6"/>
  <c r="I146" i="6"/>
  <c r="N152" i="6"/>
  <c r="I152" i="6"/>
  <c r="L155" i="6"/>
  <c r="N178" i="6"/>
  <c r="H178" i="6"/>
  <c r="I180" i="6"/>
  <c r="H180" i="6"/>
  <c r="L184" i="6"/>
  <c r="H184" i="6"/>
  <c r="K184" i="6"/>
  <c r="N184" i="6"/>
  <c r="L190" i="6"/>
  <c r="H190" i="6"/>
  <c r="K190" i="6"/>
  <c r="N190" i="6"/>
  <c r="L192" i="6"/>
  <c r="H192" i="6"/>
  <c r="K192" i="6"/>
  <c r="N192" i="6"/>
  <c r="L194" i="6"/>
  <c r="H194" i="6"/>
  <c r="K194" i="6"/>
  <c r="N194" i="6"/>
  <c r="L200" i="6"/>
  <c r="H200" i="6"/>
  <c r="K200" i="6"/>
  <c r="N200" i="6"/>
  <c r="I210" i="6"/>
  <c r="J236" i="6"/>
  <c r="L252" i="6"/>
  <c r="N279" i="6"/>
  <c r="I279" i="6"/>
  <c r="L279" i="6"/>
  <c r="H279" i="6"/>
  <c r="K279" i="6"/>
  <c r="J279" i="6"/>
  <c r="L360" i="6"/>
  <c r="J360" i="6"/>
  <c r="H360" i="6"/>
  <c r="N360" i="6"/>
  <c r="K360" i="6"/>
  <c r="N362" i="6"/>
  <c r="J362" i="6"/>
  <c r="K369" i="6"/>
  <c r="J369" i="6"/>
  <c r="L369" i="6"/>
  <c r="L18" i="6"/>
  <c r="K24" i="6"/>
  <c r="N58" i="6"/>
  <c r="L61" i="6"/>
  <c r="H84" i="6"/>
  <c r="J86" i="6"/>
  <c r="J100" i="6"/>
  <c r="I100" i="6"/>
  <c r="I106" i="6"/>
  <c r="L110" i="6"/>
  <c r="N110" i="6"/>
  <c r="K110" i="6"/>
  <c r="I145" i="6"/>
  <c r="J146" i="6"/>
  <c r="N174" i="6"/>
  <c r="I174" i="6"/>
  <c r="L174" i="6"/>
  <c r="H174" i="6"/>
  <c r="J186" i="6"/>
  <c r="J206" i="6"/>
  <c r="J210" i="6"/>
  <c r="N216" i="6"/>
  <c r="N226" i="6"/>
  <c r="J230" i="6"/>
  <c r="K236" i="6"/>
  <c r="H244" i="6"/>
  <c r="L244" i="6"/>
  <c r="J244" i="6"/>
  <c r="I244" i="6"/>
  <c r="K250" i="6"/>
  <c r="L275" i="6"/>
  <c r="H275" i="6"/>
  <c r="K323" i="6"/>
  <c r="I323" i="6"/>
  <c r="N323" i="6"/>
  <c r="H323" i="6"/>
  <c r="L323" i="6"/>
  <c r="J323" i="6"/>
  <c r="N88" i="6"/>
  <c r="I95" i="6"/>
  <c r="I97" i="6"/>
  <c r="I108" i="6"/>
  <c r="L119" i="6"/>
  <c r="I123" i="6"/>
  <c r="J144" i="6"/>
  <c r="I157" i="6"/>
  <c r="N159" i="6"/>
  <c r="L168" i="6"/>
  <c r="J172" i="6"/>
  <c r="N176" i="6"/>
  <c r="I182" i="6"/>
  <c r="N182" i="6"/>
  <c r="I188" i="6"/>
  <c r="N188" i="6"/>
  <c r="I196" i="6"/>
  <c r="N196" i="6"/>
  <c r="J198" i="6"/>
  <c r="I202" i="6"/>
  <c r="N202" i="6"/>
  <c r="J204" i="6"/>
  <c r="J208" i="6"/>
  <c r="I212" i="6"/>
  <c r="N212" i="6"/>
  <c r="J214" i="6"/>
  <c r="N218" i="6"/>
  <c r="N222" i="6"/>
  <c r="I232" i="6"/>
  <c r="N232" i="6"/>
  <c r="K238" i="6"/>
  <c r="N242" i="6"/>
  <c r="I242" i="6"/>
  <c r="K242" i="6"/>
  <c r="L242" i="6"/>
  <c r="N286" i="6"/>
  <c r="L286" i="6"/>
  <c r="H330" i="6"/>
  <c r="N330" i="6"/>
  <c r="L330" i="6"/>
  <c r="L380" i="6"/>
  <c r="K380" i="6"/>
  <c r="N435" i="6"/>
  <c r="I435" i="6"/>
  <c r="L435" i="6"/>
  <c r="H435" i="6"/>
  <c r="K435" i="6"/>
  <c r="N451" i="6"/>
  <c r="H451" i="6"/>
  <c r="N97" i="6"/>
  <c r="K108" i="6"/>
  <c r="K144" i="6"/>
  <c r="H254" i="6"/>
  <c r="K254" i="6"/>
  <c r="N254" i="6"/>
  <c r="I426" i="6"/>
  <c r="H426" i="6"/>
  <c r="N426" i="6"/>
  <c r="J240" i="6"/>
  <c r="N246" i="6"/>
  <c r="H249" i="6"/>
  <c r="I251" i="6"/>
  <c r="H257" i="6"/>
  <c r="L257" i="6"/>
  <c r="N259" i="6"/>
  <c r="K262" i="6"/>
  <c r="K265" i="6"/>
  <c r="I267" i="6"/>
  <c r="N267" i="6"/>
  <c r="J269" i="6"/>
  <c r="J277" i="6"/>
  <c r="H281" i="6"/>
  <c r="L281" i="6"/>
  <c r="H289" i="6"/>
  <c r="L289" i="6"/>
  <c r="K291" i="6"/>
  <c r="K293" i="6"/>
  <c r="J298" i="6"/>
  <c r="K302" i="6"/>
  <c r="J304" i="6"/>
  <c r="J311" i="6"/>
  <c r="J319" i="6"/>
  <c r="I321" i="6"/>
  <c r="N321" i="6"/>
  <c r="I326" i="6"/>
  <c r="K328" i="6"/>
  <c r="H329" i="6"/>
  <c r="J333" i="6"/>
  <c r="H335" i="6"/>
  <c r="L335" i="6"/>
  <c r="L343" i="6"/>
  <c r="L347" i="6"/>
  <c r="H350" i="6"/>
  <c r="H358" i="6"/>
  <c r="N358" i="6"/>
  <c r="K366" i="6"/>
  <c r="J385" i="6"/>
  <c r="J397" i="6"/>
  <c r="I403" i="6"/>
  <c r="N411" i="6"/>
  <c r="I412" i="6"/>
  <c r="K423" i="6"/>
  <c r="K446" i="6"/>
  <c r="I484" i="6"/>
  <c r="H496" i="6"/>
  <c r="I498" i="6"/>
  <c r="L262" i="6"/>
  <c r="J267" i="6"/>
  <c r="N293" i="6"/>
  <c r="K298" i="6"/>
  <c r="K304" i="6"/>
  <c r="L328" i="6"/>
  <c r="N347" i="6"/>
  <c r="J403" i="6"/>
  <c r="K412" i="6"/>
  <c r="K484" i="6"/>
  <c r="I496" i="6"/>
  <c r="K498" i="6"/>
  <c r="H240" i="6"/>
  <c r="K246" i="6"/>
  <c r="H269" i="6"/>
  <c r="H277" i="6"/>
  <c r="I278" i="6"/>
  <c r="I291" i="6"/>
  <c r="N291" i="6"/>
  <c r="K294" i="6"/>
  <c r="L298" i="6"/>
  <c r="I302" i="6"/>
  <c r="N302" i="6"/>
  <c r="L304" i="6"/>
  <c r="N306" i="6"/>
  <c r="H311" i="6"/>
  <c r="H319" i="6"/>
  <c r="K321" i="6"/>
  <c r="K326" i="6"/>
  <c r="H333" i="6"/>
  <c r="I339" i="6"/>
  <c r="N345" i="6"/>
  <c r="J358" i="6"/>
  <c r="I366" i="6"/>
  <c r="J368" i="6"/>
  <c r="K372" i="6"/>
  <c r="H385" i="6"/>
  <c r="K405" i="6"/>
  <c r="I423" i="6"/>
  <c r="H425" i="6"/>
  <c r="I434" i="6"/>
  <c r="N448" i="6"/>
  <c r="I475" i="6"/>
  <c r="N478" i="6"/>
  <c r="N498" i="6"/>
  <c r="N221" i="6"/>
  <c r="N373" i="6"/>
  <c r="L373" i="6"/>
  <c r="K457" i="6"/>
  <c r="J457" i="6"/>
  <c r="K491" i="6"/>
  <c r="N491" i="6"/>
  <c r="L491" i="6"/>
  <c r="N211" i="6"/>
  <c r="K211" i="6"/>
  <c r="J211" i="6"/>
  <c r="I211" i="6"/>
  <c r="H211" i="6"/>
  <c r="N177" i="6"/>
  <c r="K177" i="6"/>
  <c r="J177" i="6"/>
  <c r="H177" i="6"/>
  <c r="N299" i="6"/>
  <c r="L299" i="6"/>
  <c r="K299" i="6"/>
  <c r="J299" i="6"/>
  <c r="H299" i="6"/>
  <c r="J377" i="6"/>
  <c r="I377" i="6"/>
  <c r="N201" i="6"/>
  <c r="K201" i="6"/>
  <c r="J201" i="6"/>
  <c r="I201" i="6"/>
  <c r="H201" i="6"/>
  <c r="K41" i="6"/>
  <c r="L47" i="6"/>
  <c r="L53" i="6"/>
  <c r="I71" i="6"/>
  <c r="H122" i="6"/>
  <c r="L138" i="6"/>
  <c r="L149" i="6"/>
  <c r="H166" i="6"/>
  <c r="L211" i="6"/>
  <c r="H280" i="6"/>
  <c r="L280" i="6"/>
  <c r="K280" i="6"/>
  <c r="I280" i="6"/>
  <c r="L297" i="6"/>
  <c r="K297" i="6"/>
  <c r="J297" i="6"/>
  <c r="I297" i="6"/>
  <c r="H338" i="6"/>
  <c r="H383" i="6"/>
  <c r="N386" i="6"/>
  <c r="K386" i="6"/>
  <c r="J386" i="6"/>
  <c r="I492" i="6"/>
  <c r="H492" i="6"/>
  <c r="D15" i="2"/>
  <c r="L50" i="6"/>
  <c r="N53" i="6"/>
  <c r="K56" i="6"/>
  <c r="K62" i="6"/>
  <c r="L71" i="6"/>
  <c r="I89" i="6"/>
  <c r="H111" i="6"/>
  <c r="I122" i="6"/>
  <c r="I125" i="6"/>
  <c r="H131" i="6"/>
  <c r="N149" i="6"/>
  <c r="J160" i="6"/>
  <c r="I166" i="6"/>
  <c r="I177" i="6"/>
  <c r="I189" i="6"/>
  <c r="L201" i="6"/>
  <c r="N237" i="6"/>
  <c r="K237" i="6"/>
  <c r="J237" i="6"/>
  <c r="I237" i="6"/>
  <c r="H237" i="6"/>
  <c r="I271" i="6"/>
  <c r="N283" i="6"/>
  <c r="L283" i="6"/>
  <c r="K283" i="6"/>
  <c r="I283" i="6"/>
  <c r="H283" i="6"/>
  <c r="I299" i="6"/>
  <c r="N313" i="6"/>
  <c r="L313" i="6"/>
  <c r="K313" i="6"/>
  <c r="I313" i="6"/>
  <c r="H313" i="6"/>
  <c r="J338" i="6"/>
  <c r="H351" i="6"/>
  <c r="K377" i="6"/>
  <c r="I383" i="6"/>
  <c r="I485" i="6"/>
  <c r="N485" i="6"/>
  <c r="L485" i="6"/>
  <c r="J485" i="6"/>
  <c r="N229" i="6"/>
  <c r="N219" i="6"/>
  <c r="N307" i="6"/>
  <c r="J307" i="6"/>
  <c r="H71" i="6"/>
  <c r="N175" i="6"/>
  <c r="K175" i="6"/>
  <c r="J175" i="6"/>
  <c r="H175" i="6"/>
  <c r="N187" i="6"/>
  <c r="K187" i="6"/>
  <c r="J187" i="6"/>
  <c r="H187" i="6"/>
  <c r="N199" i="6"/>
  <c r="K199" i="6"/>
  <c r="J199" i="6"/>
  <c r="H199" i="6"/>
  <c r="N209" i="6"/>
  <c r="K209" i="6"/>
  <c r="J209" i="6"/>
  <c r="I209" i="6"/>
  <c r="H209" i="6"/>
  <c r="N247" i="6"/>
  <c r="L247" i="6"/>
  <c r="K247" i="6"/>
  <c r="J247" i="6"/>
  <c r="H247" i="6"/>
  <c r="N263" i="6"/>
  <c r="K263" i="6"/>
  <c r="J263" i="6"/>
  <c r="I263" i="6"/>
  <c r="H263" i="6"/>
  <c r="H373" i="6"/>
  <c r="N430" i="6"/>
  <c r="K430" i="6"/>
  <c r="H491" i="6"/>
  <c r="N50" i="6"/>
  <c r="L56" i="6"/>
  <c r="L62" i="6"/>
  <c r="L89" i="6"/>
  <c r="I111" i="6"/>
  <c r="J122" i="6"/>
  <c r="L125" i="6"/>
  <c r="I131" i="6"/>
  <c r="K160" i="6"/>
  <c r="J166" i="6"/>
  <c r="L177" i="6"/>
  <c r="N227" i="6"/>
  <c r="N351" i="6"/>
  <c r="J383" i="6"/>
  <c r="I465" i="6"/>
  <c r="N465" i="6"/>
  <c r="L465" i="6"/>
  <c r="K465" i="6"/>
  <c r="J465" i="6"/>
  <c r="H98" i="6"/>
  <c r="L160" i="6"/>
  <c r="N185" i="6"/>
  <c r="K185" i="6"/>
  <c r="J185" i="6"/>
  <c r="H185" i="6"/>
  <c r="N197" i="6"/>
  <c r="K197" i="6"/>
  <c r="J197" i="6"/>
  <c r="H197" i="6"/>
  <c r="N217" i="6"/>
  <c r="N255" i="6"/>
  <c r="J255" i="6"/>
  <c r="K348" i="6"/>
  <c r="I367" i="6"/>
  <c r="K383" i="6"/>
  <c r="N441" i="6"/>
  <c r="L441" i="6"/>
  <c r="H461" i="6"/>
  <c r="K21" i="6"/>
  <c r="I98" i="6"/>
  <c r="H109" i="6"/>
  <c r="K114" i="6"/>
  <c r="H120" i="6"/>
  <c r="I136" i="6"/>
  <c r="H142" i="6"/>
  <c r="H147" i="6"/>
  <c r="H158" i="6"/>
  <c r="N160" i="6"/>
  <c r="N173" i="6"/>
  <c r="H173" i="6"/>
  <c r="N207" i="6"/>
  <c r="K207" i="6"/>
  <c r="J207" i="6"/>
  <c r="I207" i="6"/>
  <c r="H207" i="6"/>
  <c r="L245" i="6"/>
  <c r="K245" i="6"/>
  <c r="J245" i="6"/>
  <c r="I245" i="6"/>
  <c r="I260" i="6"/>
  <c r="N305" i="6"/>
  <c r="K305" i="6"/>
  <c r="H305" i="6"/>
  <c r="H307" i="6"/>
  <c r="H322" i="6"/>
  <c r="I322" i="6"/>
  <c r="H342" i="6"/>
  <c r="K367" i="6"/>
  <c r="L383" i="6"/>
  <c r="N424" i="6"/>
  <c r="I424" i="6"/>
  <c r="H424" i="6"/>
  <c r="L427" i="6"/>
  <c r="J427" i="6"/>
  <c r="I427" i="6"/>
  <c r="N499" i="6"/>
  <c r="I499" i="6"/>
  <c r="H499" i="6"/>
  <c r="N502" i="6"/>
  <c r="J98" i="6"/>
  <c r="I147" i="6"/>
  <c r="J158" i="6"/>
  <c r="L199" i="6"/>
  <c r="N18" i="6"/>
  <c r="N24" i="6"/>
  <c r="N30" i="6"/>
  <c r="K33" i="6"/>
  <c r="L39" i="6"/>
  <c r="L45" i="6"/>
  <c r="I74" i="6"/>
  <c r="H85" i="6"/>
  <c r="L87" i="6"/>
  <c r="H96" i="6"/>
  <c r="N109" i="6"/>
  <c r="K120" i="6"/>
  <c r="H134" i="6"/>
  <c r="L136" i="6"/>
  <c r="N147" i="6"/>
  <c r="H156" i="6"/>
  <c r="K158" i="6"/>
  <c r="J164" i="6"/>
  <c r="J180" i="6"/>
  <c r="N183" i="6"/>
  <c r="K183" i="6"/>
  <c r="J183" i="6"/>
  <c r="H183" i="6"/>
  <c r="N195" i="6"/>
  <c r="K195" i="6"/>
  <c r="J195" i="6"/>
  <c r="H195" i="6"/>
  <c r="N225" i="6"/>
  <c r="L237" i="6"/>
  <c r="L253" i="6"/>
  <c r="I253" i="6"/>
  <c r="J275" i="6"/>
  <c r="J283" i="6"/>
  <c r="L287" i="6"/>
  <c r="I287" i="6"/>
  <c r="N297" i="6"/>
  <c r="L307" i="6"/>
  <c r="J313" i="6"/>
  <c r="N342" i="6"/>
  <c r="J361" i="6"/>
  <c r="I381" i="6"/>
  <c r="N404" i="6"/>
  <c r="K404" i="6"/>
  <c r="I404" i="6"/>
  <c r="H404" i="6"/>
  <c r="K485" i="6"/>
  <c r="N461" i="6"/>
  <c r="L461" i="6"/>
  <c r="L21" i="6"/>
  <c r="J120" i="6"/>
  <c r="L42" i="6"/>
  <c r="K48" i="6"/>
  <c r="K54" i="6"/>
  <c r="J74" i="6"/>
  <c r="I77" i="6"/>
  <c r="I85" i="6"/>
  <c r="I96" i="6"/>
  <c r="I101" i="6"/>
  <c r="H107" i="6"/>
  <c r="H118" i="6"/>
  <c r="L120" i="6"/>
  <c r="I134" i="6"/>
  <c r="N136" i="6"/>
  <c r="I156" i="6"/>
  <c r="L158" i="6"/>
  <c r="K164" i="6"/>
  <c r="K180" i="6"/>
  <c r="N215" i="6"/>
  <c r="K215" i="6"/>
  <c r="J215" i="6"/>
  <c r="I215" i="6"/>
  <c r="H215" i="6"/>
  <c r="K275" i="6"/>
  <c r="I300" i="6"/>
  <c r="N303" i="6"/>
  <c r="L303" i="6"/>
  <c r="J303" i="6"/>
  <c r="H308" i="6"/>
  <c r="N308" i="6"/>
  <c r="L308" i="6"/>
  <c r="K308" i="6"/>
  <c r="H359" i="6"/>
  <c r="N359" i="6"/>
  <c r="L359" i="6"/>
  <c r="K359" i="6"/>
  <c r="I359" i="6"/>
  <c r="K361" i="6"/>
  <c r="N379" i="6"/>
  <c r="L379" i="6"/>
  <c r="J379" i="6"/>
  <c r="J381" i="6"/>
  <c r="H455" i="6"/>
  <c r="N471" i="6"/>
  <c r="L471" i="6"/>
  <c r="K471" i="6"/>
  <c r="J471" i="6"/>
  <c r="I471" i="6"/>
  <c r="H471" i="6"/>
  <c r="L77" i="6"/>
  <c r="L85" i="6"/>
  <c r="J96" i="6"/>
  <c r="L101" i="6"/>
  <c r="I107" i="6"/>
  <c r="I118" i="6"/>
  <c r="J134" i="6"/>
  <c r="J156" i="6"/>
  <c r="N158" i="6"/>
  <c r="L180" i="6"/>
  <c r="N205" i="6"/>
  <c r="K205" i="6"/>
  <c r="J205" i="6"/>
  <c r="I205" i="6"/>
  <c r="H205" i="6"/>
  <c r="N273" i="6"/>
  <c r="L273" i="6"/>
  <c r="K273" i="6"/>
  <c r="I273" i="6"/>
  <c r="N275" i="6"/>
  <c r="J300" i="6"/>
  <c r="N361" i="6"/>
  <c r="K381" i="6"/>
  <c r="I455" i="6"/>
  <c r="N483" i="6"/>
  <c r="L483" i="6"/>
  <c r="K483" i="6"/>
  <c r="J483" i="6"/>
  <c r="I483" i="6"/>
  <c r="H483" i="6"/>
  <c r="L271" i="6"/>
  <c r="K271" i="6"/>
  <c r="J271" i="6"/>
  <c r="H271" i="6"/>
  <c r="J142" i="6"/>
  <c r="N48" i="6"/>
  <c r="N54" i="6"/>
  <c r="K57" i="6"/>
  <c r="L63" i="6"/>
  <c r="H83" i="6"/>
  <c r="K96" i="6"/>
  <c r="I112" i="6"/>
  <c r="J118" i="6"/>
  <c r="K126" i="6"/>
  <c r="H132" i="6"/>
  <c r="K134" i="6"/>
  <c r="K156" i="6"/>
  <c r="L167" i="6"/>
  <c r="L173" i="6"/>
  <c r="I178" i="6"/>
  <c r="N180" i="6"/>
  <c r="L185" i="6"/>
  <c r="L197" i="6"/>
  <c r="L207" i="6"/>
  <c r="N243" i="6"/>
  <c r="K243" i="6"/>
  <c r="J243" i="6"/>
  <c r="I243" i="6"/>
  <c r="H243" i="6"/>
  <c r="H245" i="6"/>
  <c r="I255" i="6"/>
  <c r="L276" i="6"/>
  <c r="K276" i="6"/>
  <c r="I276" i="6"/>
  <c r="K300" i="6"/>
  <c r="I305" i="6"/>
  <c r="J322" i="6"/>
  <c r="H356" i="6"/>
  <c r="N381" i="6"/>
  <c r="K394" i="6"/>
  <c r="K424" i="6"/>
  <c r="K441" i="6"/>
  <c r="N189" i="6"/>
  <c r="K189" i="6"/>
  <c r="J189" i="6"/>
  <c r="H189" i="6"/>
  <c r="N325" i="6"/>
  <c r="L325" i="6"/>
  <c r="K325" i="6"/>
  <c r="J325" i="6"/>
  <c r="H325" i="6"/>
  <c r="J72" i="6"/>
  <c r="I83" i="6"/>
  <c r="H94" i="6"/>
  <c r="L96" i="6"/>
  <c r="J112" i="6"/>
  <c r="N118" i="6"/>
  <c r="L123" i="6"/>
  <c r="L126" i="6"/>
  <c r="I132" i="6"/>
  <c r="L134" i="6"/>
  <c r="L145" i="6"/>
  <c r="H154" i="6"/>
  <c r="L156" i="6"/>
  <c r="J178" i="6"/>
  <c r="N181" i="6"/>
  <c r="K181" i="6"/>
  <c r="J181" i="6"/>
  <c r="H181" i="6"/>
  <c r="N193" i="6"/>
  <c r="K193" i="6"/>
  <c r="J193" i="6"/>
  <c r="H193" i="6"/>
  <c r="N233" i="6"/>
  <c r="K233" i="6"/>
  <c r="J233" i="6"/>
  <c r="I233" i="6"/>
  <c r="H233" i="6"/>
  <c r="N245" i="6"/>
  <c r="K255" i="6"/>
  <c r="L300" i="6"/>
  <c r="J305" i="6"/>
  <c r="K322" i="6"/>
  <c r="I325" i="6"/>
  <c r="L334" i="6"/>
  <c r="K334" i="6"/>
  <c r="J334" i="6"/>
  <c r="K336" i="6"/>
  <c r="I356" i="6"/>
  <c r="N442" i="6"/>
  <c r="K442" i="6"/>
  <c r="H459" i="6"/>
  <c r="H479" i="6"/>
  <c r="N495" i="6"/>
  <c r="L495" i="6"/>
  <c r="K495" i="6"/>
  <c r="I495" i="6"/>
  <c r="H495" i="6"/>
  <c r="I342" i="6"/>
  <c r="K72" i="6"/>
  <c r="I94" i="6"/>
  <c r="H99" i="6"/>
  <c r="K112" i="6"/>
  <c r="J132" i="6"/>
  <c r="I154" i="6"/>
  <c r="K178" i="6"/>
  <c r="N223" i="6"/>
  <c r="J248" i="6"/>
  <c r="N251" i="6"/>
  <c r="K251" i="6"/>
  <c r="H251" i="6"/>
  <c r="L255" i="6"/>
  <c r="L265" i="6"/>
  <c r="I265" i="6"/>
  <c r="N300" i="6"/>
  <c r="L305" i="6"/>
  <c r="H317" i="6"/>
  <c r="H331" i="6"/>
  <c r="J356" i="6"/>
  <c r="N395" i="6"/>
  <c r="L395" i="6"/>
  <c r="H414" i="6"/>
  <c r="I459" i="6"/>
  <c r="I479" i="6"/>
  <c r="N494" i="6"/>
  <c r="K494" i="6"/>
  <c r="L187" i="6"/>
  <c r="N42" i="6"/>
  <c r="K16" i="6"/>
  <c r="L22" i="6"/>
  <c r="K37" i="6"/>
  <c r="H70" i="6"/>
  <c r="L72" i="6"/>
  <c r="J94" i="6"/>
  <c r="I99" i="6"/>
  <c r="L112" i="6"/>
  <c r="K132" i="6"/>
  <c r="H143" i="6"/>
  <c r="K154" i="6"/>
  <c r="H176" i="6"/>
  <c r="L178" i="6"/>
  <c r="I183" i="6"/>
  <c r="I195" i="6"/>
  <c r="N213" i="6"/>
  <c r="K213" i="6"/>
  <c r="J213" i="6"/>
  <c r="I213" i="6"/>
  <c r="H213" i="6"/>
  <c r="K248" i="6"/>
  <c r="H253" i="6"/>
  <c r="J259" i="6"/>
  <c r="I259" i="6"/>
  <c r="H259" i="6"/>
  <c r="H287" i="6"/>
  <c r="N301" i="6"/>
  <c r="L301" i="6"/>
  <c r="K301" i="6"/>
  <c r="I301" i="6"/>
  <c r="N329" i="6"/>
  <c r="L329" i="6"/>
  <c r="J329" i="6"/>
  <c r="K356" i="6"/>
  <c r="K414" i="6"/>
  <c r="K438" i="6"/>
  <c r="L479" i="6"/>
  <c r="N497" i="6"/>
  <c r="L497" i="6"/>
  <c r="N239" i="6"/>
  <c r="K239" i="6"/>
  <c r="J239" i="6"/>
  <c r="I239" i="6"/>
  <c r="H239" i="6"/>
  <c r="N327" i="6"/>
  <c r="L327" i="6"/>
  <c r="K327" i="6"/>
  <c r="J327" i="6"/>
  <c r="H327" i="6"/>
  <c r="N355" i="6"/>
  <c r="K355" i="6"/>
  <c r="J355" i="6"/>
  <c r="I355" i="6"/>
  <c r="H355" i="6"/>
  <c r="N447" i="6"/>
  <c r="L447" i="6"/>
  <c r="K447" i="6"/>
  <c r="I447" i="6"/>
  <c r="H447" i="6"/>
  <c r="I109" i="6"/>
  <c r="I120" i="6"/>
  <c r="J136" i="6"/>
  <c r="I142" i="6"/>
  <c r="I307" i="6"/>
  <c r="J384" i="6"/>
  <c r="I384" i="6"/>
  <c r="N459" i="6"/>
  <c r="K459" i="6"/>
  <c r="J459" i="6"/>
  <c r="J461" i="6"/>
  <c r="K136" i="6"/>
  <c r="L175" i="6"/>
  <c r="N235" i="6"/>
  <c r="K235" i="6"/>
  <c r="J235" i="6"/>
  <c r="I235" i="6"/>
  <c r="H235" i="6"/>
  <c r="N261" i="6"/>
  <c r="L261" i="6"/>
  <c r="K261" i="6"/>
  <c r="I261" i="6"/>
  <c r="H261" i="6"/>
  <c r="I275" i="6"/>
  <c r="K307" i="6"/>
  <c r="N317" i="6"/>
  <c r="J317" i="6"/>
  <c r="N331" i="6"/>
  <c r="K331" i="6"/>
  <c r="J445" i="6"/>
  <c r="I445" i="6"/>
  <c r="H445" i="6"/>
  <c r="K461" i="6"/>
  <c r="L16" i="6"/>
  <c r="K25" i="6"/>
  <c r="L31" i="6"/>
  <c r="L37" i="6"/>
  <c r="I70" i="6"/>
  <c r="I88" i="6"/>
  <c r="N94" i="6"/>
  <c r="L99" i="6"/>
  <c r="H110" i="6"/>
  <c r="N112" i="6"/>
  <c r="H130" i="6"/>
  <c r="L132" i="6"/>
  <c r="L143" i="6"/>
  <c r="I148" i="6"/>
  <c r="L154" i="6"/>
  <c r="I176" i="6"/>
  <c r="L183" i="6"/>
  <c r="L195" i="6"/>
  <c r="N203" i="6"/>
  <c r="K203" i="6"/>
  <c r="J203" i="6"/>
  <c r="I203" i="6"/>
  <c r="H203" i="6"/>
  <c r="L215" i="6"/>
  <c r="L248" i="6"/>
  <c r="J253" i="6"/>
  <c r="K284" i="6"/>
  <c r="J287" i="6"/>
  <c r="H303" i="6"/>
  <c r="L314" i="6"/>
  <c r="K317" i="6"/>
  <c r="J331" i="6"/>
  <c r="N356" i="6"/>
  <c r="J359" i="6"/>
  <c r="H379" i="6"/>
  <c r="L391" i="6"/>
  <c r="H476" i="6"/>
  <c r="I164" i="6"/>
  <c r="N295" i="6"/>
  <c r="K295" i="6"/>
  <c r="J295" i="6"/>
  <c r="I295" i="6"/>
  <c r="H295" i="6"/>
  <c r="H9" i="2"/>
  <c r="L34" i="6"/>
  <c r="K40" i="6"/>
  <c r="K46" i="6"/>
  <c r="J70" i="6"/>
  <c r="H75" i="6"/>
  <c r="J88" i="6"/>
  <c r="I110" i="6"/>
  <c r="H121" i="6"/>
  <c r="I130" i="6"/>
  <c r="I137" i="6"/>
  <c r="N143" i="6"/>
  <c r="J148" i="6"/>
  <c r="N154" i="6"/>
  <c r="H165" i="6"/>
  <c r="J176" i="6"/>
  <c r="N179" i="6"/>
  <c r="K179" i="6"/>
  <c r="J179" i="6"/>
  <c r="H179" i="6"/>
  <c r="N191" i="6"/>
  <c r="K191" i="6"/>
  <c r="J191" i="6"/>
  <c r="H191" i="6"/>
  <c r="L205" i="6"/>
  <c r="N241" i="6"/>
  <c r="K241" i="6"/>
  <c r="J241" i="6"/>
  <c r="I241" i="6"/>
  <c r="H241" i="6"/>
  <c r="N248" i="6"/>
  <c r="K253" i="6"/>
  <c r="H273" i="6"/>
  <c r="K287" i="6"/>
  <c r="I303" i="6"/>
  <c r="L317" i="6"/>
  <c r="L331" i="6"/>
  <c r="N357" i="6"/>
  <c r="L357" i="6"/>
  <c r="K357" i="6"/>
  <c r="J357" i="6"/>
  <c r="I357" i="6"/>
  <c r="H357" i="6"/>
  <c r="I379" i="6"/>
  <c r="I415" i="6"/>
  <c r="N415" i="6"/>
  <c r="L415" i="6"/>
  <c r="J415" i="6"/>
  <c r="H260" i="6"/>
  <c r="K260" i="6"/>
  <c r="N34" i="6"/>
  <c r="N70" i="6"/>
  <c r="K88" i="6"/>
  <c r="J110" i="6"/>
  <c r="I121" i="6"/>
  <c r="K130" i="6"/>
  <c r="N231" i="6"/>
  <c r="K231" i="6"/>
  <c r="J231" i="6"/>
  <c r="I231" i="6"/>
  <c r="H231" i="6"/>
  <c r="L243" i="6"/>
  <c r="N249" i="6"/>
  <c r="L249" i="6"/>
  <c r="J249" i="6"/>
  <c r="N253" i="6"/>
  <c r="J273" i="6"/>
  <c r="J276" i="6"/>
  <c r="N285" i="6"/>
  <c r="L285" i="6"/>
  <c r="K285" i="6"/>
  <c r="J285" i="6"/>
  <c r="H285" i="6"/>
  <c r="N287" i="6"/>
  <c r="K303" i="6"/>
  <c r="N315" i="6"/>
  <c r="L315" i="6"/>
  <c r="K315" i="6"/>
  <c r="J315" i="6"/>
  <c r="H315" i="6"/>
  <c r="I320" i="6"/>
  <c r="K379" i="6"/>
  <c r="L419" i="6"/>
  <c r="H419" i="6"/>
  <c r="K467" i="6"/>
  <c r="N467" i="6"/>
  <c r="H503" i="6"/>
  <c r="H399" i="6"/>
  <c r="H436" i="6"/>
  <c r="H439" i="6"/>
  <c r="J393" i="6"/>
  <c r="I399" i="6"/>
  <c r="H413" i="6"/>
  <c r="I436" i="6"/>
  <c r="I439" i="6"/>
  <c r="J489" i="6"/>
  <c r="J278" i="6"/>
  <c r="I293" i="6"/>
  <c r="J343" i="6"/>
  <c r="K393" i="6"/>
  <c r="J399" i="6"/>
  <c r="I413" i="6"/>
  <c r="K436" i="6"/>
  <c r="L439" i="6"/>
  <c r="K489" i="6"/>
  <c r="K278" i="6"/>
  <c r="J293" i="6"/>
  <c r="K343" i="6"/>
  <c r="H352" i="6"/>
  <c r="H362" i="6"/>
  <c r="I368" i="6"/>
  <c r="H382" i="6"/>
  <c r="K399" i="6"/>
  <c r="H402" i="6"/>
  <c r="H411" i="6"/>
  <c r="J413" i="6"/>
  <c r="H434" i="6"/>
  <c r="L489" i="6"/>
  <c r="I330" i="6"/>
  <c r="N343" i="6"/>
  <c r="K362" i="6"/>
  <c r="K368" i="6"/>
  <c r="H380" i="6"/>
  <c r="J382" i="6"/>
  <c r="J411" i="6"/>
  <c r="H416" i="6"/>
  <c r="K425" i="6"/>
  <c r="I431" i="6"/>
  <c r="H448" i="6"/>
  <c r="I451" i="6"/>
  <c r="I460" i="6"/>
  <c r="J330" i="6"/>
  <c r="I380" i="6"/>
  <c r="K382" i="6"/>
  <c r="K411" i="6"/>
  <c r="I416" i="6"/>
  <c r="L425" i="6"/>
  <c r="L431" i="6"/>
  <c r="I448" i="6"/>
  <c r="L451" i="6"/>
  <c r="K460" i="6"/>
  <c r="I252" i="6"/>
  <c r="J254" i="6"/>
  <c r="J306" i="6"/>
  <c r="I328" i="6"/>
  <c r="K330" i="6"/>
  <c r="I360" i="6"/>
  <c r="J380" i="6"/>
  <c r="N382" i="6"/>
  <c r="H423" i="6"/>
  <c r="K171" i="6"/>
  <c r="J171" i="6"/>
  <c r="I171" i="6"/>
  <c r="N171" i="6"/>
  <c r="L171" i="6"/>
  <c r="H171" i="6"/>
  <c r="H290" i="6"/>
  <c r="N290" i="6"/>
  <c r="L290" i="6"/>
  <c r="K290" i="6"/>
  <c r="I290" i="6"/>
  <c r="I417" i="6"/>
  <c r="H417" i="6"/>
  <c r="J417" i="6"/>
  <c r="N417" i="6"/>
  <c r="L417" i="6"/>
  <c r="K417" i="6"/>
  <c r="L432" i="6"/>
  <c r="J432" i="6"/>
  <c r="N432" i="6"/>
  <c r="K432" i="6"/>
  <c r="I432" i="6"/>
  <c r="H432" i="6"/>
  <c r="L452" i="6"/>
  <c r="J452" i="6"/>
  <c r="K452" i="6"/>
  <c r="I452" i="6"/>
  <c r="H452" i="6"/>
  <c r="D16" i="2"/>
  <c r="D14" i="2"/>
  <c r="L66" i="6"/>
  <c r="L80" i="6"/>
  <c r="K80" i="6"/>
  <c r="J80" i="6"/>
  <c r="H80" i="6"/>
  <c r="K103" i="6"/>
  <c r="J103" i="6"/>
  <c r="L103" i="6"/>
  <c r="I103" i="6"/>
  <c r="H103" i="6"/>
  <c r="K113" i="6"/>
  <c r="J113" i="6"/>
  <c r="H113" i="6"/>
  <c r="L364" i="6"/>
  <c r="K364" i="6"/>
  <c r="J364" i="6"/>
  <c r="N364" i="6"/>
  <c r="I364" i="6"/>
  <c r="H364" i="6"/>
  <c r="L398" i="6"/>
  <c r="J398" i="6"/>
  <c r="H398" i="6"/>
  <c r="N429" i="6"/>
  <c r="I429" i="6"/>
  <c r="H429" i="6"/>
  <c r="L429" i="6"/>
  <c r="K429" i="6"/>
  <c r="J429" i="6"/>
  <c r="I449" i="6"/>
  <c r="L449" i="6"/>
  <c r="K449" i="6"/>
  <c r="N449" i="6"/>
  <c r="J449" i="6"/>
  <c r="H449" i="6"/>
  <c r="I8" i="6"/>
  <c r="H8" i="6"/>
  <c r="J16" i="6"/>
  <c r="I16" i="6"/>
  <c r="H16" i="6"/>
  <c r="J24" i="6"/>
  <c r="I24" i="6"/>
  <c r="H24" i="6"/>
  <c r="J32" i="6"/>
  <c r="I32" i="6"/>
  <c r="H32" i="6"/>
  <c r="J40" i="6"/>
  <c r="I40" i="6"/>
  <c r="H40" i="6"/>
  <c r="J48" i="6"/>
  <c r="I48" i="6"/>
  <c r="H48" i="6"/>
  <c r="J56" i="6"/>
  <c r="I56" i="6"/>
  <c r="H56" i="6"/>
  <c r="J64" i="6"/>
  <c r="I64" i="6"/>
  <c r="H64" i="6"/>
  <c r="K93" i="6"/>
  <c r="J93" i="6"/>
  <c r="N93" i="6"/>
  <c r="L93" i="6"/>
  <c r="H93" i="6"/>
  <c r="L116" i="6"/>
  <c r="K116" i="6"/>
  <c r="J116" i="6"/>
  <c r="I116" i="6"/>
  <c r="H116" i="6"/>
  <c r="K139" i="6"/>
  <c r="J139" i="6"/>
  <c r="L139" i="6"/>
  <c r="I139" i="6"/>
  <c r="H139" i="6"/>
  <c r="H274" i="6"/>
  <c r="N274" i="6"/>
  <c r="L274" i="6"/>
  <c r="K274" i="6"/>
  <c r="J274" i="6"/>
  <c r="I274" i="6"/>
  <c r="L392" i="6"/>
  <c r="N392" i="6"/>
  <c r="H392" i="6"/>
  <c r="K392" i="6"/>
  <c r="I392" i="6"/>
  <c r="L464" i="6"/>
  <c r="J464" i="6"/>
  <c r="N464" i="6"/>
  <c r="K464" i="6"/>
  <c r="I464" i="6"/>
  <c r="H464" i="6"/>
  <c r="L470" i="6"/>
  <c r="J470" i="6"/>
  <c r="I470" i="6"/>
  <c r="N470" i="6"/>
  <c r="K470" i="6"/>
  <c r="H470" i="6"/>
  <c r="J90" i="6"/>
  <c r="I90" i="6"/>
  <c r="H90" i="6"/>
  <c r="K163" i="6"/>
  <c r="J163" i="6"/>
  <c r="I163" i="6"/>
  <c r="N163" i="6"/>
  <c r="H163" i="6"/>
  <c r="H264" i="6"/>
  <c r="J264" i="6"/>
  <c r="I264" i="6"/>
  <c r="N264" i="6"/>
  <c r="H310" i="6"/>
  <c r="I310" i="6"/>
  <c r="L310" i="6"/>
  <c r="K310" i="6"/>
  <c r="J310" i="6"/>
  <c r="L444" i="6"/>
  <c r="J444" i="6"/>
  <c r="N444" i="6"/>
  <c r="K444" i="6"/>
  <c r="I444" i="6"/>
  <c r="H444" i="6"/>
  <c r="N124" i="6"/>
  <c r="H124" i="6"/>
  <c r="H288" i="6"/>
  <c r="L288" i="6"/>
  <c r="K288" i="6"/>
  <c r="J288" i="6"/>
  <c r="I11" i="6"/>
  <c r="H11" i="6"/>
  <c r="J19" i="6"/>
  <c r="I19" i="6"/>
  <c r="H19" i="6"/>
  <c r="J27" i="6"/>
  <c r="I27" i="6"/>
  <c r="H27" i="6"/>
  <c r="J35" i="6"/>
  <c r="I35" i="6"/>
  <c r="H35" i="6"/>
  <c r="J43" i="6"/>
  <c r="I43" i="6"/>
  <c r="H43" i="6"/>
  <c r="J51" i="6"/>
  <c r="I51" i="6"/>
  <c r="H51" i="6"/>
  <c r="J59" i="6"/>
  <c r="I59" i="6"/>
  <c r="H59" i="6"/>
  <c r="J150" i="6"/>
  <c r="I150" i="6"/>
  <c r="H150" i="6"/>
  <c r="K153" i="6"/>
  <c r="J153" i="6"/>
  <c r="N153" i="6"/>
  <c r="L153" i="6"/>
  <c r="I153" i="6"/>
  <c r="H153" i="6"/>
  <c r="J67" i="6"/>
  <c r="L67" i="6"/>
  <c r="K67" i="6"/>
  <c r="I67" i="6"/>
  <c r="H332" i="6"/>
  <c r="N332" i="6"/>
  <c r="L332" i="6"/>
  <c r="K332" i="6"/>
  <c r="L340" i="6"/>
  <c r="J340" i="6"/>
  <c r="K340" i="6"/>
  <c r="I340" i="6"/>
  <c r="H340" i="6"/>
  <c r="H389" i="6"/>
  <c r="N389" i="6"/>
  <c r="J389" i="6"/>
  <c r="L389" i="6"/>
  <c r="K389" i="6"/>
  <c r="I389" i="6"/>
  <c r="I6" i="6"/>
  <c r="H6" i="6"/>
  <c r="I14" i="6"/>
  <c r="H14" i="6"/>
  <c r="J22" i="6"/>
  <c r="I22" i="6"/>
  <c r="H22" i="6"/>
  <c r="J30" i="6"/>
  <c r="I30" i="6"/>
  <c r="H30" i="6"/>
  <c r="J38" i="6"/>
  <c r="I38" i="6"/>
  <c r="H38" i="6"/>
  <c r="J46" i="6"/>
  <c r="I46" i="6"/>
  <c r="H46" i="6"/>
  <c r="J54" i="6"/>
  <c r="I54" i="6"/>
  <c r="H54" i="6"/>
  <c r="J62" i="6"/>
  <c r="I62" i="6"/>
  <c r="H62" i="6"/>
  <c r="N80" i="6"/>
  <c r="L104" i="6"/>
  <c r="K104" i="6"/>
  <c r="J104" i="6"/>
  <c r="H104" i="6"/>
  <c r="L113" i="6"/>
  <c r="K127" i="6"/>
  <c r="J127" i="6"/>
  <c r="L127" i="6"/>
  <c r="I127" i="6"/>
  <c r="H127" i="6"/>
  <c r="K137" i="6"/>
  <c r="J137" i="6"/>
  <c r="H137" i="6"/>
  <c r="H286" i="6"/>
  <c r="K286" i="6"/>
  <c r="J286" i="6"/>
  <c r="I286" i="6"/>
  <c r="K349" i="6"/>
  <c r="J349" i="6"/>
  <c r="I349" i="6"/>
  <c r="H349" i="6"/>
  <c r="N349" i="6"/>
  <c r="K398" i="6"/>
  <c r="H67" i="6"/>
  <c r="J78" i="6"/>
  <c r="I78" i="6"/>
  <c r="H78" i="6"/>
  <c r="K81" i="6"/>
  <c r="J81" i="6"/>
  <c r="N81" i="6"/>
  <c r="L81" i="6"/>
  <c r="I81" i="6"/>
  <c r="H81" i="6"/>
  <c r="K90" i="6"/>
  <c r="N113" i="6"/>
  <c r="K117" i="6"/>
  <c r="J117" i="6"/>
  <c r="N117" i="6"/>
  <c r="L117" i="6"/>
  <c r="H117" i="6"/>
  <c r="L140" i="6"/>
  <c r="K140" i="6"/>
  <c r="J140" i="6"/>
  <c r="I140" i="6"/>
  <c r="H140" i="6"/>
  <c r="L163" i="6"/>
  <c r="K264" i="6"/>
  <c r="N310" i="6"/>
  <c r="L346" i="6"/>
  <c r="I346" i="6"/>
  <c r="H346" i="6"/>
  <c r="N346" i="6"/>
  <c r="K346" i="6"/>
  <c r="J346" i="6"/>
  <c r="N398" i="6"/>
  <c r="K407" i="6"/>
  <c r="J407" i="6"/>
  <c r="N407" i="6"/>
  <c r="L407" i="6"/>
  <c r="I407" i="6"/>
  <c r="H407" i="6"/>
  <c r="J497" i="6"/>
  <c r="I497" i="6"/>
  <c r="H497" i="6"/>
  <c r="K497" i="6"/>
  <c r="K503" i="6"/>
  <c r="J503" i="6"/>
  <c r="N503" i="6"/>
  <c r="L503" i="6"/>
  <c r="K337" i="6"/>
  <c r="J337" i="6"/>
  <c r="I337" i="6"/>
  <c r="H337" i="6"/>
  <c r="N337" i="6"/>
  <c r="L337" i="6"/>
  <c r="N67" i="6"/>
  <c r="L90" i="6"/>
  <c r="J114" i="6"/>
  <c r="I114" i="6"/>
  <c r="H114" i="6"/>
  <c r="I124" i="6"/>
  <c r="N148" i="6"/>
  <c r="H148" i="6"/>
  <c r="L264" i="6"/>
  <c r="I288" i="6"/>
  <c r="L396" i="6"/>
  <c r="J396" i="6"/>
  <c r="N396" i="6"/>
  <c r="K396" i="6"/>
  <c r="I396" i="6"/>
  <c r="H396" i="6"/>
  <c r="L422" i="6"/>
  <c r="J422" i="6"/>
  <c r="N422" i="6"/>
  <c r="I422" i="6"/>
  <c r="H422" i="6"/>
  <c r="I401" i="6"/>
  <c r="L401" i="6"/>
  <c r="K401" i="6"/>
  <c r="J401" i="6"/>
  <c r="H401" i="6"/>
  <c r="N401" i="6"/>
  <c r="I9" i="6"/>
  <c r="H9" i="6"/>
  <c r="J17" i="6"/>
  <c r="I17" i="6"/>
  <c r="H17" i="6"/>
  <c r="K19" i="6"/>
  <c r="J25" i="6"/>
  <c r="I25" i="6"/>
  <c r="H25" i="6"/>
  <c r="K27" i="6"/>
  <c r="J33" i="6"/>
  <c r="I33" i="6"/>
  <c r="H33" i="6"/>
  <c r="K35" i="6"/>
  <c r="J41" i="6"/>
  <c r="I41" i="6"/>
  <c r="H41" i="6"/>
  <c r="K43" i="6"/>
  <c r="J49" i="6"/>
  <c r="I49" i="6"/>
  <c r="H49" i="6"/>
  <c r="K51" i="6"/>
  <c r="J57" i="6"/>
  <c r="I57" i="6"/>
  <c r="H57" i="6"/>
  <c r="K59" i="6"/>
  <c r="J65" i="6"/>
  <c r="K65" i="6"/>
  <c r="I65" i="6"/>
  <c r="H65" i="6"/>
  <c r="L68" i="6"/>
  <c r="K68" i="6"/>
  <c r="J68" i="6"/>
  <c r="I68" i="6"/>
  <c r="H68" i="6"/>
  <c r="N90" i="6"/>
  <c r="J124" i="6"/>
  <c r="K150" i="6"/>
  <c r="H284" i="6"/>
  <c r="J284" i="6"/>
  <c r="I284" i="6"/>
  <c r="N288" i="6"/>
  <c r="J371" i="6"/>
  <c r="I371" i="6"/>
  <c r="L371" i="6"/>
  <c r="K371" i="6"/>
  <c r="H371" i="6"/>
  <c r="L474" i="6"/>
  <c r="J474" i="6"/>
  <c r="N474" i="6"/>
  <c r="K474" i="6"/>
  <c r="I474" i="6"/>
  <c r="H474" i="6"/>
  <c r="L19" i="6"/>
  <c r="L27" i="6"/>
  <c r="L35" i="6"/>
  <c r="L43" i="6"/>
  <c r="L51" i="6"/>
  <c r="L59" i="6"/>
  <c r="K91" i="6"/>
  <c r="J91" i="6"/>
  <c r="L91" i="6"/>
  <c r="I91" i="6"/>
  <c r="H91" i="6"/>
  <c r="K124" i="6"/>
  <c r="L150" i="6"/>
  <c r="I332" i="6"/>
  <c r="N340" i="6"/>
  <c r="L390" i="6"/>
  <c r="K390" i="6"/>
  <c r="H390" i="6"/>
  <c r="N390" i="6"/>
  <c r="J390" i="6"/>
  <c r="I390" i="6"/>
  <c r="L124" i="6"/>
  <c r="K161" i="6"/>
  <c r="J161" i="6"/>
  <c r="I161" i="6"/>
  <c r="L161" i="6"/>
  <c r="H161" i="6"/>
  <c r="H282" i="6"/>
  <c r="I282" i="6"/>
  <c r="N341" i="6"/>
  <c r="L341" i="6"/>
  <c r="K341" i="6"/>
  <c r="J341" i="6"/>
  <c r="H341" i="6"/>
  <c r="I12" i="6"/>
  <c r="H12" i="6"/>
  <c r="J20" i="6"/>
  <c r="I20" i="6"/>
  <c r="H20" i="6"/>
  <c r="K22" i="6"/>
  <c r="J28" i="6"/>
  <c r="I28" i="6"/>
  <c r="H28" i="6"/>
  <c r="J36" i="6"/>
  <c r="I36" i="6"/>
  <c r="H36" i="6"/>
  <c r="J44" i="6"/>
  <c r="I44" i="6"/>
  <c r="H44" i="6"/>
  <c r="J52" i="6"/>
  <c r="I52" i="6"/>
  <c r="H52" i="6"/>
  <c r="J60" i="6"/>
  <c r="I60" i="6"/>
  <c r="H60" i="6"/>
  <c r="N76" i="6"/>
  <c r="H76" i="6"/>
  <c r="K151" i="6"/>
  <c r="J151" i="6"/>
  <c r="L151" i="6"/>
  <c r="I151" i="6"/>
  <c r="H151" i="6"/>
  <c r="H258" i="6"/>
  <c r="N258" i="6"/>
  <c r="L258" i="6"/>
  <c r="K258" i="6"/>
  <c r="J258" i="6"/>
  <c r="I258" i="6"/>
  <c r="J387" i="6"/>
  <c r="I387" i="6"/>
  <c r="H387" i="6"/>
  <c r="L128" i="6"/>
  <c r="K128" i="6"/>
  <c r="J128" i="6"/>
  <c r="H128" i="6"/>
  <c r="L486" i="6"/>
  <c r="J486" i="6"/>
  <c r="K486" i="6"/>
  <c r="I486" i="6"/>
  <c r="H486" i="6"/>
  <c r="N486" i="6"/>
  <c r="H318" i="6"/>
  <c r="N318" i="6"/>
  <c r="L318" i="6"/>
  <c r="K318" i="6"/>
  <c r="J318" i="6"/>
  <c r="I318" i="6"/>
  <c r="J102" i="6"/>
  <c r="I102" i="6"/>
  <c r="H102" i="6"/>
  <c r="J15" i="6"/>
  <c r="I15" i="6"/>
  <c r="H15" i="6"/>
  <c r="J39" i="6"/>
  <c r="I39" i="6"/>
  <c r="H39" i="6"/>
  <c r="N453" i="6"/>
  <c r="L453" i="6"/>
  <c r="I453" i="6"/>
  <c r="H453" i="6"/>
  <c r="K453" i="6"/>
  <c r="J453" i="6"/>
  <c r="K105" i="6"/>
  <c r="J105" i="6"/>
  <c r="N105" i="6"/>
  <c r="L105" i="6"/>
  <c r="I105" i="6"/>
  <c r="H105" i="6"/>
  <c r="K141" i="6"/>
  <c r="J141" i="6"/>
  <c r="N141" i="6"/>
  <c r="L141" i="6"/>
  <c r="H141" i="6"/>
  <c r="I7" i="6"/>
  <c r="H7" i="6"/>
  <c r="J7" i="6" s="1"/>
  <c r="J23" i="6"/>
  <c r="I23" i="6"/>
  <c r="H23" i="6"/>
  <c r="J31" i="6"/>
  <c r="I31" i="6"/>
  <c r="H31" i="6"/>
  <c r="J47" i="6"/>
  <c r="I47" i="6"/>
  <c r="H47" i="6"/>
  <c r="J55" i="6"/>
  <c r="I55" i="6"/>
  <c r="H55" i="6"/>
  <c r="J63" i="6"/>
  <c r="I63" i="6"/>
  <c r="H63" i="6"/>
  <c r="J138" i="6"/>
  <c r="I138" i="6"/>
  <c r="H138" i="6"/>
  <c r="L344" i="6"/>
  <c r="N344" i="6"/>
  <c r="H344" i="6"/>
  <c r="K344" i="6"/>
  <c r="L378" i="6"/>
  <c r="N378" i="6"/>
  <c r="K378" i="6"/>
  <c r="H378" i="6"/>
  <c r="J378" i="6"/>
  <c r="I378" i="6"/>
  <c r="L17" i="6"/>
  <c r="L25" i="6"/>
  <c r="L33" i="6"/>
  <c r="L41" i="6"/>
  <c r="L49" i="6"/>
  <c r="L57" i="6"/>
  <c r="N65" i="6"/>
  <c r="K69" i="6"/>
  <c r="J69" i="6"/>
  <c r="N69" i="6"/>
  <c r="L69" i="6"/>
  <c r="K79" i="6"/>
  <c r="J79" i="6"/>
  <c r="L79" i="6"/>
  <c r="I79" i="6"/>
  <c r="H79" i="6"/>
  <c r="K89" i="6"/>
  <c r="J89" i="6"/>
  <c r="H89" i="6"/>
  <c r="N91" i="6"/>
  <c r="N114" i="6"/>
  <c r="K148" i="6"/>
  <c r="H268" i="6"/>
  <c r="L268" i="6"/>
  <c r="K268" i="6"/>
  <c r="J268" i="6"/>
  <c r="I268" i="6"/>
  <c r="L284" i="6"/>
  <c r="H324" i="6"/>
  <c r="N324" i="6"/>
  <c r="L324" i="6"/>
  <c r="K324" i="6"/>
  <c r="J324" i="6"/>
  <c r="I324" i="6"/>
  <c r="N353" i="6"/>
  <c r="L353" i="6"/>
  <c r="K353" i="6"/>
  <c r="H353" i="6"/>
  <c r="J353" i="6"/>
  <c r="I353" i="6"/>
  <c r="L375" i="6"/>
  <c r="K375" i="6"/>
  <c r="N375" i="6"/>
  <c r="J375" i="6"/>
  <c r="I375" i="6"/>
  <c r="H375" i="6"/>
  <c r="N481" i="6"/>
  <c r="L481" i="6"/>
  <c r="K481" i="6"/>
  <c r="J481" i="6"/>
  <c r="I481" i="6"/>
  <c r="H481" i="6"/>
  <c r="K66" i="6"/>
  <c r="J66" i="6"/>
  <c r="I66" i="6"/>
  <c r="H66" i="6"/>
  <c r="L92" i="6"/>
  <c r="K92" i="6"/>
  <c r="J92" i="6"/>
  <c r="I92" i="6"/>
  <c r="H92" i="6"/>
  <c r="K115" i="6"/>
  <c r="J115" i="6"/>
  <c r="L115" i="6"/>
  <c r="I115" i="6"/>
  <c r="H115" i="6"/>
  <c r="N161" i="6"/>
  <c r="J282" i="6"/>
  <c r="H292" i="6"/>
  <c r="N292" i="6"/>
  <c r="L292" i="6"/>
  <c r="J292" i="6"/>
  <c r="I292" i="6"/>
  <c r="I341" i="6"/>
  <c r="I463" i="6"/>
  <c r="H463" i="6"/>
  <c r="L463" i="6"/>
  <c r="K463" i="6"/>
  <c r="J463" i="6"/>
  <c r="L170" i="6"/>
  <c r="K170" i="6"/>
  <c r="J170" i="6"/>
  <c r="H170" i="6"/>
  <c r="I10" i="6"/>
  <c r="H10" i="6"/>
  <c r="J18" i="6"/>
  <c r="I18" i="6"/>
  <c r="H18" i="6"/>
  <c r="K20" i="6"/>
  <c r="J26" i="6"/>
  <c r="I26" i="6"/>
  <c r="H26" i="6"/>
  <c r="K28" i="6"/>
  <c r="J34" i="6"/>
  <c r="I34" i="6"/>
  <c r="H34" i="6"/>
  <c r="K36" i="6"/>
  <c r="J42" i="6"/>
  <c r="I42" i="6"/>
  <c r="H42" i="6"/>
  <c r="K44" i="6"/>
  <c r="J50" i="6"/>
  <c r="I50" i="6"/>
  <c r="H50" i="6"/>
  <c r="K52" i="6"/>
  <c r="J58" i="6"/>
  <c r="I58" i="6"/>
  <c r="H58" i="6"/>
  <c r="K60" i="6"/>
  <c r="I76" i="6"/>
  <c r="N151" i="6"/>
  <c r="L162" i="6"/>
  <c r="K162" i="6"/>
  <c r="J162" i="6"/>
  <c r="I162" i="6"/>
  <c r="H162" i="6"/>
  <c r="H256" i="6"/>
  <c r="N256" i="6"/>
  <c r="L256" i="6"/>
  <c r="K256" i="6"/>
  <c r="J256" i="6"/>
  <c r="I256" i="6"/>
  <c r="K282" i="6"/>
  <c r="K387" i="6"/>
  <c r="H437" i="6"/>
  <c r="K437" i="6"/>
  <c r="N437" i="6"/>
  <c r="L437" i="6"/>
  <c r="J437" i="6"/>
  <c r="I437" i="6"/>
  <c r="L440" i="6"/>
  <c r="J440" i="6"/>
  <c r="N440" i="6"/>
  <c r="K440" i="6"/>
  <c r="I440" i="6"/>
  <c r="H440" i="6"/>
  <c r="K443" i="6"/>
  <c r="J443" i="6"/>
  <c r="I443" i="6"/>
  <c r="H443" i="6"/>
  <c r="L443" i="6"/>
  <c r="N493" i="6"/>
  <c r="L493" i="6"/>
  <c r="K493" i="6"/>
  <c r="I493" i="6"/>
  <c r="J493" i="6"/>
  <c r="H493" i="6"/>
  <c r="L282" i="6"/>
  <c r="L420" i="6"/>
  <c r="J420" i="6"/>
  <c r="N420" i="6"/>
  <c r="K420" i="6"/>
  <c r="I420" i="6"/>
  <c r="H420" i="6"/>
  <c r="L490" i="6"/>
  <c r="J490" i="6"/>
  <c r="I490" i="6"/>
  <c r="H490" i="6"/>
  <c r="N490" i="6"/>
  <c r="K490" i="6"/>
  <c r="N20" i="6"/>
  <c r="N28" i="6"/>
  <c r="N36" i="6"/>
  <c r="N44" i="6"/>
  <c r="N52" i="6"/>
  <c r="N60" i="6"/>
  <c r="K76" i="6"/>
  <c r="K102" i="6"/>
  <c r="N128" i="6"/>
  <c r="I141" i="6"/>
  <c r="I170" i="6"/>
  <c r="N282" i="6"/>
  <c r="H312" i="6"/>
  <c r="J312" i="6"/>
  <c r="I312" i="6"/>
  <c r="N312" i="6"/>
  <c r="L312" i="6"/>
  <c r="K312" i="6"/>
  <c r="N387" i="6"/>
  <c r="N100" i="6"/>
  <c r="H100" i="6"/>
  <c r="I128" i="6"/>
  <c r="L152" i="6"/>
  <c r="K152" i="6"/>
  <c r="J152" i="6"/>
  <c r="H152" i="6"/>
  <c r="B5" i="2"/>
  <c r="I5" i="6"/>
  <c r="H5" i="6"/>
  <c r="I13" i="6"/>
  <c r="H13" i="6"/>
  <c r="K15" i="6"/>
  <c r="J21" i="6"/>
  <c r="I21" i="6"/>
  <c r="H21" i="6"/>
  <c r="K23" i="6"/>
  <c r="J29" i="6"/>
  <c r="I29" i="6"/>
  <c r="H29" i="6"/>
  <c r="K31" i="6"/>
  <c r="J37" i="6"/>
  <c r="I37" i="6"/>
  <c r="H37" i="6"/>
  <c r="K39" i="6"/>
  <c r="J45" i="6"/>
  <c r="I45" i="6"/>
  <c r="H45" i="6"/>
  <c r="K47" i="6"/>
  <c r="J53" i="6"/>
  <c r="I53" i="6"/>
  <c r="H53" i="6"/>
  <c r="K55" i="6"/>
  <c r="J61" i="6"/>
  <c r="I61" i="6"/>
  <c r="H61" i="6"/>
  <c r="K63" i="6"/>
  <c r="L76" i="6"/>
  <c r="L102" i="6"/>
  <c r="J126" i="6"/>
  <c r="I126" i="6"/>
  <c r="H126" i="6"/>
  <c r="K129" i="6"/>
  <c r="J129" i="6"/>
  <c r="N129" i="6"/>
  <c r="L129" i="6"/>
  <c r="I129" i="6"/>
  <c r="H129" i="6"/>
  <c r="K138" i="6"/>
  <c r="I168" i="6"/>
  <c r="H168" i="6"/>
  <c r="N170" i="6"/>
  <c r="H266" i="6"/>
  <c r="K266" i="6"/>
  <c r="J266" i="6"/>
  <c r="I266" i="6"/>
  <c r="L266" i="6"/>
  <c r="L336" i="6"/>
  <c r="H336" i="6"/>
  <c r="J336" i="6"/>
  <c r="I336" i="6"/>
  <c r="I344" i="6"/>
  <c r="L388" i="6"/>
  <c r="J388" i="6"/>
  <c r="K388" i="6"/>
  <c r="I388" i="6"/>
  <c r="H388" i="6"/>
  <c r="H316" i="6"/>
  <c r="L316" i="6"/>
  <c r="K316" i="6"/>
  <c r="J316" i="6"/>
  <c r="I316" i="6"/>
  <c r="L362" i="6"/>
  <c r="I362" i="6"/>
  <c r="K395" i="6"/>
  <c r="J395" i="6"/>
  <c r="I395" i="6"/>
  <c r="H395" i="6"/>
  <c r="L446" i="6"/>
  <c r="J446" i="6"/>
  <c r="L492" i="6"/>
  <c r="J492" i="6"/>
  <c r="N492" i="6"/>
  <c r="K492" i="6"/>
  <c r="K87" i="6"/>
  <c r="J87" i="6"/>
  <c r="K111" i="6"/>
  <c r="J111" i="6"/>
  <c r="K135" i="6"/>
  <c r="J135" i="6"/>
  <c r="K159" i="6"/>
  <c r="J159" i="6"/>
  <c r="I159" i="6"/>
  <c r="H334" i="6"/>
  <c r="I334" i="6"/>
  <c r="N339" i="6"/>
  <c r="L339" i="6"/>
  <c r="K339" i="6"/>
  <c r="J339" i="6"/>
  <c r="N409" i="6"/>
  <c r="L409" i="6"/>
  <c r="K427" i="6"/>
  <c r="H427" i="6"/>
  <c r="K85" i="6"/>
  <c r="J85" i="6"/>
  <c r="K109" i="6"/>
  <c r="J109" i="6"/>
  <c r="K133" i="6"/>
  <c r="J133" i="6"/>
  <c r="K157" i="6"/>
  <c r="J157" i="6"/>
  <c r="H276" i="6"/>
  <c r="N276" i="6"/>
  <c r="K373" i="6"/>
  <c r="J373" i="6"/>
  <c r="N433" i="6"/>
  <c r="L433" i="6"/>
  <c r="K433" i="6"/>
  <c r="J433" i="6"/>
  <c r="L454" i="6"/>
  <c r="J454" i="6"/>
  <c r="I454" i="6"/>
  <c r="H454" i="6"/>
  <c r="N454" i="6"/>
  <c r="L476" i="6"/>
  <c r="J476" i="6"/>
  <c r="L482" i="6"/>
  <c r="J482" i="6"/>
  <c r="N482" i="6"/>
  <c r="L500" i="6"/>
  <c r="J500" i="6"/>
  <c r="H500" i="6"/>
  <c r="K173" i="6"/>
  <c r="J173" i="6"/>
  <c r="I173" i="6"/>
  <c r="H262" i="6"/>
  <c r="I262" i="6"/>
  <c r="H314" i="6"/>
  <c r="K314" i="6"/>
  <c r="J314" i="6"/>
  <c r="I314" i="6"/>
  <c r="L350" i="6"/>
  <c r="K350" i="6"/>
  <c r="J350" i="6"/>
  <c r="K365" i="6"/>
  <c r="N365" i="6"/>
  <c r="L365" i="6"/>
  <c r="J365" i="6"/>
  <c r="I365" i="6"/>
  <c r="L468" i="6"/>
  <c r="J468" i="6"/>
  <c r="N468" i="6"/>
  <c r="K468" i="6"/>
  <c r="I468" i="6"/>
  <c r="H468" i="6"/>
  <c r="L370" i="6"/>
  <c r="I370" i="6"/>
  <c r="H370" i="6"/>
  <c r="K370" i="6"/>
  <c r="J370" i="6"/>
  <c r="L406" i="6"/>
  <c r="J406" i="6"/>
  <c r="I406" i="6"/>
  <c r="H406" i="6"/>
  <c r="K406" i="6"/>
  <c r="N457" i="6"/>
  <c r="L457" i="6"/>
  <c r="I457" i="6"/>
  <c r="H457" i="6"/>
  <c r="L462" i="6"/>
  <c r="J462" i="6"/>
  <c r="K462" i="6"/>
  <c r="I462" i="6"/>
  <c r="H462" i="6"/>
  <c r="J473" i="6"/>
  <c r="I473" i="6"/>
  <c r="H473" i="6"/>
  <c r="N473" i="6"/>
  <c r="L473" i="6"/>
  <c r="K473" i="6"/>
  <c r="K83" i="6"/>
  <c r="J83" i="6"/>
  <c r="K107" i="6"/>
  <c r="J107" i="6"/>
  <c r="K131" i="6"/>
  <c r="J131" i="6"/>
  <c r="K155" i="6"/>
  <c r="J155" i="6"/>
  <c r="L438" i="6"/>
  <c r="J438" i="6"/>
  <c r="I438" i="6"/>
  <c r="H438" i="6"/>
  <c r="K487" i="6"/>
  <c r="J487" i="6"/>
  <c r="K74" i="6"/>
  <c r="N87" i="6"/>
  <c r="K98" i="6"/>
  <c r="N111" i="6"/>
  <c r="K122" i="6"/>
  <c r="N135" i="6"/>
  <c r="K146" i="6"/>
  <c r="K166" i="6"/>
  <c r="K169" i="6"/>
  <c r="J169" i="6"/>
  <c r="I169" i="6"/>
  <c r="H272" i="6"/>
  <c r="N272" i="6"/>
  <c r="L272" i="6"/>
  <c r="K272" i="6"/>
  <c r="L278" i="6"/>
  <c r="N280" i="6"/>
  <c r="N334" i="6"/>
  <c r="J363" i="6"/>
  <c r="K363" i="6"/>
  <c r="I363" i="6"/>
  <c r="H363" i="6"/>
  <c r="I373" i="6"/>
  <c r="K409" i="6"/>
  <c r="N427" i="6"/>
  <c r="I433" i="6"/>
  <c r="L458" i="6"/>
  <c r="J458" i="6"/>
  <c r="N458" i="6"/>
  <c r="K458" i="6"/>
  <c r="I458" i="6"/>
  <c r="H458" i="6"/>
  <c r="I476" i="6"/>
  <c r="I482" i="6"/>
  <c r="K500" i="6"/>
  <c r="L74" i="6"/>
  <c r="K77" i="6"/>
  <c r="J77" i="6"/>
  <c r="L98" i="6"/>
  <c r="K101" i="6"/>
  <c r="J101" i="6"/>
  <c r="L122" i="6"/>
  <c r="K125" i="6"/>
  <c r="J125" i="6"/>
  <c r="L146" i="6"/>
  <c r="K149" i="6"/>
  <c r="J149" i="6"/>
  <c r="L166" i="6"/>
  <c r="N278" i="6"/>
  <c r="I345" i="6"/>
  <c r="H345" i="6"/>
  <c r="K345" i="6"/>
  <c r="L348" i="6"/>
  <c r="J348" i="6"/>
  <c r="I348" i="6"/>
  <c r="N377" i="6"/>
  <c r="L377" i="6"/>
  <c r="L386" i="6"/>
  <c r="I386" i="6"/>
  <c r="L410" i="6"/>
  <c r="J410" i="6"/>
  <c r="N410" i="6"/>
  <c r="I410" i="6"/>
  <c r="H410" i="6"/>
  <c r="J425" i="6"/>
  <c r="L428" i="6"/>
  <c r="J428" i="6"/>
  <c r="I428" i="6"/>
  <c r="H428" i="6"/>
  <c r="K431" i="6"/>
  <c r="J431" i="6"/>
  <c r="K476" i="6"/>
  <c r="K482" i="6"/>
  <c r="H487" i="6"/>
  <c r="N500" i="6"/>
  <c r="N501" i="6"/>
  <c r="L501" i="6"/>
  <c r="I501" i="6"/>
  <c r="H501" i="6"/>
  <c r="K501" i="6"/>
  <c r="J501" i="6"/>
  <c r="K75" i="6"/>
  <c r="J75" i="6"/>
  <c r="K99" i="6"/>
  <c r="J99" i="6"/>
  <c r="K123" i="6"/>
  <c r="J123" i="6"/>
  <c r="K147" i="6"/>
  <c r="J147" i="6"/>
  <c r="K167" i="6"/>
  <c r="J167" i="6"/>
  <c r="I167" i="6"/>
  <c r="L374" i="6"/>
  <c r="K374" i="6"/>
  <c r="J374" i="6"/>
  <c r="I374" i="6"/>
  <c r="H374" i="6"/>
  <c r="L402" i="6"/>
  <c r="J402" i="6"/>
  <c r="N402" i="6"/>
  <c r="K439" i="6"/>
  <c r="J439" i="6"/>
  <c r="N477" i="6"/>
  <c r="L477" i="6"/>
  <c r="I477" i="6"/>
  <c r="H477" i="6"/>
  <c r="J477" i="6"/>
  <c r="K70" i="6"/>
  <c r="N83" i="6"/>
  <c r="K94" i="6"/>
  <c r="N107" i="6"/>
  <c r="K118" i="6"/>
  <c r="N131" i="6"/>
  <c r="K142" i="6"/>
  <c r="N155" i="6"/>
  <c r="L164" i="6"/>
  <c r="L260" i="6"/>
  <c r="H320" i="6"/>
  <c r="N320" i="6"/>
  <c r="L320" i="6"/>
  <c r="K320" i="6"/>
  <c r="L326" i="6"/>
  <c r="N328" i="6"/>
  <c r="I361" i="6"/>
  <c r="H361" i="6"/>
  <c r="N425" i="6"/>
  <c r="N487" i="6"/>
  <c r="K73" i="6"/>
  <c r="J73" i="6"/>
  <c r="K97" i="6"/>
  <c r="J97" i="6"/>
  <c r="K121" i="6"/>
  <c r="J121" i="6"/>
  <c r="L142" i="6"/>
  <c r="K145" i="6"/>
  <c r="J145" i="6"/>
  <c r="N260" i="6"/>
  <c r="H270" i="6"/>
  <c r="N270" i="6"/>
  <c r="L270" i="6"/>
  <c r="K270" i="6"/>
  <c r="J270" i="6"/>
  <c r="N326" i="6"/>
  <c r="L354" i="6"/>
  <c r="N354" i="6"/>
  <c r="K354" i="6"/>
  <c r="J354" i="6"/>
  <c r="I354" i="6"/>
  <c r="H354" i="6"/>
  <c r="H391" i="6"/>
  <c r="K391" i="6"/>
  <c r="J391" i="6"/>
  <c r="I391" i="6"/>
  <c r="N421" i="6"/>
  <c r="L421" i="6"/>
  <c r="K421" i="6"/>
  <c r="I421" i="6"/>
  <c r="H421" i="6"/>
  <c r="L426" i="6"/>
  <c r="J426" i="6"/>
  <c r="L442" i="6"/>
  <c r="J442" i="6"/>
  <c r="I442" i="6"/>
  <c r="H442" i="6"/>
  <c r="L488" i="6"/>
  <c r="J488" i="6"/>
  <c r="N488" i="6"/>
  <c r="K488" i="6"/>
  <c r="I488" i="6"/>
  <c r="H488" i="6"/>
  <c r="H160" i="6"/>
  <c r="K165" i="6"/>
  <c r="J165" i="6"/>
  <c r="I165" i="6"/>
  <c r="H169" i="6"/>
  <c r="I272" i="6"/>
  <c r="I308" i="6"/>
  <c r="L338" i="6"/>
  <c r="I338" i="6"/>
  <c r="N338" i="6"/>
  <c r="L363" i="6"/>
  <c r="H415" i="6"/>
  <c r="L418" i="6"/>
  <c r="J418" i="6"/>
  <c r="I418" i="6"/>
  <c r="H418" i="6"/>
  <c r="N418" i="6"/>
  <c r="K418" i="6"/>
  <c r="L450" i="6"/>
  <c r="J450" i="6"/>
  <c r="N450" i="6"/>
  <c r="K450" i="6"/>
  <c r="I450" i="6"/>
  <c r="H485" i="6"/>
  <c r="L494" i="6"/>
  <c r="J494" i="6"/>
  <c r="K71" i="6"/>
  <c r="J71" i="6"/>
  <c r="H77" i="6"/>
  <c r="K95" i="6"/>
  <c r="J95" i="6"/>
  <c r="H101" i="6"/>
  <c r="K119" i="6"/>
  <c r="J119" i="6"/>
  <c r="H125" i="6"/>
  <c r="K143" i="6"/>
  <c r="J143" i="6"/>
  <c r="H149" i="6"/>
  <c r="L169" i="6"/>
  <c r="I248" i="6"/>
  <c r="J272" i="6"/>
  <c r="I306" i="6"/>
  <c r="J308" i="6"/>
  <c r="J345" i="6"/>
  <c r="H348" i="6"/>
  <c r="N363" i="6"/>
  <c r="H366" i="6"/>
  <c r="N369" i="6"/>
  <c r="I369" i="6"/>
  <c r="H369" i="6"/>
  <c r="H377" i="6"/>
  <c r="H386" i="6"/>
  <c r="N405" i="6"/>
  <c r="I405" i="6"/>
  <c r="H405" i="6"/>
  <c r="K410" i="6"/>
  <c r="K428" i="6"/>
  <c r="H431" i="6"/>
  <c r="N445" i="6"/>
  <c r="L445" i="6"/>
  <c r="K445" i="6"/>
  <c r="L475" i="6"/>
  <c r="K475" i="6"/>
  <c r="J475" i="6"/>
  <c r="L351" i="6"/>
  <c r="K351" i="6"/>
  <c r="J351" i="6"/>
  <c r="L367" i="6"/>
  <c r="H367" i="6"/>
  <c r="L384" i="6"/>
  <c r="H384" i="6"/>
  <c r="I393" i="6"/>
  <c r="H393" i="6"/>
  <c r="L408" i="6"/>
  <c r="J408" i="6"/>
  <c r="N408" i="6"/>
  <c r="K408" i="6"/>
  <c r="I408" i="6"/>
  <c r="L430" i="6"/>
  <c r="J430" i="6"/>
  <c r="I430" i="6"/>
  <c r="H430" i="6"/>
  <c r="K455" i="6"/>
  <c r="J455" i="6"/>
  <c r="L322" i="6"/>
  <c r="L352" i="6"/>
  <c r="N352" i="6"/>
  <c r="K352" i="6"/>
  <c r="N367" i="6"/>
  <c r="N384" i="6"/>
  <c r="N393" i="6"/>
  <c r="L403" i="6"/>
  <c r="K413" i="6"/>
  <c r="L416" i="6"/>
  <c r="J416" i="6"/>
  <c r="N416" i="6"/>
  <c r="N455" i="6"/>
  <c r="L499" i="6"/>
  <c r="K499" i="6"/>
  <c r="J499" i="6"/>
  <c r="N322" i="6"/>
  <c r="L368" i="6"/>
  <c r="H368" i="6"/>
  <c r="L394" i="6"/>
  <c r="J394" i="6"/>
  <c r="I394" i="6"/>
  <c r="H394" i="6"/>
  <c r="N403" i="6"/>
  <c r="L413" i="6"/>
  <c r="K479" i="6"/>
  <c r="J479" i="6"/>
  <c r="L342" i="6"/>
  <c r="K342" i="6"/>
  <c r="N397" i="6"/>
  <c r="L397" i="6"/>
  <c r="K397" i="6"/>
  <c r="L404" i="6"/>
  <c r="J404" i="6"/>
  <c r="L434" i="6"/>
  <c r="J434" i="6"/>
  <c r="N434" i="6"/>
  <c r="L466" i="6"/>
  <c r="J466" i="6"/>
  <c r="I466" i="6"/>
  <c r="H466" i="6"/>
  <c r="L376" i="6"/>
  <c r="N376" i="6"/>
  <c r="K376" i="6"/>
  <c r="J376" i="6"/>
  <c r="L414" i="6"/>
  <c r="J414" i="6"/>
  <c r="I414" i="6"/>
  <c r="K419" i="6"/>
  <c r="J419" i="6"/>
  <c r="I419" i="6"/>
  <c r="I441" i="6"/>
  <c r="H441" i="6"/>
  <c r="K451" i="6"/>
  <c r="J451" i="6"/>
  <c r="N469" i="6"/>
  <c r="L469" i="6"/>
  <c r="K469" i="6"/>
  <c r="L412" i="6"/>
  <c r="J412" i="6"/>
  <c r="L436" i="6"/>
  <c r="J436" i="6"/>
  <c r="L460" i="6"/>
  <c r="J460" i="6"/>
  <c r="L484" i="6"/>
  <c r="J484" i="6"/>
  <c r="L456" i="6"/>
  <c r="J456" i="6"/>
  <c r="L480" i="6"/>
  <c r="J480" i="6"/>
  <c r="L504" i="6"/>
  <c r="J504" i="6"/>
  <c r="L478" i="6"/>
  <c r="J478" i="6"/>
  <c r="L502" i="6"/>
  <c r="J502" i="6"/>
  <c r="L498" i="6"/>
  <c r="J498" i="6"/>
  <c r="H347" i="6"/>
  <c r="L355" i="6"/>
  <c r="H372" i="6"/>
  <c r="N380" i="6"/>
  <c r="I456" i="6"/>
  <c r="I467" i="6"/>
  <c r="I480" i="6"/>
  <c r="I491" i="6"/>
  <c r="I504" i="6"/>
  <c r="I347" i="6"/>
  <c r="I372" i="6"/>
  <c r="L400" i="6"/>
  <c r="J400" i="6"/>
  <c r="L424" i="6"/>
  <c r="J424" i="6"/>
  <c r="L448" i="6"/>
  <c r="J448" i="6"/>
  <c r="K456" i="6"/>
  <c r="H465" i="6"/>
  <c r="J467" i="6"/>
  <c r="L472" i="6"/>
  <c r="J472" i="6"/>
  <c r="H478" i="6"/>
  <c r="K480" i="6"/>
  <c r="H489" i="6"/>
  <c r="J491" i="6"/>
  <c r="L496" i="6"/>
  <c r="J496" i="6"/>
  <c r="H502" i="6"/>
  <c r="K504" i="6"/>
  <c r="J372" i="6"/>
  <c r="N456" i="6"/>
  <c r="I478" i="6"/>
  <c r="N480" i="6"/>
  <c r="I502" i="6"/>
  <c r="N504" i="6"/>
  <c r="J6" i="6" l="1"/>
  <c r="J9" i="6"/>
  <c r="K9" i="6" s="1"/>
  <c r="N9" i="6" s="1"/>
  <c r="J14" i="6"/>
  <c r="L14" i="6" s="1"/>
  <c r="J10" i="6"/>
  <c r="J11" i="6"/>
  <c r="J13" i="6"/>
  <c r="L13" i="6" s="1"/>
  <c r="J8" i="6"/>
  <c r="L8" i="6" s="1"/>
  <c r="C16" i="2"/>
  <c r="J12" i="6"/>
  <c r="K8" i="6"/>
  <c r="N8" i="6" s="1"/>
  <c r="C14" i="2"/>
  <c r="L7" i="6"/>
  <c r="K7" i="6"/>
  <c r="N7" i="6" s="1"/>
  <c r="L6" i="6"/>
  <c r="K6" i="6"/>
  <c r="K11" i="6"/>
  <c r="N11" i="6" s="1"/>
  <c r="L11" i="6"/>
  <c r="L10" i="6"/>
  <c r="C15" i="2"/>
  <c r="K10" i="6"/>
  <c r="N10" i="6" s="1"/>
  <c r="L12" i="6"/>
  <c r="K12" i="6"/>
  <c r="N12" i="6" s="1"/>
  <c r="K14" i="6"/>
  <c r="N14" i="6" s="1"/>
  <c r="G13" i="2"/>
  <c r="B9" i="2"/>
  <c r="E9" i="2"/>
  <c r="G14" i="2"/>
  <c r="L9" i="6"/>
  <c r="J5" i="6"/>
  <c r="K13" i="6" l="1"/>
  <c r="N13" i="6" s="1"/>
  <c r="E5" i="2"/>
  <c r="G15" i="2"/>
  <c r="L5" i="6"/>
  <c r="C13" i="2"/>
  <c r="K5" i="6"/>
  <c r="N6" i="6" s="1"/>
  <c r="K9" i="2" l="1"/>
  <c r="K5" i="2"/>
  <c r="N5" i="6"/>
  <c r="H5" i="2"/>
  <c r="G28" i="2" l="1"/>
  <c r="G24" i="2"/>
  <c r="G20" i="2"/>
  <c r="F24" i="2"/>
  <c r="C20" i="2"/>
  <c r="F28" i="2"/>
  <c r="F20" i="2"/>
  <c r="C28" i="2"/>
  <c r="E28" i="2"/>
  <c r="E24" i="2"/>
  <c r="E20" i="2"/>
  <c r="D28" i="2"/>
  <c r="D24" i="2"/>
  <c r="D20" i="2"/>
  <c r="C24" i="2"/>
  <c r="G30" i="2"/>
  <c r="G26" i="2"/>
  <c r="G22" i="2"/>
  <c r="E30" i="2"/>
  <c r="E22" i="2"/>
  <c r="F30" i="2"/>
  <c r="F26" i="2"/>
  <c r="F22" i="2"/>
  <c r="E26" i="2"/>
  <c r="B29" i="2"/>
  <c r="D22" i="2"/>
  <c r="B28" i="2"/>
  <c r="C22" i="2"/>
  <c r="G27" i="2"/>
  <c r="B27" i="2"/>
  <c r="F27" i="2"/>
  <c r="G21" i="2"/>
  <c r="E27" i="2"/>
  <c r="F21" i="2"/>
  <c r="D27" i="2"/>
  <c r="E21" i="2"/>
  <c r="C27" i="2"/>
  <c r="D21" i="2"/>
  <c r="D26" i="2"/>
  <c r="B21" i="2"/>
  <c r="B26" i="2"/>
  <c r="C26" i="2"/>
  <c r="B20" i="2"/>
  <c r="G31" i="2"/>
  <c r="F31" i="2"/>
  <c r="G25" i="2"/>
  <c r="E31" i="2"/>
  <c r="F25" i="2"/>
  <c r="D25" i="2"/>
  <c r="D31" i="2"/>
  <c r="E25" i="2"/>
  <c r="B31" i="2"/>
  <c r="D30" i="2"/>
  <c r="C31" i="2"/>
  <c r="C25" i="2"/>
  <c r="C30" i="2"/>
  <c r="B24" i="2"/>
  <c r="G23" i="2"/>
  <c r="G29" i="2"/>
  <c r="E23" i="2"/>
  <c r="B30" i="2"/>
  <c r="F23" i="2"/>
  <c r="F29" i="2"/>
  <c r="E29" i="2"/>
  <c r="D23" i="2"/>
  <c r="D29" i="2"/>
  <c r="C23" i="2"/>
  <c r="B23" i="2"/>
  <c r="B22" i="2"/>
  <c r="B25" i="2"/>
  <c r="C29" i="2"/>
  <c r="C21" i="2"/>
</calcChain>
</file>

<file path=xl/sharedStrings.xml><?xml version="1.0" encoding="utf-8"?>
<sst xmlns="http://schemas.openxmlformats.org/spreadsheetml/2006/main" count="189" uniqueCount="126">
  <si>
    <t>INVENTARIO Y COMPRAS PARA PYMES</t>
  </si>
  <si>
    <t>Registra productos, compras y ventas. El Excel calcula automáticamente stock, entradas, salidas y alertas.</t>
  </si>
  <si>
    <t>Promesa de la plantilla</t>
  </si>
  <si>
    <t>Controla tu inventario, registra compras y salidas, y conoce automáticamente tu stock disponible.</t>
  </si>
  <si>
    <t>Paso</t>
  </si>
  <si>
    <t>Hoja</t>
  </si>
  <si>
    <t>Qué hace</t>
  </si>
  <si>
    <t>Idea clave</t>
  </si>
  <si>
    <t>1</t>
  </si>
  <si>
    <t>Productos</t>
  </si>
  <si>
    <t>Registra código, descripción, categoría, proveedor, stock mínimo y stock inicial.</t>
  </si>
  <si>
    <t>La persona solo rellena Productos, Compras Entradas y Ventas Salidas. El inventario se calcula solo con la fórmula: Stock actual = Stock inicial + Entradas - Salidas.</t>
  </si>
  <si>
    <t>2</t>
  </si>
  <si>
    <t>Compras Entradas</t>
  </si>
  <si>
    <t>Anota cada compra o entrada de mercadería.</t>
  </si>
  <si>
    <t>3</t>
  </si>
  <si>
    <t>Ventas Salidas</t>
  </si>
  <si>
    <t>Anota cada venta, merma, muestra o salida de inventario.</t>
  </si>
  <si>
    <t>4</t>
  </si>
  <si>
    <t>Inventario</t>
  </si>
  <si>
    <t>5</t>
  </si>
  <si>
    <t>Dashboard</t>
  </si>
  <si>
    <t>DASHBOARD INVENTARIO PYME</t>
  </si>
  <si>
    <t>Visualiza stock total, productos críticos, entradas, salidas y categorías de inventario.</t>
  </si>
  <si>
    <t>Total productos</t>
  </si>
  <si>
    <t>Stock total</t>
  </si>
  <si>
    <t>Bajo stock</t>
  </si>
  <si>
    <t>Sin stock</t>
  </si>
  <si>
    <t>Uso recomendado: primero registra productos, luego entradas/compras y salidas/ventas. El inventario se actualiza automáticamente por código de producto.</t>
  </si>
  <si>
    <t>Unidades entradas</t>
  </si>
  <si>
    <t>Unidades salidas</t>
  </si>
  <si>
    <t>Monto comprado</t>
  </si>
  <si>
    <t>Productos OK</t>
  </si>
  <si>
    <t>Categoría</t>
  </si>
  <si>
    <t>Stock</t>
  </si>
  <si>
    <t>Movimiento</t>
  </si>
  <si>
    <t>Unidades</t>
  </si>
  <si>
    <t>Anillos</t>
  </si>
  <si>
    <t>Entradas</t>
  </si>
  <si>
    <t>Pulseras</t>
  </si>
  <si>
    <t>Salidas</t>
  </si>
  <si>
    <t>Pendientes</t>
  </si>
  <si>
    <t>Stock actual</t>
  </si>
  <si>
    <t>Otros</t>
  </si>
  <si>
    <t>PRODUCTOS CRÍTICOS</t>
  </si>
  <si>
    <t>Código</t>
  </si>
  <si>
    <t>Descripción</t>
  </si>
  <si>
    <t>Stock mín.</t>
  </si>
  <si>
    <t>Estado</t>
  </si>
  <si>
    <t>Acción</t>
  </si>
  <si>
    <t>PRODUCTOS</t>
  </si>
  <si>
    <t>Registra tus productos. Estos códigos alimentan las listas desplegables de compras y salidas.</t>
  </si>
  <si>
    <t>Código producto</t>
  </si>
  <si>
    <t>Proveedor</t>
  </si>
  <si>
    <t>Stock mínimo</t>
  </si>
  <si>
    <t>Stock inicial</t>
  </si>
  <si>
    <t>Costo referencia</t>
  </si>
  <si>
    <t>Ubicación</t>
  </si>
  <si>
    <t>Nota</t>
  </si>
  <si>
    <t>AN001</t>
  </si>
  <si>
    <t>Anillo luna plata</t>
  </si>
  <si>
    <t>Proveedor A</t>
  </si>
  <si>
    <t>Caja A1</t>
  </si>
  <si>
    <t>AN002</t>
  </si>
  <si>
    <t>Anillo venus plata</t>
  </si>
  <si>
    <t>AN003</t>
  </si>
  <si>
    <t>Anillo marte oro</t>
  </si>
  <si>
    <t>Proveedor B</t>
  </si>
  <si>
    <t>Caja A2</t>
  </si>
  <si>
    <t>PU001</t>
  </si>
  <si>
    <t>Pulsera rubí plata</t>
  </si>
  <si>
    <t>Caja B1</t>
  </si>
  <si>
    <t>PU002</t>
  </si>
  <si>
    <t>Pulsera rubí oro</t>
  </si>
  <si>
    <t>PE001</t>
  </si>
  <si>
    <t>Pendientes rubí plata</t>
  </si>
  <si>
    <t>Proveedor C</t>
  </si>
  <si>
    <t>Caja C1</t>
  </si>
  <si>
    <t>PE002</t>
  </si>
  <si>
    <t>Pendientes camee vermeil</t>
  </si>
  <si>
    <t>PE003</t>
  </si>
  <si>
    <t>Pendientes ídolo oro rosa</t>
  </si>
  <si>
    <t>Caja C2</t>
  </si>
  <si>
    <t>AN004</t>
  </si>
  <si>
    <t>Anillo tierra plata</t>
  </si>
  <si>
    <t>Caja A3</t>
  </si>
  <si>
    <t>AN005</t>
  </si>
  <si>
    <t>Anillo cielo plata</t>
  </si>
  <si>
    <t>COMPRAS / ENTRADAS</t>
  </si>
  <si>
    <t>Registra compras, reposiciones o cualquier entrada de mercadería.</t>
  </si>
  <si>
    <t>N° factura</t>
  </si>
  <si>
    <t>Fecha</t>
  </si>
  <si>
    <t>Cantidad</t>
  </si>
  <si>
    <t>Costo unitario</t>
  </si>
  <si>
    <t>Total compra</t>
  </si>
  <si>
    <t>F-1001</t>
  </si>
  <si>
    <t>Reposición inicial</t>
  </si>
  <si>
    <t>F-1002</t>
  </si>
  <si>
    <t>F-1003</t>
  </si>
  <si>
    <t>F-1004</t>
  </si>
  <si>
    <t>VENTAS / SALIDAS</t>
  </si>
  <si>
    <t>Registra ventas, mermas, muestras, devoluciones o cualquier salida de inventario.</t>
  </si>
  <si>
    <t>N° documento</t>
  </si>
  <si>
    <t>Motivo</t>
  </si>
  <si>
    <t>Cliente / destino</t>
  </si>
  <si>
    <t>Responsable</t>
  </si>
  <si>
    <t>V-2001</t>
  </si>
  <si>
    <t>Venta</t>
  </si>
  <si>
    <t>Cliente A</t>
  </si>
  <si>
    <t>Vendedor 1</t>
  </si>
  <si>
    <t>V-2002</t>
  </si>
  <si>
    <t>Cliente B</t>
  </si>
  <si>
    <t>V-2003</t>
  </si>
  <si>
    <t>Cliente C</t>
  </si>
  <si>
    <t>Vendedor 2</t>
  </si>
  <si>
    <t>V-2004</t>
  </si>
  <si>
    <t>Muestra</t>
  </si>
  <si>
    <t>Feria</t>
  </si>
  <si>
    <t>V-2005</t>
  </si>
  <si>
    <t>Cliente D</t>
  </si>
  <si>
    <t>INVENTARIO ACTUAL</t>
  </si>
  <si>
    <t>Stock actualizado automáticamente desde productos, compras y salidas.</t>
  </si>
  <si>
    <t>Acción sugerida</t>
  </si>
  <si>
    <t>_rank_critico</t>
  </si>
  <si>
    <t>Revisa stock actual, entradas, salidas y alertas automáticas (NO MODIFICAR)</t>
  </si>
  <si>
    <t>Visualiza productos críticos, stock total y movimientos (NO MODIFICAR)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</si>
</sst>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\(#,##0\);\-"/>
    <numFmt numFmtId="165" formatCode="\$#,##0;[Red]&quot;($&quot;#,##0\);\-"/>
    <numFmt numFmtId="166" formatCode="dd\-mm\-yyyy"/>
  </numFmts>
  <fonts count="14" x14ac:knownFonts="1">
    <font>
      <sz val="11"/>
      <color theme="1"/>
      <name val="Calibri"/>
      <family val="2"/>
      <charset val="1"/>
    </font>
    <font>
      <b/>
      <sz val="16"/>
      <color rgb="FFFFFFFF"/>
      <name val="Segoe UI"/>
      <charset val="1"/>
    </font>
    <font>
      <sz val="10"/>
      <color rgb="FFFFFFFF"/>
      <name val="Segoe UI"/>
      <charset val="1"/>
    </font>
    <font>
      <b/>
      <sz val="15"/>
      <color rgb="FF161524"/>
      <name val="Segoe UI"/>
      <charset val="1"/>
    </font>
    <font>
      <b/>
      <sz val="12"/>
      <color rgb="FF161524"/>
      <name val="Segoe UI"/>
      <charset val="1"/>
    </font>
    <font>
      <b/>
      <sz val="10"/>
      <color rgb="FFFFFFFF"/>
      <name val="Segoe UI"/>
      <charset val="1"/>
    </font>
    <font>
      <b/>
      <sz val="10"/>
      <color rgb="FF161524"/>
      <name val="Segoe UI"/>
      <charset val="1"/>
    </font>
    <font>
      <sz val="10"/>
      <color rgb="FF161524"/>
      <name val="Segoe UI"/>
      <charset val="1"/>
    </font>
    <font>
      <sz val="11"/>
      <color rgb="FFFFFFFF"/>
      <name val="Segoe UI"/>
      <family val="2"/>
    </font>
    <font>
      <b/>
      <sz val="18"/>
      <color rgb="FFFFFFFF"/>
      <name val="Segoe UI"/>
      <family val="2"/>
    </font>
    <font>
      <b/>
      <sz val="10"/>
      <color rgb="FFFFFFFF"/>
      <name val="Segoe UI"/>
      <family val="2"/>
    </font>
    <font>
      <sz val="10"/>
      <name val="Segoe UI"/>
      <family val="2"/>
    </font>
    <font>
      <sz val="11"/>
      <name val="Calibri"/>
      <family val="2"/>
      <charset val="1"/>
    </font>
    <font>
      <b/>
      <sz val="10"/>
      <color theme="0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161524"/>
      </patternFill>
    </fill>
    <fill>
      <patternFill patternType="solid">
        <fgColor rgb="FF8B3333"/>
        <bgColor rgb="FF993300"/>
      </patternFill>
    </fill>
    <fill>
      <patternFill patternType="solid">
        <fgColor rgb="FFD4AF37"/>
        <bgColor rgb="FF9BBB59"/>
      </patternFill>
    </fill>
    <fill>
      <patternFill patternType="solid">
        <fgColor rgb="FFFFFEF9"/>
        <bgColor rgb="FFFFFFFF"/>
      </patternFill>
    </fill>
    <fill>
      <patternFill patternType="solid">
        <fgColor theme="0"/>
        <bgColor rgb="FF4F81BD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rgb="FFFFF6D8"/>
        <bgColor rgb="FFFFFFFF"/>
      </patternFill>
    </fill>
    <fill>
      <patternFill patternType="solid">
        <fgColor rgb="FFFFF6D8"/>
        <bgColor indexed="64"/>
      </patternFill>
    </fill>
    <fill>
      <patternFill patternType="solid">
        <fgColor rgb="FFE7E6E6"/>
        <bgColor rgb="FFD9D9D9"/>
      </patternFill>
    </fill>
    <fill>
      <patternFill patternType="solid">
        <fgColor rgb="FFFFF6D8"/>
        <bgColor rgb="FF003366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auto="1"/>
      </left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5" fillId="2" borderId="2" xfId="0" applyFont="1" applyFill="1" applyBorder="1" applyAlignment="1" applyProtection="1">
      <alignment horizontal="center" vertical="center" wrapText="1"/>
      <protection locked="0"/>
    </xf>
    <xf numFmtId="0" fontId="6" fillId="5" borderId="2" xfId="0" applyFont="1" applyFill="1" applyBorder="1" applyAlignment="1" applyProtection="1">
      <alignment horizontal="center" vertical="center" wrapText="1"/>
      <protection locked="0"/>
    </xf>
    <xf numFmtId="0" fontId="7" fillId="5" borderId="2" xfId="0" applyFont="1" applyFill="1" applyBorder="1" applyAlignment="1" applyProtection="1">
      <alignment horizontal="left" vertical="center" wrapText="1"/>
      <protection locked="0"/>
    </xf>
    <xf numFmtId="0" fontId="0" fillId="6" borderId="0" xfId="0" applyFill="1" applyProtection="1">
      <protection locked="0"/>
    </xf>
    <xf numFmtId="0" fontId="0" fillId="7" borderId="0" xfId="0" applyFill="1"/>
    <xf numFmtId="0" fontId="6" fillId="8" borderId="2" xfId="0" applyFont="1" applyFill="1" applyBorder="1" applyAlignment="1" applyProtection="1">
      <alignment horizontal="center" vertical="center" wrapText="1"/>
      <protection locked="0"/>
    </xf>
    <xf numFmtId="0" fontId="7" fillId="8" borderId="2" xfId="0" applyFont="1" applyFill="1" applyBorder="1" applyAlignment="1" applyProtection="1">
      <alignment horizontal="left" vertical="center" wrapText="1"/>
      <protection locked="0"/>
    </xf>
    <xf numFmtId="0" fontId="0" fillId="6" borderId="0" xfId="0" applyFill="1"/>
    <xf numFmtId="0" fontId="7" fillId="6" borderId="0" xfId="0" applyFont="1" applyFill="1" applyAlignment="1" applyProtection="1">
      <alignment vertical="center" wrapText="1"/>
      <protection locked="0"/>
    </xf>
    <xf numFmtId="0" fontId="7" fillId="11" borderId="2" xfId="0" applyFont="1" applyFill="1" applyBorder="1" applyAlignment="1" applyProtection="1">
      <alignment horizontal="center" vertical="center" wrapText="1"/>
      <protection locked="0"/>
    </xf>
    <xf numFmtId="164" fontId="7" fillId="11" borderId="2" xfId="0" applyNumberFormat="1" applyFont="1" applyFill="1" applyBorder="1" applyAlignment="1" applyProtection="1">
      <alignment horizontal="center" vertical="center" wrapText="1"/>
      <protection locked="0"/>
    </xf>
    <xf numFmtId="0" fontId="11" fillId="12" borderId="2" xfId="0" applyFont="1" applyFill="1" applyBorder="1" applyAlignment="1" applyProtection="1">
      <alignment horizontal="center" vertical="center" wrapText="1"/>
      <protection locked="0"/>
    </xf>
    <xf numFmtId="164" fontId="11" fillId="12" borderId="2" xfId="0" applyNumberFormat="1" applyFont="1" applyFill="1" applyBorder="1" applyAlignment="1" applyProtection="1">
      <alignment horizontal="center" vertical="center" wrapText="1"/>
      <protection locked="0"/>
    </xf>
    <xf numFmtId="165" fontId="11" fillId="12" borderId="2" xfId="0" applyNumberFormat="1" applyFont="1" applyFill="1" applyBorder="1" applyAlignment="1" applyProtection="1">
      <alignment horizontal="center" vertical="center" wrapText="1"/>
      <protection locked="0"/>
    </xf>
    <xf numFmtId="166" fontId="11" fillId="12" borderId="2" xfId="0" applyNumberFormat="1" applyFont="1" applyFill="1" applyBorder="1" applyAlignment="1" applyProtection="1">
      <alignment horizontal="center" vertical="center" wrapText="1"/>
      <protection locked="0"/>
    </xf>
    <xf numFmtId="0" fontId="12" fillId="6" borderId="0" xfId="0" applyFont="1" applyFill="1" applyProtection="1">
      <protection locked="0"/>
    </xf>
    <xf numFmtId="0" fontId="12" fillId="7" borderId="0" xfId="0" applyFont="1" applyFill="1"/>
    <xf numFmtId="0" fontId="12" fillId="0" borderId="0" xfId="0" applyFont="1"/>
    <xf numFmtId="0" fontId="13" fillId="2" borderId="2" xfId="0" applyFont="1" applyFill="1" applyBorder="1" applyAlignment="1" applyProtection="1">
      <alignment horizontal="center" vertical="center" wrapText="1"/>
      <protection locked="0"/>
    </xf>
    <xf numFmtId="165" fontId="7" fillId="11" borderId="2" xfId="0" applyNumberFormat="1" applyFont="1" applyFill="1" applyBorder="1" applyAlignment="1" applyProtection="1">
      <alignment horizontal="center" vertical="center" wrapText="1"/>
      <protection locked="0"/>
    </xf>
    <xf numFmtId="0" fontId="7" fillId="11" borderId="4" xfId="0" applyFont="1" applyFill="1" applyBorder="1" applyAlignment="1" applyProtection="1">
      <alignment horizontal="center" vertical="center" wrapText="1"/>
      <protection locked="0"/>
    </xf>
    <xf numFmtId="164" fontId="7" fillId="11" borderId="4" xfId="0" applyNumberFormat="1" applyFont="1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Protection="1">
      <protection locked="0"/>
    </xf>
    <xf numFmtId="0" fontId="7" fillId="9" borderId="1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4" fillId="9" borderId="1" xfId="0" applyFont="1" applyFill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  <xf numFmtId="0" fontId="9" fillId="2" borderId="3" xfId="0" applyFont="1" applyFill="1" applyBorder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 vertical="center"/>
      <protection locked="0"/>
    </xf>
    <xf numFmtId="0" fontId="10" fillId="3" borderId="1" xfId="0" applyFont="1" applyFill="1" applyBorder="1" applyAlignment="1" applyProtection="1">
      <alignment horizontal="center" vertical="center"/>
      <protection locked="0"/>
    </xf>
    <xf numFmtId="164" fontId="6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165" fontId="6" fillId="4" borderId="1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43">
    <dxf>
      <font>
        <b/>
        <color rgb="FF006100"/>
      </font>
      <fill>
        <patternFill>
          <bgColor rgb="FFC6EFCE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ill>
        <patternFill patternType="solid">
          <fgColor rgb="FFD9D9D9"/>
          <bgColor rgb="FFE7E6E6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ill>
        <patternFill patternType="solid">
          <fgColor rgb="FFD9D9D9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</border>
    </dxf>
    <dxf>
      <font>
        <strike val="0"/>
        <outline val="0"/>
        <shadow val="0"/>
        <u val="none"/>
        <vertAlign val="baseline"/>
        <color auto="1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ill>
        <patternFill patternType="solid">
          <fgColor rgb="FFD9D9D9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sz val="10"/>
        <color auto="1"/>
        <name val="Segoe UI"/>
        <charset val="1"/>
        <scheme val="none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ill>
        <patternFill patternType="solid">
          <fgColor rgb="FFD9D9D9"/>
          <bgColor rgb="FFE7E6E6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color auto="1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color auto="1"/>
      </font>
      <fill>
        <patternFill patternType="solid">
          <fgColor rgb="FF003366"/>
          <bgColor rgb="FFFFF6D8"/>
        </patternFill>
      </fill>
      <border outline="0">
        <left style="thin">
          <color rgb="FF1F1F1F"/>
        </left>
        <right style="thin">
          <color rgb="FF1F1F1F"/>
        </right>
      </border>
    </dxf>
    <dxf>
      <font>
        <strike val="0"/>
        <outline val="0"/>
        <shadow val="0"/>
        <u val="none"/>
        <vertAlign val="baseline"/>
        <color auto="1"/>
      </font>
      <fill>
        <patternFill patternType="solid">
          <fgColor rgb="FF003366"/>
          <bgColor rgb="FFFFF6D8"/>
        </patternFill>
      </fill>
      <border outline="0">
        <right style="thin">
          <color rgb="FF1F1F1F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3F6F91"/>
      <rgbColor rgb="FFC0C0C0"/>
      <rgbColor rgb="FF878787"/>
      <rgbColor rgb="FF9999FF"/>
      <rgbColor rgb="FF8B3333"/>
      <rgbColor rgb="FFFFF2CC"/>
      <rgbColor rgb="FFDCEA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EF9"/>
      <rgbColor rgb="FFC6EFCE"/>
      <rgbColor rgb="FFFFFF99"/>
      <rgbColor rgb="FF99CCFF"/>
      <rgbColor rgb="FFFF99CC"/>
      <rgbColor rgb="FFCC99FF"/>
      <rgbColor rgb="FFFFC7CE"/>
      <rgbColor rgb="FF4F81BD"/>
      <rgbColor rgb="FF33CCCC"/>
      <rgbColor rgb="FF9BBB59"/>
      <rgbColor rgb="FFFFCC00"/>
      <rgbColor rgb="FFD4AF37"/>
      <rgbColor rgb="FFFF6600"/>
      <rgbColor rgb="FF8064A2"/>
      <rgbColor rgb="FF5287A5"/>
      <rgbColor rgb="FF003366"/>
      <rgbColor rgb="FF20A87D"/>
      <rgbColor rgb="FF161524"/>
      <rgbColor rgb="FF333300"/>
      <rgbColor rgb="FF993300"/>
      <rgbColor rgb="FFC0504D"/>
      <rgbColor rgb="FF244765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7E6E6"/>
      <color rgb="FFFFF6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L" sz="1800" b="1" strike="noStrike" spc="-1">
                <a:solidFill>
                  <a:srgbClr val="000000"/>
                </a:solidFill>
                <a:latin typeface="Calibri"/>
              </a:rPr>
              <a:t>Stock por categoría</a:t>
            </a:r>
          </a:p>
        </c:rich>
      </c:tx>
      <c:layout>
        <c:manualLayout>
          <c:xMode val="edge"/>
          <c:yMode val="edge"/>
          <c:x val="0.28703381656631788"/>
          <c:y val="4.4119782277197123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Dashboard!$C$12</c:f>
              <c:strCache>
                <c:ptCount val="1"/>
                <c:pt idx="0">
                  <c:v>Stock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D443-4789-A62C-024D3D0E85C2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443-4789-A62C-024D3D0E85C2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443-4789-A62C-024D3D0E85C2}"/>
              </c:ext>
            </c:extLst>
          </c:dPt>
          <c:dPt>
            <c:idx val="3"/>
            <c:invertIfNegative val="1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D443-4789-A62C-024D3D0E85C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43-4789-A62C-024D3D0E85C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43-4789-A62C-024D3D0E85C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43-4789-A62C-024D3D0E85C2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CL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43-4789-A62C-024D3D0E85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Dashboard!$B$13:$B$16</c:f>
              <c:strCache>
                <c:ptCount val="4"/>
                <c:pt idx="0">
                  <c:v>Anillos</c:v>
                </c:pt>
                <c:pt idx="1">
                  <c:v>Pulseras</c:v>
                </c:pt>
                <c:pt idx="2">
                  <c:v>Pendientes</c:v>
                </c:pt>
                <c:pt idx="3">
                  <c:v>Otros</c:v>
                </c:pt>
              </c:strCache>
            </c:strRef>
          </c:cat>
          <c:val>
            <c:numRef>
              <c:f>Dashboard!$C$13:$C$16</c:f>
              <c:numCache>
                <c:formatCode>#,##0;[Red]\(#,##0\);\-</c:formatCode>
                <c:ptCount val="4"/>
                <c:pt idx="0">
                  <c:v>63</c:v>
                </c:pt>
                <c:pt idx="1">
                  <c:v>25</c:v>
                </c:pt>
                <c:pt idx="2">
                  <c:v>47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43-4789-A62C-024D3D0E8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005937"/>
        <c:axId val="59755021"/>
      </c:barChart>
      <c:catAx>
        <c:axId val="35005937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s-CL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Categoría</a:t>
                </a:r>
              </a:p>
            </c:rich>
          </c:tx>
          <c:layout>
            <c:manualLayout>
              <c:xMode val="edge"/>
              <c:yMode val="edge"/>
              <c:x val="0.40690263245065378"/>
              <c:y val="0.9108670355588438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59755021"/>
        <c:crosses val="autoZero"/>
        <c:auto val="1"/>
        <c:lblAlgn val="ctr"/>
        <c:lblOffset val="100"/>
        <c:noMultiLvlLbl val="0"/>
      </c:catAx>
      <c:valAx>
        <c:axId val="5975502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Unidades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(#,##0\);\-" sourceLinked="1"/>
        <c:majorTickMark val="none"/>
        <c:minorTickMark val="none"/>
        <c:tickLblPos val="nextTo"/>
        <c:crossAx val="35005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7247361111111101"/>
          <c:y val="0.30083124999999999"/>
          <c:w val="0.2098875"/>
          <c:h val="0.3586500000000000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Entradas, salidas y stock</a:t>
            </a:r>
          </a:p>
        </c:rich>
      </c:tx>
      <c:layout>
        <c:manualLayout>
          <c:xMode val="edge"/>
          <c:yMode val="edge"/>
          <c:x val="0.29921472818736961"/>
          <c:y val="0.809568620062211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7581822583840176"/>
          <c:y val="0.13357233948643335"/>
          <c:w val="0.46078703262142856"/>
          <c:h val="0.65741416277191311"/>
        </c:manualLayout>
      </c:layout>
      <c:pieChart>
        <c:varyColors val="1"/>
        <c:ser>
          <c:idx val="0"/>
          <c:order val="0"/>
          <c:tx>
            <c:strRef>
              <c:f>Dashboard!$G$12</c:f>
              <c:strCache>
                <c:ptCount val="1"/>
                <c:pt idx="0">
                  <c:v>Unidades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B2-42F3-9E24-F1BC4C5C3B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B2-42F3-9E24-F1BC4C5C3B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8B2-42F3-9E24-F1BC4C5C3B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Dashboard!$F$13:$F$15</c:f>
              <c:strCache>
                <c:ptCount val="3"/>
                <c:pt idx="0">
                  <c:v>Entradas</c:v>
                </c:pt>
                <c:pt idx="1">
                  <c:v>Salidas</c:v>
                </c:pt>
                <c:pt idx="2">
                  <c:v>Stock actual</c:v>
                </c:pt>
              </c:strCache>
            </c:strRef>
          </c:cat>
          <c:val>
            <c:numRef>
              <c:f>Dashboard!$G$13:$G$15</c:f>
              <c:numCache>
                <c:formatCode>#,##0;[Red]\(#,##0\);\-</c:formatCode>
                <c:ptCount val="3"/>
                <c:pt idx="0">
                  <c:v>53</c:v>
                </c:pt>
                <c:pt idx="1">
                  <c:v>35</c:v>
                </c:pt>
                <c:pt idx="2">
                  <c:v>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B2-42F3-9E24-F1BC4C5C3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071596442188002"/>
          <c:y val="0.8942043624728937"/>
          <c:w val="0.48826200834916839"/>
          <c:h val="7.4777174737921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162000</xdr:colOff>
      <xdr:row>11</xdr:row>
      <xdr:rowOff>0</xdr:rowOff>
    </xdr:from>
    <xdr:to>
      <xdr:col>11</xdr:col>
      <xdr:colOff>533880</xdr:colOff>
      <xdr:row>21</xdr:row>
      <xdr:rowOff>78540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780945</xdr:colOff>
      <xdr:row>10</xdr:row>
      <xdr:rowOff>266565</xdr:rowOff>
    </xdr:from>
    <xdr:to>
      <xdr:col>17</xdr:col>
      <xdr:colOff>126525</xdr:colOff>
      <xdr:row>21</xdr:row>
      <xdr:rowOff>56025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ComprasEntradas" displayName="TablaComprasEntradas" ref="B4:J604" totalsRowShown="0">
  <autoFilter ref="B4:J604" xr:uid="{00000000-0009-0000-0100-000001000000}"/>
  <tableColumns count="9">
    <tableColumn id="1" xr3:uid="{00000000-0010-0000-0100-000001000000}" name="N° factura" dataDxfId="42"/>
    <tableColumn id="2" xr3:uid="{00000000-0010-0000-0100-000002000000}" name="Fecha" dataDxfId="41"/>
    <tableColumn id="3" xr3:uid="{00000000-0010-0000-0100-000003000000}" name="Código producto" dataDxfId="40"/>
    <tableColumn id="4" xr3:uid="{00000000-0010-0000-0100-000004000000}" name="Descripción" dataDxfId="39"/>
    <tableColumn id="5" xr3:uid="{00000000-0010-0000-0100-000005000000}" name="Cantidad" dataDxfId="38"/>
    <tableColumn id="6" xr3:uid="{00000000-0010-0000-0100-000006000000}" name="Costo unitario" dataDxfId="37"/>
    <tableColumn id="7" xr3:uid="{00000000-0010-0000-0100-000007000000}" name="Total compra" dataDxfId="36"/>
    <tableColumn id="8" xr3:uid="{00000000-0010-0000-0100-000008000000}" name="Proveedor" dataDxfId="35"/>
    <tableColumn id="9" xr3:uid="{00000000-0010-0000-0100-000009000000}" name="Nota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aProductosInventario" displayName="TablaProductosInventario" ref="B4:J204" totalsRowShown="0" dataDxfId="33">
  <autoFilter ref="B4:J204" xr:uid="{00000000-0009-0000-0100-000003000000}"/>
  <tableColumns count="9">
    <tableColumn id="1" xr3:uid="{00000000-0010-0000-0000-000001000000}" name="Código producto" dataDxfId="32"/>
    <tableColumn id="2" xr3:uid="{00000000-0010-0000-0000-000002000000}" name="Descripción" dataDxfId="31"/>
    <tableColumn id="3" xr3:uid="{00000000-0010-0000-0000-000003000000}" name="Categoría" dataDxfId="30"/>
    <tableColumn id="4" xr3:uid="{00000000-0010-0000-0000-000004000000}" name="Proveedor" dataDxfId="29"/>
    <tableColumn id="5" xr3:uid="{00000000-0010-0000-0000-000005000000}" name="Stock mínimo" dataDxfId="28"/>
    <tableColumn id="6" xr3:uid="{00000000-0010-0000-0000-000006000000}" name="Stock inicial" dataDxfId="27"/>
    <tableColumn id="7" xr3:uid="{00000000-0010-0000-0000-000007000000}" name="Costo referencia" dataDxfId="26"/>
    <tableColumn id="8" xr3:uid="{00000000-0010-0000-0000-000008000000}" name="Ubicación" dataDxfId="25"/>
    <tableColumn id="9" xr3:uid="{00000000-0010-0000-0000-000009000000}" name="Nota" dataDxfId="2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VentasSalidas" displayName="TablaVentasSalidas" ref="B4:J604" totalsRowShown="0">
  <autoFilter ref="B4:J604" xr:uid="{00000000-0009-0000-0100-000004000000}"/>
  <tableColumns count="9">
    <tableColumn id="1" xr3:uid="{00000000-0010-0000-0200-000001000000}" name="N° documento" dataDxfId="23"/>
    <tableColumn id="2" xr3:uid="{00000000-0010-0000-0200-000002000000}" name="Fecha" dataDxfId="22"/>
    <tableColumn id="3" xr3:uid="{00000000-0010-0000-0200-000003000000}" name="Código producto" dataDxfId="21"/>
    <tableColumn id="4" xr3:uid="{00000000-0010-0000-0200-000004000000}" name="Descripción" dataDxfId="20"/>
    <tableColumn id="5" xr3:uid="{00000000-0010-0000-0200-000005000000}" name="Cantidad" dataDxfId="19"/>
    <tableColumn id="6" xr3:uid="{00000000-0010-0000-0200-000006000000}" name="Motivo" dataDxfId="18"/>
    <tableColumn id="7" xr3:uid="{00000000-0010-0000-0200-000007000000}" name="Cliente / destino" dataDxfId="17"/>
    <tableColumn id="8" xr3:uid="{00000000-0010-0000-0200-000008000000}" name="Responsable" dataDxfId="16"/>
    <tableColumn id="9" xr3:uid="{00000000-0010-0000-0200-000009000000}" name="Nota" dataDxfId="1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aInventarioActual" displayName="TablaInventarioActual" ref="B4:L204" totalsRowShown="0" dataDxfId="14">
  <autoFilter ref="B4:L204" xr:uid="{00000000-0009-0000-0100-000002000000}"/>
  <tableColumns count="11">
    <tableColumn id="1" xr3:uid="{00000000-0010-0000-0300-000001000000}" name="Código producto" dataDxfId="13"/>
    <tableColumn id="2" xr3:uid="{00000000-0010-0000-0300-000002000000}" name="Descripción" dataDxfId="12"/>
    <tableColumn id="3" xr3:uid="{00000000-0010-0000-0300-000003000000}" name="Categoría" dataDxfId="11"/>
    <tableColumn id="4" xr3:uid="{00000000-0010-0000-0300-000004000000}" name="Proveedor" dataDxfId="10"/>
    <tableColumn id="5" xr3:uid="{00000000-0010-0000-0300-000005000000}" name="Stock mínimo" dataDxfId="9"/>
    <tableColumn id="6" xr3:uid="{00000000-0010-0000-0300-000006000000}" name="Stock inicial" dataDxfId="8"/>
    <tableColumn id="7" xr3:uid="{00000000-0010-0000-0300-000007000000}" name="Entradas" dataDxfId="7"/>
    <tableColumn id="8" xr3:uid="{00000000-0010-0000-0300-000008000000}" name="Salidas" dataDxfId="6"/>
    <tableColumn id="9" xr3:uid="{00000000-0010-0000-0300-000009000000}" name="Stock actual" dataDxfId="5"/>
    <tableColumn id="10" xr3:uid="{00000000-0010-0000-0300-00000A000000}" name="Estado" dataDxfId="4"/>
    <tableColumn id="11" xr3:uid="{00000000-0010-0000-0300-00000B000000}" name="Acción sugerida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4AF37"/>
  </sheetPr>
  <dimension ref="B1:Q643"/>
  <sheetViews>
    <sheetView showGridLines="0" tabSelected="1" topLeftCell="A4" zoomScale="120" zoomScaleNormal="120" workbookViewId="0">
      <selection activeCell="E11" sqref="E11"/>
    </sheetView>
  </sheetViews>
  <sheetFormatPr baseColWidth="10" defaultColWidth="9.140625" defaultRowHeight="15" x14ac:dyDescent="0.25"/>
  <cols>
    <col min="2" max="2" width="4" customWidth="1"/>
    <col min="3" max="3" width="24" customWidth="1"/>
    <col min="4" max="4" width="34" customWidth="1"/>
    <col min="5" max="5" width="42" customWidth="1"/>
    <col min="6" max="6" width="20" customWidth="1"/>
    <col min="7" max="9" width="22" customWidth="1"/>
    <col min="10" max="15" width="22" style="5" customWidth="1"/>
    <col min="16" max="17" width="9.140625" style="5"/>
  </cols>
  <sheetData>
    <row r="1" spans="2:17" ht="31.5" customHeight="1" x14ac:dyDescent="0.25">
      <c r="B1" s="28" t="s">
        <v>0</v>
      </c>
      <c r="C1" s="29"/>
      <c r="D1" s="29"/>
      <c r="E1" s="29"/>
      <c r="F1" s="29"/>
      <c r="G1" s="29"/>
      <c r="H1" s="29"/>
      <c r="I1" s="29"/>
      <c r="J1" s="4"/>
      <c r="K1" s="4"/>
      <c r="L1" s="4"/>
      <c r="M1" s="4"/>
      <c r="N1" s="4"/>
      <c r="O1" s="4"/>
    </row>
    <row r="2" spans="2:17" ht="21.75" customHeight="1" x14ac:dyDescent="0.25">
      <c r="B2" s="30" t="s">
        <v>1</v>
      </c>
      <c r="C2" s="31"/>
      <c r="D2" s="31"/>
      <c r="E2" s="31"/>
      <c r="F2" s="31"/>
      <c r="G2" s="31"/>
      <c r="H2" s="31"/>
      <c r="I2" s="31"/>
      <c r="J2" s="4"/>
      <c r="K2" s="4"/>
      <c r="L2" s="4"/>
      <c r="M2" s="4"/>
      <c r="N2" s="4"/>
      <c r="O2" s="4"/>
    </row>
    <row r="3" spans="2:17" ht="21.75" customHeight="1" x14ac:dyDescent="0.25"/>
    <row r="4" spans="2:17" ht="21.75" customHeight="1" x14ac:dyDescent="0.25">
      <c r="B4" s="4"/>
      <c r="C4" s="25" t="s">
        <v>2</v>
      </c>
      <c r="D4" s="25"/>
      <c r="E4" s="25"/>
      <c r="F4" s="25"/>
      <c r="G4" s="4"/>
      <c r="H4" s="4"/>
      <c r="I4" s="4"/>
      <c r="J4" s="4"/>
      <c r="K4" s="4"/>
      <c r="L4" s="4"/>
      <c r="M4" s="4"/>
      <c r="N4" s="4"/>
      <c r="O4" s="4"/>
    </row>
    <row r="5" spans="2:17" ht="21.75" customHeight="1" x14ac:dyDescent="0.25">
      <c r="B5" s="4"/>
      <c r="C5" s="26" t="s">
        <v>3</v>
      </c>
      <c r="D5" s="26"/>
      <c r="E5" s="26"/>
      <c r="F5" s="26"/>
      <c r="G5" s="4"/>
      <c r="H5" s="4"/>
      <c r="I5" s="4"/>
      <c r="J5" s="4"/>
      <c r="K5" s="4"/>
      <c r="L5" s="4"/>
      <c r="M5" s="4"/>
      <c r="N5" s="4"/>
      <c r="O5" s="4"/>
    </row>
    <row r="6" spans="2:17" ht="21.75" customHeight="1" x14ac:dyDescent="0.25">
      <c r="B6" s="4"/>
      <c r="C6" s="26"/>
      <c r="D6" s="26"/>
      <c r="E6" s="26"/>
      <c r="F6" s="26"/>
      <c r="G6" s="4"/>
      <c r="H6" s="4"/>
      <c r="I6" s="4"/>
      <c r="J6" s="4"/>
      <c r="K6" s="4"/>
      <c r="L6" s="4"/>
      <c r="M6" s="4"/>
      <c r="N6" s="4"/>
      <c r="O6" s="4"/>
    </row>
    <row r="7" spans="2:17" ht="21.75" customHeight="1" x14ac:dyDescent="0.25">
      <c r="B7" s="4"/>
      <c r="C7" s="26"/>
      <c r="D7" s="26"/>
      <c r="E7" s="26"/>
      <c r="F7" s="26"/>
      <c r="G7" s="4"/>
      <c r="H7" s="4"/>
      <c r="I7" s="4"/>
      <c r="J7" s="4"/>
      <c r="K7" s="4"/>
      <c r="L7" s="4"/>
      <c r="M7" s="4"/>
      <c r="N7" s="4"/>
      <c r="O7" s="4"/>
    </row>
    <row r="8" spans="2:17" s="5" customFormat="1" ht="21.75" customHeigh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spans="2:17" ht="21.75" customHeight="1" x14ac:dyDescent="0.25">
      <c r="B9" s="4"/>
      <c r="C9" s="1" t="s">
        <v>4</v>
      </c>
      <c r="D9" s="1" t="s">
        <v>5</v>
      </c>
      <c r="E9" s="1" t="s">
        <v>6</v>
      </c>
      <c r="F9" s="4"/>
      <c r="G9" s="27" t="s">
        <v>7</v>
      </c>
      <c r="H9" s="27"/>
      <c r="I9" s="27"/>
      <c r="J9" s="4"/>
      <c r="K9" s="4"/>
      <c r="L9" s="4"/>
      <c r="M9" s="4"/>
      <c r="N9" s="4"/>
      <c r="O9" s="4"/>
      <c r="P9" s="4"/>
      <c r="Q9" s="4"/>
    </row>
    <row r="10" spans="2:17" ht="36.75" customHeight="1" x14ac:dyDescent="0.25">
      <c r="B10" s="4"/>
      <c r="C10" s="2" t="s">
        <v>8</v>
      </c>
      <c r="D10" s="3" t="s">
        <v>9</v>
      </c>
      <c r="E10" s="3" t="s">
        <v>10</v>
      </c>
      <c r="F10" s="4"/>
      <c r="G10" s="24" t="s">
        <v>11</v>
      </c>
      <c r="H10" s="24"/>
      <c r="I10" s="24"/>
      <c r="J10" s="4"/>
      <c r="K10" s="4"/>
      <c r="L10" s="4"/>
      <c r="M10" s="4"/>
      <c r="N10" s="4"/>
      <c r="O10" s="4"/>
      <c r="P10" s="4"/>
      <c r="Q10" s="4"/>
    </row>
    <row r="11" spans="2:17" ht="22.5" customHeight="1" x14ac:dyDescent="0.25">
      <c r="B11" s="4"/>
      <c r="C11" s="6" t="s">
        <v>12</v>
      </c>
      <c r="D11" s="7" t="s">
        <v>13</v>
      </c>
      <c r="E11" s="7" t="s">
        <v>14</v>
      </c>
      <c r="F11" s="4"/>
      <c r="G11" s="24"/>
      <c r="H11" s="24"/>
      <c r="I11" s="24"/>
      <c r="J11" s="4"/>
      <c r="K11" s="4"/>
      <c r="L11" s="4"/>
      <c r="M11" s="4"/>
      <c r="N11" s="4"/>
      <c r="O11" s="4"/>
      <c r="P11" s="4"/>
      <c r="Q11" s="4"/>
    </row>
    <row r="12" spans="2:17" ht="29.25" customHeight="1" x14ac:dyDescent="0.25">
      <c r="B12" s="4"/>
      <c r="C12" s="2" t="s">
        <v>15</v>
      </c>
      <c r="D12" s="3" t="s">
        <v>16</v>
      </c>
      <c r="E12" s="3" t="s">
        <v>17</v>
      </c>
      <c r="F12" s="4"/>
      <c r="G12" s="24"/>
      <c r="H12" s="24"/>
      <c r="I12" s="24"/>
      <c r="J12" s="4"/>
      <c r="K12" s="4"/>
      <c r="L12" s="4"/>
      <c r="M12" s="4"/>
      <c r="N12" s="4"/>
      <c r="O12" s="4"/>
      <c r="P12" s="4"/>
      <c r="Q12" s="4"/>
    </row>
    <row r="13" spans="2:17" ht="30" customHeight="1" x14ac:dyDescent="0.25">
      <c r="B13" s="4"/>
      <c r="C13" s="6" t="s">
        <v>18</v>
      </c>
      <c r="D13" s="7" t="s">
        <v>19</v>
      </c>
      <c r="E13" s="7" t="s">
        <v>124</v>
      </c>
      <c r="F13" s="4"/>
      <c r="G13" s="24"/>
      <c r="H13" s="24"/>
      <c r="I13" s="24"/>
      <c r="J13" s="4"/>
      <c r="K13" s="4"/>
      <c r="L13" s="4"/>
      <c r="M13" s="4"/>
      <c r="N13" s="4"/>
      <c r="O13" s="4"/>
      <c r="P13" s="4"/>
      <c r="Q13" s="4"/>
    </row>
    <row r="14" spans="2:17" ht="26.25" customHeight="1" x14ac:dyDescent="0.25">
      <c r="B14" s="4"/>
      <c r="C14" s="2" t="s">
        <v>20</v>
      </c>
      <c r="D14" s="3" t="s">
        <v>21</v>
      </c>
      <c r="E14" s="3" t="s">
        <v>125</v>
      </c>
      <c r="F14" s="4"/>
      <c r="G14" s="4"/>
      <c r="H14" s="4"/>
      <c r="I14" s="4"/>
      <c r="J14" s="4"/>
      <c r="K14" s="4"/>
      <c r="L14" s="4"/>
      <c r="M14" s="4"/>
      <c r="N14" s="4"/>
      <c r="O14" s="4"/>
    </row>
    <row r="15" spans="2:17" s="5" customFormat="1" ht="21.75" customHeight="1" x14ac:dyDescent="0.25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spans="2:17" s="5" customFormat="1" ht="21.75" customHeight="1" x14ac:dyDescent="0.25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spans="2:15" s="5" customFormat="1" ht="21.75" customHeight="1" x14ac:dyDescent="0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2:15" s="5" customFormat="1" ht="21.75" customHeight="1" x14ac:dyDescent="0.25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2:15" s="5" customFormat="1" ht="21.75" customHeight="1" x14ac:dyDescent="0.25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spans="2:15" s="5" customFormat="1" ht="21.75" customHeight="1" x14ac:dyDescent="0.25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 spans="2:15" s="5" customFormat="1" ht="21.75" customHeight="1" x14ac:dyDescent="0.25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2:15" s="5" customFormat="1" ht="21.75" customHeight="1" x14ac:dyDescent="0.25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spans="2:15" s="5" customFormat="1" ht="21.75" customHeight="1" x14ac:dyDescent="0.25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2:15" s="5" customFormat="1" ht="21.75" customHeight="1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spans="2:15" s="5" customFormat="1" ht="21.75" customHeight="1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</row>
    <row r="26" spans="2:15" s="5" customFormat="1" ht="21.75" customHeight="1" x14ac:dyDescent="0.2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spans="2:15" s="5" customFormat="1" ht="21.75" customHeight="1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</row>
    <row r="28" spans="2:15" s="5" customFormat="1" ht="21.75" customHeight="1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2:15" s="5" customFormat="1" ht="21.75" customHeight="1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</row>
    <row r="30" spans="2:15" s="5" customFormat="1" ht="21.75" customHeight="1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</row>
    <row r="31" spans="2:15" s="5" customFormat="1" ht="21.75" customHeight="1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spans="2:15" s="5" customFormat="1" ht="21.75" customHeight="1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2:15" s="5" customFormat="1" ht="21.75" customHeight="1" x14ac:dyDescent="0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spans="2:15" s="5" customFormat="1" ht="21.75" customHeight="1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spans="2:15" s="5" customFormat="1" ht="21.75" customHeight="1" x14ac:dyDescent="0.25"/>
    <row r="36" spans="2:15" s="5" customFormat="1" ht="21.75" customHeight="1" x14ac:dyDescent="0.25"/>
    <row r="37" spans="2:15" s="5" customFormat="1" ht="21.75" customHeight="1" x14ac:dyDescent="0.25"/>
    <row r="38" spans="2:15" s="5" customFormat="1" ht="21.75" customHeight="1" x14ac:dyDescent="0.25"/>
    <row r="39" spans="2:15" s="5" customFormat="1" ht="21.75" customHeight="1" x14ac:dyDescent="0.25"/>
    <row r="40" spans="2:15" s="5" customFormat="1" ht="21.75" customHeight="1" x14ac:dyDescent="0.25"/>
    <row r="41" spans="2:15" s="5" customFormat="1" ht="21.75" customHeight="1" x14ac:dyDescent="0.25"/>
    <row r="42" spans="2:15" s="5" customFormat="1" ht="21.75" customHeight="1" x14ac:dyDescent="0.25"/>
    <row r="43" spans="2:15" s="5" customFormat="1" ht="21.75" customHeight="1" x14ac:dyDescent="0.25"/>
    <row r="44" spans="2:15" s="5" customFormat="1" ht="21.75" customHeight="1" x14ac:dyDescent="0.25"/>
    <row r="45" spans="2:15" s="5" customFormat="1" ht="21.75" customHeight="1" x14ac:dyDescent="0.25"/>
    <row r="46" spans="2:15" s="5" customFormat="1" ht="21.75" customHeight="1" x14ac:dyDescent="0.25"/>
    <row r="47" spans="2:15" s="5" customFormat="1" ht="21.75" customHeight="1" x14ac:dyDescent="0.25"/>
    <row r="48" spans="2:15" s="5" customFormat="1" ht="21.75" customHeight="1" x14ac:dyDescent="0.25"/>
    <row r="49" s="5" customFormat="1" ht="21.75" customHeight="1" x14ac:dyDescent="0.25"/>
    <row r="50" s="5" customFormat="1" ht="21.75" customHeight="1" x14ac:dyDescent="0.25"/>
    <row r="51" s="5" customFormat="1" ht="21.75" customHeight="1" x14ac:dyDescent="0.25"/>
    <row r="52" s="5" customFormat="1" ht="21.75" customHeight="1" x14ac:dyDescent="0.25"/>
    <row r="53" s="5" customFormat="1" ht="21.75" customHeight="1" x14ac:dyDescent="0.25"/>
    <row r="54" s="5" customFormat="1" ht="21.75" customHeight="1" x14ac:dyDescent="0.25"/>
    <row r="55" s="5" customFormat="1" ht="21.75" customHeight="1" x14ac:dyDescent="0.25"/>
    <row r="56" s="5" customFormat="1" ht="21.75" customHeight="1" x14ac:dyDescent="0.25"/>
    <row r="57" s="5" customFormat="1" ht="21.75" customHeight="1" x14ac:dyDescent="0.25"/>
    <row r="58" s="5" customFormat="1" ht="21.75" customHeight="1" x14ac:dyDescent="0.25"/>
    <row r="59" s="5" customFormat="1" ht="21.75" customHeight="1" x14ac:dyDescent="0.25"/>
    <row r="60" s="5" customFormat="1" ht="21.75" customHeight="1" x14ac:dyDescent="0.25"/>
    <row r="61" s="5" customFormat="1" ht="21.75" customHeight="1" x14ac:dyDescent="0.25"/>
    <row r="62" s="5" customFormat="1" ht="21.75" customHeight="1" x14ac:dyDescent="0.25"/>
    <row r="63" s="5" customFormat="1" ht="21.75" customHeight="1" x14ac:dyDescent="0.25"/>
    <row r="64" s="5" customFormat="1" ht="21.75" customHeight="1" x14ac:dyDescent="0.25"/>
    <row r="65" s="5" customFormat="1" ht="21.75" customHeight="1" x14ac:dyDescent="0.25"/>
    <row r="66" s="5" customFormat="1" ht="21.75" customHeight="1" x14ac:dyDescent="0.25"/>
    <row r="67" s="5" customFormat="1" ht="21.75" customHeight="1" x14ac:dyDescent="0.25"/>
    <row r="68" s="5" customFormat="1" ht="21.75" customHeight="1" x14ac:dyDescent="0.25"/>
    <row r="69" s="5" customFormat="1" ht="21.75" customHeight="1" x14ac:dyDescent="0.25"/>
    <row r="70" s="5" customFormat="1" ht="21.75" customHeight="1" x14ac:dyDescent="0.25"/>
    <row r="71" s="5" customFormat="1" ht="21.75" customHeight="1" x14ac:dyDescent="0.25"/>
    <row r="72" s="5" customFormat="1" ht="21.75" customHeight="1" x14ac:dyDescent="0.25"/>
    <row r="73" s="5" customFormat="1" ht="21.75" customHeight="1" x14ac:dyDescent="0.25"/>
    <row r="74" s="5" customFormat="1" ht="21.75" customHeight="1" x14ac:dyDescent="0.25"/>
    <row r="75" s="5" customFormat="1" ht="21.75" customHeight="1" x14ac:dyDescent="0.25"/>
    <row r="76" s="5" customFormat="1" ht="21.75" customHeight="1" x14ac:dyDescent="0.25"/>
    <row r="77" s="5" customFormat="1" ht="21.75" customHeight="1" x14ac:dyDescent="0.25"/>
    <row r="78" s="5" customFormat="1" ht="21.75" customHeight="1" x14ac:dyDescent="0.25"/>
    <row r="79" s="5" customFormat="1" ht="21.75" customHeight="1" x14ac:dyDescent="0.25"/>
    <row r="80" s="5" customFormat="1" ht="21.75" customHeight="1" x14ac:dyDescent="0.25"/>
    <row r="81" s="5" customFormat="1" ht="21.75" customHeight="1" x14ac:dyDescent="0.25"/>
    <row r="82" s="5" customFormat="1" ht="21.75" customHeight="1" x14ac:dyDescent="0.25"/>
    <row r="83" s="5" customFormat="1" ht="21.75" customHeight="1" x14ac:dyDescent="0.25"/>
    <row r="84" s="5" customFormat="1" ht="21.75" customHeight="1" x14ac:dyDescent="0.25"/>
    <row r="85" s="5" customFormat="1" ht="21.75" customHeight="1" x14ac:dyDescent="0.25"/>
    <row r="86" s="5" customFormat="1" ht="21.75" customHeight="1" x14ac:dyDescent="0.25"/>
    <row r="87" s="5" customFormat="1" ht="21.75" customHeight="1" x14ac:dyDescent="0.25"/>
    <row r="88" s="5" customFormat="1" ht="21.75" customHeight="1" x14ac:dyDescent="0.25"/>
    <row r="89" s="5" customFormat="1" ht="21.75" customHeight="1" x14ac:dyDescent="0.25"/>
    <row r="90" s="5" customFormat="1" ht="21.75" customHeight="1" x14ac:dyDescent="0.25"/>
    <row r="91" s="5" customFormat="1" ht="21.75" customHeight="1" x14ac:dyDescent="0.25"/>
    <row r="92" s="5" customFormat="1" ht="21.75" customHeight="1" x14ac:dyDescent="0.25"/>
    <row r="93" s="5" customFormat="1" ht="21.75" customHeight="1" x14ac:dyDescent="0.25"/>
    <row r="94" s="5" customFormat="1" ht="21.75" customHeight="1" x14ac:dyDescent="0.25"/>
    <row r="95" s="5" customFormat="1" ht="21.75" customHeight="1" x14ac:dyDescent="0.25"/>
    <row r="96" s="5" customFormat="1" ht="21.75" customHeight="1" x14ac:dyDescent="0.25"/>
    <row r="97" s="5" customFormat="1" ht="21.75" customHeight="1" x14ac:dyDescent="0.25"/>
    <row r="98" s="5" customFormat="1" ht="21.75" customHeight="1" x14ac:dyDescent="0.25"/>
    <row r="99" s="5" customFormat="1" ht="21.75" customHeight="1" x14ac:dyDescent="0.25"/>
    <row r="100" ht="21.75" customHeight="1" x14ac:dyDescent="0.25"/>
    <row r="101" ht="21.75" customHeight="1" x14ac:dyDescent="0.25"/>
    <row r="102" ht="21.75" customHeight="1" x14ac:dyDescent="0.25"/>
    <row r="103" ht="21.75" customHeight="1" x14ac:dyDescent="0.25"/>
    <row r="104" ht="21.75" customHeight="1" x14ac:dyDescent="0.25"/>
    <row r="105" ht="21.75" customHeight="1" x14ac:dyDescent="0.25"/>
    <row r="106" ht="21.75" customHeight="1" x14ac:dyDescent="0.25"/>
    <row r="107" ht="21.75" customHeight="1" x14ac:dyDescent="0.25"/>
    <row r="108" ht="21.75" customHeight="1" x14ac:dyDescent="0.25"/>
    <row r="109" ht="21.75" customHeight="1" x14ac:dyDescent="0.25"/>
    <row r="110" ht="21.75" customHeight="1" x14ac:dyDescent="0.25"/>
    <row r="111" ht="21.75" customHeight="1" x14ac:dyDescent="0.25"/>
    <row r="112" ht="21.75" customHeight="1" x14ac:dyDescent="0.25"/>
    <row r="113" ht="21.75" customHeight="1" x14ac:dyDescent="0.25"/>
    <row r="114" ht="21.75" customHeight="1" x14ac:dyDescent="0.25"/>
    <row r="115" ht="21.75" customHeight="1" x14ac:dyDescent="0.25"/>
    <row r="116" ht="21.75" customHeight="1" x14ac:dyDescent="0.25"/>
    <row r="117" ht="21.75" customHeight="1" x14ac:dyDescent="0.25"/>
    <row r="118" ht="21.75" customHeight="1" x14ac:dyDescent="0.25"/>
    <row r="119" ht="21.75" customHeight="1" x14ac:dyDescent="0.25"/>
    <row r="120" ht="21.75" customHeight="1" x14ac:dyDescent="0.25"/>
    <row r="121" ht="21.75" customHeight="1" x14ac:dyDescent="0.25"/>
    <row r="122" ht="21.75" customHeight="1" x14ac:dyDescent="0.25"/>
    <row r="123" ht="21.75" customHeight="1" x14ac:dyDescent="0.25"/>
    <row r="124" ht="21.75" customHeight="1" x14ac:dyDescent="0.25"/>
    <row r="125" ht="21.75" customHeight="1" x14ac:dyDescent="0.25"/>
    <row r="126" ht="21.75" customHeight="1" x14ac:dyDescent="0.25"/>
    <row r="127" ht="21.75" customHeight="1" x14ac:dyDescent="0.25"/>
    <row r="128" ht="21.75" customHeight="1" x14ac:dyDescent="0.25"/>
    <row r="129" ht="21.75" customHeight="1" x14ac:dyDescent="0.25"/>
    <row r="130" ht="21.75" customHeight="1" x14ac:dyDescent="0.25"/>
    <row r="131" ht="21.75" customHeight="1" x14ac:dyDescent="0.25"/>
    <row r="132" ht="21.75" customHeight="1" x14ac:dyDescent="0.25"/>
    <row r="133" ht="21.75" customHeight="1" x14ac:dyDescent="0.25"/>
    <row r="134" ht="21.75" customHeight="1" x14ac:dyDescent="0.25"/>
    <row r="135" ht="21.75" customHeight="1" x14ac:dyDescent="0.25"/>
    <row r="136" ht="21.75" customHeight="1" x14ac:dyDescent="0.25"/>
    <row r="137" ht="21.75" customHeight="1" x14ac:dyDescent="0.25"/>
    <row r="138" ht="21.75" customHeight="1" x14ac:dyDescent="0.25"/>
    <row r="139" ht="21.75" customHeight="1" x14ac:dyDescent="0.25"/>
    <row r="140" ht="21.75" customHeight="1" x14ac:dyDescent="0.25"/>
    <row r="141" ht="21.75" customHeight="1" x14ac:dyDescent="0.25"/>
    <row r="142" ht="21.75" customHeight="1" x14ac:dyDescent="0.25"/>
    <row r="143" ht="21.75" customHeight="1" x14ac:dyDescent="0.25"/>
    <row r="144" ht="21.75" customHeight="1" x14ac:dyDescent="0.25"/>
    <row r="145" ht="21.75" customHeight="1" x14ac:dyDescent="0.25"/>
    <row r="146" ht="21.75" customHeight="1" x14ac:dyDescent="0.25"/>
    <row r="147" ht="21.75" customHeight="1" x14ac:dyDescent="0.25"/>
    <row r="148" ht="21.75" customHeight="1" x14ac:dyDescent="0.25"/>
    <row r="149" ht="21.75" customHeight="1" x14ac:dyDescent="0.25"/>
    <row r="150" ht="21.75" customHeight="1" x14ac:dyDescent="0.25"/>
    <row r="151" ht="21.75" customHeight="1" x14ac:dyDescent="0.25"/>
    <row r="152" ht="21.75" customHeight="1" x14ac:dyDescent="0.25"/>
    <row r="153" ht="21.75" customHeight="1" x14ac:dyDescent="0.25"/>
    <row r="154" ht="21.75" customHeight="1" x14ac:dyDescent="0.25"/>
    <row r="155" ht="21.75" customHeight="1" x14ac:dyDescent="0.25"/>
    <row r="156" ht="21.75" customHeight="1" x14ac:dyDescent="0.25"/>
    <row r="157" ht="21.75" customHeight="1" x14ac:dyDescent="0.25"/>
    <row r="158" ht="21.75" customHeight="1" x14ac:dyDescent="0.25"/>
    <row r="159" ht="21.75" customHeight="1" x14ac:dyDescent="0.25"/>
    <row r="160" ht="21.75" customHeight="1" x14ac:dyDescent="0.25"/>
    <row r="161" ht="21.75" customHeight="1" x14ac:dyDescent="0.25"/>
    <row r="162" ht="21.75" customHeight="1" x14ac:dyDescent="0.25"/>
    <row r="163" ht="21.75" customHeight="1" x14ac:dyDescent="0.25"/>
    <row r="164" ht="21.75" customHeight="1" x14ac:dyDescent="0.25"/>
    <row r="165" ht="21.75" customHeight="1" x14ac:dyDescent="0.25"/>
    <row r="166" ht="21.75" customHeight="1" x14ac:dyDescent="0.25"/>
    <row r="167" ht="21.75" customHeight="1" x14ac:dyDescent="0.25"/>
    <row r="168" ht="21.75" customHeight="1" x14ac:dyDescent="0.25"/>
    <row r="169" ht="21.75" customHeight="1" x14ac:dyDescent="0.25"/>
    <row r="170" ht="21.75" customHeight="1" x14ac:dyDescent="0.25"/>
    <row r="171" ht="21.75" customHeight="1" x14ac:dyDescent="0.25"/>
    <row r="172" ht="21.75" customHeight="1" x14ac:dyDescent="0.25"/>
    <row r="173" ht="21.75" customHeight="1" x14ac:dyDescent="0.25"/>
    <row r="174" ht="21.75" customHeight="1" x14ac:dyDescent="0.25"/>
    <row r="175" ht="21.75" customHeight="1" x14ac:dyDescent="0.25"/>
    <row r="176" ht="21.75" customHeight="1" x14ac:dyDescent="0.25"/>
    <row r="177" ht="21.75" customHeight="1" x14ac:dyDescent="0.25"/>
    <row r="178" ht="21.75" customHeight="1" x14ac:dyDescent="0.25"/>
    <row r="179" ht="21.75" customHeight="1" x14ac:dyDescent="0.25"/>
    <row r="180" ht="21.75" customHeight="1" x14ac:dyDescent="0.25"/>
    <row r="181" ht="21.75" customHeight="1" x14ac:dyDescent="0.25"/>
    <row r="182" ht="21.75" customHeight="1" x14ac:dyDescent="0.25"/>
    <row r="183" ht="21.75" customHeight="1" x14ac:dyDescent="0.25"/>
    <row r="184" ht="21.75" customHeight="1" x14ac:dyDescent="0.25"/>
    <row r="185" ht="21.75" customHeight="1" x14ac:dyDescent="0.25"/>
    <row r="186" ht="21.75" customHeight="1" x14ac:dyDescent="0.25"/>
    <row r="187" ht="21.75" customHeight="1" x14ac:dyDescent="0.25"/>
    <row r="188" ht="21.75" customHeight="1" x14ac:dyDescent="0.25"/>
    <row r="189" ht="21.75" customHeight="1" x14ac:dyDescent="0.25"/>
    <row r="190" ht="21.75" customHeight="1" x14ac:dyDescent="0.25"/>
    <row r="191" ht="21.75" customHeight="1" x14ac:dyDescent="0.25"/>
    <row r="192" ht="21.75" customHeight="1" x14ac:dyDescent="0.25"/>
    <row r="193" ht="21.75" customHeight="1" x14ac:dyDescent="0.25"/>
    <row r="194" ht="21.75" customHeight="1" x14ac:dyDescent="0.25"/>
    <row r="195" ht="21.75" customHeight="1" x14ac:dyDescent="0.25"/>
    <row r="196" ht="21.75" customHeight="1" x14ac:dyDescent="0.25"/>
    <row r="197" ht="21.75" customHeight="1" x14ac:dyDescent="0.25"/>
    <row r="198" ht="21.75" customHeight="1" x14ac:dyDescent="0.25"/>
    <row r="199" ht="21.75" customHeight="1" x14ac:dyDescent="0.25"/>
    <row r="200" ht="21.75" customHeight="1" x14ac:dyDescent="0.25"/>
    <row r="201" ht="21.75" customHeight="1" x14ac:dyDescent="0.25"/>
    <row r="202" ht="21.75" customHeight="1" x14ac:dyDescent="0.25"/>
    <row r="203" ht="21.75" customHeight="1" x14ac:dyDescent="0.25"/>
    <row r="204" ht="21.75" customHeight="1" x14ac:dyDescent="0.25"/>
    <row r="205" ht="21.75" customHeight="1" x14ac:dyDescent="0.25"/>
    <row r="206" ht="21.75" customHeight="1" x14ac:dyDescent="0.25"/>
    <row r="207" ht="21.75" customHeight="1" x14ac:dyDescent="0.25"/>
    <row r="208" ht="21.75" customHeight="1" x14ac:dyDescent="0.25"/>
    <row r="209" ht="21.75" customHeight="1" x14ac:dyDescent="0.25"/>
    <row r="210" ht="21.75" customHeight="1" x14ac:dyDescent="0.25"/>
    <row r="211" ht="21.75" customHeight="1" x14ac:dyDescent="0.25"/>
    <row r="212" ht="21.75" customHeight="1" x14ac:dyDescent="0.25"/>
    <row r="213" ht="21.75" customHeight="1" x14ac:dyDescent="0.25"/>
    <row r="214" ht="21.75" customHeight="1" x14ac:dyDescent="0.25"/>
    <row r="215" ht="21.75" customHeight="1" x14ac:dyDescent="0.25"/>
    <row r="216" ht="21.75" customHeight="1" x14ac:dyDescent="0.25"/>
    <row r="217" ht="21.75" customHeight="1" x14ac:dyDescent="0.25"/>
    <row r="218" ht="21.75" customHeight="1" x14ac:dyDescent="0.25"/>
    <row r="219" ht="21.75" customHeight="1" x14ac:dyDescent="0.25"/>
    <row r="220" ht="21.75" customHeight="1" x14ac:dyDescent="0.25"/>
    <row r="221" ht="21.75" customHeight="1" x14ac:dyDescent="0.25"/>
    <row r="222" ht="21.75" customHeight="1" x14ac:dyDescent="0.25"/>
    <row r="223" ht="21.75" customHeight="1" x14ac:dyDescent="0.25"/>
    <row r="224" ht="21.75" customHeight="1" x14ac:dyDescent="0.25"/>
    <row r="225" ht="21.75" customHeight="1" x14ac:dyDescent="0.25"/>
    <row r="226" ht="21.75" customHeight="1" x14ac:dyDescent="0.25"/>
    <row r="227" ht="21.75" customHeight="1" x14ac:dyDescent="0.25"/>
    <row r="228" ht="21.75" customHeight="1" x14ac:dyDescent="0.25"/>
    <row r="229" ht="21.75" customHeight="1" x14ac:dyDescent="0.25"/>
    <row r="230" ht="21.75" customHeight="1" x14ac:dyDescent="0.25"/>
    <row r="231" ht="21.75" customHeight="1" x14ac:dyDescent="0.25"/>
    <row r="232" ht="21.75" customHeight="1" x14ac:dyDescent="0.25"/>
    <row r="233" ht="21.75" customHeight="1" x14ac:dyDescent="0.25"/>
    <row r="234" ht="21.75" customHeight="1" x14ac:dyDescent="0.25"/>
    <row r="235" ht="21.75" customHeight="1" x14ac:dyDescent="0.25"/>
    <row r="236" ht="21.75" customHeight="1" x14ac:dyDescent="0.25"/>
    <row r="237" ht="21.75" customHeight="1" x14ac:dyDescent="0.25"/>
    <row r="238" ht="21.75" customHeight="1" x14ac:dyDescent="0.25"/>
    <row r="239" ht="21.75" customHeight="1" x14ac:dyDescent="0.25"/>
    <row r="240" ht="21.75" customHeight="1" x14ac:dyDescent="0.25"/>
    <row r="241" ht="21.75" customHeight="1" x14ac:dyDescent="0.25"/>
    <row r="242" ht="21.75" customHeight="1" x14ac:dyDescent="0.25"/>
    <row r="243" ht="21.75" customHeight="1" x14ac:dyDescent="0.25"/>
    <row r="244" ht="21.75" customHeight="1" x14ac:dyDescent="0.25"/>
    <row r="245" ht="21.75" customHeight="1" x14ac:dyDescent="0.25"/>
    <row r="246" ht="21.75" customHeight="1" x14ac:dyDescent="0.25"/>
    <row r="247" ht="21.75" customHeight="1" x14ac:dyDescent="0.25"/>
    <row r="248" ht="21.75" customHeight="1" x14ac:dyDescent="0.25"/>
    <row r="249" ht="21.75" customHeight="1" x14ac:dyDescent="0.25"/>
    <row r="250" ht="21.75" customHeight="1" x14ac:dyDescent="0.25"/>
    <row r="251" ht="21.75" customHeight="1" x14ac:dyDescent="0.25"/>
    <row r="252" ht="21.75" customHeight="1" x14ac:dyDescent="0.25"/>
    <row r="253" ht="21.75" customHeight="1" x14ac:dyDescent="0.25"/>
    <row r="254" ht="21.75" customHeight="1" x14ac:dyDescent="0.25"/>
    <row r="255" ht="21.75" customHeight="1" x14ac:dyDescent="0.25"/>
    <row r="256" ht="21.75" customHeight="1" x14ac:dyDescent="0.25"/>
    <row r="257" ht="21.75" customHeight="1" x14ac:dyDescent="0.25"/>
    <row r="258" ht="21.75" customHeight="1" x14ac:dyDescent="0.25"/>
    <row r="259" ht="21.75" customHeight="1" x14ac:dyDescent="0.25"/>
    <row r="260" ht="21.75" customHeight="1" x14ac:dyDescent="0.25"/>
    <row r="261" ht="21.75" customHeight="1" x14ac:dyDescent="0.25"/>
    <row r="262" ht="21.75" customHeight="1" x14ac:dyDescent="0.25"/>
    <row r="263" ht="21.75" customHeight="1" x14ac:dyDescent="0.25"/>
    <row r="264" ht="21.75" customHeight="1" x14ac:dyDescent="0.25"/>
    <row r="265" ht="21.75" customHeight="1" x14ac:dyDescent="0.25"/>
    <row r="266" ht="21.75" customHeight="1" x14ac:dyDescent="0.25"/>
    <row r="267" ht="21.75" customHeight="1" x14ac:dyDescent="0.25"/>
    <row r="268" ht="21.75" customHeight="1" x14ac:dyDescent="0.25"/>
    <row r="269" ht="21.75" customHeight="1" x14ac:dyDescent="0.25"/>
    <row r="270" ht="21.75" customHeight="1" x14ac:dyDescent="0.25"/>
    <row r="271" ht="21.75" customHeight="1" x14ac:dyDescent="0.25"/>
    <row r="272" ht="21.75" customHeight="1" x14ac:dyDescent="0.25"/>
    <row r="273" ht="21.75" customHeight="1" x14ac:dyDescent="0.25"/>
    <row r="274" ht="21.75" customHeight="1" x14ac:dyDescent="0.25"/>
    <row r="275" ht="21.75" customHeight="1" x14ac:dyDescent="0.25"/>
    <row r="276" ht="21.75" customHeight="1" x14ac:dyDescent="0.25"/>
    <row r="277" ht="21.75" customHeight="1" x14ac:dyDescent="0.25"/>
    <row r="278" ht="21.75" customHeight="1" x14ac:dyDescent="0.25"/>
    <row r="279" ht="21.75" customHeight="1" x14ac:dyDescent="0.25"/>
    <row r="280" ht="21.75" customHeight="1" x14ac:dyDescent="0.25"/>
    <row r="281" ht="21.75" customHeight="1" x14ac:dyDescent="0.25"/>
    <row r="282" ht="21.75" customHeight="1" x14ac:dyDescent="0.25"/>
    <row r="283" ht="21.75" customHeight="1" x14ac:dyDescent="0.25"/>
    <row r="284" ht="21.75" customHeight="1" x14ac:dyDescent="0.25"/>
    <row r="285" ht="21.75" customHeight="1" x14ac:dyDescent="0.25"/>
    <row r="286" ht="21.75" customHeight="1" x14ac:dyDescent="0.25"/>
    <row r="287" ht="21.75" customHeight="1" x14ac:dyDescent="0.25"/>
    <row r="288" ht="21.75" customHeight="1" x14ac:dyDescent="0.25"/>
    <row r="289" ht="21.75" customHeight="1" x14ac:dyDescent="0.25"/>
    <row r="290" ht="21.75" customHeight="1" x14ac:dyDescent="0.25"/>
    <row r="291" ht="21.75" customHeight="1" x14ac:dyDescent="0.25"/>
    <row r="292" ht="21.75" customHeight="1" x14ac:dyDescent="0.25"/>
    <row r="293" ht="21.75" customHeight="1" x14ac:dyDescent="0.25"/>
    <row r="294" ht="21.75" customHeight="1" x14ac:dyDescent="0.25"/>
    <row r="295" ht="21.75" customHeight="1" x14ac:dyDescent="0.25"/>
    <row r="296" ht="21.75" customHeight="1" x14ac:dyDescent="0.25"/>
    <row r="297" ht="21.75" customHeight="1" x14ac:dyDescent="0.25"/>
    <row r="298" ht="21.75" customHeight="1" x14ac:dyDescent="0.25"/>
    <row r="299" ht="21.75" customHeight="1" x14ac:dyDescent="0.25"/>
    <row r="300" ht="21.75" customHeight="1" x14ac:dyDescent="0.25"/>
    <row r="301" ht="21.75" customHeight="1" x14ac:dyDescent="0.25"/>
    <row r="302" ht="21.75" customHeight="1" x14ac:dyDescent="0.25"/>
    <row r="303" ht="21.75" customHeight="1" x14ac:dyDescent="0.25"/>
    <row r="304" ht="21.75" customHeight="1" x14ac:dyDescent="0.25"/>
    <row r="305" ht="21.75" customHeight="1" x14ac:dyDescent="0.25"/>
    <row r="306" ht="21.75" customHeight="1" x14ac:dyDescent="0.25"/>
    <row r="307" ht="21.75" customHeight="1" x14ac:dyDescent="0.25"/>
    <row r="308" ht="21.75" customHeight="1" x14ac:dyDescent="0.25"/>
    <row r="309" ht="21.75" customHeight="1" x14ac:dyDescent="0.25"/>
    <row r="310" ht="21.75" customHeight="1" x14ac:dyDescent="0.25"/>
    <row r="311" ht="21.75" customHeight="1" x14ac:dyDescent="0.25"/>
    <row r="312" ht="21.75" customHeight="1" x14ac:dyDescent="0.25"/>
    <row r="313" ht="21.75" customHeight="1" x14ac:dyDescent="0.25"/>
    <row r="314" ht="21.75" customHeight="1" x14ac:dyDescent="0.25"/>
    <row r="315" ht="21.75" customHeight="1" x14ac:dyDescent="0.25"/>
    <row r="316" ht="21.75" customHeight="1" x14ac:dyDescent="0.25"/>
    <row r="317" ht="21.75" customHeight="1" x14ac:dyDescent="0.25"/>
    <row r="318" ht="21.75" customHeight="1" x14ac:dyDescent="0.25"/>
    <row r="319" ht="21.75" customHeight="1" x14ac:dyDescent="0.25"/>
    <row r="320" ht="21.75" customHeight="1" x14ac:dyDescent="0.25"/>
    <row r="321" ht="21.75" customHeight="1" x14ac:dyDescent="0.25"/>
    <row r="322" ht="21.75" customHeight="1" x14ac:dyDescent="0.25"/>
    <row r="323" ht="21.75" customHeight="1" x14ac:dyDescent="0.25"/>
    <row r="324" ht="21.75" customHeight="1" x14ac:dyDescent="0.25"/>
    <row r="325" ht="21.75" customHeight="1" x14ac:dyDescent="0.25"/>
    <row r="326" ht="21.75" customHeight="1" x14ac:dyDescent="0.25"/>
    <row r="327" ht="21.75" customHeight="1" x14ac:dyDescent="0.25"/>
    <row r="328" ht="21.75" customHeight="1" x14ac:dyDescent="0.25"/>
    <row r="329" ht="21.75" customHeight="1" x14ac:dyDescent="0.25"/>
    <row r="330" ht="21.75" customHeight="1" x14ac:dyDescent="0.25"/>
    <row r="331" ht="21.75" customHeight="1" x14ac:dyDescent="0.25"/>
    <row r="332" ht="21.75" customHeight="1" x14ac:dyDescent="0.25"/>
    <row r="333" ht="21.75" customHeight="1" x14ac:dyDescent="0.25"/>
    <row r="334" ht="21.75" customHeight="1" x14ac:dyDescent="0.25"/>
    <row r="335" ht="21.75" customHeight="1" x14ac:dyDescent="0.25"/>
    <row r="336" ht="21.75" customHeight="1" x14ac:dyDescent="0.25"/>
    <row r="337" ht="21.75" customHeight="1" x14ac:dyDescent="0.25"/>
    <row r="338" ht="21.75" customHeight="1" x14ac:dyDescent="0.25"/>
    <row r="339" ht="21.75" customHeight="1" x14ac:dyDescent="0.25"/>
    <row r="340" ht="21.75" customHeight="1" x14ac:dyDescent="0.25"/>
    <row r="341" ht="21.75" customHeight="1" x14ac:dyDescent="0.25"/>
    <row r="342" ht="21.75" customHeight="1" x14ac:dyDescent="0.25"/>
    <row r="343" ht="21.75" customHeight="1" x14ac:dyDescent="0.25"/>
    <row r="344" ht="21.75" customHeight="1" x14ac:dyDescent="0.25"/>
    <row r="345" ht="21.75" customHeight="1" x14ac:dyDescent="0.25"/>
    <row r="346" ht="21.75" customHeight="1" x14ac:dyDescent="0.25"/>
    <row r="347" ht="21.75" customHeight="1" x14ac:dyDescent="0.25"/>
    <row r="348" ht="21.75" customHeight="1" x14ac:dyDescent="0.25"/>
    <row r="349" ht="21.75" customHeight="1" x14ac:dyDescent="0.25"/>
    <row r="350" ht="21.75" customHeight="1" x14ac:dyDescent="0.25"/>
    <row r="351" ht="21.75" customHeight="1" x14ac:dyDescent="0.25"/>
    <row r="352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  <row r="638" ht="21.75" customHeight="1" x14ac:dyDescent="0.25"/>
    <row r="639" ht="21.75" customHeight="1" x14ac:dyDescent="0.25"/>
    <row r="640" ht="21.75" customHeight="1" x14ac:dyDescent="0.25"/>
    <row r="641" ht="21.75" customHeight="1" x14ac:dyDescent="0.25"/>
    <row r="642" ht="21.75" customHeight="1" x14ac:dyDescent="0.25"/>
    <row r="643" ht="21.75" customHeight="1" x14ac:dyDescent="0.25"/>
  </sheetData>
  <mergeCells count="6">
    <mergeCell ref="G10:I13"/>
    <mergeCell ref="C4:F4"/>
    <mergeCell ref="C5:F7"/>
    <mergeCell ref="G9:I9"/>
    <mergeCell ref="B1:I1"/>
    <mergeCell ref="B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0A87D"/>
  </sheetPr>
  <dimension ref="B1:AB644"/>
  <sheetViews>
    <sheetView showGridLines="0" zoomScale="130" zoomScaleNormal="130" workbookViewId="0">
      <pane ySplit="4" topLeftCell="A5" activePane="bottomLeft" state="frozen"/>
      <selection pane="bottomLeft" activeCell="B9" sqref="B9"/>
    </sheetView>
  </sheetViews>
  <sheetFormatPr baseColWidth="10" defaultColWidth="9.140625" defaultRowHeight="15" x14ac:dyDescent="0.25"/>
  <cols>
    <col min="2" max="2" width="18" style="18" customWidth="1"/>
    <col min="3" max="3" width="14" style="18" customWidth="1"/>
    <col min="4" max="4" width="18" style="18" customWidth="1"/>
    <col min="5" max="5" width="34" customWidth="1"/>
    <col min="6" max="6" width="14" customWidth="1"/>
    <col min="7" max="7" width="16" customWidth="1"/>
    <col min="8" max="8" width="18" customWidth="1"/>
    <col min="9" max="9" width="22" style="18" customWidth="1"/>
    <col min="10" max="10" width="26" style="18" customWidth="1"/>
    <col min="11" max="28" width="9.140625" style="5"/>
  </cols>
  <sheetData>
    <row r="1" spans="2:27" ht="21.75" customHeight="1" x14ac:dyDescent="0.25">
      <c r="B1" s="32" t="s">
        <v>88</v>
      </c>
      <c r="C1" s="32"/>
      <c r="D1" s="32"/>
      <c r="E1" s="32"/>
      <c r="F1" s="32"/>
      <c r="G1" s="32"/>
      <c r="H1" s="32"/>
      <c r="I1" s="32"/>
      <c r="J1" s="32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2:27" ht="21.75" customHeight="1" x14ac:dyDescent="0.25">
      <c r="B2" s="33" t="s">
        <v>89</v>
      </c>
      <c r="C2" s="33"/>
      <c r="D2" s="33"/>
      <c r="E2" s="33"/>
      <c r="F2" s="33"/>
      <c r="G2" s="33"/>
      <c r="H2" s="33"/>
      <c r="I2" s="33"/>
      <c r="J2" s="33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2:27" s="5" customFormat="1" ht="16.5" customHeight="1" x14ac:dyDescent="0.25">
      <c r="B3" s="16"/>
      <c r="C3" s="16"/>
      <c r="D3" s="16"/>
      <c r="E3" s="4"/>
      <c r="F3" s="4"/>
      <c r="G3" s="4"/>
      <c r="H3" s="4"/>
      <c r="I3" s="16"/>
      <c r="J3" s="16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2:27" ht="21.75" customHeight="1" x14ac:dyDescent="0.25">
      <c r="B4" s="19" t="s">
        <v>90</v>
      </c>
      <c r="C4" s="19" t="s">
        <v>91</v>
      </c>
      <c r="D4" s="19" t="s">
        <v>52</v>
      </c>
      <c r="E4" s="1" t="s">
        <v>46</v>
      </c>
      <c r="F4" s="1" t="s">
        <v>92</v>
      </c>
      <c r="G4" s="1" t="s">
        <v>93</v>
      </c>
      <c r="H4" s="1" t="s">
        <v>94</v>
      </c>
      <c r="I4" s="19" t="s">
        <v>53</v>
      </c>
      <c r="J4" s="19" t="s">
        <v>58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2:27" ht="21.75" customHeight="1" x14ac:dyDescent="0.25">
      <c r="B5" s="12" t="s">
        <v>95</v>
      </c>
      <c r="C5" s="15">
        <f>DATE(2026,1,26)</f>
        <v>46048</v>
      </c>
      <c r="D5" s="12" t="s">
        <v>80</v>
      </c>
      <c r="E5" s="10" t="str">
        <f>IF(D5="","",IFERROR(VLOOKUP(D5,Productos!$B$5:$J$504,2,FALSE()),"Revisar código"))</f>
        <v>Pendientes ídolo oro rosa</v>
      </c>
      <c r="F5" s="13">
        <v>20</v>
      </c>
      <c r="G5" s="14">
        <v>5000</v>
      </c>
      <c r="H5" s="20">
        <f t="shared" ref="H5:H68" si="0">IF(OR(F5="",G5=""),"",F5*G5)</f>
        <v>100000</v>
      </c>
      <c r="I5" s="12" t="s">
        <v>76</v>
      </c>
      <c r="J5" s="12" t="s">
        <v>96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2:27" ht="21.75" customHeight="1" x14ac:dyDescent="0.25">
      <c r="B6" s="12" t="s">
        <v>97</v>
      </c>
      <c r="C6" s="15">
        <f>DATE(2026,2,10)</f>
        <v>46063</v>
      </c>
      <c r="D6" s="12" t="s">
        <v>59</v>
      </c>
      <c r="E6" s="10" t="str">
        <f>IF(D6="","",IFERROR(VLOOKUP(D6,Productos!$B$5:$J$504,2,FALSE()),"Revisar código"))</f>
        <v>Anillo luna plata</v>
      </c>
      <c r="F6" s="13">
        <v>15</v>
      </c>
      <c r="G6" s="14">
        <v>3500</v>
      </c>
      <c r="H6" s="20">
        <f t="shared" si="0"/>
        <v>52500</v>
      </c>
      <c r="I6" s="12" t="s">
        <v>61</v>
      </c>
      <c r="J6" s="12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2:27" ht="21.75" customHeight="1" x14ac:dyDescent="0.25">
      <c r="B7" s="12" t="s">
        <v>98</v>
      </c>
      <c r="C7" s="15">
        <f>DATE(2026,3,14)</f>
        <v>46095</v>
      </c>
      <c r="D7" s="12" t="s">
        <v>69</v>
      </c>
      <c r="E7" s="10" t="str">
        <f>IF(D7="","",IFERROR(VLOOKUP(D7,Productos!$B$5:$J$504,2,FALSE()),"Revisar código"))</f>
        <v>Pulsera rubí plata</v>
      </c>
      <c r="F7" s="13">
        <v>10</v>
      </c>
      <c r="G7" s="14">
        <v>4300</v>
      </c>
      <c r="H7" s="20">
        <f t="shared" si="0"/>
        <v>43000</v>
      </c>
      <c r="I7" s="12" t="s">
        <v>67</v>
      </c>
      <c r="J7" s="12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2:27" ht="21.75" customHeight="1" x14ac:dyDescent="0.25">
      <c r="B8" s="12" t="s">
        <v>99</v>
      </c>
      <c r="C8" s="15">
        <f>DATE(2026,3,20)</f>
        <v>46101</v>
      </c>
      <c r="D8" s="12" t="s">
        <v>86</v>
      </c>
      <c r="E8" s="10" t="str">
        <f>IF(D8="","",IFERROR(VLOOKUP(D8,Productos!$B$5:$J$504,2,FALSE()),"Revisar código"))</f>
        <v>Anillo cielo plata</v>
      </c>
      <c r="F8" s="13">
        <v>8</v>
      </c>
      <c r="G8" s="14">
        <v>3300</v>
      </c>
      <c r="H8" s="20">
        <f t="shared" si="0"/>
        <v>26400</v>
      </c>
      <c r="I8" s="12" t="s">
        <v>61</v>
      </c>
      <c r="J8" s="12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2:27" ht="21.75" customHeight="1" x14ac:dyDescent="0.25">
      <c r="B9" s="12"/>
      <c r="C9" s="15"/>
      <c r="D9" s="12"/>
      <c r="E9" s="10" t="str">
        <f>IF(D9="","",IFERROR(VLOOKUP(D9,Productos!$B$5:$J$504,2,FALSE()),"Revisar código"))</f>
        <v/>
      </c>
      <c r="F9" s="13"/>
      <c r="G9" s="14"/>
      <c r="H9" s="20" t="str">
        <f t="shared" si="0"/>
        <v/>
      </c>
      <c r="I9" s="12"/>
      <c r="J9" s="12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2:27" ht="21.75" customHeight="1" x14ac:dyDescent="0.25">
      <c r="B10" s="12"/>
      <c r="C10" s="15"/>
      <c r="D10" s="12"/>
      <c r="E10" s="10" t="str">
        <f>IF(D10="","",IFERROR(VLOOKUP(D10,Productos!$B$5:$J$504,2,FALSE()),"Revisar código"))</f>
        <v/>
      </c>
      <c r="F10" s="13"/>
      <c r="G10" s="14"/>
      <c r="H10" s="20" t="str">
        <f t="shared" si="0"/>
        <v/>
      </c>
      <c r="I10" s="12"/>
      <c r="J10" s="12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2:27" ht="21.75" customHeight="1" x14ac:dyDescent="0.25">
      <c r="B11" s="12"/>
      <c r="C11" s="15"/>
      <c r="D11" s="12"/>
      <c r="E11" s="10" t="str">
        <f>IF(D11="","",IFERROR(VLOOKUP(D11,Productos!$B$5:$J$504,2,FALSE()),"Revisar código"))</f>
        <v/>
      </c>
      <c r="F11" s="13"/>
      <c r="G11" s="14"/>
      <c r="H11" s="20" t="str">
        <f t="shared" si="0"/>
        <v/>
      </c>
      <c r="I11" s="12"/>
      <c r="J11" s="12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2:27" ht="21.75" customHeight="1" x14ac:dyDescent="0.25">
      <c r="B12" s="12"/>
      <c r="C12" s="15"/>
      <c r="D12" s="12"/>
      <c r="E12" s="10" t="str">
        <f>IF(D12="","",IFERROR(VLOOKUP(D12,Productos!$B$5:$J$504,2,FALSE()),"Revisar código"))</f>
        <v/>
      </c>
      <c r="F12" s="13"/>
      <c r="G12" s="14"/>
      <c r="H12" s="20" t="str">
        <f t="shared" si="0"/>
        <v/>
      </c>
      <c r="I12" s="12"/>
      <c r="J12" s="12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2:27" ht="21.75" customHeight="1" x14ac:dyDescent="0.25">
      <c r="B13" s="12"/>
      <c r="C13" s="15"/>
      <c r="D13" s="12"/>
      <c r="E13" s="10" t="str">
        <f>IF(D13="","",IFERROR(VLOOKUP(D13,Productos!$B$5:$J$504,2,FALSE()),"Revisar código"))</f>
        <v/>
      </c>
      <c r="F13" s="13"/>
      <c r="G13" s="14"/>
      <c r="H13" s="20" t="str">
        <f t="shared" si="0"/>
        <v/>
      </c>
      <c r="I13" s="12"/>
      <c r="J13" s="12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2:27" ht="21.75" customHeight="1" x14ac:dyDescent="0.25">
      <c r="B14" s="12"/>
      <c r="C14" s="15"/>
      <c r="D14" s="12"/>
      <c r="E14" s="10" t="str">
        <f>IF(D14="","",IFERROR(VLOOKUP(D14,Productos!$B$5:$J$504,2,FALSE()),"Revisar código"))</f>
        <v/>
      </c>
      <c r="F14" s="13"/>
      <c r="G14" s="14"/>
      <c r="H14" s="20" t="str">
        <f t="shared" si="0"/>
        <v/>
      </c>
      <c r="I14" s="12"/>
      <c r="J14" s="12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2:27" ht="21.75" customHeight="1" x14ac:dyDescent="0.25">
      <c r="B15" s="12"/>
      <c r="C15" s="15"/>
      <c r="D15" s="12"/>
      <c r="E15" s="10" t="str">
        <f>IF(D15="","",IFERROR(VLOOKUP(D15,Productos!$B$5:$J$504,2,FALSE()),"Revisar código"))</f>
        <v/>
      </c>
      <c r="F15" s="13"/>
      <c r="G15" s="14"/>
      <c r="H15" s="20" t="str">
        <f t="shared" si="0"/>
        <v/>
      </c>
      <c r="I15" s="12"/>
      <c r="J15" s="12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2:27" ht="21.75" customHeight="1" x14ac:dyDescent="0.25">
      <c r="B16" s="12"/>
      <c r="C16" s="15"/>
      <c r="D16" s="12"/>
      <c r="E16" s="10" t="str">
        <f>IF(D16="","",IFERROR(VLOOKUP(D16,Productos!$B$5:$J$504,2,FALSE()),"Revisar código"))</f>
        <v/>
      </c>
      <c r="F16" s="13"/>
      <c r="G16" s="14"/>
      <c r="H16" s="20" t="str">
        <f t="shared" si="0"/>
        <v/>
      </c>
      <c r="I16" s="12"/>
      <c r="J16" s="12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2:27" ht="21.75" customHeight="1" x14ac:dyDescent="0.25">
      <c r="B17" s="12"/>
      <c r="C17" s="15"/>
      <c r="D17" s="12"/>
      <c r="E17" s="10" t="str">
        <f>IF(D17="","",IFERROR(VLOOKUP(D17,Productos!$B$5:$J$504,2,FALSE()),"Revisar código"))</f>
        <v/>
      </c>
      <c r="F17" s="13"/>
      <c r="G17" s="14"/>
      <c r="H17" s="20" t="str">
        <f t="shared" si="0"/>
        <v/>
      </c>
      <c r="I17" s="12"/>
      <c r="J17" s="12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2:27" ht="21.75" customHeight="1" x14ac:dyDescent="0.25">
      <c r="B18" s="12"/>
      <c r="C18" s="15"/>
      <c r="D18" s="12"/>
      <c r="E18" s="10" t="str">
        <f>IF(D18="","",IFERROR(VLOOKUP(D18,Productos!$B$5:$J$504,2,FALSE()),"Revisar código"))</f>
        <v/>
      </c>
      <c r="F18" s="13"/>
      <c r="G18" s="14"/>
      <c r="H18" s="20" t="str">
        <f t="shared" si="0"/>
        <v/>
      </c>
      <c r="I18" s="12"/>
      <c r="J18" s="12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2:27" ht="21.75" customHeight="1" x14ac:dyDescent="0.25">
      <c r="B19" s="12"/>
      <c r="C19" s="15"/>
      <c r="D19" s="12"/>
      <c r="E19" s="10" t="str">
        <f>IF(D19="","",IFERROR(VLOOKUP(D19,Productos!$B$5:$J$504,2,FALSE()),"Revisar código"))</f>
        <v/>
      </c>
      <c r="F19" s="13"/>
      <c r="G19" s="14"/>
      <c r="H19" s="20" t="str">
        <f t="shared" si="0"/>
        <v/>
      </c>
      <c r="I19" s="12"/>
      <c r="J19" s="12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2:27" ht="21.75" customHeight="1" x14ac:dyDescent="0.25">
      <c r="B20" s="12"/>
      <c r="C20" s="15"/>
      <c r="D20" s="12"/>
      <c r="E20" s="10" t="str">
        <f>IF(D20="","",IFERROR(VLOOKUP(D20,Productos!$B$5:$J$504,2,FALSE()),"Revisar código"))</f>
        <v/>
      </c>
      <c r="F20" s="13"/>
      <c r="G20" s="14"/>
      <c r="H20" s="20" t="str">
        <f t="shared" si="0"/>
        <v/>
      </c>
      <c r="I20" s="12"/>
      <c r="J20" s="12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2:27" ht="21.75" customHeight="1" x14ac:dyDescent="0.25">
      <c r="B21" s="12"/>
      <c r="C21" s="15"/>
      <c r="D21" s="12"/>
      <c r="E21" s="10" t="str">
        <f>IF(D21="","",IFERROR(VLOOKUP(D21,Productos!$B$5:$J$504,2,FALSE()),"Revisar código"))</f>
        <v/>
      </c>
      <c r="F21" s="13"/>
      <c r="G21" s="14"/>
      <c r="H21" s="20" t="str">
        <f t="shared" si="0"/>
        <v/>
      </c>
      <c r="I21" s="12"/>
      <c r="J21" s="12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2:27" ht="21.75" customHeight="1" x14ac:dyDescent="0.25">
      <c r="B22" s="12"/>
      <c r="C22" s="15"/>
      <c r="D22" s="12"/>
      <c r="E22" s="10" t="str">
        <f>IF(D22="","",IFERROR(VLOOKUP(D22,Productos!$B$5:$J$504,2,FALSE()),"Revisar código"))</f>
        <v/>
      </c>
      <c r="F22" s="13"/>
      <c r="G22" s="14"/>
      <c r="H22" s="20" t="str">
        <f t="shared" si="0"/>
        <v/>
      </c>
      <c r="I22" s="12"/>
      <c r="J22" s="12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2:27" ht="21.75" customHeight="1" x14ac:dyDescent="0.25">
      <c r="B23" s="12"/>
      <c r="C23" s="15"/>
      <c r="D23" s="12"/>
      <c r="E23" s="10" t="str">
        <f>IF(D23="","",IFERROR(VLOOKUP(D23,Productos!$B$5:$J$504,2,FALSE()),"Revisar código"))</f>
        <v/>
      </c>
      <c r="F23" s="13"/>
      <c r="G23" s="14"/>
      <c r="H23" s="20" t="str">
        <f t="shared" si="0"/>
        <v/>
      </c>
      <c r="I23" s="12"/>
      <c r="J23" s="12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2:27" ht="21.75" customHeight="1" x14ac:dyDescent="0.25">
      <c r="B24" s="12"/>
      <c r="C24" s="15"/>
      <c r="D24" s="12"/>
      <c r="E24" s="10" t="str">
        <f>IF(D24="","",IFERROR(VLOOKUP(D24,Productos!$B$5:$J$504,2,FALSE()),"Revisar código"))</f>
        <v/>
      </c>
      <c r="F24" s="13"/>
      <c r="G24" s="14"/>
      <c r="H24" s="20" t="str">
        <f t="shared" si="0"/>
        <v/>
      </c>
      <c r="I24" s="12"/>
      <c r="J24" s="12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2:27" ht="21.75" customHeight="1" x14ac:dyDescent="0.25">
      <c r="B25" s="12"/>
      <c r="C25" s="15"/>
      <c r="D25" s="12"/>
      <c r="E25" s="10" t="str">
        <f>IF(D25="","",IFERROR(VLOOKUP(D25,Productos!$B$5:$J$504,2,FALSE()),"Revisar código"))</f>
        <v/>
      </c>
      <c r="F25" s="13"/>
      <c r="G25" s="14"/>
      <c r="H25" s="20" t="str">
        <f t="shared" si="0"/>
        <v/>
      </c>
      <c r="I25" s="12"/>
      <c r="J25" s="12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2:27" ht="21.75" customHeight="1" x14ac:dyDescent="0.25">
      <c r="B26" s="12"/>
      <c r="C26" s="15"/>
      <c r="D26" s="12"/>
      <c r="E26" s="10" t="str">
        <f>IF(D26="","",IFERROR(VLOOKUP(D26,Productos!$B$5:$J$504,2,FALSE()),"Revisar código"))</f>
        <v/>
      </c>
      <c r="F26" s="13"/>
      <c r="G26" s="14"/>
      <c r="H26" s="20" t="str">
        <f t="shared" si="0"/>
        <v/>
      </c>
      <c r="I26" s="12"/>
      <c r="J26" s="12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2:27" ht="21.75" customHeight="1" x14ac:dyDescent="0.25">
      <c r="B27" s="12"/>
      <c r="C27" s="15"/>
      <c r="D27" s="12"/>
      <c r="E27" s="10" t="str">
        <f>IF(D27="","",IFERROR(VLOOKUP(D27,Productos!$B$5:$J$504,2,FALSE()),"Revisar código"))</f>
        <v/>
      </c>
      <c r="F27" s="13"/>
      <c r="G27" s="14"/>
      <c r="H27" s="20" t="str">
        <f t="shared" si="0"/>
        <v/>
      </c>
      <c r="I27" s="12"/>
      <c r="J27" s="12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2:27" ht="21.75" customHeight="1" x14ac:dyDescent="0.25">
      <c r="B28" s="12"/>
      <c r="C28" s="15"/>
      <c r="D28" s="12"/>
      <c r="E28" s="10" t="str">
        <f>IF(D28="","",IFERROR(VLOOKUP(D28,Productos!$B$5:$J$504,2,FALSE()),"Revisar código"))</f>
        <v/>
      </c>
      <c r="F28" s="13"/>
      <c r="G28" s="14"/>
      <c r="H28" s="20" t="str">
        <f t="shared" si="0"/>
        <v/>
      </c>
      <c r="I28" s="12"/>
      <c r="J28" s="12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2:27" ht="21.75" customHeight="1" x14ac:dyDescent="0.25">
      <c r="B29" s="12"/>
      <c r="C29" s="15"/>
      <c r="D29" s="12"/>
      <c r="E29" s="10" t="str">
        <f>IF(D29="","",IFERROR(VLOOKUP(D29,Productos!$B$5:$J$504,2,FALSE()),"Revisar código"))</f>
        <v/>
      </c>
      <c r="F29" s="13"/>
      <c r="G29" s="14"/>
      <c r="H29" s="20" t="str">
        <f t="shared" si="0"/>
        <v/>
      </c>
      <c r="I29" s="12"/>
      <c r="J29" s="12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2:27" ht="21.75" customHeight="1" x14ac:dyDescent="0.25">
      <c r="B30" s="12"/>
      <c r="C30" s="15"/>
      <c r="D30" s="12"/>
      <c r="E30" s="10" t="str">
        <f>IF(D30="","",IFERROR(VLOOKUP(D30,Productos!$B$5:$J$504,2,FALSE()),"Revisar código"))</f>
        <v/>
      </c>
      <c r="F30" s="13"/>
      <c r="G30" s="14"/>
      <c r="H30" s="20" t="str">
        <f t="shared" si="0"/>
        <v/>
      </c>
      <c r="I30" s="12"/>
      <c r="J30" s="12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2:27" ht="21.75" customHeight="1" x14ac:dyDescent="0.25">
      <c r="B31" s="12"/>
      <c r="C31" s="15"/>
      <c r="D31" s="12"/>
      <c r="E31" s="10" t="str">
        <f>IF(D31="","",IFERROR(VLOOKUP(D31,Productos!$B$5:$J$504,2,FALSE()),"Revisar código"))</f>
        <v/>
      </c>
      <c r="F31" s="13"/>
      <c r="G31" s="14"/>
      <c r="H31" s="20" t="str">
        <f t="shared" si="0"/>
        <v/>
      </c>
      <c r="I31" s="12"/>
      <c r="J31" s="12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2:27" ht="21.75" customHeight="1" x14ac:dyDescent="0.25">
      <c r="B32" s="12"/>
      <c r="C32" s="15"/>
      <c r="D32" s="12"/>
      <c r="E32" s="10" t="str">
        <f>IF(D32="","",IFERROR(VLOOKUP(D32,Productos!$B$5:$J$504,2,FALSE()),"Revisar código"))</f>
        <v/>
      </c>
      <c r="F32" s="13"/>
      <c r="G32" s="14"/>
      <c r="H32" s="20" t="str">
        <f t="shared" si="0"/>
        <v/>
      </c>
      <c r="I32" s="12"/>
      <c r="J32" s="12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2:27" ht="21.75" customHeight="1" x14ac:dyDescent="0.25">
      <c r="B33" s="12"/>
      <c r="C33" s="15"/>
      <c r="D33" s="12"/>
      <c r="E33" s="10" t="str">
        <f>IF(D33="","",IFERROR(VLOOKUP(D33,Productos!$B$5:$J$504,2,FALSE()),"Revisar código"))</f>
        <v/>
      </c>
      <c r="F33" s="13"/>
      <c r="G33" s="14"/>
      <c r="H33" s="20" t="str">
        <f t="shared" si="0"/>
        <v/>
      </c>
      <c r="I33" s="12"/>
      <c r="J33" s="12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2:27" ht="21.75" customHeight="1" x14ac:dyDescent="0.25">
      <c r="B34" s="12"/>
      <c r="C34" s="15"/>
      <c r="D34" s="12"/>
      <c r="E34" s="10" t="str">
        <f>IF(D34="","",IFERROR(VLOOKUP(D34,Productos!$B$5:$J$504,2,FALSE()),"Revisar código"))</f>
        <v/>
      </c>
      <c r="F34" s="13"/>
      <c r="G34" s="14"/>
      <c r="H34" s="20" t="str">
        <f t="shared" si="0"/>
        <v/>
      </c>
      <c r="I34" s="12"/>
      <c r="J34" s="12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2:27" ht="21.75" customHeight="1" x14ac:dyDescent="0.25">
      <c r="B35" s="12"/>
      <c r="C35" s="15"/>
      <c r="D35" s="12"/>
      <c r="E35" s="10" t="str">
        <f>IF(D35="","",IFERROR(VLOOKUP(D35,Productos!$B$5:$J$504,2,FALSE()),"Revisar código"))</f>
        <v/>
      </c>
      <c r="F35" s="13"/>
      <c r="G35" s="14"/>
      <c r="H35" s="20" t="str">
        <f t="shared" si="0"/>
        <v/>
      </c>
      <c r="I35" s="12"/>
      <c r="J35" s="12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2:27" ht="21.75" customHeight="1" x14ac:dyDescent="0.25">
      <c r="B36" s="12"/>
      <c r="C36" s="15"/>
      <c r="D36" s="12"/>
      <c r="E36" s="10" t="str">
        <f>IF(D36="","",IFERROR(VLOOKUP(D36,Productos!$B$5:$J$504,2,FALSE()),"Revisar código"))</f>
        <v/>
      </c>
      <c r="F36" s="13"/>
      <c r="G36" s="14"/>
      <c r="H36" s="20" t="str">
        <f t="shared" si="0"/>
        <v/>
      </c>
      <c r="I36" s="12"/>
      <c r="J36" s="12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2:27" ht="21.75" customHeight="1" x14ac:dyDescent="0.25">
      <c r="B37" s="12"/>
      <c r="C37" s="15"/>
      <c r="D37" s="12"/>
      <c r="E37" s="10" t="str">
        <f>IF(D37="","",IFERROR(VLOOKUP(D37,Productos!$B$5:$J$504,2,FALSE()),"Revisar código"))</f>
        <v/>
      </c>
      <c r="F37" s="13"/>
      <c r="G37" s="14"/>
      <c r="H37" s="20" t="str">
        <f t="shared" si="0"/>
        <v/>
      </c>
      <c r="I37" s="12"/>
      <c r="J37" s="12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2:27" ht="21.75" customHeight="1" x14ac:dyDescent="0.25">
      <c r="B38" s="12"/>
      <c r="C38" s="15"/>
      <c r="D38" s="12"/>
      <c r="E38" s="10" t="str">
        <f>IF(D38="","",IFERROR(VLOOKUP(D38,Productos!$B$5:$J$504,2,FALSE()),"Revisar código"))</f>
        <v/>
      </c>
      <c r="F38" s="13"/>
      <c r="G38" s="14"/>
      <c r="H38" s="20" t="str">
        <f t="shared" si="0"/>
        <v/>
      </c>
      <c r="I38" s="12"/>
      <c r="J38" s="12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2:27" ht="21.75" customHeight="1" x14ac:dyDescent="0.25">
      <c r="B39" s="12"/>
      <c r="C39" s="15"/>
      <c r="D39" s="12"/>
      <c r="E39" s="10" t="str">
        <f>IF(D39="","",IFERROR(VLOOKUP(D39,Productos!$B$5:$J$504,2,FALSE()),"Revisar código"))</f>
        <v/>
      </c>
      <c r="F39" s="13"/>
      <c r="G39" s="14"/>
      <c r="H39" s="20" t="str">
        <f t="shared" si="0"/>
        <v/>
      </c>
      <c r="I39" s="12"/>
      <c r="J39" s="12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2:27" ht="21.75" customHeight="1" x14ac:dyDescent="0.25">
      <c r="B40" s="12"/>
      <c r="C40" s="15"/>
      <c r="D40" s="12"/>
      <c r="E40" s="10" t="str">
        <f>IF(D40="","",IFERROR(VLOOKUP(D40,Productos!$B$5:$J$504,2,FALSE()),"Revisar código"))</f>
        <v/>
      </c>
      <c r="F40" s="13"/>
      <c r="G40" s="14"/>
      <c r="H40" s="20" t="str">
        <f t="shared" si="0"/>
        <v/>
      </c>
      <c r="I40" s="12"/>
      <c r="J40" s="12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2:27" ht="21.75" customHeight="1" x14ac:dyDescent="0.25">
      <c r="B41" s="12"/>
      <c r="C41" s="15"/>
      <c r="D41" s="12"/>
      <c r="E41" s="10" t="str">
        <f>IF(D41="","",IFERROR(VLOOKUP(D41,Productos!$B$5:$J$504,2,FALSE()),"Revisar código"))</f>
        <v/>
      </c>
      <c r="F41" s="13"/>
      <c r="G41" s="14"/>
      <c r="H41" s="20" t="str">
        <f t="shared" si="0"/>
        <v/>
      </c>
      <c r="I41" s="12"/>
      <c r="J41" s="12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2:27" ht="21.75" customHeight="1" x14ac:dyDescent="0.25">
      <c r="B42" s="12"/>
      <c r="C42" s="15"/>
      <c r="D42" s="12"/>
      <c r="E42" s="10" t="str">
        <f>IF(D42="","",IFERROR(VLOOKUP(D42,Productos!$B$5:$J$504,2,FALSE()),"Revisar código"))</f>
        <v/>
      </c>
      <c r="F42" s="13"/>
      <c r="G42" s="14"/>
      <c r="H42" s="20" t="str">
        <f t="shared" si="0"/>
        <v/>
      </c>
      <c r="I42" s="12"/>
      <c r="J42" s="12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2:27" ht="21.75" customHeight="1" x14ac:dyDescent="0.25">
      <c r="B43" s="12"/>
      <c r="C43" s="15"/>
      <c r="D43" s="12"/>
      <c r="E43" s="10" t="str">
        <f>IF(D43="","",IFERROR(VLOOKUP(D43,Productos!$B$5:$J$504,2,FALSE()),"Revisar código"))</f>
        <v/>
      </c>
      <c r="F43" s="13"/>
      <c r="G43" s="14"/>
      <c r="H43" s="20" t="str">
        <f t="shared" si="0"/>
        <v/>
      </c>
      <c r="I43" s="12"/>
      <c r="J43" s="12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2:27" ht="21.75" customHeight="1" x14ac:dyDescent="0.25">
      <c r="B44" s="12"/>
      <c r="C44" s="15"/>
      <c r="D44" s="12"/>
      <c r="E44" s="10" t="str">
        <f>IF(D44="","",IFERROR(VLOOKUP(D44,Productos!$B$5:$J$504,2,FALSE()),"Revisar código"))</f>
        <v/>
      </c>
      <c r="F44" s="13"/>
      <c r="G44" s="14"/>
      <c r="H44" s="20" t="str">
        <f t="shared" si="0"/>
        <v/>
      </c>
      <c r="I44" s="12"/>
      <c r="J44" s="12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2:27" ht="21.75" customHeight="1" x14ac:dyDescent="0.25">
      <c r="B45" s="12"/>
      <c r="C45" s="15"/>
      <c r="D45" s="12"/>
      <c r="E45" s="10" t="str">
        <f>IF(D45="","",IFERROR(VLOOKUP(D45,Productos!$B$5:$J$504,2,FALSE()),"Revisar código"))</f>
        <v/>
      </c>
      <c r="F45" s="13"/>
      <c r="G45" s="14"/>
      <c r="H45" s="20" t="str">
        <f t="shared" si="0"/>
        <v/>
      </c>
      <c r="I45" s="12"/>
      <c r="J45" s="12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2:27" ht="21.75" customHeight="1" x14ac:dyDescent="0.25">
      <c r="B46" s="12"/>
      <c r="C46" s="15"/>
      <c r="D46" s="12"/>
      <c r="E46" s="10" t="str">
        <f>IF(D46="","",IFERROR(VLOOKUP(D46,Productos!$B$5:$J$504,2,FALSE()),"Revisar código"))</f>
        <v/>
      </c>
      <c r="F46" s="13"/>
      <c r="G46" s="14"/>
      <c r="H46" s="20" t="str">
        <f t="shared" si="0"/>
        <v/>
      </c>
      <c r="I46" s="12"/>
      <c r="J46" s="12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2:27" ht="21.75" customHeight="1" x14ac:dyDescent="0.25">
      <c r="B47" s="12"/>
      <c r="C47" s="15"/>
      <c r="D47" s="12"/>
      <c r="E47" s="10" t="str">
        <f>IF(D47="","",IFERROR(VLOOKUP(D47,Productos!$B$5:$J$504,2,FALSE()),"Revisar código"))</f>
        <v/>
      </c>
      <c r="F47" s="13"/>
      <c r="G47" s="14"/>
      <c r="H47" s="20" t="str">
        <f t="shared" si="0"/>
        <v/>
      </c>
      <c r="I47" s="12"/>
      <c r="J47" s="12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2:27" ht="21.75" customHeight="1" x14ac:dyDescent="0.25">
      <c r="B48" s="12"/>
      <c r="C48" s="15"/>
      <c r="D48" s="12"/>
      <c r="E48" s="10" t="str">
        <f>IF(D48="","",IFERROR(VLOOKUP(D48,Productos!$B$5:$J$504,2,FALSE()),"Revisar código"))</f>
        <v/>
      </c>
      <c r="F48" s="13"/>
      <c r="G48" s="14"/>
      <c r="H48" s="20" t="str">
        <f t="shared" si="0"/>
        <v/>
      </c>
      <c r="I48" s="12"/>
      <c r="J48" s="12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2:27" ht="21.75" customHeight="1" x14ac:dyDescent="0.25">
      <c r="B49" s="12"/>
      <c r="C49" s="15"/>
      <c r="D49" s="12"/>
      <c r="E49" s="10" t="str">
        <f>IF(D49="","",IFERROR(VLOOKUP(D49,Productos!$B$5:$J$504,2,FALSE()),"Revisar código"))</f>
        <v/>
      </c>
      <c r="F49" s="13"/>
      <c r="G49" s="14"/>
      <c r="H49" s="20" t="str">
        <f t="shared" si="0"/>
        <v/>
      </c>
      <c r="I49" s="12"/>
      <c r="J49" s="12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2:27" ht="21.75" customHeight="1" x14ac:dyDescent="0.25">
      <c r="B50" s="12"/>
      <c r="C50" s="15"/>
      <c r="D50" s="12"/>
      <c r="E50" s="10" t="str">
        <f>IF(D50="","",IFERROR(VLOOKUP(D50,Productos!$B$5:$J$504,2,FALSE()),"Revisar código"))</f>
        <v/>
      </c>
      <c r="F50" s="13"/>
      <c r="G50" s="14"/>
      <c r="H50" s="20" t="str">
        <f t="shared" si="0"/>
        <v/>
      </c>
      <c r="I50" s="12"/>
      <c r="J50" s="12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2:27" ht="21.75" customHeight="1" x14ac:dyDescent="0.25">
      <c r="B51" s="12"/>
      <c r="C51" s="15"/>
      <c r="D51" s="12"/>
      <c r="E51" s="10" t="str">
        <f>IF(D51="","",IFERROR(VLOOKUP(D51,Productos!$B$5:$J$504,2,FALSE()),"Revisar código"))</f>
        <v/>
      </c>
      <c r="F51" s="13"/>
      <c r="G51" s="14"/>
      <c r="H51" s="20" t="str">
        <f t="shared" si="0"/>
        <v/>
      </c>
      <c r="I51" s="12"/>
      <c r="J51" s="12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2:27" ht="21.75" customHeight="1" x14ac:dyDescent="0.25">
      <c r="B52" s="12"/>
      <c r="C52" s="15"/>
      <c r="D52" s="12"/>
      <c r="E52" s="10" t="str">
        <f>IF(D52="","",IFERROR(VLOOKUP(D52,Productos!$B$5:$J$504,2,FALSE()),"Revisar código"))</f>
        <v/>
      </c>
      <c r="F52" s="13"/>
      <c r="G52" s="14"/>
      <c r="H52" s="20" t="str">
        <f t="shared" si="0"/>
        <v/>
      </c>
      <c r="I52" s="12"/>
      <c r="J52" s="12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2:27" ht="21.75" customHeight="1" x14ac:dyDescent="0.25">
      <c r="B53" s="12"/>
      <c r="C53" s="15"/>
      <c r="D53" s="12"/>
      <c r="E53" s="10" t="str">
        <f>IF(D53="","",IFERROR(VLOOKUP(D53,Productos!$B$5:$J$504,2,FALSE()),"Revisar código"))</f>
        <v/>
      </c>
      <c r="F53" s="13"/>
      <c r="G53" s="14"/>
      <c r="H53" s="20" t="str">
        <f t="shared" si="0"/>
        <v/>
      </c>
      <c r="I53" s="12"/>
      <c r="J53" s="12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2:27" ht="21.75" customHeight="1" x14ac:dyDescent="0.25">
      <c r="B54" s="12"/>
      <c r="C54" s="15"/>
      <c r="D54" s="12"/>
      <c r="E54" s="10" t="str">
        <f>IF(D54="","",IFERROR(VLOOKUP(D54,Productos!$B$5:$J$504,2,FALSE()),"Revisar código"))</f>
        <v/>
      </c>
      <c r="F54" s="13"/>
      <c r="G54" s="14"/>
      <c r="H54" s="20" t="str">
        <f t="shared" si="0"/>
        <v/>
      </c>
      <c r="I54" s="12"/>
      <c r="J54" s="12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2:27" ht="21.75" customHeight="1" x14ac:dyDescent="0.25">
      <c r="B55" s="12"/>
      <c r="C55" s="15"/>
      <c r="D55" s="12"/>
      <c r="E55" s="10" t="str">
        <f>IF(D55="","",IFERROR(VLOOKUP(D55,Productos!$B$5:$J$504,2,FALSE()),"Revisar código"))</f>
        <v/>
      </c>
      <c r="F55" s="13"/>
      <c r="G55" s="14"/>
      <c r="H55" s="20" t="str">
        <f t="shared" si="0"/>
        <v/>
      </c>
      <c r="I55" s="12"/>
      <c r="J55" s="12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2:27" ht="21.75" customHeight="1" x14ac:dyDescent="0.25">
      <c r="B56" s="12"/>
      <c r="C56" s="15"/>
      <c r="D56" s="12"/>
      <c r="E56" s="10" t="str">
        <f>IF(D56="","",IFERROR(VLOOKUP(D56,Productos!$B$5:$J$504,2,FALSE()),"Revisar código"))</f>
        <v/>
      </c>
      <c r="F56" s="13"/>
      <c r="G56" s="14"/>
      <c r="H56" s="20" t="str">
        <f t="shared" si="0"/>
        <v/>
      </c>
      <c r="I56" s="12"/>
      <c r="J56" s="12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2:27" ht="21.75" customHeight="1" x14ac:dyDescent="0.25">
      <c r="B57" s="12"/>
      <c r="C57" s="15"/>
      <c r="D57" s="12"/>
      <c r="E57" s="10" t="str">
        <f>IF(D57="","",IFERROR(VLOOKUP(D57,Productos!$B$5:$J$504,2,FALSE()),"Revisar código"))</f>
        <v/>
      </c>
      <c r="F57" s="13"/>
      <c r="G57" s="14"/>
      <c r="H57" s="20" t="str">
        <f t="shared" si="0"/>
        <v/>
      </c>
      <c r="I57" s="12"/>
      <c r="J57" s="12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2:27" ht="21.75" customHeight="1" x14ac:dyDescent="0.25">
      <c r="B58" s="12"/>
      <c r="C58" s="15"/>
      <c r="D58" s="12"/>
      <c r="E58" s="10" t="str">
        <f>IF(D58="","",IFERROR(VLOOKUP(D58,Productos!$B$5:$J$504,2,FALSE()),"Revisar código"))</f>
        <v/>
      </c>
      <c r="F58" s="13"/>
      <c r="G58" s="14"/>
      <c r="H58" s="20" t="str">
        <f t="shared" si="0"/>
        <v/>
      </c>
      <c r="I58" s="12"/>
      <c r="J58" s="12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2:27" ht="21.75" customHeight="1" x14ac:dyDescent="0.25">
      <c r="B59" s="12"/>
      <c r="C59" s="15"/>
      <c r="D59" s="12"/>
      <c r="E59" s="10" t="str">
        <f>IF(D59="","",IFERROR(VLOOKUP(D59,Productos!$B$5:$J$504,2,FALSE()),"Revisar código"))</f>
        <v/>
      </c>
      <c r="F59" s="13"/>
      <c r="G59" s="14"/>
      <c r="H59" s="20" t="str">
        <f t="shared" si="0"/>
        <v/>
      </c>
      <c r="I59" s="12"/>
      <c r="J59" s="12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2:27" ht="21.75" customHeight="1" x14ac:dyDescent="0.25">
      <c r="B60" s="12"/>
      <c r="C60" s="15"/>
      <c r="D60" s="12"/>
      <c r="E60" s="10" t="str">
        <f>IF(D60="","",IFERROR(VLOOKUP(D60,Productos!$B$5:$J$504,2,FALSE()),"Revisar código"))</f>
        <v/>
      </c>
      <c r="F60" s="13"/>
      <c r="G60" s="14"/>
      <c r="H60" s="20" t="str">
        <f t="shared" si="0"/>
        <v/>
      </c>
      <c r="I60" s="12"/>
      <c r="J60" s="12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2:27" ht="21.75" customHeight="1" x14ac:dyDescent="0.25">
      <c r="B61" s="12"/>
      <c r="C61" s="15"/>
      <c r="D61" s="12"/>
      <c r="E61" s="10" t="str">
        <f>IF(D61="","",IFERROR(VLOOKUP(D61,Productos!$B$5:$J$504,2,FALSE()),"Revisar código"))</f>
        <v/>
      </c>
      <c r="F61" s="13"/>
      <c r="G61" s="14"/>
      <c r="H61" s="20" t="str">
        <f t="shared" si="0"/>
        <v/>
      </c>
      <c r="I61" s="12"/>
      <c r="J61" s="12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2:27" ht="21.75" customHeight="1" x14ac:dyDescent="0.25">
      <c r="B62" s="12"/>
      <c r="C62" s="15"/>
      <c r="D62" s="12"/>
      <c r="E62" s="10" t="str">
        <f>IF(D62="","",IFERROR(VLOOKUP(D62,Productos!$B$5:$J$504,2,FALSE()),"Revisar código"))</f>
        <v/>
      </c>
      <c r="F62" s="13"/>
      <c r="G62" s="14"/>
      <c r="H62" s="20" t="str">
        <f t="shared" si="0"/>
        <v/>
      </c>
      <c r="I62" s="12"/>
      <c r="J62" s="12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2:27" ht="21.75" customHeight="1" x14ac:dyDescent="0.25">
      <c r="B63" s="12"/>
      <c r="C63" s="15"/>
      <c r="D63" s="12"/>
      <c r="E63" s="10" t="str">
        <f>IF(D63="","",IFERROR(VLOOKUP(D63,Productos!$B$5:$J$504,2,FALSE()),"Revisar código"))</f>
        <v/>
      </c>
      <c r="F63" s="13"/>
      <c r="G63" s="14"/>
      <c r="H63" s="20" t="str">
        <f t="shared" si="0"/>
        <v/>
      </c>
      <c r="I63" s="12"/>
      <c r="J63" s="12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2:27" ht="21.75" customHeight="1" x14ac:dyDescent="0.25">
      <c r="B64" s="12"/>
      <c r="C64" s="15"/>
      <c r="D64" s="12"/>
      <c r="E64" s="10" t="str">
        <f>IF(D64="","",IFERROR(VLOOKUP(D64,Productos!$B$5:$J$504,2,FALSE()),"Revisar código"))</f>
        <v/>
      </c>
      <c r="F64" s="13"/>
      <c r="G64" s="14"/>
      <c r="H64" s="20" t="str">
        <f t="shared" si="0"/>
        <v/>
      </c>
      <c r="I64" s="12"/>
      <c r="J64" s="12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2:27" ht="21.75" customHeight="1" x14ac:dyDescent="0.25">
      <c r="B65" s="12"/>
      <c r="C65" s="15"/>
      <c r="D65" s="12"/>
      <c r="E65" s="10" t="str">
        <f>IF(D65="","",IFERROR(VLOOKUP(D65,Productos!$B$5:$J$504,2,FALSE()),"Revisar código"))</f>
        <v/>
      </c>
      <c r="F65" s="13"/>
      <c r="G65" s="14"/>
      <c r="H65" s="20" t="str">
        <f t="shared" si="0"/>
        <v/>
      </c>
      <c r="I65" s="12"/>
      <c r="J65" s="12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2:27" ht="21.75" customHeight="1" x14ac:dyDescent="0.25">
      <c r="B66" s="12"/>
      <c r="C66" s="15"/>
      <c r="D66" s="12"/>
      <c r="E66" s="10" t="str">
        <f>IF(D66="","",IFERROR(VLOOKUP(D66,Productos!$B$5:$J$504,2,FALSE()),"Revisar código"))</f>
        <v/>
      </c>
      <c r="F66" s="13"/>
      <c r="G66" s="14"/>
      <c r="H66" s="20" t="str">
        <f t="shared" si="0"/>
        <v/>
      </c>
      <c r="I66" s="12"/>
      <c r="J66" s="12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2:27" ht="21.75" customHeight="1" x14ac:dyDescent="0.25">
      <c r="B67" s="12"/>
      <c r="C67" s="15"/>
      <c r="D67" s="12"/>
      <c r="E67" s="10" t="str">
        <f>IF(D67="","",IFERROR(VLOOKUP(D67,Productos!$B$5:$J$504,2,FALSE()),"Revisar código"))</f>
        <v/>
      </c>
      <c r="F67" s="13"/>
      <c r="G67" s="14"/>
      <c r="H67" s="20" t="str">
        <f t="shared" si="0"/>
        <v/>
      </c>
      <c r="I67" s="12"/>
      <c r="J67" s="12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2:27" ht="21.75" customHeight="1" x14ac:dyDescent="0.25">
      <c r="B68" s="12"/>
      <c r="C68" s="15"/>
      <c r="D68" s="12"/>
      <c r="E68" s="10" t="str">
        <f>IF(D68="","",IFERROR(VLOOKUP(D68,Productos!$B$5:$J$504,2,FALSE()),"Revisar código"))</f>
        <v/>
      </c>
      <c r="F68" s="13"/>
      <c r="G68" s="14"/>
      <c r="H68" s="20" t="str">
        <f t="shared" si="0"/>
        <v/>
      </c>
      <c r="I68" s="12"/>
      <c r="J68" s="12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2:27" ht="21.75" customHeight="1" x14ac:dyDescent="0.25">
      <c r="B69" s="12"/>
      <c r="C69" s="15"/>
      <c r="D69" s="12"/>
      <c r="E69" s="10" t="str">
        <f>IF(D69="","",IFERROR(VLOOKUP(D69,Productos!$B$5:$J$504,2,FALSE()),"Revisar código"))</f>
        <v/>
      </c>
      <c r="F69" s="13"/>
      <c r="G69" s="14"/>
      <c r="H69" s="20" t="str">
        <f t="shared" ref="H69:H132" si="1">IF(OR(F69="",G69=""),"",F69*G69)</f>
        <v/>
      </c>
      <c r="I69" s="12"/>
      <c r="J69" s="12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2:27" ht="21.75" customHeight="1" x14ac:dyDescent="0.25">
      <c r="B70" s="12"/>
      <c r="C70" s="15"/>
      <c r="D70" s="12"/>
      <c r="E70" s="10" t="str">
        <f>IF(D70="","",IFERROR(VLOOKUP(D70,Productos!$B$5:$J$504,2,FALSE()),"Revisar código"))</f>
        <v/>
      </c>
      <c r="F70" s="13"/>
      <c r="G70" s="14"/>
      <c r="H70" s="20" t="str">
        <f t="shared" si="1"/>
        <v/>
      </c>
      <c r="I70" s="12"/>
      <c r="J70" s="12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2:27" ht="21.75" customHeight="1" x14ac:dyDescent="0.25">
      <c r="B71" s="12"/>
      <c r="C71" s="15"/>
      <c r="D71" s="12"/>
      <c r="E71" s="10" t="str">
        <f>IF(D71="","",IFERROR(VLOOKUP(D71,Productos!$B$5:$J$504,2,FALSE()),"Revisar código"))</f>
        <v/>
      </c>
      <c r="F71" s="13"/>
      <c r="G71" s="14"/>
      <c r="H71" s="20" t="str">
        <f t="shared" si="1"/>
        <v/>
      </c>
      <c r="I71" s="12"/>
      <c r="J71" s="12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2:27" ht="21.75" customHeight="1" x14ac:dyDescent="0.25">
      <c r="B72" s="12"/>
      <c r="C72" s="15"/>
      <c r="D72" s="12"/>
      <c r="E72" s="10" t="str">
        <f>IF(D72="","",IFERROR(VLOOKUP(D72,Productos!$B$5:$J$504,2,FALSE()),"Revisar código"))</f>
        <v/>
      </c>
      <c r="F72" s="13"/>
      <c r="G72" s="14"/>
      <c r="H72" s="20" t="str">
        <f t="shared" si="1"/>
        <v/>
      </c>
      <c r="I72" s="12"/>
      <c r="J72" s="12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2:27" ht="21.75" customHeight="1" x14ac:dyDescent="0.25">
      <c r="B73" s="12"/>
      <c r="C73" s="15"/>
      <c r="D73" s="12"/>
      <c r="E73" s="10" t="str">
        <f>IF(D73="","",IFERROR(VLOOKUP(D73,Productos!$B$5:$J$504,2,FALSE()),"Revisar código"))</f>
        <v/>
      </c>
      <c r="F73" s="13"/>
      <c r="G73" s="14"/>
      <c r="H73" s="20" t="str">
        <f t="shared" si="1"/>
        <v/>
      </c>
      <c r="I73" s="12"/>
      <c r="J73" s="12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2:27" ht="21.75" customHeight="1" x14ac:dyDescent="0.25">
      <c r="B74" s="12"/>
      <c r="C74" s="15"/>
      <c r="D74" s="12"/>
      <c r="E74" s="10" t="str">
        <f>IF(D74="","",IFERROR(VLOOKUP(D74,Productos!$B$5:$J$504,2,FALSE()),"Revisar código"))</f>
        <v/>
      </c>
      <c r="F74" s="13"/>
      <c r="G74" s="14"/>
      <c r="H74" s="20" t="str">
        <f t="shared" si="1"/>
        <v/>
      </c>
      <c r="I74" s="12"/>
      <c r="J74" s="12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2:27" ht="21.75" customHeight="1" x14ac:dyDescent="0.25">
      <c r="B75" s="12"/>
      <c r="C75" s="15"/>
      <c r="D75" s="12"/>
      <c r="E75" s="10" t="str">
        <f>IF(D75="","",IFERROR(VLOOKUP(D75,Productos!$B$5:$J$504,2,FALSE()),"Revisar código"))</f>
        <v/>
      </c>
      <c r="F75" s="13"/>
      <c r="G75" s="14"/>
      <c r="H75" s="20" t="str">
        <f t="shared" si="1"/>
        <v/>
      </c>
      <c r="I75" s="12"/>
      <c r="J75" s="12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2:27" ht="21.75" customHeight="1" x14ac:dyDescent="0.25">
      <c r="B76" s="12"/>
      <c r="C76" s="15"/>
      <c r="D76" s="12"/>
      <c r="E76" s="10" t="str">
        <f>IF(D76="","",IFERROR(VLOOKUP(D76,Productos!$B$5:$J$504,2,FALSE()),"Revisar código"))</f>
        <v/>
      </c>
      <c r="F76" s="13"/>
      <c r="G76" s="14"/>
      <c r="H76" s="20" t="str">
        <f t="shared" si="1"/>
        <v/>
      </c>
      <c r="I76" s="12"/>
      <c r="J76" s="12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2:27" ht="21.75" customHeight="1" x14ac:dyDescent="0.25">
      <c r="B77" s="12"/>
      <c r="C77" s="15"/>
      <c r="D77" s="12"/>
      <c r="E77" s="10" t="str">
        <f>IF(D77="","",IFERROR(VLOOKUP(D77,Productos!$B$5:$J$504,2,FALSE()),"Revisar código"))</f>
        <v/>
      </c>
      <c r="F77" s="13"/>
      <c r="G77" s="14"/>
      <c r="H77" s="20" t="str">
        <f t="shared" si="1"/>
        <v/>
      </c>
      <c r="I77" s="12"/>
      <c r="J77" s="12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2:27" ht="21.75" customHeight="1" x14ac:dyDescent="0.25">
      <c r="B78" s="12"/>
      <c r="C78" s="15"/>
      <c r="D78" s="12"/>
      <c r="E78" s="10" t="str">
        <f>IF(D78="","",IFERROR(VLOOKUP(D78,Productos!$B$5:$J$504,2,FALSE()),"Revisar código"))</f>
        <v/>
      </c>
      <c r="F78" s="13"/>
      <c r="G78" s="14"/>
      <c r="H78" s="20" t="str">
        <f t="shared" si="1"/>
        <v/>
      </c>
      <c r="I78" s="12"/>
      <c r="J78" s="12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2:27" ht="21.75" customHeight="1" x14ac:dyDescent="0.25">
      <c r="B79" s="12"/>
      <c r="C79" s="15"/>
      <c r="D79" s="12"/>
      <c r="E79" s="10" t="str">
        <f>IF(D79="","",IFERROR(VLOOKUP(D79,Productos!$B$5:$J$504,2,FALSE()),"Revisar código"))</f>
        <v/>
      </c>
      <c r="F79" s="13"/>
      <c r="G79" s="14"/>
      <c r="H79" s="20" t="str">
        <f t="shared" si="1"/>
        <v/>
      </c>
      <c r="I79" s="12"/>
      <c r="J79" s="12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2:27" ht="21.75" customHeight="1" x14ac:dyDescent="0.25">
      <c r="B80" s="12"/>
      <c r="C80" s="15"/>
      <c r="D80" s="12"/>
      <c r="E80" s="10" t="str">
        <f>IF(D80="","",IFERROR(VLOOKUP(D80,Productos!$B$5:$J$504,2,FALSE()),"Revisar código"))</f>
        <v/>
      </c>
      <c r="F80" s="13"/>
      <c r="G80" s="14"/>
      <c r="H80" s="20" t="str">
        <f t="shared" si="1"/>
        <v/>
      </c>
      <c r="I80" s="12"/>
      <c r="J80" s="12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2:27" ht="21.75" customHeight="1" x14ac:dyDescent="0.25">
      <c r="B81" s="12"/>
      <c r="C81" s="15"/>
      <c r="D81" s="12"/>
      <c r="E81" s="10" t="str">
        <f>IF(D81="","",IFERROR(VLOOKUP(D81,Productos!$B$5:$J$504,2,FALSE()),"Revisar código"))</f>
        <v/>
      </c>
      <c r="F81" s="13"/>
      <c r="G81" s="14"/>
      <c r="H81" s="20" t="str">
        <f t="shared" si="1"/>
        <v/>
      </c>
      <c r="I81" s="12"/>
      <c r="J81" s="12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2:27" ht="21.75" customHeight="1" x14ac:dyDescent="0.25">
      <c r="B82" s="12"/>
      <c r="C82" s="15"/>
      <c r="D82" s="12"/>
      <c r="E82" s="10" t="str">
        <f>IF(D82="","",IFERROR(VLOOKUP(D82,Productos!$B$5:$J$504,2,FALSE()),"Revisar código"))</f>
        <v/>
      </c>
      <c r="F82" s="13"/>
      <c r="G82" s="14"/>
      <c r="H82" s="20" t="str">
        <f t="shared" si="1"/>
        <v/>
      </c>
      <c r="I82" s="12"/>
      <c r="J82" s="12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2:27" ht="21.75" customHeight="1" x14ac:dyDescent="0.25">
      <c r="B83" s="12"/>
      <c r="C83" s="15"/>
      <c r="D83" s="12"/>
      <c r="E83" s="10" t="str">
        <f>IF(D83="","",IFERROR(VLOOKUP(D83,Productos!$B$5:$J$504,2,FALSE()),"Revisar código"))</f>
        <v/>
      </c>
      <c r="F83" s="13"/>
      <c r="G83" s="14"/>
      <c r="H83" s="20" t="str">
        <f t="shared" si="1"/>
        <v/>
      </c>
      <c r="I83" s="12"/>
      <c r="J83" s="12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2:27" ht="21.75" customHeight="1" x14ac:dyDescent="0.25">
      <c r="B84" s="12"/>
      <c r="C84" s="15"/>
      <c r="D84" s="12"/>
      <c r="E84" s="10" t="str">
        <f>IF(D84="","",IFERROR(VLOOKUP(D84,Productos!$B$5:$J$504,2,FALSE()),"Revisar código"))</f>
        <v/>
      </c>
      <c r="F84" s="13"/>
      <c r="G84" s="14"/>
      <c r="H84" s="20" t="str">
        <f t="shared" si="1"/>
        <v/>
      </c>
      <c r="I84" s="12"/>
      <c r="J84" s="12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2:27" ht="21.75" customHeight="1" x14ac:dyDescent="0.25">
      <c r="B85" s="12"/>
      <c r="C85" s="15"/>
      <c r="D85" s="12"/>
      <c r="E85" s="10" t="str">
        <f>IF(D85="","",IFERROR(VLOOKUP(D85,Productos!$B$5:$J$504,2,FALSE()),"Revisar código"))</f>
        <v/>
      </c>
      <c r="F85" s="13"/>
      <c r="G85" s="14"/>
      <c r="H85" s="20" t="str">
        <f t="shared" si="1"/>
        <v/>
      </c>
      <c r="I85" s="12"/>
      <c r="J85" s="12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2:27" ht="21.75" customHeight="1" x14ac:dyDescent="0.25">
      <c r="B86" s="12"/>
      <c r="C86" s="15"/>
      <c r="D86" s="12"/>
      <c r="E86" s="10" t="str">
        <f>IF(D86="","",IFERROR(VLOOKUP(D86,Productos!$B$5:$J$504,2,FALSE()),"Revisar código"))</f>
        <v/>
      </c>
      <c r="F86" s="13"/>
      <c r="G86" s="14"/>
      <c r="H86" s="20" t="str">
        <f t="shared" si="1"/>
        <v/>
      </c>
      <c r="I86" s="12"/>
      <c r="J86" s="12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2:27" ht="21.75" customHeight="1" x14ac:dyDescent="0.25">
      <c r="B87" s="12"/>
      <c r="C87" s="15"/>
      <c r="D87" s="12"/>
      <c r="E87" s="10" t="str">
        <f>IF(D87="","",IFERROR(VLOOKUP(D87,Productos!$B$5:$J$504,2,FALSE()),"Revisar código"))</f>
        <v/>
      </c>
      <c r="F87" s="13"/>
      <c r="G87" s="14"/>
      <c r="H87" s="20" t="str">
        <f t="shared" si="1"/>
        <v/>
      </c>
      <c r="I87" s="12"/>
      <c r="J87" s="12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2:27" ht="21.75" customHeight="1" x14ac:dyDescent="0.25">
      <c r="B88" s="12"/>
      <c r="C88" s="15"/>
      <c r="D88" s="12"/>
      <c r="E88" s="10" t="str">
        <f>IF(D88="","",IFERROR(VLOOKUP(D88,Productos!$B$5:$J$504,2,FALSE()),"Revisar código"))</f>
        <v/>
      </c>
      <c r="F88" s="13"/>
      <c r="G88" s="14"/>
      <c r="H88" s="20" t="str">
        <f t="shared" si="1"/>
        <v/>
      </c>
      <c r="I88" s="12"/>
      <c r="J88" s="12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2:27" ht="21.75" customHeight="1" x14ac:dyDescent="0.25">
      <c r="B89" s="12"/>
      <c r="C89" s="15"/>
      <c r="D89" s="12"/>
      <c r="E89" s="10" t="str">
        <f>IF(D89="","",IFERROR(VLOOKUP(D89,Productos!$B$5:$J$504,2,FALSE()),"Revisar código"))</f>
        <v/>
      </c>
      <c r="F89" s="13"/>
      <c r="G89" s="14"/>
      <c r="H89" s="20" t="str">
        <f t="shared" si="1"/>
        <v/>
      </c>
      <c r="I89" s="12"/>
      <c r="J89" s="12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2:27" ht="21.75" customHeight="1" x14ac:dyDescent="0.25">
      <c r="B90" s="12"/>
      <c r="C90" s="15"/>
      <c r="D90" s="12"/>
      <c r="E90" s="10" t="str">
        <f>IF(D90="","",IFERROR(VLOOKUP(D90,Productos!$B$5:$J$504,2,FALSE()),"Revisar código"))</f>
        <v/>
      </c>
      <c r="F90" s="13"/>
      <c r="G90" s="14"/>
      <c r="H90" s="20" t="str">
        <f t="shared" si="1"/>
        <v/>
      </c>
      <c r="I90" s="12"/>
      <c r="J90" s="12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2:27" ht="21.75" customHeight="1" x14ac:dyDescent="0.25">
      <c r="B91" s="12"/>
      <c r="C91" s="15"/>
      <c r="D91" s="12"/>
      <c r="E91" s="10" t="str">
        <f>IF(D91="","",IFERROR(VLOOKUP(D91,Productos!$B$5:$J$504,2,FALSE()),"Revisar código"))</f>
        <v/>
      </c>
      <c r="F91" s="13"/>
      <c r="G91" s="14"/>
      <c r="H91" s="20" t="str">
        <f t="shared" si="1"/>
        <v/>
      </c>
      <c r="I91" s="12"/>
      <c r="J91" s="12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2:27" ht="21.75" customHeight="1" x14ac:dyDescent="0.25">
      <c r="B92" s="12"/>
      <c r="C92" s="15"/>
      <c r="D92" s="12"/>
      <c r="E92" s="10" t="str">
        <f>IF(D92="","",IFERROR(VLOOKUP(D92,Productos!$B$5:$J$504,2,FALSE()),"Revisar código"))</f>
        <v/>
      </c>
      <c r="F92" s="13"/>
      <c r="G92" s="14"/>
      <c r="H92" s="20" t="str">
        <f t="shared" si="1"/>
        <v/>
      </c>
      <c r="I92" s="12"/>
      <c r="J92" s="12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2:27" ht="21.75" customHeight="1" x14ac:dyDescent="0.25">
      <c r="B93" s="12"/>
      <c r="C93" s="15"/>
      <c r="D93" s="12"/>
      <c r="E93" s="10" t="str">
        <f>IF(D93="","",IFERROR(VLOOKUP(D93,Productos!$B$5:$J$504,2,FALSE()),"Revisar código"))</f>
        <v/>
      </c>
      <c r="F93" s="13"/>
      <c r="G93" s="14"/>
      <c r="H93" s="20" t="str">
        <f t="shared" si="1"/>
        <v/>
      </c>
      <c r="I93" s="12"/>
      <c r="J93" s="12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2:27" ht="21.75" customHeight="1" x14ac:dyDescent="0.25">
      <c r="B94" s="12"/>
      <c r="C94" s="15"/>
      <c r="D94" s="12"/>
      <c r="E94" s="10" t="str">
        <f>IF(D94="","",IFERROR(VLOOKUP(D94,Productos!$B$5:$J$504,2,FALSE()),"Revisar código"))</f>
        <v/>
      </c>
      <c r="F94" s="13"/>
      <c r="G94" s="14"/>
      <c r="H94" s="20" t="str">
        <f t="shared" si="1"/>
        <v/>
      </c>
      <c r="I94" s="12"/>
      <c r="J94" s="12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2:27" ht="21.75" customHeight="1" x14ac:dyDescent="0.25">
      <c r="B95" s="12"/>
      <c r="C95" s="15"/>
      <c r="D95" s="12"/>
      <c r="E95" s="10" t="str">
        <f>IF(D95="","",IFERROR(VLOOKUP(D95,Productos!$B$5:$J$504,2,FALSE()),"Revisar código"))</f>
        <v/>
      </c>
      <c r="F95" s="13"/>
      <c r="G95" s="14"/>
      <c r="H95" s="20" t="str">
        <f t="shared" si="1"/>
        <v/>
      </c>
      <c r="I95" s="12"/>
      <c r="J95" s="12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2:27" ht="21.75" customHeight="1" x14ac:dyDescent="0.25">
      <c r="B96" s="12"/>
      <c r="C96" s="15"/>
      <c r="D96" s="12"/>
      <c r="E96" s="10" t="str">
        <f>IF(D96="","",IFERROR(VLOOKUP(D96,Productos!$B$5:$J$504,2,FALSE()),"Revisar código"))</f>
        <v/>
      </c>
      <c r="F96" s="13"/>
      <c r="G96" s="14"/>
      <c r="H96" s="20" t="str">
        <f t="shared" si="1"/>
        <v/>
      </c>
      <c r="I96" s="12"/>
      <c r="J96" s="12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2:27" ht="21.75" customHeight="1" x14ac:dyDescent="0.25">
      <c r="B97" s="12"/>
      <c r="C97" s="15"/>
      <c r="D97" s="12"/>
      <c r="E97" s="10" t="str">
        <f>IF(D97="","",IFERROR(VLOOKUP(D97,Productos!$B$5:$J$504,2,FALSE()),"Revisar código"))</f>
        <v/>
      </c>
      <c r="F97" s="13"/>
      <c r="G97" s="14"/>
      <c r="H97" s="20" t="str">
        <f t="shared" si="1"/>
        <v/>
      </c>
      <c r="I97" s="12"/>
      <c r="J97" s="12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2:27" ht="21.75" customHeight="1" x14ac:dyDescent="0.25">
      <c r="B98" s="12"/>
      <c r="C98" s="15"/>
      <c r="D98" s="12"/>
      <c r="E98" s="10" t="str">
        <f>IF(D98="","",IFERROR(VLOOKUP(D98,Productos!$B$5:$J$504,2,FALSE()),"Revisar código"))</f>
        <v/>
      </c>
      <c r="F98" s="13"/>
      <c r="G98" s="14"/>
      <c r="H98" s="20" t="str">
        <f t="shared" si="1"/>
        <v/>
      </c>
      <c r="I98" s="12"/>
      <c r="J98" s="12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2:27" ht="21.75" customHeight="1" x14ac:dyDescent="0.25">
      <c r="B99" s="12"/>
      <c r="C99" s="15"/>
      <c r="D99" s="12"/>
      <c r="E99" s="10" t="str">
        <f>IF(D99="","",IFERROR(VLOOKUP(D99,Productos!$B$5:$J$504,2,FALSE()),"Revisar código"))</f>
        <v/>
      </c>
      <c r="F99" s="13"/>
      <c r="G99" s="14"/>
      <c r="H99" s="20" t="str">
        <f t="shared" si="1"/>
        <v/>
      </c>
      <c r="I99" s="12"/>
      <c r="J99" s="12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2:27" ht="21.75" customHeight="1" x14ac:dyDescent="0.25">
      <c r="B100" s="12"/>
      <c r="C100" s="15"/>
      <c r="D100" s="12"/>
      <c r="E100" s="10" t="str">
        <f>IF(D100="","",IFERROR(VLOOKUP(D100,Productos!$B$5:$J$504,2,FALSE()),"Revisar código"))</f>
        <v/>
      </c>
      <c r="F100" s="13"/>
      <c r="G100" s="14"/>
      <c r="H100" s="20" t="str">
        <f t="shared" si="1"/>
        <v/>
      </c>
      <c r="I100" s="12"/>
      <c r="J100" s="12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2:27" ht="21.75" customHeight="1" x14ac:dyDescent="0.25">
      <c r="B101" s="12"/>
      <c r="C101" s="15"/>
      <c r="D101" s="12"/>
      <c r="E101" s="10" t="str">
        <f>IF(D101="","",IFERROR(VLOOKUP(D101,Productos!$B$5:$J$504,2,FALSE()),"Revisar código"))</f>
        <v/>
      </c>
      <c r="F101" s="13"/>
      <c r="G101" s="14"/>
      <c r="H101" s="20" t="str">
        <f t="shared" si="1"/>
        <v/>
      </c>
      <c r="I101" s="12"/>
      <c r="J101" s="12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2:27" ht="21.75" customHeight="1" x14ac:dyDescent="0.25">
      <c r="B102" s="12"/>
      <c r="C102" s="15"/>
      <c r="D102" s="12"/>
      <c r="E102" s="10" t="str">
        <f>IF(D102="","",IFERROR(VLOOKUP(D102,Productos!$B$5:$J$504,2,FALSE()),"Revisar código"))</f>
        <v/>
      </c>
      <c r="F102" s="13"/>
      <c r="G102" s="14"/>
      <c r="H102" s="20" t="str">
        <f t="shared" si="1"/>
        <v/>
      </c>
      <c r="I102" s="12"/>
      <c r="J102" s="12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2:27" ht="21.75" customHeight="1" x14ac:dyDescent="0.25">
      <c r="B103" s="12"/>
      <c r="C103" s="15"/>
      <c r="D103" s="12"/>
      <c r="E103" s="10" t="str">
        <f>IF(D103="","",IFERROR(VLOOKUP(D103,Productos!$B$5:$J$504,2,FALSE()),"Revisar código"))</f>
        <v/>
      </c>
      <c r="F103" s="13"/>
      <c r="G103" s="14"/>
      <c r="H103" s="20" t="str">
        <f t="shared" si="1"/>
        <v/>
      </c>
      <c r="I103" s="12"/>
      <c r="J103" s="12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2:27" ht="21.75" customHeight="1" x14ac:dyDescent="0.25">
      <c r="B104" s="12"/>
      <c r="C104" s="15"/>
      <c r="D104" s="12"/>
      <c r="E104" s="10" t="str">
        <f>IF(D104="","",IFERROR(VLOOKUP(D104,Productos!$B$5:$J$504,2,FALSE()),"Revisar código"))</f>
        <v/>
      </c>
      <c r="F104" s="13"/>
      <c r="G104" s="14"/>
      <c r="H104" s="20" t="str">
        <f t="shared" si="1"/>
        <v/>
      </c>
      <c r="I104" s="12"/>
      <c r="J104" s="12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2:27" ht="21.75" customHeight="1" x14ac:dyDescent="0.25">
      <c r="B105" s="12"/>
      <c r="C105" s="15"/>
      <c r="D105" s="12"/>
      <c r="E105" s="10" t="str">
        <f>IF(D105="","",IFERROR(VLOOKUP(D105,Productos!$B$5:$J$504,2,FALSE()),"Revisar código"))</f>
        <v/>
      </c>
      <c r="F105" s="13"/>
      <c r="G105" s="14"/>
      <c r="H105" s="20" t="str">
        <f t="shared" si="1"/>
        <v/>
      </c>
      <c r="I105" s="12"/>
      <c r="J105" s="12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2:27" ht="21.75" customHeight="1" x14ac:dyDescent="0.25">
      <c r="B106" s="12"/>
      <c r="C106" s="15"/>
      <c r="D106" s="12"/>
      <c r="E106" s="10" t="str">
        <f>IF(D106="","",IFERROR(VLOOKUP(D106,Productos!$B$5:$J$504,2,FALSE()),"Revisar código"))</f>
        <v/>
      </c>
      <c r="F106" s="13"/>
      <c r="G106" s="14"/>
      <c r="H106" s="20" t="str">
        <f t="shared" si="1"/>
        <v/>
      </c>
      <c r="I106" s="12"/>
      <c r="J106" s="12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2:27" ht="21.75" customHeight="1" x14ac:dyDescent="0.25">
      <c r="B107" s="12"/>
      <c r="C107" s="15"/>
      <c r="D107" s="12"/>
      <c r="E107" s="10" t="str">
        <f>IF(D107="","",IFERROR(VLOOKUP(D107,Productos!$B$5:$J$504,2,FALSE()),"Revisar código"))</f>
        <v/>
      </c>
      <c r="F107" s="13"/>
      <c r="G107" s="14"/>
      <c r="H107" s="20" t="str">
        <f t="shared" si="1"/>
        <v/>
      </c>
      <c r="I107" s="12"/>
      <c r="J107" s="12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2:27" ht="21.75" customHeight="1" x14ac:dyDescent="0.25">
      <c r="B108" s="12"/>
      <c r="C108" s="15"/>
      <c r="D108" s="12"/>
      <c r="E108" s="10" t="str">
        <f>IF(D108="","",IFERROR(VLOOKUP(D108,Productos!$B$5:$J$504,2,FALSE()),"Revisar código"))</f>
        <v/>
      </c>
      <c r="F108" s="13"/>
      <c r="G108" s="14"/>
      <c r="H108" s="20" t="str">
        <f t="shared" si="1"/>
        <v/>
      </c>
      <c r="I108" s="12"/>
      <c r="J108" s="12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2:27" ht="21.75" customHeight="1" x14ac:dyDescent="0.25">
      <c r="B109" s="12"/>
      <c r="C109" s="15"/>
      <c r="D109" s="12"/>
      <c r="E109" s="10" t="str">
        <f>IF(D109="","",IFERROR(VLOOKUP(D109,Productos!$B$5:$J$504,2,FALSE()),"Revisar código"))</f>
        <v/>
      </c>
      <c r="F109" s="13"/>
      <c r="G109" s="14"/>
      <c r="H109" s="20" t="str">
        <f t="shared" si="1"/>
        <v/>
      </c>
      <c r="I109" s="12"/>
      <c r="J109" s="12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2:27" ht="21.75" customHeight="1" x14ac:dyDescent="0.25">
      <c r="B110" s="12"/>
      <c r="C110" s="15"/>
      <c r="D110" s="12"/>
      <c r="E110" s="10" t="str">
        <f>IF(D110="","",IFERROR(VLOOKUP(D110,Productos!$B$5:$J$504,2,FALSE()),"Revisar código"))</f>
        <v/>
      </c>
      <c r="F110" s="13"/>
      <c r="G110" s="14"/>
      <c r="H110" s="20" t="str">
        <f t="shared" si="1"/>
        <v/>
      </c>
      <c r="I110" s="12"/>
      <c r="J110" s="12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2:27" ht="21.75" customHeight="1" x14ac:dyDescent="0.25">
      <c r="B111" s="12"/>
      <c r="C111" s="15"/>
      <c r="D111" s="12"/>
      <c r="E111" s="10" t="str">
        <f>IF(D111="","",IFERROR(VLOOKUP(D111,Productos!$B$5:$J$504,2,FALSE()),"Revisar código"))</f>
        <v/>
      </c>
      <c r="F111" s="13"/>
      <c r="G111" s="14"/>
      <c r="H111" s="20" t="str">
        <f t="shared" si="1"/>
        <v/>
      </c>
      <c r="I111" s="12"/>
      <c r="J111" s="12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2:27" ht="21.75" customHeight="1" x14ac:dyDescent="0.25">
      <c r="B112" s="12"/>
      <c r="C112" s="15"/>
      <c r="D112" s="12"/>
      <c r="E112" s="10" t="str">
        <f>IF(D112="","",IFERROR(VLOOKUP(D112,Productos!$B$5:$J$504,2,FALSE()),"Revisar código"))</f>
        <v/>
      </c>
      <c r="F112" s="13"/>
      <c r="G112" s="14"/>
      <c r="H112" s="20" t="str">
        <f t="shared" si="1"/>
        <v/>
      </c>
      <c r="I112" s="12"/>
      <c r="J112" s="12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2:27" ht="21.75" customHeight="1" x14ac:dyDescent="0.25">
      <c r="B113" s="12"/>
      <c r="C113" s="15"/>
      <c r="D113" s="12"/>
      <c r="E113" s="10" t="str">
        <f>IF(D113="","",IFERROR(VLOOKUP(D113,Productos!$B$5:$J$504,2,FALSE()),"Revisar código"))</f>
        <v/>
      </c>
      <c r="F113" s="13"/>
      <c r="G113" s="14"/>
      <c r="H113" s="20" t="str">
        <f t="shared" si="1"/>
        <v/>
      </c>
      <c r="I113" s="12"/>
      <c r="J113" s="12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2:27" ht="21.75" customHeight="1" x14ac:dyDescent="0.25">
      <c r="B114" s="12"/>
      <c r="C114" s="15"/>
      <c r="D114" s="12"/>
      <c r="E114" s="10" t="str">
        <f>IF(D114="","",IFERROR(VLOOKUP(D114,Productos!$B$5:$J$504,2,FALSE()),"Revisar código"))</f>
        <v/>
      </c>
      <c r="F114" s="13"/>
      <c r="G114" s="14"/>
      <c r="H114" s="20" t="str">
        <f t="shared" si="1"/>
        <v/>
      </c>
      <c r="I114" s="12"/>
      <c r="J114" s="12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2:27" ht="21.75" customHeight="1" x14ac:dyDescent="0.25">
      <c r="B115" s="12"/>
      <c r="C115" s="15"/>
      <c r="D115" s="12"/>
      <c r="E115" s="10" t="str">
        <f>IF(D115="","",IFERROR(VLOOKUP(D115,Productos!$B$5:$J$504,2,FALSE()),"Revisar código"))</f>
        <v/>
      </c>
      <c r="F115" s="13"/>
      <c r="G115" s="14"/>
      <c r="H115" s="20" t="str">
        <f t="shared" si="1"/>
        <v/>
      </c>
      <c r="I115" s="12"/>
      <c r="J115" s="12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2:27" ht="21.75" customHeight="1" x14ac:dyDescent="0.25">
      <c r="B116" s="12"/>
      <c r="C116" s="15"/>
      <c r="D116" s="12"/>
      <c r="E116" s="10" t="str">
        <f>IF(D116="","",IFERROR(VLOOKUP(D116,Productos!$B$5:$J$504,2,FALSE()),"Revisar código"))</f>
        <v/>
      </c>
      <c r="F116" s="13"/>
      <c r="G116" s="14"/>
      <c r="H116" s="20" t="str">
        <f t="shared" si="1"/>
        <v/>
      </c>
      <c r="I116" s="12"/>
      <c r="J116" s="12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2:27" ht="21.75" customHeight="1" x14ac:dyDescent="0.25">
      <c r="B117" s="12"/>
      <c r="C117" s="15"/>
      <c r="D117" s="12"/>
      <c r="E117" s="10" t="str">
        <f>IF(D117="","",IFERROR(VLOOKUP(D117,Productos!$B$5:$J$504,2,FALSE()),"Revisar código"))</f>
        <v/>
      </c>
      <c r="F117" s="13"/>
      <c r="G117" s="14"/>
      <c r="H117" s="20" t="str">
        <f t="shared" si="1"/>
        <v/>
      </c>
      <c r="I117" s="12"/>
      <c r="J117" s="12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2:27" ht="21.75" customHeight="1" x14ac:dyDescent="0.25">
      <c r="B118" s="12"/>
      <c r="C118" s="15"/>
      <c r="D118" s="12"/>
      <c r="E118" s="10" t="str">
        <f>IF(D118="","",IFERROR(VLOOKUP(D118,Productos!$B$5:$J$504,2,FALSE()),"Revisar código"))</f>
        <v/>
      </c>
      <c r="F118" s="13"/>
      <c r="G118" s="14"/>
      <c r="H118" s="20" t="str">
        <f t="shared" si="1"/>
        <v/>
      </c>
      <c r="I118" s="12"/>
      <c r="J118" s="12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2:27" ht="21.75" customHeight="1" x14ac:dyDescent="0.25">
      <c r="B119" s="12"/>
      <c r="C119" s="15"/>
      <c r="D119" s="12"/>
      <c r="E119" s="10" t="str">
        <f>IF(D119="","",IFERROR(VLOOKUP(D119,Productos!$B$5:$J$504,2,FALSE()),"Revisar código"))</f>
        <v/>
      </c>
      <c r="F119" s="13"/>
      <c r="G119" s="14"/>
      <c r="H119" s="20" t="str">
        <f t="shared" si="1"/>
        <v/>
      </c>
      <c r="I119" s="12"/>
      <c r="J119" s="12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2:27" ht="21.75" customHeight="1" x14ac:dyDescent="0.25">
      <c r="B120" s="12"/>
      <c r="C120" s="15"/>
      <c r="D120" s="12"/>
      <c r="E120" s="10" t="str">
        <f>IF(D120="","",IFERROR(VLOOKUP(D120,Productos!$B$5:$J$504,2,FALSE()),"Revisar código"))</f>
        <v/>
      </c>
      <c r="F120" s="13"/>
      <c r="G120" s="14"/>
      <c r="H120" s="20" t="str">
        <f t="shared" si="1"/>
        <v/>
      </c>
      <c r="I120" s="12"/>
      <c r="J120" s="12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2:27" ht="21.75" customHeight="1" x14ac:dyDescent="0.25">
      <c r="B121" s="12"/>
      <c r="C121" s="15"/>
      <c r="D121" s="12"/>
      <c r="E121" s="10" t="str">
        <f>IF(D121="","",IFERROR(VLOOKUP(D121,Productos!$B$5:$J$504,2,FALSE()),"Revisar código"))</f>
        <v/>
      </c>
      <c r="F121" s="13"/>
      <c r="G121" s="14"/>
      <c r="H121" s="20" t="str">
        <f t="shared" si="1"/>
        <v/>
      </c>
      <c r="I121" s="12"/>
      <c r="J121" s="12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2:27" ht="21.75" customHeight="1" x14ac:dyDescent="0.25">
      <c r="B122" s="12"/>
      <c r="C122" s="15"/>
      <c r="D122" s="12"/>
      <c r="E122" s="10" t="str">
        <f>IF(D122="","",IFERROR(VLOOKUP(D122,Productos!$B$5:$J$504,2,FALSE()),"Revisar código"))</f>
        <v/>
      </c>
      <c r="F122" s="13"/>
      <c r="G122" s="14"/>
      <c r="H122" s="20" t="str">
        <f t="shared" si="1"/>
        <v/>
      </c>
      <c r="I122" s="12"/>
      <c r="J122" s="12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2:27" ht="21.75" customHeight="1" x14ac:dyDescent="0.25">
      <c r="B123" s="12"/>
      <c r="C123" s="15"/>
      <c r="D123" s="12"/>
      <c r="E123" s="10" t="str">
        <f>IF(D123="","",IFERROR(VLOOKUP(D123,Productos!$B$5:$J$504,2,FALSE()),"Revisar código"))</f>
        <v/>
      </c>
      <c r="F123" s="13"/>
      <c r="G123" s="14"/>
      <c r="H123" s="20" t="str">
        <f t="shared" si="1"/>
        <v/>
      </c>
      <c r="I123" s="12"/>
      <c r="J123" s="12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2:27" ht="21.75" customHeight="1" x14ac:dyDescent="0.25">
      <c r="B124" s="12"/>
      <c r="C124" s="15"/>
      <c r="D124" s="12"/>
      <c r="E124" s="10" t="str">
        <f>IF(D124="","",IFERROR(VLOOKUP(D124,Productos!$B$5:$J$504,2,FALSE()),"Revisar código"))</f>
        <v/>
      </c>
      <c r="F124" s="13"/>
      <c r="G124" s="14"/>
      <c r="H124" s="20" t="str">
        <f t="shared" si="1"/>
        <v/>
      </c>
      <c r="I124" s="12"/>
      <c r="J124" s="12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2:27" ht="21.75" customHeight="1" x14ac:dyDescent="0.25">
      <c r="B125" s="12"/>
      <c r="C125" s="15"/>
      <c r="D125" s="12"/>
      <c r="E125" s="10" t="str">
        <f>IF(D125="","",IFERROR(VLOOKUP(D125,Productos!$B$5:$J$504,2,FALSE()),"Revisar código"))</f>
        <v/>
      </c>
      <c r="F125" s="13"/>
      <c r="G125" s="14"/>
      <c r="H125" s="20" t="str">
        <f t="shared" si="1"/>
        <v/>
      </c>
      <c r="I125" s="12"/>
      <c r="J125" s="12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2:27" ht="21.75" customHeight="1" x14ac:dyDescent="0.25">
      <c r="B126" s="12"/>
      <c r="C126" s="15"/>
      <c r="D126" s="12"/>
      <c r="E126" s="10" t="str">
        <f>IF(D126="","",IFERROR(VLOOKUP(D126,Productos!$B$5:$J$504,2,FALSE()),"Revisar código"))</f>
        <v/>
      </c>
      <c r="F126" s="13"/>
      <c r="G126" s="14"/>
      <c r="H126" s="20" t="str">
        <f t="shared" si="1"/>
        <v/>
      </c>
      <c r="I126" s="12"/>
      <c r="J126" s="12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2:27" ht="21.75" customHeight="1" x14ac:dyDescent="0.25">
      <c r="B127" s="12"/>
      <c r="C127" s="15"/>
      <c r="D127" s="12"/>
      <c r="E127" s="10" t="str">
        <f>IF(D127="","",IFERROR(VLOOKUP(D127,Productos!$B$5:$J$504,2,FALSE()),"Revisar código"))</f>
        <v/>
      </c>
      <c r="F127" s="13"/>
      <c r="G127" s="14"/>
      <c r="H127" s="20" t="str">
        <f t="shared" si="1"/>
        <v/>
      </c>
      <c r="I127" s="12"/>
      <c r="J127" s="12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2:27" ht="21.75" customHeight="1" x14ac:dyDescent="0.25">
      <c r="B128" s="12"/>
      <c r="C128" s="15"/>
      <c r="D128" s="12"/>
      <c r="E128" s="10" t="str">
        <f>IF(D128="","",IFERROR(VLOOKUP(D128,Productos!$B$5:$J$504,2,FALSE()),"Revisar código"))</f>
        <v/>
      </c>
      <c r="F128" s="13"/>
      <c r="G128" s="14"/>
      <c r="H128" s="20" t="str">
        <f t="shared" si="1"/>
        <v/>
      </c>
      <c r="I128" s="12"/>
      <c r="J128" s="12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2:27" ht="21.75" customHeight="1" x14ac:dyDescent="0.25">
      <c r="B129" s="12"/>
      <c r="C129" s="15"/>
      <c r="D129" s="12"/>
      <c r="E129" s="10" t="str">
        <f>IF(D129="","",IFERROR(VLOOKUP(D129,Productos!$B$5:$J$504,2,FALSE()),"Revisar código"))</f>
        <v/>
      </c>
      <c r="F129" s="13"/>
      <c r="G129" s="14"/>
      <c r="H129" s="20" t="str">
        <f t="shared" si="1"/>
        <v/>
      </c>
      <c r="I129" s="12"/>
      <c r="J129" s="12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2:27" ht="21.75" customHeight="1" x14ac:dyDescent="0.25">
      <c r="B130" s="12"/>
      <c r="C130" s="15"/>
      <c r="D130" s="12"/>
      <c r="E130" s="10" t="str">
        <f>IF(D130="","",IFERROR(VLOOKUP(D130,Productos!$B$5:$J$504,2,FALSE()),"Revisar código"))</f>
        <v/>
      </c>
      <c r="F130" s="13"/>
      <c r="G130" s="14"/>
      <c r="H130" s="20" t="str">
        <f t="shared" si="1"/>
        <v/>
      </c>
      <c r="I130" s="12"/>
      <c r="J130" s="12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2:27" ht="21.75" customHeight="1" x14ac:dyDescent="0.25">
      <c r="B131" s="12"/>
      <c r="C131" s="15"/>
      <c r="D131" s="12"/>
      <c r="E131" s="10" t="str">
        <f>IF(D131="","",IFERROR(VLOOKUP(D131,Productos!$B$5:$J$504,2,FALSE()),"Revisar código"))</f>
        <v/>
      </c>
      <c r="F131" s="13"/>
      <c r="G131" s="14"/>
      <c r="H131" s="20" t="str">
        <f t="shared" si="1"/>
        <v/>
      </c>
      <c r="I131" s="12"/>
      <c r="J131" s="12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2:27" ht="21.75" customHeight="1" x14ac:dyDescent="0.25">
      <c r="B132" s="12"/>
      <c r="C132" s="15"/>
      <c r="D132" s="12"/>
      <c r="E132" s="10" t="str">
        <f>IF(D132="","",IFERROR(VLOOKUP(D132,Productos!$B$5:$J$504,2,FALSE()),"Revisar código"))</f>
        <v/>
      </c>
      <c r="F132" s="13"/>
      <c r="G132" s="14"/>
      <c r="H132" s="20" t="str">
        <f t="shared" si="1"/>
        <v/>
      </c>
      <c r="I132" s="12"/>
      <c r="J132" s="12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2:27" ht="21.75" customHeight="1" x14ac:dyDescent="0.25">
      <c r="B133" s="12"/>
      <c r="C133" s="15"/>
      <c r="D133" s="12"/>
      <c r="E133" s="10" t="str">
        <f>IF(D133="","",IFERROR(VLOOKUP(D133,Productos!$B$5:$J$504,2,FALSE()),"Revisar código"))</f>
        <v/>
      </c>
      <c r="F133" s="13"/>
      <c r="G133" s="14"/>
      <c r="H133" s="20" t="str">
        <f t="shared" ref="H133:H196" si="2">IF(OR(F133="",G133=""),"",F133*G133)</f>
        <v/>
      </c>
      <c r="I133" s="12"/>
      <c r="J133" s="12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2:27" ht="21.75" customHeight="1" x14ac:dyDescent="0.25">
      <c r="B134" s="12"/>
      <c r="C134" s="15"/>
      <c r="D134" s="12"/>
      <c r="E134" s="10" t="str">
        <f>IF(D134="","",IFERROR(VLOOKUP(D134,Productos!$B$5:$J$504,2,FALSE()),"Revisar código"))</f>
        <v/>
      </c>
      <c r="F134" s="13"/>
      <c r="G134" s="14"/>
      <c r="H134" s="20" t="str">
        <f t="shared" si="2"/>
        <v/>
      </c>
      <c r="I134" s="12"/>
      <c r="J134" s="12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2:27" ht="21.75" customHeight="1" x14ac:dyDescent="0.25">
      <c r="B135" s="12"/>
      <c r="C135" s="15"/>
      <c r="D135" s="12"/>
      <c r="E135" s="10" t="str">
        <f>IF(D135="","",IFERROR(VLOOKUP(D135,Productos!$B$5:$J$504,2,FALSE()),"Revisar código"))</f>
        <v/>
      </c>
      <c r="F135" s="13"/>
      <c r="G135" s="14"/>
      <c r="H135" s="20" t="str">
        <f t="shared" si="2"/>
        <v/>
      </c>
      <c r="I135" s="12"/>
      <c r="J135" s="12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2:27" ht="21.75" customHeight="1" x14ac:dyDescent="0.25">
      <c r="B136" s="12"/>
      <c r="C136" s="15"/>
      <c r="D136" s="12"/>
      <c r="E136" s="10" t="str">
        <f>IF(D136="","",IFERROR(VLOOKUP(D136,Productos!$B$5:$J$504,2,FALSE()),"Revisar código"))</f>
        <v/>
      </c>
      <c r="F136" s="13"/>
      <c r="G136" s="14"/>
      <c r="H136" s="20" t="str">
        <f t="shared" si="2"/>
        <v/>
      </c>
      <c r="I136" s="12"/>
      <c r="J136" s="12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2:27" ht="21.75" customHeight="1" x14ac:dyDescent="0.25">
      <c r="B137" s="12"/>
      <c r="C137" s="15"/>
      <c r="D137" s="12"/>
      <c r="E137" s="10" t="str">
        <f>IF(D137="","",IFERROR(VLOOKUP(D137,Productos!$B$5:$J$504,2,FALSE()),"Revisar código"))</f>
        <v/>
      </c>
      <c r="F137" s="13"/>
      <c r="G137" s="14"/>
      <c r="H137" s="20" t="str">
        <f t="shared" si="2"/>
        <v/>
      </c>
      <c r="I137" s="12"/>
      <c r="J137" s="12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2:27" ht="21.75" customHeight="1" x14ac:dyDescent="0.25">
      <c r="B138" s="12"/>
      <c r="C138" s="15"/>
      <c r="D138" s="12"/>
      <c r="E138" s="10" t="str">
        <f>IF(D138="","",IFERROR(VLOOKUP(D138,Productos!$B$5:$J$504,2,FALSE()),"Revisar código"))</f>
        <v/>
      </c>
      <c r="F138" s="13"/>
      <c r="G138" s="14"/>
      <c r="H138" s="20" t="str">
        <f t="shared" si="2"/>
        <v/>
      </c>
      <c r="I138" s="12"/>
      <c r="J138" s="12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2:27" ht="21.75" customHeight="1" x14ac:dyDescent="0.25">
      <c r="B139" s="12"/>
      <c r="C139" s="15"/>
      <c r="D139" s="12"/>
      <c r="E139" s="10" t="str">
        <f>IF(D139="","",IFERROR(VLOOKUP(D139,Productos!$B$5:$J$504,2,FALSE()),"Revisar código"))</f>
        <v/>
      </c>
      <c r="F139" s="13"/>
      <c r="G139" s="14"/>
      <c r="H139" s="20" t="str">
        <f t="shared" si="2"/>
        <v/>
      </c>
      <c r="I139" s="12"/>
      <c r="J139" s="12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2:27" ht="21.75" customHeight="1" x14ac:dyDescent="0.25">
      <c r="B140" s="12"/>
      <c r="C140" s="15"/>
      <c r="D140" s="12"/>
      <c r="E140" s="10" t="str">
        <f>IF(D140="","",IFERROR(VLOOKUP(D140,Productos!$B$5:$J$504,2,FALSE()),"Revisar código"))</f>
        <v/>
      </c>
      <c r="F140" s="13"/>
      <c r="G140" s="14"/>
      <c r="H140" s="20" t="str">
        <f t="shared" si="2"/>
        <v/>
      </c>
      <c r="I140" s="12"/>
      <c r="J140" s="12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2:27" ht="21.75" customHeight="1" x14ac:dyDescent="0.25">
      <c r="B141" s="12"/>
      <c r="C141" s="15"/>
      <c r="D141" s="12"/>
      <c r="E141" s="10" t="str">
        <f>IF(D141="","",IFERROR(VLOOKUP(D141,Productos!$B$5:$J$504,2,FALSE()),"Revisar código"))</f>
        <v/>
      </c>
      <c r="F141" s="13"/>
      <c r="G141" s="14"/>
      <c r="H141" s="20" t="str">
        <f t="shared" si="2"/>
        <v/>
      </c>
      <c r="I141" s="12"/>
      <c r="J141" s="12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2:27" ht="21.75" customHeight="1" x14ac:dyDescent="0.25">
      <c r="B142" s="12"/>
      <c r="C142" s="15"/>
      <c r="D142" s="12"/>
      <c r="E142" s="10" t="str">
        <f>IF(D142="","",IFERROR(VLOOKUP(D142,Productos!$B$5:$J$504,2,FALSE()),"Revisar código"))</f>
        <v/>
      </c>
      <c r="F142" s="13"/>
      <c r="G142" s="14"/>
      <c r="H142" s="20" t="str">
        <f t="shared" si="2"/>
        <v/>
      </c>
      <c r="I142" s="12"/>
      <c r="J142" s="12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2:27" ht="21.75" customHeight="1" x14ac:dyDescent="0.25">
      <c r="B143" s="12"/>
      <c r="C143" s="15"/>
      <c r="D143" s="12"/>
      <c r="E143" s="10" t="str">
        <f>IF(D143="","",IFERROR(VLOOKUP(D143,Productos!$B$5:$J$504,2,FALSE()),"Revisar código"))</f>
        <v/>
      </c>
      <c r="F143" s="13"/>
      <c r="G143" s="14"/>
      <c r="H143" s="20" t="str">
        <f t="shared" si="2"/>
        <v/>
      </c>
      <c r="I143" s="12"/>
      <c r="J143" s="12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2:27" ht="21.75" customHeight="1" x14ac:dyDescent="0.25">
      <c r="B144" s="12"/>
      <c r="C144" s="15"/>
      <c r="D144" s="12"/>
      <c r="E144" s="10" t="str">
        <f>IF(D144="","",IFERROR(VLOOKUP(D144,Productos!$B$5:$J$504,2,FALSE()),"Revisar código"))</f>
        <v/>
      </c>
      <c r="F144" s="13"/>
      <c r="G144" s="14"/>
      <c r="H144" s="20" t="str">
        <f t="shared" si="2"/>
        <v/>
      </c>
      <c r="I144" s="12"/>
      <c r="J144" s="12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2:27" ht="21.75" customHeight="1" x14ac:dyDescent="0.25">
      <c r="B145" s="12"/>
      <c r="C145" s="15"/>
      <c r="D145" s="12"/>
      <c r="E145" s="10" t="str">
        <f>IF(D145="","",IFERROR(VLOOKUP(D145,Productos!$B$5:$J$504,2,FALSE()),"Revisar código"))</f>
        <v/>
      </c>
      <c r="F145" s="13"/>
      <c r="G145" s="14"/>
      <c r="H145" s="20" t="str">
        <f t="shared" si="2"/>
        <v/>
      </c>
      <c r="I145" s="12"/>
      <c r="J145" s="12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2:27" ht="21.75" customHeight="1" x14ac:dyDescent="0.25">
      <c r="B146" s="12"/>
      <c r="C146" s="15"/>
      <c r="D146" s="12"/>
      <c r="E146" s="10" t="str">
        <f>IF(D146="","",IFERROR(VLOOKUP(D146,Productos!$B$5:$J$504,2,FALSE()),"Revisar código"))</f>
        <v/>
      </c>
      <c r="F146" s="13"/>
      <c r="G146" s="14"/>
      <c r="H146" s="20" t="str">
        <f t="shared" si="2"/>
        <v/>
      </c>
      <c r="I146" s="12"/>
      <c r="J146" s="12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2:27" ht="21.75" customHeight="1" x14ac:dyDescent="0.25">
      <c r="B147" s="12"/>
      <c r="C147" s="15"/>
      <c r="D147" s="12"/>
      <c r="E147" s="10" t="str">
        <f>IF(D147="","",IFERROR(VLOOKUP(D147,Productos!$B$5:$J$504,2,FALSE()),"Revisar código"))</f>
        <v/>
      </c>
      <c r="F147" s="13"/>
      <c r="G147" s="14"/>
      <c r="H147" s="20" t="str">
        <f t="shared" si="2"/>
        <v/>
      </c>
      <c r="I147" s="12"/>
      <c r="J147" s="12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2:27" ht="21.75" customHeight="1" x14ac:dyDescent="0.25">
      <c r="B148" s="12"/>
      <c r="C148" s="15"/>
      <c r="D148" s="12"/>
      <c r="E148" s="10" t="str">
        <f>IF(D148="","",IFERROR(VLOOKUP(D148,Productos!$B$5:$J$504,2,FALSE()),"Revisar código"))</f>
        <v/>
      </c>
      <c r="F148" s="13"/>
      <c r="G148" s="14"/>
      <c r="H148" s="20" t="str">
        <f t="shared" si="2"/>
        <v/>
      </c>
      <c r="I148" s="12"/>
      <c r="J148" s="12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2:27" ht="21.75" customHeight="1" x14ac:dyDescent="0.25">
      <c r="B149" s="12"/>
      <c r="C149" s="15"/>
      <c r="D149" s="12"/>
      <c r="E149" s="10" t="str">
        <f>IF(D149="","",IFERROR(VLOOKUP(D149,Productos!$B$5:$J$504,2,FALSE()),"Revisar código"))</f>
        <v/>
      </c>
      <c r="F149" s="13"/>
      <c r="G149" s="14"/>
      <c r="H149" s="20" t="str">
        <f t="shared" si="2"/>
        <v/>
      </c>
      <c r="I149" s="12"/>
      <c r="J149" s="12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2:27" ht="21.75" customHeight="1" x14ac:dyDescent="0.25">
      <c r="B150" s="12"/>
      <c r="C150" s="15"/>
      <c r="D150" s="12"/>
      <c r="E150" s="10" t="str">
        <f>IF(D150="","",IFERROR(VLOOKUP(D150,Productos!$B$5:$J$504,2,FALSE()),"Revisar código"))</f>
        <v/>
      </c>
      <c r="F150" s="13"/>
      <c r="G150" s="14"/>
      <c r="H150" s="20" t="str">
        <f t="shared" si="2"/>
        <v/>
      </c>
      <c r="I150" s="12"/>
      <c r="J150" s="12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2:27" ht="21.75" customHeight="1" x14ac:dyDescent="0.25">
      <c r="B151" s="12"/>
      <c r="C151" s="15"/>
      <c r="D151" s="12"/>
      <c r="E151" s="10" t="str">
        <f>IF(D151="","",IFERROR(VLOOKUP(D151,Productos!$B$5:$J$504,2,FALSE()),"Revisar código"))</f>
        <v/>
      </c>
      <c r="F151" s="13"/>
      <c r="G151" s="14"/>
      <c r="H151" s="20" t="str">
        <f t="shared" si="2"/>
        <v/>
      </c>
      <c r="I151" s="12"/>
      <c r="J151" s="12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2:27" ht="21.75" customHeight="1" x14ac:dyDescent="0.25">
      <c r="B152" s="12"/>
      <c r="C152" s="15"/>
      <c r="D152" s="12"/>
      <c r="E152" s="10" t="str">
        <f>IF(D152="","",IFERROR(VLOOKUP(D152,Productos!$B$5:$J$504,2,FALSE()),"Revisar código"))</f>
        <v/>
      </c>
      <c r="F152" s="13"/>
      <c r="G152" s="14"/>
      <c r="H152" s="20" t="str">
        <f t="shared" si="2"/>
        <v/>
      </c>
      <c r="I152" s="12"/>
      <c r="J152" s="12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2:27" ht="21.75" customHeight="1" x14ac:dyDescent="0.25">
      <c r="B153" s="12"/>
      <c r="C153" s="15"/>
      <c r="D153" s="12"/>
      <c r="E153" s="10" t="str">
        <f>IF(D153="","",IFERROR(VLOOKUP(D153,Productos!$B$5:$J$504,2,FALSE()),"Revisar código"))</f>
        <v/>
      </c>
      <c r="F153" s="13"/>
      <c r="G153" s="14"/>
      <c r="H153" s="20" t="str">
        <f t="shared" si="2"/>
        <v/>
      </c>
      <c r="I153" s="12"/>
      <c r="J153" s="12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2:27" ht="21.75" customHeight="1" x14ac:dyDescent="0.25">
      <c r="B154" s="12"/>
      <c r="C154" s="15"/>
      <c r="D154" s="12"/>
      <c r="E154" s="10" t="str">
        <f>IF(D154="","",IFERROR(VLOOKUP(D154,Productos!$B$5:$J$504,2,FALSE()),"Revisar código"))</f>
        <v/>
      </c>
      <c r="F154" s="13"/>
      <c r="G154" s="14"/>
      <c r="H154" s="20" t="str">
        <f t="shared" si="2"/>
        <v/>
      </c>
      <c r="I154" s="12"/>
      <c r="J154" s="12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2:27" ht="21.75" customHeight="1" x14ac:dyDescent="0.25">
      <c r="B155" s="12"/>
      <c r="C155" s="15"/>
      <c r="D155" s="12"/>
      <c r="E155" s="10" t="str">
        <f>IF(D155="","",IFERROR(VLOOKUP(D155,Productos!$B$5:$J$504,2,FALSE()),"Revisar código"))</f>
        <v/>
      </c>
      <c r="F155" s="13"/>
      <c r="G155" s="14"/>
      <c r="H155" s="20" t="str">
        <f t="shared" si="2"/>
        <v/>
      </c>
      <c r="I155" s="12"/>
      <c r="J155" s="12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2:27" ht="21.75" customHeight="1" x14ac:dyDescent="0.25">
      <c r="B156" s="12"/>
      <c r="C156" s="15"/>
      <c r="D156" s="12"/>
      <c r="E156" s="10" t="str">
        <f>IF(D156="","",IFERROR(VLOOKUP(D156,Productos!$B$5:$J$504,2,FALSE()),"Revisar código"))</f>
        <v/>
      </c>
      <c r="F156" s="13"/>
      <c r="G156" s="14"/>
      <c r="H156" s="20" t="str">
        <f t="shared" si="2"/>
        <v/>
      </c>
      <c r="I156" s="12"/>
      <c r="J156" s="12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2:27" ht="21.75" customHeight="1" x14ac:dyDescent="0.25">
      <c r="B157" s="12"/>
      <c r="C157" s="15"/>
      <c r="D157" s="12"/>
      <c r="E157" s="10" t="str">
        <f>IF(D157="","",IFERROR(VLOOKUP(D157,Productos!$B$5:$J$504,2,FALSE()),"Revisar código"))</f>
        <v/>
      </c>
      <c r="F157" s="13"/>
      <c r="G157" s="14"/>
      <c r="H157" s="20" t="str">
        <f t="shared" si="2"/>
        <v/>
      </c>
      <c r="I157" s="12"/>
      <c r="J157" s="12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2:27" ht="21.75" customHeight="1" x14ac:dyDescent="0.25">
      <c r="B158" s="12"/>
      <c r="C158" s="15"/>
      <c r="D158" s="12"/>
      <c r="E158" s="10" t="str">
        <f>IF(D158="","",IFERROR(VLOOKUP(D158,Productos!$B$5:$J$504,2,FALSE()),"Revisar código"))</f>
        <v/>
      </c>
      <c r="F158" s="13"/>
      <c r="G158" s="14"/>
      <c r="H158" s="20" t="str">
        <f t="shared" si="2"/>
        <v/>
      </c>
      <c r="I158" s="12"/>
      <c r="J158" s="12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2:27" ht="21.75" customHeight="1" x14ac:dyDescent="0.25">
      <c r="B159" s="12"/>
      <c r="C159" s="15"/>
      <c r="D159" s="12"/>
      <c r="E159" s="10" t="str">
        <f>IF(D159="","",IFERROR(VLOOKUP(D159,Productos!$B$5:$J$504,2,FALSE()),"Revisar código"))</f>
        <v/>
      </c>
      <c r="F159" s="13"/>
      <c r="G159" s="14"/>
      <c r="H159" s="20" t="str">
        <f t="shared" si="2"/>
        <v/>
      </c>
      <c r="I159" s="12"/>
      <c r="J159" s="12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2:27" ht="21.75" customHeight="1" x14ac:dyDescent="0.25">
      <c r="B160" s="12"/>
      <c r="C160" s="15"/>
      <c r="D160" s="12"/>
      <c r="E160" s="10" t="str">
        <f>IF(D160="","",IFERROR(VLOOKUP(D160,Productos!$B$5:$J$504,2,FALSE()),"Revisar código"))</f>
        <v/>
      </c>
      <c r="F160" s="13"/>
      <c r="G160" s="14"/>
      <c r="H160" s="20" t="str">
        <f t="shared" si="2"/>
        <v/>
      </c>
      <c r="I160" s="12"/>
      <c r="J160" s="12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2:27" ht="21.75" customHeight="1" x14ac:dyDescent="0.25">
      <c r="B161" s="12"/>
      <c r="C161" s="15"/>
      <c r="D161" s="12"/>
      <c r="E161" s="10" t="str">
        <f>IF(D161="","",IFERROR(VLOOKUP(D161,Productos!$B$5:$J$504,2,FALSE()),"Revisar código"))</f>
        <v/>
      </c>
      <c r="F161" s="13"/>
      <c r="G161" s="14"/>
      <c r="H161" s="20" t="str">
        <f t="shared" si="2"/>
        <v/>
      </c>
      <c r="I161" s="12"/>
      <c r="J161" s="12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2:27" ht="21.75" customHeight="1" x14ac:dyDescent="0.25">
      <c r="B162" s="12"/>
      <c r="C162" s="15"/>
      <c r="D162" s="12"/>
      <c r="E162" s="10" t="str">
        <f>IF(D162="","",IFERROR(VLOOKUP(D162,Productos!$B$5:$J$504,2,FALSE()),"Revisar código"))</f>
        <v/>
      </c>
      <c r="F162" s="13"/>
      <c r="G162" s="14"/>
      <c r="H162" s="20" t="str">
        <f t="shared" si="2"/>
        <v/>
      </c>
      <c r="I162" s="12"/>
      <c r="J162" s="12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2:27" ht="21.75" customHeight="1" x14ac:dyDescent="0.25">
      <c r="B163" s="12"/>
      <c r="C163" s="15"/>
      <c r="D163" s="12"/>
      <c r="E163" s="10" t="str">
        <f>IF(D163="","",IFERROR(VLOOKUP(D163,Productos!$B$5:$J$504,2,FALSE()),"Revisar código"))</f>
        <v/>
      </c>
      <c r="F163" s="13"/>
      <c r="G163" s="14"/>
      <c r="H163" s="20" t="str">
        <f t="shared" si="2"/>
        <v/>
      </c>
      <c r="I163" s="12"/>
      <c r="J163" s="12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2:27" ht="21.75" customHeight="1" x14ac:dyDescent="0.25">
      <c r="B164" s="12"/>
      <c r="C164" s="15"/>
      <c r="D164" s="12"/>
      <c r="E164" s="10" t="str">
        <f>IF(D164="","",IFERROR(VLOOKUP(D164,Productos!$B$5:$J$504,2,FALSE()),"Revisar código"))</f>
        <v/>
      </c>
      <c r="F164" s="13"/>
      <c r="G164" s="14"/>
      <c r="H164" s="20" t="str">
        <f t="shared" si="2"/>
        <v/>
      </c>
      <c r="I164" s="12"/>
      <c r="J164" s="12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2:27" ht="21.75" customHeight="1" x14ac:dyDescent="0.25">
      <c r="B165" s="12"/>
      <c r="C165" s="15"/>
      <c r="D165" s="12"/>
      <c r="E165" s="10" t="str">
        <f>IF(D165="","",IFERROR(VLOOKUP(D165,Productos!$B$5:$J$504,2,FALSE()),"Revisar código"))</f>
        <v/>
      </c>
      <c r="F165" s="13"/>
      <c r="G165" s="14"/>
      <c r="H165" s="20" t="str">
        <f t="shared" si="2"/>
        <v/>
      </c>
      <c r="I165" s="12"/>
      <c r="J165" s="12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2:27" ht="21.75" customHeight="1" x14ac:dyDescent="0.25">
      <c r="B166" s="12"/>
      <c r="C166" s="15"/>
      <c r="D166" s="12"/>
      <c r="E166" s="10" t="str">
        <f>IF(D166="","",IFERROR(VLOOKUP(D166,Productos!$B$5:$J$504,2,FALSE()),"Revisar código"))</f>
        <v/>
      </c>
      <c r="F166" s="13"/>
      <c r="G166" s="14"/>
      <c r="H166" s="20" t="str">
        <f t="shared" si="2"/>
        <v/>
      </c>
      <c r="I166" s="12"/>
      <c r="J166" s="12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2:27" ht="21.75" customHeight="1" x14ac:dyDescent="0.25">
      <c r="B167" s="12"/>
      <c r="C167" s="15"/>
      <c r="D167" s="12"/>
      <c r="E167" s="10" t="str">
        <f>IF(D167="","",IFERROR(VLOOKUP(D167,Productos!$B$5:$J$504,2,FALSE()),"Revisar código"))</f>
        <v/>
      </c>
      <c r="F167" s="13"/>
      <c r="G167" s="14"/>
      <c r="H167" s="20" t="str">
        <f t="shared" si="2"/>
        <v/>
      </c>
      <c r="I167" s="12"/>
      <c r="J167" s="12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2:27" ht="21.75" customHeight="1" x14ac:dyDescent="0.25">
      <c r="B168" s="12"/>
      <c r="C168" s="15"/>
      <c r="D168" s="12"/>
      <c r="E168" s="10" t="str">
        <f>IF(D168="","",IFERROR(VLOOKUP(D168,Productos!$B$5:$J$504,2,FALSE()),"Revisar código"))</f>
        <v/>
      </c>
      <c r="F168" s="13"/>
      <c r="G168" s="14"/>
      <c r="H168" s="20" t="str">
        <f t="shared" si="2"/>
        <v/>
      </c>
      <c r="I168" s="12"/>
      <c r="J168" s="12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2:27" ht="21.75" customHeight="1" x14ac:dyDescent="0.25">
      <c r="B169" s="12"/>
      <c r="C169" s="15"/>
      <c r="D169" s="12"/>
      <c r="E169" s="10" t="str">
        <f>IF(D169="","",IFERROR(VLOOKUP(D169,Productos!$B$5:$J$504,2,FALSE()),"Revisar código"))</f>
        <v/>
      </c>
      <c r="F169" s="13"/>
      <c r="G169" s="14"/>
      <c r="H169" s="20" t="str">
        <f t="shared" si="2"/>
        <v/>
      </c>
      <c r="I169" s="12"/>
      <c r="J169" s="12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2:27" ht="21.75" customHeight="1" x14ac:dyDescent="0.25">
      <c r="B170" s="12"/>
      <c r="C170" s="15"/>
      <c r="D170" s="12"/>
      <c r="E170" s="10" t="str">
        <f>IF(D170="","",IFERROR(VLOOKUP(D170,Productos!$B$5:$J$504,2,FALSE()),"Revisar código"))</f>
        <v/>
      </c>
      <c r="F170" s="13"/>
      <c r="G170" s="14"/>
      <c r="H170" s="20" t="str">
        <f t="shared" si="2"/>
        <v/>
      </c>
      <c r="I170" s="12"/>
      <c r="J170" s="12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2:27" ht="21.75" customHeight="1" x14ac:dyDescent="0.25">
      <c r="B171" s="12"/>
      <c r="C171" s="15"/>
      <c r="D171" s="12"/>
      <c r="E171" s="10" t="str">
        <f>IF(D171="","",IFERROR(VLOOKUP(D171,Productos!$B$5:$J$504,2,FALSE()),"Revisar código"))</f>
        <v/>
      </c>
      <c r="F171" s="13"/>
      <c r="G171" s="14"/>
      <c r="H171" s="20" t="str">
        <f t="shared" si="2"/>
        <v/>
      </c>
      <c r="I171" s="12"/>
      <c r="J171" s="12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2:27" ht="21.75" customHeight="1" x14ac:dyDescent="0.25">
      <c r="B172" s="12"/>
      <c r="C172" s="15"/>
      <c r="D172" s="12"/>
      <c r="E172" s="10" t="str">
        <f>IF(D172="","",IFERROR(VLOOKUP(D172,Productos!$B$5:$J$504,2,FALSE()),"Revisar código"))</f>
        <v/>
      </c>
      <c r="F172" s="13"/>
      <c r="G172" s="14"/>
      <c r="H172" s="20" t="str">
        <f t="shared" si="2"/>
        <v/>
      </c>
      <c r="I172" s="12"/>
      <c r="J172" s="12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2:27" ht="21.75" customHeight="1" x14ac:dyDescent="0.25">
      <c r="B173" s="12"/>
      <c r="C173" s="15"/>
      <c r="D173" s="12"/>
      <c r="E173" s="10" t="str">
        <f>IF(D173="","",IFERROR(VLOOKUP(D173,Productos!$B$5:$J$504,2,FALSE()),"Revisar código"))</f>
        <v/>
      </c>
      <c r="F173" s="13"/>
      <c r="G173" s="14"/>
      <c r="H173" s="20" t="str">
        <f t="shared" si="2"/>
        <v/>
      </c>
      <c r="I173" s="12"/>
      <c r="J173" s="12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2:27" ht="21.75" customHeight="1" x14ac:dyDescent="0.25">
      <c r="B174" s="12"/>
      <c r="C174" s="15"/>
      <c r="D174" s="12"/>
      <c r="E174" s="10" t="str">
        <f>IF(D174="","",IFERROR(VLOOKUP(D174,Productos!$B$5:$J$504,2,FALSE()),"Revisar código"))</f>
        <v/>
      </c>
      <c r="F174" s="13"/>
      <c r="G174" s="14"/>
      <c r="H174" s="20" t="str">
        <f t="shared" si="2"/>
        <v/>
      </c>
      <c r="I174" s="12"/>
      <c r="J174" s="12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2:27" ht="21.75" customHeight="1" x14ac:dyDescent="0.25">
      <c r="B175" s="12"/>
      <c r="C175" s="15"/>
      <c r="D175" s="12"/>
      <c r="E175" s="10" t="str">
        <f>IF(D175="","",IFERROR(VLOOKUP(D175,Productos!$B$5:$J$504,2,FALSE()),"Revisar código"))</f>
        <v/>
      </c>
      <c r="F175" s="13"/>
      <c r="G175" s="14"/>
      <c r="H175" s="20" t="str">
        <f t="shared" si="2"/>
        <v/>
      </c>
      <c r="I175" s="12"/>
      <c r="J175" s="12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2:27" ht="21.75" customHeight="1" x14ac:dyDescent="0.25">
      <c r="B176" s="12"/>
      <c r="C176" s="15"/>
      <c r="D176" s="12"/>
      <c r="E176" s="10" t="str">
        <f>IF(D176="","",IFERROR(VLOOKUP(D176,Productos!$B$5:$J$504,2,FALSE()),"Revisar código"))</f>
        <v/>
      </c>
      <c r="F176" s="13"/>
      <c r="G176" s="14"/>
      <c r="H176" s="20" t="str">
        <f t="shared" si="2"/>
        <v/>
      </c>
      <c r="I176" s="12"/>
      <c r="J176" s="12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2:27" ht="21.75" customHeight="1" x14ac:dyDescent="0.25">
      <c r="B177" s="12"/>
      <c r="C177" s="15"/>
      <c r="D177" s="12"/>
      <c r="E177" s="10" t="str">
        <f>IF(D177="","",IFERROR(VLOOKUP(D177,Productos!$B$5:$J$504,2,FALSE()),"Revisar código"))</f>
        <v/>
      </c>
      <c r="F177" s="13"/>
      <c r="G177" s="14"/>
      <c r="H177" s="20" t="str">
        <f t="shared" si="2"/>
        <v/>
      </c>
      <c r="I177" s="12"/>
      <c r="J177" s="12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2:27" ht="21.75" customHeight="1" x14ac:dyDescent="0.25">
      <c r="B178" s="12"/>
      <c r="C178" s="15"/>
      <c r="D178" s="12"/>
      <c r="E178" s="10" t="str">
        <f>IF(D178="","",IFERROR(VLOOKUP(D178,Productos!$B$5:$J$504,2,FALSE()),"Revisar código"))</f>
        <v/>
      </c>
      <c r="F178" s="13"/>
      <c r="G178" s="14"/>
      <c r="H178" s="20" t="str">
        <f t="shared" si="2"/>
        <v/>
      </c>
      <c r="I178" s="12"/>
      <c r="J178" s="12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2:27" ht="21.75" customHeight="1" x14ac:dyDescent="0.25">
      <c r="B179" s="12"/>
      <c r="C179" s="15"/>
      <c r="D179" s="12"/>
      <c r="E179" s="10" t="str">
        <f>IF(D179="","",IFERROR(VLOOKUP(D179,Productos!$B$5:$J$504,2,FALSE()),"Revisar código"))</f>
        <v/>
      </c>
      <c r="F179" s="13"/>
      <c r="G179" s="14"/>
      <c r="H179" s="20" t="str">
        <f t="shared" si="2"/>
        <v/>
      </c>
      <c r="I179" s="12"/>
      <c r="J179" s="12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2:27" ht="21.75" customHeight="1" x14ac:dyDescent="0.25">
      <c r="B180" s="12"/>
      <c r="C180" s="15"/>
      <c r="D180" s="12"/>
      <c r="E180" s="10" t="str">
        <f>IF(D180="","",IFERROR(VLOOKUP(D180,Productos!$B$5:$J$504,2,FALSE()),"Revisar código"))</f>
        <v/>
      </c>
      <c r="F180" s="13"/>
      <c r="G180" s="14"/>
      <c r="H180" s="20" t="str">
        <f t="shared" si="2"/>
        <v/>
      </c>
      <c r="I180" s="12"/>
      <c r="J180" s="12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2:27" ht="21.75" customHeight="1" x14ac:dyDescent="0.25">
      <c r="B181" s="12"/>
      <c r="C181" s="15"/>
      <c r="D181" s="12"/>
      <c r="E181" s="10" t="str">
        <f>IF(D181="","",IFERROR(VLOOKUP(D181,Productos!$B$5:$J$504,2,FALSE()),"Revisar código"))</f>
        <v/>
      </c>
      <c r="F181" s="13"/>
      <c r="G181" s="14"/>
      <c r="H181" s="20" t="str">
        <f t="shared" si="2"/>
        <v/>
      </c>
      <c r="I181" s="12"/>
      <c r="J181" s="12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2:27" ht="21.75" customHeight="1" x14ac:dyDescent="0.25">
      <c r="B182" s="12"/>
      <c r="C182" s="15"/>
      <c r="D182" s="12"/>
      <c r="E182" s="10" t="str">
        <f>IF(D182="","",IFERROR(VLOOKUP(D182,Productos!$B$5:$J$504,2,FALSE()),"Revisar código"))</f>
        <v/>
      </c>
      <c r="F182" s="13"/>
      <c r="G182" s="14"/>
      <c r="H182" s="20" t="str">
        <f t="shared" si="2"/>
        <v/>
      </c>
      <c r="I182" s="12"/>
      <c r="J182" s="12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2:27" ht="21.75" customHeight="1" x14ac:dyDescent="0.25">
      <c r="B183" s="12"/>
      <c r="C183" s="15"/>
      <c r="D183" s="12"/>
      <c r="E183" s="10" t="str">
        <f>IF(D183="","",IFERROR(VLOOKUP(D183,Productos!$B$5:$J$504,2,FALSE()),"Revisar código"))</f>
        <v/>
      </c>
      <c r="F183" s="13"/>
      <c r="G183" s="14"/>
      <c r="H183" s="20" t="str">
        <f t="shared" si="2"/>
        <v/>
      </c>
      <c r="I183" s="12"/>
      <c r="J183" s="12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2:27" ht="21.75" customHeight="1" x14ac:dyDescent="0.25">
      <c r="B184" s="12"/>
      <c r="C184" s="15"/>
      <c r="D184" s="12"/>
      <c r="E184" s="10" t="str">
        <f>IF(D184="","",IFERROR(VLOOKUP(D184,Productos!$B$5:$J$504,2,FALSE()),"Revisar código"))</f>
        <v/>
      </c>
      <c r="F184" s="13"/>
      <c r="G184" s="14"/>
      <c r="H184" s="20" t="str">
        <f t="shared" si="2"/>
        <v/>
      </c>
      <c r="I184" s="12"/>
      <c r="J184" s="12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2:27" ht="21.75" customHeight="1" x14ac:dyDescent="0.25">
      <c r="B185" s="12"/>
      <c r="C185" s="15"/>
      <c r="D185" s="12"/>
      <c r="E185" s="10" t="str">
        <f>IF(D185="","",IFERROR(VLOOKUP(D185,Productos!$B$5:$J$504,2,FALSE()),"Revisar código"))</f>
        <v/>
      </c>
      <c r="F185" s="13"/>
      <c r="G185" s="14"/>
      <c r="H185" s="20" t="str">
        <f t="shared" si="2"/>
        <v/>
      </c>
      <c r="I185" s="12"/>
      <c r="J185" s="12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2:27" ht="21.75" customHeight="1" x14ac:dyDescent="0.25">
      <c r="B186" s="12"/>
      <c r="C186" s="15"/>
      <c r="D186" s="12"/>
      <c r="E186" s="10" t="str">
        <f>IF(D186="","",IFERROR(VLOOKUP(D186,Productos!$B$5:$J$504,2,FALSE()),"Revisar código"))</f>
        <v/>
      </c>
      <c r="F186" s="13"/>
      <c r="G186" s="14"/>
      <c r="H186" s="20" t="str">
        <f t="shared" si="2"/>
        <v/>
      </c>
      <c r="I186" s="12"/>
      <c r="J186" s="12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2:27" ht="21.75" customHeight="1" x14ac:dyDescent="0.25">
      <c r="B187" s="12"/>
      <c r="C187" s="15"/>
      <c r="D187" s="12"/>
      <c r="E187" s="10" t="str">
        <f>IF(D187="","",IFERROR(VLOOKUP(D187,Productos!$B$5:$J$504,2,FALSE()),"Revisar código"))</f>
        <v/>
      </c>
      <c r="F187" s="13"/>
      <c r="G187" s="14"/>
      <c r="H187" s="20" t="str">
        <f t="shared" si="2"/>
        <v/>
      </c>
      <c r="I187" s="12"/>
      <c r="J187" s="12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2:27" ht="21.75" customHeight="1" x14ac:dyDescent="0.25">
      <c r="B188" s="12"/>
      <c r="C188" s="15"/>
      <c r="D188" s="12"/>
      <c r="E188" s="10" t="str">
        <f>IF(D188="","",IFERROR(VLOOKUP(D188,Productos!$B$5:$J$504,2,FALSE()),"Revisar código"))</f>
        <v/>
      </c>
      <c r="F188" s="13"/>
      <c r="G188" s="14"/>
      <c r="H188" s="20" t="str">
        <f t="shared" si="2"/>
        <v/>
      </c>
      <c r="I188" s="12"/>
      <c r="J188" s="12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2:27" ht="21.75" customHeight="1" x14ac:dyDescent="0.25">
      <c r="B189" s="12"/>
      <c r="C189" s="15"/>
      <c r="D189" s="12"/>
      <c r="E189" s="10" t="str">
        <f>IF(D189="","",IFERROR(VLOOKUP(D189,Productos!$B$5:$J$504,2,FALSE()),"Revisar código"))</f>
        <v/>
      </c>
      <c r="F189" s="13"/>
      <c r="G189" s="14"/>
      <c r="H189" s="20" t="str">
        <f t="shared" si="2"/>
        <v/>
      </c>
      <c r="I189" s="12"/>
      <c r="J189" s="12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2:27" ht="21.75" customHeight="1" x14ac:dyDescent="0.25">
      <c r="B190" s="12"/>
      <c r="C190" s="15"/>
      <c r="D190" s="12"/>
      <c r="E190" s="10" t="str">
        <f>IF(D190="","",IFERROR(VLOOKUP(D190,Productos!$B$5:$J$504,2,FALSE()),"Revisar código"))</f>
        <v/>
      </c>
      <c r="F190" s="13"/>
      <c r="G190" s="14"/>
      <c r="H190" s="20" t="str">
        <f t="shared" si="2"/>
        <v/>
      </c>
      <c r="I190" s="12"/>
      <c r="J190" s="12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2:27" ht="21.75" customHeight="1" x14ac:dyDescent="0.25">
      <c r="B191" s="12"/>
      <c r="C191" s="15"/>
      <c r="D191" s="12"/>
      <c r="E191" s="10" t="str">
        <f>IF(D191="","",IFERROR(VLOOKUP(D191,Productos!$B$5:$J$504,2,FALSE()),"Revisar código"))</f>
        <v/>
      </c>
      <c r="F191" s="13"/>
      <c r="G191" s="14"/>
      <c r="H191" s="20" t="str">
        <f t="shared" si="2"/>
        <v/>
      </c>
      <c r="I191" s="12"/>
      <c r="J191" s="12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2:27" ht="21.75" customHeight="1" x14ac:dyDescent="0.25">
      <c r="B192" s="12"/>
      <c r="C192" s="15"/>
      <c r="D192" s="12"/>
      <c r="E192" s="10" t="str">
        <f>IF(D192="","",IFERROR(VLOOKUP(D192,Productos!$B$5:$J$504,2,FALSE()),"Revisar código"))</f>
        <v/>
      </c>
      <c r="F192" s="13"/>
      <c r="G192" s="14"/>
      <c r="H192" s="20" t="str">
        <f t="shared" si="2"/>
        <v/>
      </c>
      <c r="I192" s="12"/>
      <c r="J192" s="12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2:27" ht="21.75" customHeight="1" x14ac:dyDescent="0.25">
      <c r="B193" s="12"/>
      <c r="C193" s="15"/>
      <c r="D193" s="12"/>
      <c r="E193" s="10" t="str">
        <f>IF(D193="","",IFERROR(VLOOKUP(D193,Productos!$B$5:$J$504,2,FALSE()),"Revisar código"))</f>
        <v/>
      </c>
      <c r="F193" s="13"/>
      <c r="G193" s="14"/>
      <c r="H193" s="20" t="str">
        <f t="shared" si="2"/>
        <v/>
      </c>
      <c r="I193" s="12"/>
      <c r="J193" s="12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2:27" ht="21.75" customHeight="1" x14ac:dyDescent="0.25">
      <c r="B194" s="12"/>
      <c r="C194" s="15"/>
      <c r="D194" s="12"/>
      <c r="E194" s="10" t="str">
        <f>IF(D194="","",IFERROR(VLOOKUP(D194,Productos!$B$5:$J$504,2,FALSE()),"Revisar código"))</f>
        <v/>
      </c>
      <c r="F194" s="13"/>
      <c r="G194" s="14"/>
      <c r="H194" s="20" t="str">
        <f t="shared" si="2"/>
        <v/>
      </c>
      <c r="I194" s="12"/>
      <c r="J194" s="12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2:27" ht="21.75" customHeight="1" x14ac:dyDescent="0.25">
      <c r="B195" s="12"/>
      <c r="C195" s="15"/>
      <c r="D195" s="12"/>
      <c r="E195" s="10" t="str">
        <f>IF(D195="","",IFERROR(VLOOKUP(D195,Productos!$B$5:$J$504,2,FALSE()),"Revisar código"))</f>
        <v/>
      </c>
      <c r="F195" s="13"/>
      <c r="G195" s="14"/>
      <c r="H195" s="20" t="str">
        <f t="shared" si="2"/>
        <v/>
      </c>
      <c r="I195" s="12"/>
      <c r="J195" s="12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2:27" ht="21.75" customHeight="1" x14ac:dyDescent="0.25">
      <c r="B196" s="12"/>
      <c r="C196" s="15"/>
      <c r="D196" s="12"/>
      <c r="E196" s="10" t="str">
        <f>IF(D196="","",IFERROR(VLOOKUP(D196,Productos!$B$5:$J$504,2,FALSE()),"Revisar código"))</f>
        <v/>
      </c>
      <c r="F196" s="13"/>
      <c r="G196" s="14"/>
      <c r="H196" s="20" t="str">
        <f t="shared" si="2"/>
        <v/>
      </c>
      <c r="I196" s="12"/>
      <c r="J196" s="12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2:27" ht="21.75" customHeight="1" x14ac:dyDescent="0.25">
      <c r="B197" s="12"/>
      <c r="C197" s="15"/>
      <c r="D197" s="12"/>
      <c r="E197" s="10" t="str">
        <f>IF(D197="","",IFERROR(VLOOKUP(D197,Productos!$B$5:$J$504,2,FALSE()),"Revisar código"))</f>
        <v/>
      </c>
      <c r="F197" s="13"/>
      <c r="G197" s="14"/>
      <c r="H197" s="20" t="str">
        <f t="shared" ref="H197:H260" si="3">IF(OR(F197="",G197=""),"",F197*G197)</f>
        <v/>
      </c>
      <c r="I197" s="12"/>
      <c r="J197" s="12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2:27" ht="21.75" customHeight="1" x14ac:dyDescent="0.25">
      <c r="B198" s="12"/>
      <c r="C198" s="15"/>
      <c r="D198" s="12"/>
      <c r="E198" s="10" t="str">
        <f>IF(D198="","",IFERROR(VLOOKUP(D198,Productos!$B$5:$J$504,2,FALSE()),"Revisar código"))</f>
        <v/>
      </c>
      <c r="F198" s="13"/>
      <c r="G198" s="14"/>
      <c r="H198" s="20" t="str">
        <f t="shared" si="3"/>
        <v/>
      </c>
      <c r="I198" s="12"/>
      <c r="J198" s="12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2:27" ht="21.75" customHeight="1" x14ac:dyDescent="0.25">
      <c r="B199" s="12"/>
      <c r="C199" s="15"/>
      <c r="D199" s="12"/>
      <c r="E199" s="10" t="str">
        <f>IF(D199="","",IFERROR(VLOOKUP(D199,Productos!$B$5:$J$504,2,FALSE()),"Revisar código"))</f>
        <v/>
      </c>
      <c r="F199" s="13"/>
      <c r="G199" s="14"/>
      <c r="H199" s="20" t="str">
        <f t="shared" si="3"/>
        <v/>
      </c>
      <c r="I199" s="12"/>
      <c r="J199" s="12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2:27" ht="21.75" customHeight="1" x14ac:dyDescent="0.25">
      <c r="B200" s="12"/>
      <c r="C200" s="15"/>
      <c r="D200" s="12"/>
      <c r="E200" s="10" t="str">
        <f>IF(D200="","",IFERROR(VLOOKUP(D200,Productos!$B$5:$J$504,2,FALSE()),"Revisar código"))</f>
        <v/>
      </c>
      <c r="F200" s="13"/>
      <c r="G200" s="14"/>
      <c r="H200" s="20" t="str">
        <f t="shared" si="3"/>
        <v/>
      </c>
      <c r="I200" s="12"/>
      <c r="J200" s="12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2:27" ht="21.75" customHeight="1" x14ac:dyDescent="0.25">
      <c r="B201" s="12"/>
      <c r="C201" s="15"/>
      <c r="D201" s="12"/>
      <c r="E201" s="10" t="str">
        <f>IF(D201="","",IFERROR(VLOOKUP(D201,Productos!$B$5:$J$504,2,FALSE()),"Revisar código"))</f>
        <v/>
      </c>
      <c r="F201" s="13"/>
      <c r="G201" s="14"/>
      <c r="H201" s="20" t="str">
        <f t="shared" si="3"/>
        <v/>
      </c>
      <c r="I201" s="12"/>
      <c r="J201" s="12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2:27" ht="21.75" customHeight="1" x14ac:dyDescent="0.25">
      <c r="B202" s="12"/>
      <c r="C202" s="15"/>
      <c r="D202" s="12"/>
      <c r="E202" s="10" t="str">
        <f>IF(D202="","",IFERROR(VLOOKUP(D202,Productos!$B$5:$J$504,2,FALSE()),"Revisar código"))</f>
        <v/>
      </c>
      <c r="F202" s="13"/>
      <c r="G202" s="14"/>
      <c r="H202" s="20" t="str">
        <f t="shared" si="3"/>
        <v/>
      </c>
      <c r="I202" s="12"/>
      <c r="J202" s="12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2:27" ht="21.75" customHeight="1" x14ac:dyDescent="0.25">
      <c r="B203" s="12"/>
      <c r="C203" s="15"/>
      <c r="D203" s="12"/>
      <c r="E203" s="10" t="str">
        <f>IF(D203="","",IFERROR(VLOOKUP(D203,Productos!$B$5:$J$504,2,FALSE()),"Revisar código"))</f>
        <v/>
      </c>
      <c r="F203" s="13"/>
      <c r="G203" s="14"/>
      <c r="H203" s="20" t="str">
        <f t="shared" si="3"/>
        <v/>
      </c>
      <c r="I203" s="12"/>
      <c r="J203" s="12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2:27" ht="21.75" customHeight="1" x14ac:dyDescent="0.25">
      <c r="B204" s="12"/>
      <c r="C204" s="15"/>
      <c r="D204" s="12"/>
      <c r="E204" s="10" t="str">
        <f>IF(D204="","",IFERROR(VLOOKUP(D204,Productos!$B$5:$J$504,2,FALSE()),"Revisar código"))</f>
        <v/>
      </c>
      <c r="F204" s="13"/>
      <c r="G204" s="14"/>
      <c r="H204" s="20" t="str">
        <f t="shared" si="3"/>
        <v/>
      </c>
      <c r="I204" s="12"/>
      <c r="J204" s="12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2:27" ht="21.75" customHeight="1" x14ac:dyDescent="0.25">
      <c r="B205" s="12"/>
      <c r="C205" s="15"/>
      <c r="D205" s="12"/>
      <c r="E205" s="10" t="str">
        <f>IF(D205="","",IFERROR(VLOOKUP(D205,Productos!$B$5:$J$504,2,FALSE()),"Revisar código"))</f>
        <v/>
      </c>
      <c r="F205" s="13"/>
      <c r="G205" s="14"/>
      <c r="H205" s="20" t="str">
        <f t="shared" si="3"/>
        <v/>
      </c>
      <c r="I205" s="12"/>
      <c r="J205" s="12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2:27" ht="21.75" customHeight="1" x14ac:dyDescent="0.25">
      <c r="B206" s="12"/>
      <c r="C206" s="15"/>
      <c r="D206" s="12"/>
      <c r="E206" s="10" t="str">
        <f>IF(D206="","",IFERROR(VLOOKUP(D206,Productos!$B$5:$J$504,2,FALSE()),"Revisar código"))</f>
        <v/>
      </c>
      <c r="F206" s="13"/>
      <c r="G206" s="14"/>
      <c r="H206" s="20" t="str">
        <f t="shared" si="3"/>
        <v/>
      </c>
      <c r="I206" s="12"/>
      <c r="J206" s="12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2:27" ht="21.75" customHeight="1" x14ac:dyDescent="0.25">
      <c r="B207" s="12"/>
      <c r="C207" s="15"/>
      <c r="D207" s="12"/>
      <c r="E207" s="10" t="str">
        <f>IF(D207="","",IFERROR(VLOOKUP(D207,Productos!$B$5:$J$504,2,FALSE()),"Revisar código"))</f>
        <v/>
      </c>
      <c r="F207" s="13"/>
      <c r="G207" s="14"/>
      <c r="H207" s="20" t="str">
        <f t="shared" si="3"/>
        <v/>
      </c>
      <c r="I207" s="12"/>
      <c r="J207" s="12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2:27" ht="21.75" customHeight="1" x14ac:dyDescent="0.25">
      <c r="B208" s="12"/>
      <c r="C208" s="15"/>
      <c r="D208" s="12"/>
      <c r="E208" s="10" t="str">
        <f>IF(D208="","",IFERROR(VLOOKUP(D208,Productos!$B$5:$J$504,2,FALSE()),"Revisar código"))</f>
        <v/>
      </c>
      <c r="F208" s="13"/>
      <c r="G208" s="14"/>
      <c r="H208" s="20" t="str">
        <f t="shared" si="3"/>
        <v/>
      </c>
      <c r="I208" s="12"/>
      <c r="J208" s="12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2:27" ht="21.75" customHeight="1" x14ac:dyDescent="0.25">
      <c r="B209" s="12"/>
      <c r="C209" s="15"/>
      <c r="D209" s="12"/>
      <c r="E209" s="10" t="str">
        <f>IF(D209="","",IFERROR(VLOOKUP(D209,Productos!$B$5:$J$504,2,FALSE()),"Revisar código"))</f>
        <v/>
      </c>
      <c r="F209" s="13"/>
      <c r="G209" s="14"/>
      <c r="H209" s="20" t="str">
        <f t="shared" si="3"/>
        <v/>
      </c>
      <c r="I209" s="12"/>
      <c r="J209" s="12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2:27" ht="21.75" customHeight="1" x14ac:dyDescent="0.25">
      <c r="B210" s="12"/>
      <c r="C210" s="15"/>
      <c r="D210" s="12"/>
      <c r="E210" s="10" t="str">
        <f>IF(D210="","",IFERROR(VLOOKUP(D210,Productos!$B$5:$J$504,2,FALSE()),"Revisar código"))</f>
        <v/>
      </c>
      <c r="F210" s="13"/>
      <c r="G210" s="14"/>
      <c r="H210" s="20" t="str">
        <f t="shared" si="3"/>
        <v/>
      </c>
      <c r="I210" s="12"/>
      <c r="J210" s="12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2:27" ht="21.75" customHeight="1" x14ac:dyDescent="0.25">
      <c r="B211" s="12"/>
      <c r="C211" s="15"/>
      <c r="D211" s="12"/>
      <c r="E211" s="10" t="str">
        <f>IF(D211="","",IFERROR(VLOOKUP(D211,Productos!$B$5:$J$504,2,FALSE()),"Revisar código"))</f>
        <v/>
      </c>
      <c r="F211" s="13"/>
      <c r="G211" s="14"/>
      <c r="H211" s="20" t="str">
        <f t="shared" si="3"/>
        <v/>
      </c>
      <c r="I211" s="12"/>
      <c r="J211" s="12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2:27" ht="21.75" customHeight="1" x14ac:dyDescent="0.25">
      <c r="B212" s="12"/>
      <c r="C212" s="15"/>
      <c r="D212" s="12"/>
      <c r="E212" s="10" t="str">
        <f>IF(D212="","",IFERROR(VLOOKUP(D212,Productos!$B$5:$J$504,2,FALSE()),"Revisar código"))</f>
        <v/>
      </c>
      <c r="F212" s="13"/>
      <c r="G212" s="14"/>
      <c r="H212" s="20" t="str">
        <f t="shared" si="3"/>
        <v/>
      </c>
      <c r="I212" s="12"/>
      <c r="J212" s="12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2:27" ht="21.75" customHeight="1" x14ac:dyDescent="0.25">
      <c r="B213" s="12"/>
      <c r="C213" s="15"/>
      <c r="D213" s="12"/>
      <c r="E213" s="10" t="str">
        <f>IF(D213="","",IFERROR(VLOOKUP(D213,Productos!$B$5:$J$504,2,FALSE()),"Revisar código"))</f>
        <v/>
      </c>
      <c r="F213" s="13"/>
      <c r="G213" s="14"/>
      <c r="H213" s="20" t="str">
        <f t="shared" si="3"/>
        <v/>
      </c>
      <c r="I213" s="12"/>
      <c r="J213" s="12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2:27" ht="21.75" customHeight="1" x14ac:dyDescent="0.25">
      <c r="B214" s="12"/>
      <c r="C214" s="15"/>
      <c r="D214" s="12"/>
      <c r="E214" s="10" t="str">
        <f>IF(D214="","",IFERROR(VLOOKUP(D214,Productos!$B$5:$J$504,2,FALSE()),"Revisar código"))</f>
        <v/>
      </c>
      <c r="F214" s="13"/>
      <c r="G214" s="14"/>
      <c r="H214" s="20" t="str">
        <f t="shared" si="3"/>
        <v/>
      </c>
      <c r="I214" s="12"/>
      <c r="J214" s="12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2:27" ht="21.75" customHeight="1" x14ac:dyDescent="0.25">
      <c r="B215" s="12"/>
      <c r="C215" s="15"/>
      <c r="D215" s="12"/>
      <c r="E215" s="10" t="str">
        <f>IF(D215="","",IFERROR(VLOOKUP(D215,Productos!$B$5:$J$504,2,FALSE()),"Revisar código"))</f>
        <v/>
      </c>
      <c r="F215" s="13"/>
      <c r="G215" s="14"/>
      <c r="H215" s="20" t="str">
        <f t="shared" si="3"/>
        <v/>
      </c>
      <c r="I215" s="12"/>
      <c r="J215" s="12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2:27" ht="21.75" customHeight="1" x14ac:dyDescent="0.25">
      <c r="B216" s="12"/>
      <c r="C216" s="15"/>
      <c r="D216" s="12"/>
      <c r="E216" s="10" t="str">
        <f>IF(D216="","",IFERROR(VLOOKUP(D216,Productos!$B$5:$J$504,2,FALSE()),"Revisar código"))</f>
        <v/>
      </c>
      <c r="F216" s="13"/>
      <c r="G216" s="14"/>
      <c r="H216" s="20" t="str">
        <f t="shared" si="3"/>
        <v/>
      </c>
      <c r="I216" s="12"/>
      <c r="J216" s="12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2:27" ht="21.75" customHeight="1" x14ac:dyDescent="0.25">
      <c r="B217" s="12"/>
      <c r="C217" s="15"/>
      <c r="D217" s="12"/>
      <c r="E217" s="10" t="str">
        <f>IF(D217="","",IFERROR(VLOOKUP(D217,Productos!$B$5:$J$504,2,FALSE()),"Revisar código"))</f>
        <v/>
      </c>
      <c r="F217" s="13"/>
      <c r="G217" s="14"/>
      <c r="H217" s="20" t="str">
        <f t="shared" si="3"/>
        <v/>
      </c>
      <c r="I217" s="12"/>
      <c r="J217" s="12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2:27" ht="21.75" customHeight="1" x14ac:dyDescent="0.25">
      <c r="B218" s="12"/>
      <c r="C218" s="15"/>
      <c r="D218" s="12"/>
      <c r="E218" s="10" t="str">
        <f>IF(D218="","",IFERROR(VLOOKUP(D218,Productos!$B$5:$J$504,2,FALSE()),"Revisar código"))</f>
        <v/>
      </c>
      <c r="F218" s="13"/>
      <c r="G218" s="14"/>
      <c r="H218" s="20" t="str">
        <f t="shared" si="3"/>
        <v/>
      </c>
      <c r="I218" s="12"/>
      <c r="J218" s="12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2:27" ht="21.75" customHeight="1" x14ac:dyDescent="0.25">
      <c r="B219" s="12"/>
      <c r="C219" s="15"/>
      <c r="D219" s="12"/>
      <c r="E219" s="10" t="str">
        <f>IF(D219="","",IFERROR(VLOOKUP(D219,Productos!$B$5:$J$504,2,FALSE()),"Revisar código"))</f>
        <v/>
      </c>
      <c r="F219" s="13"/>
      <c r="G219" s="14"/>
      <c r="H219" s="20" t="str">
        <f t="shared" si="3"/>
        <v/>
      </c>
      <c r="I219" s="12"/>
      <c r="J219" s="12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2:27" ht="21.75" customHeight="1" x14ac:dyDescent="0.25">
      <c r="B220" s="12"/>
      <c r="C220" s="15"/>
      <c r="D220" s="12"/>
      <c r="E220" s="10" t="str">
        <f>IF(D220="","",IFERROR(VLOOKUP(D220,Productos!$B$5:$J$504,2,FALSE()),"Revisar código"))</f>
        <v/>
      </c>
      <c r="F220" s="13"/>
      <c r="G220" s="14"/>
      <c r="H220" s="20" t="str">
        <f t="shared" si="3"/>
        <v/>
      </c>
      <c r="I220" s="12"/>
      <c r="J220" s="12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2:27" ht="21.75" customHeight="1" x14ac:dyDescent="0.25">
      <c r="B221" s="12"/>
      <c r="C221" s="15"/>
      <c r="D221" s="12"/>
      <c r="E221" s="10" t="str">
        <f>IF(D221="","",IFERROR(VLOOKUP(D221,Productos!$B$5:$J$504,2,FALSE()),"Revisar código"))</f>
        <v/>
      </c>
      <c r="F221" s="13"/>
      <c r="G221" s="14"/>
      <c r="H221" s="20" t="str">
        <f t="shared" si="3"/>
        <v/>
      </c>
      <c r="I221" s="12"/>
      <c r="J221" s="12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2:27" ht="21.75" customHeight="1" x14ac:dyDescent="0.25">
      <c r="B222" s="12"/>
      <c r="C222" s="15"/>
      <c r="D222" s="12"/>
      <c r="E222" s="10" t="str">
        <f>IF(D222="","",IFERROR(VLOOKUP(D222,Productos!$B$5:$J$504,2,FALSE()),"Revisar código"))</f>
        <v/>
      </c>
      <c r="F222" s="13"/>
      <c r="G222" s="14"/>
      <c r="H222" s="20" t="str">
        <f t="shared" si="3"/>
        <v/>
      </c>
      <c r="I222" s="12"/>
      <c r="J222" s="12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2:27" ht="21.75" customHeight="1" x14ac:dyDescent="0.25">
      <c r="B223" s="12"/>
      <c r="C223" s="15"/>
      <c r="D223" s="12"/>
      <c r="E223" s="10" t="str">
        <f>IF(D223="","",IFERROR(VLOOKUP(D223,Productos!$B$5:$J$504,2,FALSE()),"Revisar código"))</f>
        <v/>
      </c>
      <c r="F223" s="13"/>
      <c r="G223" s="14"/>
      <c r="H223" s="20" t="str">
        <f t="shared" si="3"/>
        <v/>
      </c>
      <c r="I223" s="12"/>
      <c r="J223" s="12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spans="2:27" ht="21.75" customHeight="1" x14ac:dyDescent="0.25">
      <c r="B224" s="12"/>
      <c r="C224" s="15"/>
      <c r="D224" s="12"/>
      <c r="E224" s="10" t="str">
        <f>IF(D224="","",IFERROR(VLOOKUP(D224,Productos!$B$5:$J$504,2,FALSE()),"Revisar código"))</f>
        <v/>
      </c>
      <c r="F224" s="13"/>
      <c r="G224" s="14"/>
      <c r="H224" s="20" t="str">
        <f t="shared" si="3"/>
        <v/>
      </c>
      <c r="I224" s="12"/>
      <c r="J224" s="12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spans="2:27" ht="21.75" customHeight="1" x14ac:dyDescent="0.25">
      <c r="B225" s="12"/>
      <c r="C225" s="15"/>
      <c r="D225" s="12"/>
      <c r="E225" s="10" t="str">
        <f>IF(D225="","",IFERROR(VLOOKUP(D225,Productos!$B$5:$J$504,2,FALSE()),"Revisar código"))</f>
        <v/>
      </c>
      <c r="F225" s="13"/>
      <c r="G225" s="14"/>
      <c r="H225" s="20" t="str">
        <f t="shared" si="3"/>
        <v/>
      </c>
      <c r="I225" s="12"/>
      <c r="J225" s="12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spans="2:27" ht="21.75" customHeight="1" x14ac:dyDescent="0.25">
      <c r="B226" s="12"/>
      <c r="C226" s="15"/>
      <c r="D226" s="12"/>
      <c r="E226" s="10" t="str">
        <f>IF(D226="","",IFERROR(VLOOKUP(D226,Productos!$B$5:$J$504,2,FALSE()),"Revisar código"))</f>
        <v/>
      </c>
      <c r="F226" s="13"/>
      <c r="G226" s="14"/>
      <c r="H226" s="20" t="str">
        <f t="shared" si="3"/>
        <v/>
      </c>
      <c r="I226" s="12"/>
      <c r="J226" s="12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spans="2:27" ht="21.75" customHeight="1" x14ac:dyDescent="0.25">
      <c r="B227" s="12"/>
      <c r="C227" s="15"/>
      <c r="D227" s="12"/>
      <c r="E227" s="10" t="str">
        <f>IF(D227="","",IFERROR(VLOOKUP(D227,Productos!$B$5:$J$504,2,FALSE()),"Revisar código"))</f>
        <v/>
      </c>
      <c r="F227" s="13"/>
      <c r="G227" s="14"/>
      <c r="H227" s="20" t="str">
        <f t="shared" si="3"/>
        <v/>
      </c>
      <c r="I227" s="12"/>
      <c r="J227" s="12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spans="2:27" ht="21.75" customHeight="1" x14ac:dyDescent="0.25">
      <c r="B228" s="12"/>
      <c r="C228" s="15"/>
      <c r="D228" s="12"/>
      <c r="E228" s="10" t="str">
        <f>IF(D228="","",IFERROR(VLOOKUP(D228,Productos!$B$5:$J$504,2,FALSE()),"Revisar código"))</f>
        <v/>
      </c>
      <c r="F228" s="13"/>
      <c r="G228" s="14"/>
      <c r="H228" s="20" t="str">
        <f t="shared" si="3"/>
        <v/>
      </c>
      <c r="I228" s="12"/>
      <c r="J228" s="12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spans="2:27" ht="21.75" customHeight="1" x14ac:dyDescent="0.25">
      <c r="B229" s="12"/>
      <c r="C229" s="15"/>
      <c r="D229" s="12"/>
      <c r="E229" s="10" t="str">
        <f>IF(D229="","",IFERROR(VLOOKUP(D229,Productos!$B$5:$J$504,2,FALSE()),"Revisar código"))</f>
        <v/>
      </c>
      <c r="F229" s="13"/>
      <c r="G229" s="14"/>
      <c r="H229" s="20" t="str">
        <f t="shared" si="3"/>
        <v/>
      </c>
      <c r="I229" s="12"/>
      <c r="J229" s="12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spans="2:27" ht="21.75" customHeight="1" x14ac:dyDescent="0.25">
      <c r="B230" s="12"/>
      <c r="C230" s="15"/>
      <c r="D230" s="12"/>
      <c r="E230" s="10" t="str">
        <f>IF(D230="","",IFERROR(VLOOKUP(D230,Productos!$B$5:$J$504,2,FALSE()),"Revisar código"))</f>
        <v/>
      </c>
      <c r="F230" s="13"/>
      <c r="G230" s="14"/>
      <c r="H230" s="20" t="str">
        <f t="shared" si="3"/>
        <v/>
      </c>
      <c r="I230" s="12"/>
      <c r="J230" s="12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spans="2:27" ht="21.75" customHeight="1" x14ac:dyDescent="0.25">
      <c r="B231" s="12"/>
      <c r="C231" s="15"/>
      <c r="D231" s="12"/>
      <c r="E231" s="10" t="str">
        <f>IF(D231="","",IFERROR(VLOOKUP(D231,Productos!$B$5:$J$504,2,FALSE()),"Revisar código"))</f>
        <v/>
      </c>
      <c r="F231" s="13"/>
      <c r="G231" s="14"/>
      <c r="H231" s="20" t="str">
        <f t="shared" si="3"/>
        <v/>
      </c>
      <c r="I231" s="12"/>
      <c r="J231" s="12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spans="2:27" ht="21.75" customHeight="1" x14ac:dyDescent="0.25">
      <c r="B232" s="12"/>
      <c r="C232" s="15"/>
      <c r="D232" s="12"/>
      <c r="E232" s="10" t="str">
        <f>IF(D232="","",IFERROR(VLOOKUP(D232,Productos!$B$5:$J$504,2,FALSE()),"Revisar código"))</f>
        <v/>
      </c>
      <c r="F232" s="13"/>
      <c r="G232" s="14"/>
      <c r="H232" s="20" t="str">
        <f t="shared" si="3"/>
        <v/>
      </c>
      <c r="I232" s="12"/>
      <c r="J232" s="12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spans="2:27" ht="21.75" customHeight="1" x14ac:dyDescent="0.25">
      <c r="B233" s="12"/>
      <c r="C233" s="15"/>
      <c r="D233" s="12"/>
      <c r="E233" s="10" t="str">
        <f>IF(D233="","",IFERROR(VLOOKUP(D233,Productos!$B$5:$J$504,2,FALSE()),"Revisar código"))</f>
        <v/>
      </c>
      <c r="F233" s="13"/>
      <c r="G233" s="14"/>
      <c r="H233" s="20" t="str">
        <f t="shared" si="3"/>
        <v/>
      </c>
      <c r="I233" s="12"/>
      <c r="J233" s="12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spans="2:27" ht="21.75" customHeight="1" x14ac:dyDescent="0.25">
      <c r="B234" s="12"/>
      <c r="C234" s="15"/>
      <c r="D234" s="12"/>
      <c r="E234" s="10" t="str">
        <f>IF(D234="","",IFERROR(VLOOKUP(D234,Productos!$B$5:$J$504,2,FALSE()),"Revisar código"))</f>
        <v/>
      </c>
      <c r="F234" s="13"/>
      <c r="G234" s="14"/>
      <c r="H234" s="20" t="str">
        <f t="shared" si="3"/>
        <v/>
      </c>
      <c r="I234" s="12"/>
      <c r="J234" s="12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spans="2:27" ht="21.75" customHeight="1" x14ac:dyDescent="0.25">
      <c r="B235" s="12"/>
      <c r="C235" s="15"/>
      <c r="D235" s="12"/>
      <c r="E235" s="10" t="str">
        <f>IF(D235="","",IFERROR(VLOOKUP(D235,Productos!$B$5:$J$504,2,FALSE()),"Revisar código"))</f>
        <v/>
      </c>
      <c r="F235" s="13"/>
      <c r="G235" s="14"/>
      <c r="H235" s="20" t="str">
        <f t="shared" si="3"/>
        <v/>
      </c>
      <c r="I235" s="12"/>
      <c r="J235" s="12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spans="2:27" ht="21.75" customHeight="1" x14ac:dyDescent="0.25">
      <c r="B236" s="12"/>
      <c r="C236" s="15"/>
      <c r="D236" s="12"/>
      <c r="E236" s="10" t="str">
        <f>IF(D236="","",IFERROR(VLOOKUP(D236,Productos!$B$5:$J$504,2,FALSE()),"Revisar código"))</f>
        <v/>
      </c>
      <c r="F236" s="13"/>
      <c r="G236" s="14"/>
      <c r="H236" s="20" t="str">
        <f t="shared" si="3"/>
        <v/>
      </c>
      <c r="I236" s="12"/>
      <c r="J236" s="12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spans="2:27" ht="21.75" customHeight="1" x14ac:dyDescent="0.25">
      <c r="B237" s="12"/>
      <c r="C237" s="15"/>
      <c r="D237" s="12"/>
      <c r="E237" s="10" t="str">
        <f>IF(D237="","",IFERROR(VLOOKUP(D237,Productos!$B$5:$J$504,2,FALSE()),"Revisar código"))</f>
        <v/>
      </c>
      <c r="F237" s="13"/>
      <c r="G237" s="14"/>
      <c r="H237" s="20" t="str">
        <f t="shared" si="3"/>
        <v/>
      </c>
      <c r="I237" s="12"/>
      <c r="J237" s="12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spans="2:27" ht="21.75" customHeight="1" x14ac:dyDescent="0.25">
      <c r="B238" s="12"/>
      <c r="C238" s="15"/>
      <c r="D238" s="12"/>
      <c r="E238" s="10" t="str">
        <f>IF(D238="","",IFERROR(VLOOKUP(D238,Productos!$B$5:$J$504,2,FALSE()),"Revisar código"))</f>
        <v/>
      </c>
      <c r="F238" s="13"/>
      <c r="G238" s="14"/>
      <c r="H238" s="20" t="str">
        <f t="shared" si="3"/>
        <v/>
      </c>
      <c r="I238" s="12"/>
      <c r="J238" s="12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spans="2:27" ht="21.75" customHeight="1" x14ac:dyDescent="0.25">
      <c r="B239" s="12"/>
      <c r="C239" s="15"/>
      <c r="D239" s="12"/>
      <c r="E239" s="10" t="str">
        <f>IF(D239="","",IFERROR(VLOOKUP(D239,Productos!$B$5:$J$504,2,FALSE()),"Revisar código"))</f>
        <v/>
      </c>
      <c r="F239" s="13"/>
      <c r="G239" s="14"/>
      <c r="H239" s="20" t="str">
        <f t="shared" si="3"/>
        <v/>
      </c>
      <c r="I239" s="12"/>
      <c r="J239" s="12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spans="2:27" ht="21.75" customHeight="1" x14ac:dyDescent="0.25">
      <c r="B240" s="12"/>
      <c r="C240" s="15"/>
      <c r="D240" s="12"/>
      <c r="E240" s="10" t="str">
        <f>IF(D240="","",IFERROR(VLOOKUP(D240,Productos!$B$5:$J$504,2,FALSE()),"Revisar código"))</f>
        <v/>
      </c>
      <c r="F240" s="13"/>
      <c r="G240" s="14"/>
      <c r="H240" s="20" t="str">
        <f t="shared" si="3"/>
        <v/>
      </c>
      <c r="I240" s="12"/>
      <c r="J240" s="12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spans="2:27" ht="21.75" customHeight="1" x14ac:dyDescent="0.25">
      <c r="B241" s="12"/>
      <c r="C241" s="15"/>
      <c r="D241" s="12"/>
      <c r="E241" s="10" t="str">
        <f>IF(D241="","",IFERROR(VLOOKUP(D241,Productos!$B$5:$J$504,2,FALSE()),"Revisar código"))</f>
        <v/>
      </c>
      <c r="F241" s="13"/>
      <c r="G241" s="14"/>
      <c r="H241" s="20" t="str">
        <f t="shared" si="3"/>
        <v/>
      </c>
      <c r="I241" s="12"/>
      <c r="J241" s="12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spans="2:27" ht="21.75" customHeight="1" x14ac:dyDescent="0.25">
      <c r="B242" s="12"/>
      <c r="C242" s="15"/>
      <c r="D242" s="12"/>
      <c r="E242" s="10" t="str">
        <f>IF(D242="","",IFERROR(VLOOKUP(D242,Productos!$B$5:$J$504,2,FALSE()),"Revisar código"))</f>
        <v/>
      </c>
      <c r="F242" s="13"/>
      <c r="G242" s="14"/>
      <c r="H242" s="20" t="str">
        <f t="shared" si="3"/>
        <v/>
      </c>
      <c r="I242" s="12"/>
      <c r="J242" s="12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spans="2:27" ht="21.75" customHeight="1" x14ac:dyDescent="0.25">
      <c r="B243" s="12"/>
      <c r="C243" s="15"/>
      <c r="D243" s="12"/>
      <c r="E243" s="10" t="str">
        <f>IF(D243="","",IFERROR(VLOOKUP(D243,Productos!$B$5:$J$504,2,FALSE()),"Revisar código"))</f>
        <v/>
      </c>
      <c r="F243" s="13"/>
      <c r="G243" s="14"/>
      <c r="H243" s="20" t="str">
        <f t="shared" si="3"/>
        <v/>
      </c>
      <c r="I243" s="12"/>
      <c r="J243" s="12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spans="2:27" ht="21.75" customHeight="1" x14ac:dyDescent="0.25">
      <c r="B244" s="12"/>
      <c r="C244" s="15"/>
      <c r="D244" s="12"/>
      <c r="E244" s="10" t="str">
        <f>IF(D244="","",IFERROR(VLOOKUP(D244,Productos!$B$5:$J$504,2,FALSE()),"Revisar código"))</f>
        <v/>
      </c>
      <c r="F244" s="13"/>
      <c r="G244" s="14"/>
      <c r="H244" s="20" t="str">
        <f t="shared" si="3"/>
        <v/>
      </c>
      <c r="I244" s="12"/>
      <c r="J244" s="12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spans="2:27" ht="21.75" customHeight="1" x14ac:dyDescent="0.25">
      <c r="B245" s="12"/>
      <c r="C245" s="15"/>
      <c r="D245" s="12"/>
      <c r="E245" s="10" t="str">
        <f>IF(D245="","",IFERROR(VLOOKUP(D245,Productos!$B$5:$J$504,2,FALSE()),"Revisar código"))</f>
        <v/>
      </c>
      <c r="F245" s="13"/>
      <c r="G245" s="14"/>
      <c r="H245" s="20" t="str">
        <f t="shared" si="3"/>
        <v/>
      </c>
      <c r="I245" s="12"/>
      <c r="J245" s="12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spans="2:27" ht="21.75" customHeight="1" x14ac:dyDescent="0.25">
      <c r="B246" s="12"/>
      <c r="C246" s="15"/>
      <c r="D246" s="12"/>
      <c r="E246" s="10" t="str">
        <f>IF(D246="","",IFERROR(VLOOKUP(D246,Productos!$B$5:$J$504,2,FALSE()),"Revisar código"))</f>
        <v/>
      </c>
      <c r="F246" s="13"/>
      <c r="G246" s="14"/>
      <c r="H246" s="20" t="str">
        <f t="shared" si="3"/>
        <v/>
      </c>
      <c r="I246" s="12"/>
      <c r="J246" s="12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spans="2:27" ht="21.75" customHeight="1" x14ac:dyDescent="0.25">
      <c r="B247" s="12"/>
      <c r="C247" s="15"/>
      <c r="D247" s="12"/>
      <c r="E247" s="10" t="str">
        <f>IF(D247="","",IFERROR(VLOOKUP(D247,Productos!$B$5:$J$504,2,FALSE()),"Revisar código"))</f>
        <v/>
      </c>
      <c r="F247" s="13"/>
      <c r="G247" s="14"/>
      <c r="H247" s="20" t="str">
        <f t="shared" si="3"/>
        <v/>
      </c>
      <c r="I247" s="12"/>
      <c r="J247" s="12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spans="2:27" ht="21.75" customHeight="1" x14ac:dyDescent="0.25">
      <c r="B248" s="12"/>
      <c r="C248" s="15"/>
      <c r="D248" s="12"/>
      <c r="E248" s="10" t="str">
        <f>IF(D248="","",IFERROR(VLOOKUP(D248,Productos!$B$5:$J$504,2,FALSE()),"Revisar código"))</f>
        <v/>
      </c>
      <c r="F248" s="13"/>
      <c r="G248" s="14"/>
      <c r="H248" s="20" t="str">
        <f t="shared" si="3"/>
        <v/>
      </c>
      <c r="I248" s="12"/>
      <c r="J248" s="12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spans="2:27" ht="21.75" customHeight="1" x14ac:dyDescent="0.25">
      <c r="B249" s="12"/>
      <c r="C249" s="15"/>
      <c r="D249" s="12"/>
      <c r="E249" s="10" t="str">
        <f>IF(D249="","",IFERROR(VLOOKUP(D249,Productos!$B$5:$J$504,2,FALSE()),"Revisar código"))</f>
        <v/>
      </c>
      <c r="F249" s="13"/>
      <c r="G249" s="14"/>
      <c r="H249" s="20" t="str">
        <f t="shared" si="3"/>
        <v/>
      </c>
      <c r="I249" s="12"/>
      <c r="J249" s="12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spans="2:27" ht="21.75" customHeight="1" x14ac:dyDescent="0.25">
      <c r="B250" s="12"/>
      <c r="C250" s="15"/>
      <c r="D250" s="12"/>
      <c r="E250" s="10" t="str">
        <f>IF(D250="","",IFERROR(VLOOKUP(D250,Productos!$B$5:$J$504,2,FALSE()),"Revisar código"))</f>
        <v/>
      </c>
      <c r="F250" s="13"/>
      <c r="G250" s="14"/>
      <c r="H250" s="20" t="str">
        <f t="shared" si="3"/>
        <v/>
      </c>
      <c r="I250" s="12"/>
      <c r="J250" s="12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spans="2:27" ht="21.75" customHeight="1" x14ac:dyDescent="0.25">
      <c r="B251" s="12"/>
      <c r="C251" s="15"/>
      <c r="D251" s="12"/>
      <c r="E251" s="10" t="str">
        <f>IF(D251="","",IFERROR(VLOOKUP(D251,Productos!$B$5:$J$504,2,FALSE()),"Revisar código"))</f>
        <v/>
      </c>
      <c r="F251" s="13"/>
      <c r="G251" s="14"/>
      <c r="H251" s="20" t="str">
        <f t="shared" si="3"/>
        <v/>
      </c>
      <c r="I251" s="12"/>
      <c r="J251" s="12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spans="2:27" ht="21.75" customHeight="1" x14ac:dyDescent="0.25">
      <c r="B252" s="12"/>
      <c r="C252" s="15"/>
      <c r="D252" s="12"/>
      <c r="E252" s="10" t="str">
        <f>IF(D252="","",IFERROR(VLOOKUP(D252,Productos!$B$5:$J$504,2,FALSE()),"Revisar código"))</f>
        <v/>
      </c>
      <c r="F252" s="13"/>
      <c r="G252" s="14"/>
      <c r="H252" s="20" t="str">
        <f t="shared" si="3"/>
        <v/>
      </c>
      <c r="I252" s="12"/>
      <c r="J252" s="12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spans="2:27" ht="21.75" customHeight="1" x14ac:dyDescent="0.25">
      <c r="B253" s="12"/>
      <c r="C253" s="15"/>
      <c r="D253" s="12"/>
      <c r="E253" s="10" t="str">
        <f>IF(D253="","",IFERROR(VLOOKUP(D253,Productos!$B$5:$J$504,2,FALSE()),"Revisar código"))</f>
        <v/>
      </c>
      <c r="F253" s="13"/>
      <c r="G253" s="14"/>
      <c r="H253" s="20" t="str">
        <f t="shared" si="3"/>
        <v/>
      </c>
      <c r="I253" s="12"/>
      <c r="J253" s="12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spans="2:27" ht="21.75" customHeight="1" x14ac:dyDescent="0.25">
      <c r="B254" s="12"/>
      <c r="C254" s="15"/>
      <c r="D254" s="12"/>
      <c r="E254" s="10" t="str">
        <f>IF(D254="","",IFERROR(VLOOKUP(D254,Productos!$B$5:$J$504,2,FALSE()),"Revisar código"))</f>
        <v/>
      </c>
      <c r="F254" s="13"/>
      <c r="G254" s="14"/>
      <c r="H254" s="20" t="str">
        <f t="shared" si="3"/>
        <v/>
      </c>
      <c r="I254" s="12"/>
      <c r="J254" s="12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spans="2:27" ht="21.75" customHeight="1" x14ac:dyDescent="0.25">
      <c r="B255" s="12"/>
      <c r="C255" s="15"/>
      <c r="D255" s="12"/>
      <c r="E255" s="10" t="str">
        <f>IF(D255="","",IFERROR(VLOOKUP(D255,Productos!$B$5:$J$504,2,FALSE()),"Revisar código"))</f>
        <v/>
      </c>
      <c r="F255" s="13"/>
      <c r="G255" s="14"/>
      <c r="H255" s="20" t="str">
        <f t="shared" si="3"/>
        <v/>
      </c>
      <c r="I255" s="12"/>
      <c r="J255" s="12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spans="2:27" ht="21.75" customHeight="1" x14ac:dyDescent="0.25">
      <c r="B256" s="12"/>
      <c r="C256" s="15"/>
      <c r="D256" s="12"/>
      <c r="E256" s="10" t="str">
        <f>IF(D256="","",IFERROR(VLOOKUP(D256,Productos!$B$5:$J$504,2,FALSE()),"Revisar código"))</f>
        <v/>
      </c>
      <c r="F256" s="13"/>
      <c r="G256" s="14"/>
      <c r="H256" s="20" t="str">
        <f t="shared" si="3"/>
        <v/>
      </c>
      <c r="I256" s="12"/>
      <c r="J256" s="12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spans="2:27" ht="21.75" customHeight="1" x14ac:dyDescent="0.25">
      <c r="B257" s="12"/>
      <c r="C257" s="15"/>
      <c r="D257" s="12"/>
      <c r="E257" s="10" t="str">
        <f>IF(D257="","",IFERROR(VLOOKUP(D257,Productos!$B$5:$J$504,2,FALSE()),"Revisar código"))</f>
        <v/>
      </c>
      <c r="F257" s="13"/>
      <c r="G257" s="14"/>
      <c r="H257" s="20" t="str">
        <f t="shared" si="3"/>
        <v/>
      </c>
      <c r="I257" s="12"/>
      <c r="J257" s="12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spans="2:27" ht="21.75" customHeight="1" x14ac:dyDescent="0.25">
      <c r="B258" s="12"/>
      <c r="C258" s="15"/>
      <c r="D258" s="12"/>
      <c r="E258" s="10" t="str">
        <f>IF(D258="","",IFERROR(VLOOKUP(D258,Productos!$B$5:$J$504,2,FALSE()),"Revisar código"))</f>
        <v/>
      </c>
      <c r="F258" s="13"/>
      <c r="G258" s="14"/>
      <c r="H258" s="20" t="str">
        <f t="shared" si="3"/>
        <v/>
      </c>
      <c r="I258" s="12"/>
      <c r="J258" s="12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spans="2:27" ht="21.75" customHeight="1" x14ac:dyDescent="0.25">
      <c r="B259" s="12"/>
      <c r="C259" s="15"/>
      <c r="D259" s="12"/>
      <c r="E259" s="10" t="str">
        <f>IF(D259="","",IFERROR(VLOOKUP(D259,Productos!$B$5:$J$504,2,FALSE()),"Revisar código"))</f>
        <v/>
      </c>
      <c r="F259" s="13"/>
      <c r="G259" s="14"/>
      <c r="H259" s="20" t="str">
        <f t="shared" si="3"/>
        <v/>
      </c>
      <c r="I259" s="12"/>
      <c r="J259" s="12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spans="2:27" ht="21.75" customHeight="1" x14ac:dyDescent="0.25">
      <c r="B260" s="12"/>
      <c r="C260" s="15"/>
      <c r="D260" s="12"/>
      <c r="E260" s="10" t="str">
        <f>IF(D260="","",IFERROR(VLOOKUP(D260,Productos!$B$5:$J$504,2,FALSE()),"Revisar código"))</f>
        <v/>
      </c>
      <c r="F260" s="13"/>
      <c r="G260" s="14"/>
      <c r="H260" s="20" t="str">
        <f t="shared" si="3"/>
        <v/>
      </c>
      <c r="I260" s="12"/>
      <c r="J260" s="12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spans="2:27" ht="21.75" customHeight="1" x14ac:dyDescent="0.25">
      <c r="B261" s="12"/>
      <c r="C261" s="15"/>
      <c r="D261" s="12"/>
      <c r="E261" s="10" t="str">
        <f>IF(D261="","",IFERROR(VLOOKUP(D261,Productos!$B$5:$J$504,2,FALSE()),"Revisar código"))</f>
        <v/>
      </c>
      <c r="F261" s="13"/>
      <c r="G261" s="14"/>
      <c r="H261" s="20" t="str">
        <f t="shared" ref="H261:H324" si="4">IF(OR(F261="",G261=""),"",F261*G261)</f>
        <v/>
      </c>
      <c r="I261" s="12"/>
      <c r="J261" s="12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spans="2:27" ht="21.75" customHeight="1" x14ac:dyDescent="0.25">
      <c r="B262" s="12"/>
      <c r="C262" s="15"/>
      <c r="D262" s="12"/>
      <c r="E262" s="10" t="str">
        <f>IF(D262="","",IFERROR(VLOOKUP(D262,Productos!$B$5:$J$504,2,FALSE()),"Revisar código"))</f>
        <v/>
      </c>
      <c r="F262" s="13"/>
      <c r="G262" s="14"/>
      <c r="H262" s="20" t="str">
        <f t="shared" si="4"/>
        <v/>
      </c>
      <c r="I262" s="12"/>
      <c r="J262" s="12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spans="2:27" ht="21.75" customHeight="1" x14ac:dyDescent="0.25">
      <c r="B263" s="12"/>
      <c r="C263" s="15"/>
      <c r="D263" s="12"/>
      <c r="E263" s="10" t="str">
        <f>IF(D263="","",IFERROR(VLOOKUP(D263,Productos!$B$5:$J$504,2,FALSE()),"Revisar código"))</f>
        <v/>
      </c>
      <c r="F263" s="13"/>
      <c r="G263" s="14"/>
      <c r="H263" s="20" t="str">
        <f t="shared" si="4"/>
        <v/>
      </c>
      <c r="I263" s="12"/>
      <c r="J263" s="12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spans="2:27" ht="21.75" customHeight="1" x14ac:dyDescent="0.25">
      <c r="B264" s="12"/>
      <c r="C264" s="15"/>
      <c r="D264" s="12"/>
      <c r="E264" s="10" t="str">
        <f>IF(D264="","",IFERROR(VLOOKUP(D264,Productos!$B$5:$J$504,2,FALSE()),"Revisar código"))</f>
        <v/>
      </c>
      <c r="F264" s="13"/>
      <c r="G264" s="14"/>
      <c r="H264" s="20" t="str">
        <f t="shared" si="4"/>
        <v/>
      </c>
      <c r="I264" s="12"/>
      <c r="J264" s="12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spans="2:27" ht="21.75" customHeight="1" x14ac:dyDescent="0.25">
      <c r="B265" s="12"/>
      <c r="C265" s="15"/>
      <c r="D265" s="12"/>
      <c r="E265" s="10" t="str">
        <f>IF(D265="","",IFERROR(VLOOKUP(D265,Productos!$B$5:$J$504,2,FALSE()),"Revisar código"))</f>
        <v/>
      </c>
      <c r="F265" s="13"/>
      <c r="G265" s="14"/>
      <c r="H265" s="20" t="str">
        <f t="shared" si="4"/>
        <v/>
      </c>
      <c r="I265" s="12"/>
      <c r="J265" s="12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spans="2:27" ht="21.75" customHeight="1" x14ac:dyDescent="0.25">
      <c r="B266" s="12"/>
      <c r="C266" s="15"/>
      <c r="D266" s="12"/>
      <c r="E266" s="10" t="str">
        <f>IF(D266="","",IFERROR(VLOOKUP(D266,Productos!$B$5:$J$504,2,FALSE()),"Revisar código"))</f>
        <v/>
      </c>
      <c r="F266" s="13"/>
      <c r="G266" s="14"/>
      <c r="H266" s="20" t="str">
        <f t="shared" si="4"/>
        <v/>
      </c>
      <c r="I266" s="12"/>
      <c r="J266" s="12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spans="2:27" ht="21.75" customHeight="1" x14ac:dyDescent="0.25">
      <c r="B267" s="12"/>
      <c r="C267" s="15"/>
      <c r="D267" s="12"/>
      <c r="E267" s="10" t="str">
        <f>IF(D267="","",IFERROR(VLOOKUP(D267,Productos!$B$5:$J$504,2,FALSE()),"Revisar código"))</f>
        <v/>
      </c>
      <c r="F267" s="13"/>
      <c r="G267" s="14"/>
      <c r="H267" s="20" t="str">
        <f t="shared" si="4"/>
        <v/>
      </c>
      <c r="I267" s="12"/>
      <c r="J267" s="12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spans="2:27" ht="21.75" customHeight="1" x14ac:dyDescent="0.25">
      <c r="B268" s="12"/>
      <c r="C268" s="15"/>
      <c r="D268" s="12"/>
      <c r="E268" s="10" t="str">
        <f>IF(D268="","",IFERROR(VLOOKUP(D268,Productos!$B$5:$J$504,2,FALSE()),"Revisar código"))</f>
        <v/>
      </c>
      <c r="F268" s="13"/>
      <c r="G268" s="14"/>
      <c r="H268" s="20" t="str">
        <f t="shared" si="4"/>
        <v/>
      </c>
      <c r="I268" s="12"/>
      <c r="J268" s="12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spans="2:27" ht="21.75" customHeight="1" x14ac:dyDescent="0.25">
      <c r="B269" s="12"/>
      <c r="C269" s="15"/>
      <c r="D269" s="12"/>
      <c r="E269" s="10" t="str">
        <f>IF(D269="","",IFERROR(VLOOKUP(D269,Productos!$B$5:$J$504,2,FALSE()),"Revisar código"))</f>
        <v/>
      </c>
      <c r="F269" s="13"/>
      <c r="G269" s="14"/>
      <c r="H269" s="20" t="str">
        <f t="shared" si="4"/>
        <v/>
      </c>
      <c r="I269" s="12"/>
      <c r="J269" s="12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spans="2:27" ht="21.75" customHeight="1" x14ac:dyDescent="0.25">
      <c r="B270" s="12"/>
      <c r="C270" s="15"/>
      <c r="D270" s="12"/>
      <c r="E270" s="10" t="str">
        <f>IF(D270="","",IFERROR(VLOOKUP(D270,Productos!$B$5:$J$504,2,FALSE()),"Revisar código"))</f>
        <v/>
      </c>
      <c r="F270" s="13"/>
      <c r="G270" s="14"/>
      <c r="H270" s="20" t="str">
        <f t="shared" si="4"/>
        <v/>
      </c>
      <c r="I270" s="12"/>
      <c r="J270" s="12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spans="2:27" ht="21.75" customHeight="1" x14ac:dyDescent="0.25">
      <c r="B271" s="12"/>
      <c r="C271" s="15"/>
      <c r="D271" s="12"/>
      <c r="E271" s="10" t="str">
        <f>IF(D271="","",IFERROR(VLOOKUP(D271,Productos!$B$5:$J$504,2,FALSE()),"Revisar código"))</f>
        <v/>
      </c>
      <c r="F271" s="13"/>
      <c r="G271" s="14"/>
      <c r="H271" s="20" t="str">
        <f t="shared" si="4"/>
        <v/>
      </c>
      <c r="I271" s="12"/>
      <c r="J271" s="12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spans="2:27" ht="21.75" customHeight="1" x14ac:dyDescent="0.25">
      <c r="B272" s="12"/>
      <c r="C272" s="15"/>
      <c r="D272" s="12"/>
      <c r="E272" s="10" t="str">
        <f>IF(D272="","",IFERROR(VLOOKUP(D272,Productos!$B$5:$J$504,2,FALSE()),"Revisar código"))</f>
        <v/>
      </c>
      <c r="F272" s="13"/>
      <c r="G272" s="14"/>
      <c r="H272" s="20" t="str">
        <f t="shared" si="4"/>
        <v/>
      </c>
      <c r="I272" s="12"/>
      <c r="J272" s="12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spans="2:27" ht="21.75" customHeight="1" x14ac:dyDescent="0.25">
      <c r="B273" s="12"/>
      <c r="C273" s="15"/>
      <c r="D273" s="12"/>
      <c r="E273" s="10" t="str">
        <f>IF(D273="","",IFERROR(VLOOKUP(D273,Productos!$B$5:$J$504,2,FALSE()),"Revisar código"))</f>
        <v/>
      </c>
      <c r="F273" s="13"/>
      <c r="G273" s="14"/>
      <c r="H273" s="20" t="str">
        <f t="shared" si="4"/>
        <v/>
      </c>
      <c r="I273" s="12"/>
      <c r="J273" s="12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spans="2:27" ht="21.75" customHeight="1" x14ac:dyDescent="0.25">
      <c r="B274" s="12"/>
      <c r="C274" s="15"/>
      <c r="D274" s="12"/>
      <c r="E274" s="10" t="str">
        <f>IF(D274="","",IFERROR(VLOOKUP(D274,Productos!$B$5:$J$504,2,FALSE()),"Revisar código"))</f>
        <v/>
      </c>
      <c r="F274" s="13"/>
      <c r="G274" s="14"/>
      <c r="H274" s="20" t="str">
        <f t="shared" si="4"/>
        <v/>
      </c>
      <c r="I274" s="12"/>
      <c r="J274" s="12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2:27" ht="21.75" customHeight="1" x14ac:dyDescent="0.25">
      <c r="B275" s="12"/>
      <c r="C275" s="15"/>
      <c r="D275" s="12"/>
      <c r="E275" s="10" t="str">
        <f>IF(D275="","",IFERROR(VLOOKUP(D275,Productos!$B$5:$J$504,2,FALSE()),"Revisar código"))</f>
        <v/>
      </c>
      <c r="F275" s="13"/>
      <c r="G275" s="14"/>
      <c r="H275" s="20" t="str">
        <f t="shared" si="4"/>
        <v/>
      </c>
      <c r="I275" s="12"/>
      <c r="J275" s="12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spans="2:27" ht="21.75" customHeight="1" x14ac:dyDescent="0.25">
      <c r="B276" s="12"/>
      <c r="C276" s="15"/>
      <c r="D276" s="12"/>
      <c r="E276" s="10" t="str">
        <f>IF(D276="","",IFERROR(VLOOKUP(D276,Productos!$B$5:$J$504,2,FALSE()),"Revisar código"))</f>
        <v/>
      </c>
      <c r="F276" s="13"/>
      <c r="G276" s="14"/>
      <c r="H276" s="20" t="str">
        <f t="shared" si="4"/>
        <v/>
      </c>
      <c r="I276" s="12"/>
      <c r="J276" s="12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spans="2:27" ht="21.75" customHeight="1" x14ac:dyDescent="0.25">
      <c r="B277" s="12"/>
      <c r="C277" s="15"/>
      <c r="D277" s="12"/>
      <c r="E277" s="10" t="str">
        <f>IF(D277="","",IFERROR(VLOOKUP(D277,Productos!$B$5:$J$504,2,FALSE()),"Revisar código"))</f>
        <v/>
      </c>
      <c r="F277" s="13"/>
      <c r="G277" s="14"/>
      <c r="H277" s="20" t="str">
        <f t="shared" si="4"/>
        <v/>
      </c>
      <c r="I277" s="12"/>
      <c r="J277" s="12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spans="2:27" ht="21.75" customHeight="1" x14ac:dyDescent="0.25">
      <c r="B278" s="12"/>
      <c r="C278" s="15"/>
      <c r="D278" s="12"/>
      <c r="E278" s="10" t="str">
        <f>IF(D278="","",IFERROR(VLOOKUP(D278,Productos!$B$5:$J$504,2,FALSE()),"Revisar código"))</f>
        <v/>
      </c>
      <c r="F278" s="13"/>
      <c r="G278" s="14"/>
      <c r="H278" s="20" t="str">
        <f t="shared" si="4"/>
        <v/>
      </c>
      <c r="I278" s="12"/>
      <c r="J278" s="12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spans="2:27" ht="21.75" customHeight="1" x14ac:dyDescent="0.25">
      <c r="B279" s="12"/>
      <c r="C279" s="15"/>
      <c r="D279" s="12"/>
      <c r="E279" s="10" t="str">
        <f>IF(D279="","",IFERROR(VLOOKUP(D279,Productos!$B$5:$J$504,2,FALSE()),"Revisar código"))</f>
        <v/>
      </c>
      <c r="F279" s="13"/>
      <c r="G279" s="14"/>
      <c r="H279" s="20" t="str">
        <f t="shared" si="4"/>
        <v/>
      </c>
      <c r="I279" s="12"/>
      <c r="J279" s="12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spans="2:27" ht="21.75" customHeight="1" x14ac:dyDescent="0.25">
      <c r="B280" s="12"/>
      <c r="C280" s="15"/>
      <c r="D280" s="12"/>
      <c r="E280" s="10" t="str">
        <f>IF(D280="","",IFERROR(VLOOKUP(D280,Productos!$B$5:$J$504,2,FALSE()),"Revisar código"))</f>
        <v/>
      </c>
      <c r="F280" s="13"/>
      <c r="G280" s="14"/>
      <c r="H280" s="20" t="str">
        <f t="shared" si="4"/>
        <v/>
      </c>
      <c r="I280" s="12"/>
      <c r="J280" s="12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spans="2:27" ht="21.75" customHeight="1" x14ac:dyDescent="0.25">
      <c r="B281" s="12"/>
      <c r="C281" s="15"/>
      <c r="D281" s="12"/>
      <c r="E281" s="10" t="str">
        <f>IF(D281="","",IFERROR(VLOOKUP(D281,Productos!$B$5:$J$504,2,FALSE()),"Revisar código"))</f>
        <v/>
      </c>
      <c r="F281" s="13"/>
      <c r="G281" s="14"/>
      <c r="H281" s="20" t="str">
        <f t="shared" si="4"/>
        <v/>
      </c>
      <c r="I281" s="12"/>
      <c r="J281" s="12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spans="2:27" ht="21.75" customHeight="1" x14ac:dyDescent="0.25">
      <c r="B282" s="12"/>
      <c r="C282" s="15"/>
      <c r="D282" s="12"/>
      <c r="E282" s="10" t="str">
        <f>IF(D282="","",IFERROR(VLOOKUP(D282,Productos!$B$5:$J$504,2,FALSE()),"Revisar código"))</f>
        <v/>
      </c>
      <c r="F282" s="13"/>
      <c r="G282" s="14"/>
      <c r="H282" s="20" t="str">
        <f t="shared" si="4"/>
        <v/>
      </c>
      <c r="I282" s="12"/>
      <c r="J282" s="12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spans="2:27" ht="21.75" customHeight="1" x14ac:dyDescent="0.25">
      <c r="B283" s="12"/>
      <c r="C283" s="15"/>
      <c r="D283" s="12"/>
      <c r="E283" s="10" t="str">
        <f>IF(D283="","",IFERROR(VLOOKUP(D283,Productos!$B$5:$J$504,2,FALSE()),"Revisar código"))</f>
        <v/>
      </c>
      <c r="F283" s="13"/>
      <c r="G283" s="14"/>
      <c r="H283" s="20" t="str">
        <f t="shared" si="4"/>
        <v/>
      </c>
      <c r="I283" s="12"/>
      <c r="J283" s="12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spans="2:27" ht="21.75" customHeight="1" x14ac:dyDescent="0.25">
      <c r="B284" s="12"/>
      <c r="C284" s="15"/>
      <c r="D284" s="12"/>
      <c r="E284" s="10" t="str">
        <f>IF(D284="","",IFERROR(VLOOKUP(D284,Productos!$B$5:$J$504,2,FALSE()),"Revisar código"))</f>
        <v/>
      </c>
      <c r="F284" s="13"/>
      <c r="G284" s="14"/>
      <c r="H284" s="20" t="str">
        <f t="shared" si="4"/>
        <v/>
      </c>
      <c r="I284" s="12"/>
      <c r="J284" s="12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spans="2:27" ht="21.75" customHeight="1" x14ac:dyDescent="0.25">
      <c r="B285" s="12"/>
      <c r="C285" s="15"/>
      <c r="D285" s="12"/>
      <c r="E285" s="10" t="str">
        <f>IF(D285="","",IFERROR(VLOOKUP(D285,Productos!$B$5:$J$504,2,FALSE()),"Revisar código"))</f>
        <v/>
      </c>
      <c r="F285" s="13"/>
      <c r="G285" s="14"/>
      <c r="H285" s="20" t="str">
        <f t="shared" si="4"/>
        <v/>
      </c>
      <c r="I285" s="12"/>
      <c r="J285" s="12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spans="2:27" ht="21.75" customHeight="1" x14ac:dyDescent="0.25">
      <c r="B286" s="12"/>
      <c r="C286" s="15"/>
      <c r="D286" s="12"/>
      <c r="E286" s="10" t="str">
        <f>IF(D286="","",IFERROR(VLOOKUP(D286,Productos!$B$5:$J$504,2,FALSE()),"Revisar código"))</f>
        <v/>
      </c>
      <c r="F286" s="13"/>
      <c r="G286" s="14"/>
      <c r="H286" s="20" t="str">
        <f t="shared" si="4"/>
        <v/>
      </c>
      <c r="I286" s="12"/>
      <c r="J286" s="12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spans="2:27" ht="21.75" customHeight="1" x14ac:dyDescent="0.25">
      <c r="B287" s="12"/>
      <c r="C287" s="15"/>
      <c r="D287" s="12"/>
      <c r="E287" s="10" t="str">
        <f>IF(D287="","",IFERROR(VLOOKUP(D287,Productos!$B$5:$J$504,2,FALSE()),"Revisar código"))</f>
        <v/>
      </c>
      <c r="F287" s="13"/>
      <c r="G287" s="14"/>
      <c r="H287" s="20" t="str">
        <f t="shared" si="4"/>
        <v/>
      </c>
      <c r="I287" s="12"/>
      <c r="J287" s="12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spans="2:27" ht="21.75" customHeight="1" x14ac:dyDescent="0.25">
      <c r="B288" s="12"/>
      <c r="C288" s="15"/>
      <c r="D288" s="12"/>
      <c r="E288" s="10" t="str">
        <f>IF(D288="","",IFERROR(VLOOKUP(D288,Productos!$B$5:$J$504,2,FALSE()),"Revisar código"))</f>
        <v/>
      </c>
      <c r="F288" s="13"/>
      <c r="G288" s="14"/>
      <c r="H288" s="20" t="str">
        <f t="shared" si="4"/>
        <v/>
      </c>
      <c r="I288" s="12"/>
      <c r="J288" s="12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spans="2:27" ht="21.75" customHeight="1" x14ac:dyDescent="0.25">
      <c r="B289" s="12"/>
      <c r="C289" s="15"/>
      <c r="D289" s="12"/>
      <c r="E289" s="10" t="str">
        <f>IF(D289="","",IFERROR(VLOOKUP(D289,Productos!$B$5:$J$504,2,FALSE()),"Revisar código"))</f>
        <v/>
      </c>
      <c r="F289" s="13"/>
      <c r="G289" s="14"/>
      <c r="H289" s="20" t="str">
        <f t="shared" si="4"/>
        <v/>
      </c>
      <c r="I289" s="12"/>
      <c r="J289" s="12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spans="2:27" ht="21.75" customHeight="1" x14ac:dyDescent="0.25">
      <c r="B290" s="12"/>
      <c r="C290" s="15"/>
      <c r="D290" s="12"/>
      <c r="E290" s="10" t="str">
        <f>IF(D290="","",IFERROR(VLOOKUP(D290,Productos!$B$5:$J$504,2,FALSE()),"Revisar código"))</f>
        <v/>
      </c>
      <c r="F290" s="13"/>
      <c r="G290" s="14"/>
      <c r="H290" s="20" t="str">
        <f t="shared" si="4"/>
        <v/>
      </c>
      <c r="I290" s="12"/>
      <c r="J290" s="12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spans="2:27" ht="21.75" customHeight="1" x14ac:dyDescent="0.25">
      <c r="B291" s="12"/>
      <c r="C291" s="15"/>
      <c r="D291" s="12"/>
      <c r="E291" s="10" t="str">
        <f>IF(D291="","",IFERROR(VLOOKUP(D291,Productos!$B$5:$J$504,2,FALSE()),"Revisar código"))</f>
        <v/>
      </c>
      <c r="F291" s="13"/>
      <c r="G291" s="14"/>
      <c r="H291" s="20" t="str">
        <f t="shared" si="4"/>
        <v/>
      </c>
      <c r="I291" s="12"/>
      <c r="J291" s="12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spans="2:27" ht="21.75" customHeight="1" x14ac:dyDescent="0.25">
      <c r="B292" s="12"/>
      <c r="C292" s="15"/>
      <c r="D292" s="12"/>
      <c r="E292" s="10" t="str">
        <f>IF(D292="","",IFERROR(VLOOKUP(D292,Productos!$B$5:$J$504,2,FALSE()),"Revisar código"))</f>
        <v/>
      </c>
      <c r="F292" s="13"/>
      <c r="G292" s="14"/>
      <c r="H292" s="20" t="str">
        <f t="shared" si="4"/>
        <v/>
      </c>
      <c r="I292" s="12"/>
      <c r="J292" s="12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spans="2:27" ht="21.75" customHeight="1" x14ac:dyDescent="0.25">
      <c r="B293" s="12"/>
      <c r="C293" s="15"/>
      <c r="D293" s="12"/>
      <c r="E293" s="10" t="str">
        <f>IF(D293="","",IFERROR(VLOOKUP(D293,Productos!$B$5:$J$504,2,FALSE()),"Revisar código"))</f>
        <v/>
      </c>
      <c r="F293" s="13"/>
      <c r="G293" s="14"/>
      <c r="H293" s="20" t="str">
        <f t="shared" si="4"/>
        <v/>
      </c>
      <c r="I293" s="12"/>
      <c r="J293" s="12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spans="2:27" ht="21.75" customHeight="1" x14ac:dyDescent="0.25">
      <c r="B294" s="12"/>
      <c r="C294" s="15"/>
      <c r="D294" s="12"/>
      <c r="E294" s="10" t="str">
        <f>IF(D294="","",IFERROR(VLOOKUP(D294,Productos!$B$5:$J$504,2,FALSE()),"Revisar código"))</f>
        <v/>
      </c>
      <c r="F294" s="13"/>
      <c r="G294" s="14"/>
      <c r="H294" s="20" t="str">
        <f t="shared" si="4"/>
        <v/>
      </c>
      <c r="I294" s="12"/>
      <c r="J294" s="12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spans="2:27" ht="21.75" customHeight="1" x14ac:dyDescent="0.25">
      <c r="B295" s="12"/>
      <c r="C295" s="15"/>
      <c r="D295" s="12"/>
      <c r="E295" s="10" t="str">
        <f>IF(D295="","",IFERROR(VLOOKUP(D295,Productos!$B$5:$J$504,2,FALSE()),"Revisar código"))</f>
        <v/>
      </c>
      <c r="F295" s="13"/>
      <c r="G295" s="14"/>
      <c r="H295" s="20" t="str">
        <f t="shared" si="4"/>
        <v/>
      </c>
      <c r="I295" s="12"/>
      <c r="J295" s="12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spans="2:27" ht="21.75" customHeight="1" x14ac:dyDescent="0.25">
      <c r="B296" s="12"/>
      <c r="C296" s="15"/>
      <c r="D296" s="12"/>
      <c r="E296" s="10" t="str">
        <f>IF(D296="","",IFERROR(VLOOKUP(D296,Productos!$B$5:$J$504,2,FALSE()),"Revisar código"))</f>
        <v/>
      </c>
      <c r="F296" s="13"/>
      <c r="G296" s="14"/>
      <c r="H296" s="20" t="str">
        <f t="shared" si="4"/>
        <v/>
      </c>
      <c r="I296" s="12"/>
      <c r="J296" s="12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spans="2:27" ht="21.75" customHeight="1" x14ac:dyDescent="0.25">
      <c r="B297" s="12"/>
      <c r="C297" s="15"/>
      <c r="D297" s="12"/>
      <c r="E297" s="10" t="str">
        <f>IF(D297="","",IFERROR(VLOOKUP(D297,Productos!$B$5:$J$504,2,FALSE()),"Revisar código"))</f>
        <v/>
      </c>
      <c r="F297" s="13"/>
      <c r="G297" s="14"/>
      <c r="H297" s="20" t="str">
        <f t="shared" si="4"/>
        <v/>
      </c>
      <c r="I297" s="12"/>
      <c r="J297" s="12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spans="2:27" ht="21.75" customHeight="1" x14ac:dyDescent="0.25">
      <c r="B298" s="12"/>
      <c r="C298" s="15"/>
      <c r="D298" s="12"/>
      <c r="E298" s="10" t="str">
        <f>IF(D298="","",IFERROR(VLOOKUP(D298,Productos!$B$5:$J$504,2,FALSE()),"Revisar código"))</f>
        <v/>
      </c>
      <c r="F298" s="13"/>
      <c r="G298" s="14"/>
      <c r="H298" s="20" t="str">
        <f t="shared" si="4"/>
        <v/>
      </c>
      <c r="I298" s="12"/>
      <c r="J298" s="12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spans="2:27" ht="21.75" customHeight="1" x14ac:dyDescent="0.25">
      <c r="B299" s="12"/>
      <c r="C299" s="15"/>
      <c r="D299" s="12"/>
      <c r="E299" s="10" t="str">
        <f>IF(D299="","",IFERROR(VLOOKUP(D299,Productos!$B$5:$J$504,2,FALSE()),"Revisar código"))</f>
        <v/>
      </c>
      <c r="F299" s="13"/>
      <c r="G299" s="14"/>
      <c r="H299" s="20" t="str">
        <f t="shared" si="4"/>
        <v/>
      </c>
      <c r="I299" s="12"/>
      <c r="J299" s="12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spans="2:27" ht="21.75" customHeight="1" x14ac:dyDescent="0.25">
      <c r="B300" s="12"/>
      <c r="C300" s="15"/>
      <c r="D300" s="12"/>
      <c r="E300" s="10" t="str">
        <f>IF(D300="","",IFERROR(VLOOKUP(D300,Productos!$B$5:$J$504,2,FALSE()),"Revisar código"))</f>
        <v/>
      </c>
      <c r="F300" s="13"/>
      <c r="G300" s="14"/>
      <c r="H300" s="20" t="str">
        <f t="shared" si="4"/>
        <v/>
      </c>
      <c r="I300" s="12"/>
      <c r="J300" s="12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spans="2:27" ht="21.75" customHeight="1" x14ac:dyDescent="0.25">
      <c r="B301" s="12"/>
      <c r="C301" s="15"/>
      <c r="D301" s="12"/>
      <c r="E301" s="10" t="str">
        <f>IF(D301="","",IFERROR(VLOOKUP(D301,Productos!$B$5:$J$504,2,FALSE()),"Revisar código"))</f>
        <v/>
      </c>
      <c r="F301" s="13"/>
      <c r="G301" s="14"/>
      <c r="H301" s="20" t="str">
        <f t="shared" si="4"/>
        <v/>
      </c>
      <c r="I301" s="12"/>
      <c r="J301" s="12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spans="2:27" ht="21.75" customHeight="1" x14ac:dyDescent="0.25">
      <c r="B302" s="12"/>
      <c r="C302" s="15"/>
      <c r="D302" s="12"/>
      <c r="E302" s="10" t="str">
        <f>IF(D302="","",IFERROR(VLOOKUP(D302,Productos!$B$5:$J$504,2,FALSE()),"Revisar código"))</f>
        <v/>
      </c>
      <c r="F302" s="13"/>
      <c r="G302" s="14"/>
      <c r="H302" s="20" t="str">
        <f t="shared" si="4"/>
        <v/>
      </c>
      <c r="I302" s="12"/>
      <c r="J302" s="12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spans="2:27" ht="21.75" customHeight="1" x14ac:dyDescent="0.25">
      <c r="B303" s="12"/>
      <c r="C303" s="15"/>
      <c r="D303" s="12"/>
      <c r="E303" s="10" t="str">
        <f>IF(D303="","",IFERROR(VLOOKUP(D303,Productos!$B$5:$J$504,2,FALSE()),"Revisar código"))</f>
        <v/>
      </c>
      <c r="F303" s="13"/>
      <c r="G303" s="14"/>
      <c r="H303" s="20" t="str">
        <f t="shared" si="4"/>
        <v/>
      </c>
      <c r="I303" s="12"/>
      <c r="J303" s="12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spans="2:27" ht="21.75" customHeight="1" x14ac:dyDescent="0.25">
      <c r="B304" s="12"/>
      <c r="C304" s="15"/>
      <c r="D304" s="12"/>
      <c r="E304" s="10" t="str">
        <f>IF(D304="","",IFERROR(VLOOKUP(D304,Productos!$B$5:$J$504,2,FALSE()),"Revisar código"))</f>
        <v/>
      </c>
      <c r="F304" s="13"/>
      <c r="G304" s="14"/>
      <c r="H304" s="20" t="str">
        <f t="shared" si="4"/>
        <v/>
      </c>
      <c r="I304" s="12"/>
      <c r="J304" s="12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spans="2:27" ht="21.75" customHeight="1" x14ac:dyDescent="0.25">
      <c r="B305" s="12"/>
      <c r="C305" s="15"/>
      <c r="D305" s="12"/>
      <c r="E305" s="10" t="str">
        <f>IF(D305="","",IFERROR(VLOOKUP(D305,Productos!$B$5:$J$504,2,FALSE()),"Revisar código"))</f>
        <v/>
      </c>
      <c r="F305" s="13"/>
      <c r="G305" s="14"/>
      <c r="H305" s="20" t="str">
        <f t="shared" si="4"/>
        <v/>
      </c>
      <c r="I305" s="12"/>
      <c r="J305" s="12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spans="2:27" ht="21.75" customHeight="1" x14ac:dyDescent="0.25">
      <c r="B306" s="12"/>
      <c r="C306" s="15"/>
      <c r="D306" s="12"/>
      <c r="E306" s="10" t="str">
        <f>IF(D306="","",IFERROR(VLOOKUP(D306,Productos!$B$5:$J$504,2,FALSE()),"Revisar código"))</f>
        <v/>
      </c>
      <c r="F306" s="13"/>
      <c r="G306" s="14"/>
      <c r="H306" s="20" t="str">
        <f t="shared" si="4"/>
        <v/>
      </c>
      <c r="I306" s="12"/>
      <c r="J306" s="12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spans="2:27" ht="21.75" customHeight="1" x14ac:dyDescent="0.25">
      <c r="B307" s="12"/>
      <c r="C307" s="15"/>
      <c r="D307" s="12"/>
      <c r="E307" s="10" t="str">
        <f>IF(D307="","",IFERROR(VLOOKUP(D307,Productos!$B$5:$J$504,2,FALSE()),"Revisar código"))</f>
        <v/>
      </c>
      <c r="F307" s="13"/>
      <c r="G307" s="14"/>
      <c r="H307" s="20" t="str">
        <f t="shared" si="4"/>
        <v/>
      </c>
      <c r="I307" s="12"/>
      <c r="J307" s="12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spans="2:27" ht="21.75" customHeight="1" x14ac:dyDescent="0.25">
      <c r="B308" s="12"/>
      <c r="C308" s="15"/>
      <c r="D308" s="12"/>
      <c r="E308" s="10" t="str">
        <f>IF(D308="","",IFERROR(VLOOKUP(D308,Productos!$B$5:$J$504,2,FALSE()),"Revisar código"))</f>
        <v/>
      </c>
      <c r="F308" s="13"/>
      <c r="G308" s="14"/>
      <c r="H308" s="20" t="str">
        <f t="shared" si="4"/>
        <v/>
      </c>
      <c r="I308" s="12"/>
      <c r="J308" s="12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spans="2:27" ht="21.75" customHeight="1" x14ac:dyDescent="0.25">
      <c r="B309" s="12"/>
      <c r="C309" s="15"/>
      <c r="D309" s="12"/>
      <c r="E309" s="10" t="str">
        <f>IF(D309="","",IFERROR(VLOOKUP(D309,Productos!$B$5:$J$504,2,FALSE()),"Revisar código"))</f>
        <v/>
      </c>
      <c r="F309" s="13"/>
      <c r="G309" s="14"/>
      <c r="H309" s="20" t="str">
        <f t="shared" si="4"/>
        <v/>
      </c>
      <c r="I309" s="12"/>
      <c r="J309" s="12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spans="2:27" ht="21.75" customHeight="1" x14ac:dyDescent="0.25">
      <c r="B310" s="12"/>
      <c r="C310" s="15"/>
      <c r="D310" s="12"/>
      <c r="E310" s="10" t="str">
        <f>IF(D310="","",IFERROR(VLOOKUP(D310,Productos!$B$5:$J$504,2,FALSE()),"Revisar código"))</f>
        <v/>
      </c>
      <c r="F310" s="13"/>
      <c r="G310" s="14"/>
      <c r="H310" s="20" t="str">
        <f t="shared" si="4"/>
        <v/>
      </c>
      <c r="I310" s="12"/>
      <c r="J310" s="12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spans="2:27" ht="21.75" customHeight="1" x14ac:dyDescent="0.25">
      <c r="B311" s="12"/>
      <c r="C311" s="15"/>
      <c r="D311" s="12"/>
      <c r="E311" s="10" t="str">
        <f>IF(D311="","",IFERROR(VLOOKUP(D311,Productos!$B$5:$J$504,2,FALSE()),"Revisar código"))</f>
        <v/>
      </c>
      <c r="F311" s="13"/>
      <c r="G311" s="14"/>
      <c r="H311" s="20" t="str">
        <f t="shared" si="4"/>
        <v/>
      </c>
      <c r="I311" s="12"/>
      <c r="J311" s="12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spans="2:27" ht="21.75" customHeight="1" x14ac:dyDescent="0.25">
      <c r="B312" s="12"/>
      <c r="C312" s="15"/>
      <c r="D312" s="12"/>
      <c r="E312" s="10" t="str">
        <f>IF(D312="","",IFERROR(VLOOKUP(D312,Productos!$B$5:$J$504,2,FALSE()),"Revisar código"))</f>
        <v/>
      </c>
      <c r="F312" s="13"/>
      <c r="G312" s="14"/>
      <c r="H312" s="20" t="str">
        <f t="shared" si="4"/>
        <v/>
      </c>
      <c r="I312" s="12"/>
      <c r="J312" s="12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spans="2:27" ht="21.75" customHeight="1" x14ac:dyDescent="0.25">
      <c r="B313" s="12"/>
      <c r="C313" s="15"/>
      <c r="D313" s="12"/>
      <c r="E313" s="10" t="str">
        <f>IF(D313="","",IFERROR(VLOOKUP(D313,Productos!$B$5:$J$504,2,FALSE()),"Revisar código"))</f>
        <v/>
      </c>
      <c r="F313" s="13"/>
      <c r="G313" s="14"/>
      <c r="H313" s="20" t="str">
        <f t="shared" si="4"/>
        <v/>
      </c>
      <c r="I313" s="12"/>
      <c r="J313" s="12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spans="2:27" ht="21.75" customHeight="1" x14ac:dyDescent="0.25">
      <c r="B314" s="12"/>
      <c r="C314" s="15"/>
      <c r="D314" s="12"/>
      <c r="E314" s="10" t="str">
        <f>IF(D314="","",IFERROR(VLOOKUP(D314,Productos!$B$5:$J$504,2,FALSE()),"Revisar código"))</f>
        <v/>
      </c>
      <c r="F314" s="13"/>
      <c r="G314" s="14"/>
      <c r="H314" s="20" t="str">
        <f t="shared" si="4"/>
        <v/>
      </c>
      <c r="I314" s="12"/>
      <c r="J314" s="12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spans="2:27" ht="21.75" customHeight="1" x14ac:dyDescent="0.25">
      <c r="B315" s="12"/>
      <c r="C315" s="15"/>
      <c r="D315" s="12"/>
      <c r="E315" s="10" t="str">
        <f>IF(D315="","",IFERROR(VLOOKUP(D315,Productos!$B$5:$J$504,2,FALSE()),"Revisar código"))</f>
        <v/>
      </c>
      <c r="F315" s="13"/>
      <c r="G315" s="14"/>
      <c r="H315" s="20" t="str">
        <f t="shared" si="4"/>
        <v/>
      </c>
      <c r="I315" s="12"/>
      <c r="J315" s="12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spans="2:27" ht="21.75" customHeight="1" x14ac:dyDescent="0.25">
      <c r="B316" s="12"/>
      <c r="C316" s="15"/>
      <c r="D316" s="12"/>
      <c r="E316" s="10" t="str">
        <f>IF(D316="","",IFERROR(VLOOKUP(D316,Productos!$B$5:$J$504,2,FALSE()),"Revisar código"))</f>
        <v/>
      </c>
      <c r="F316" s="13"/>
      <c r="G316" s="14"/>
      <c r="H316" s="20" t="str">
        <f t="shared" si="4"/>
        <v/>
      </c>
      <c r="I316" s="12"/>
      <c r="J316" s="12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spans="2:27" ht="21.75" customHeight="1" x14ac:dyDescent="0.25">
      <c r="B317" s="12"/>
      <c r="C317" s="15"/>
      <c r="D317" s="12"/>
      <c r="E317" s="10" t="str">
        <f>IF(D317="","",IFERROR(VLOOKUP(D317,Productos!$B$5:$J$504,2,FALSE()),"Revisar código"))</f>
        <v/>
      </c>
      <c r="F317" s="13"/>
      <c r="G317" s="14"/>
      <c r="H317" s="20" t="str">
        <f t="shared" si="4"/>
        <v/>
      </c>
      <c r="I317" s="12"/>
      <c r="J317" s="12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spans="2:27" ht="21.75" customHeight="1" x14ac:dyDescent="0.25">
      <c r="B318" s="12"/>
      <c r="C318" s="15"/>
      <c r="D318" s="12"/>
      <c r="E318" s="10" t="str">
        <f>IF(D318="","",IFERROR(VLOOKUP(D318,Productos!$B$5:$J$504,2,FALSE()),"Revisar código"))</f>
        <v/>
      </c>
      <c r="F318" s="13"/>
      <c r="G318" s="14"/>
      <c r="H318" s="20" t="str">
        <f t="shared" si="4"/>
        <v/>
      </c>
      <c r="I318" s="12"/>
      <c r="J318" s="12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spans="2:27" ht="21.75" customHeight="1" x14ac:dyDescent="0.25">
      <c r="B319" s="12"/>
      <c r="C319" s="15"/>
      <c r="D319" s="12"/>
      <c r="E319" s="10" t="str">
        <f>IF(D319="","",IFERROR(VLOOKUP(D319,Productos!$B$5:$J$504,2,FALSE()),"Revisar código"))</f>
        <v/>
      </c>
      <c r="F319" s="13"/>
      <c r="G319" s="14"/>
      <c r="H319" s="20" t="str">
        <f t="shared" si="4"/>
        <v/>
      </c>
      <c r="I319" s="12"/>
      <c r="J319" s="12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spans="2:27" ht="21.75" customHeight="1" x14ac:dyDescent="0.25">
      <c r="B320" s="12"/>
      <c r="C320" s="15"/>
      <c r="D320" s="12"/>
      <c r="E320" s="10" t="str">
        <f>IF(D320="","",IFERROR(VLOOKUP(D320,Productos!$B$5:$J$504,2,FALSE()),"Revisar código"))</f>
        <v/>
      </c>
      <c r="F320" s="13"/>
      <c r="G320" s="14"/>
      <c r="H320" s="20" t="str">
        <f t="shared" si="4"/>
        <v/>
      </c>
      <c r="I320" s="12"/>
      <c r="J320" s="12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spans="2:27" ht="21.75" customHeight="1" x14ac:dyDescent="0.25">
      <c r="B321" s="12"/>
      <c r="C321" s="15"/>
      <c r="D321" s="12"/>
      <c r="E321" s="10" t="str">
        <f>IF(D321="","",IFERROR(VLOOKUP(D321,Productos!$B$5:$J$504,2,FALSE()),"Revisar código"))</f>
        <v/>
      </c>
      <c r="F321" s="13"/>
      <c r="G321" s="14"/>
      <c r="H321" s="20" t="str">
        <f t="shared" si="4"/>
        <v/>
      </c>
      <c r="I321" s="12"/>
      <c r="J321" s="12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spans="2:27" ht="21.75" customHeight="1" x14ac:dyDescent="0.25">
      <c r="B322" s="12"/>
      <c r="C322" s="15"/>
      <c r="D322" s="12"/>
      <c r="E322" s="10" t="str">
        <f>IF(D322="","",IFERROR(VLOOKUP(D322,Productos!$B$5:$J$504,2,FALSE()),"Revisar código"))</f>
        <v/>
      </c>
      <c r="F322" s="13"/>
      <c r="G322" s="14"/>
      <c r="H322" s="20" t="str">
        <f t="shared" si="4"/>
        <v/>
      </c>
      <c r="I322" s="12"/>
      <c r="J322" s="12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spans="2:27" ht="21.75" customHeight="1" x14ac:dyDescent="0.25">
      <c r="B323" s="12"/>
      <c r="C323" s="15"/>
      <c r="D323" s="12"/>
      <c r="E323" s="10" t="str">
        <f>IF(D323="","",IFERROR(VLOOKUP(D323,Productos!$B$5:$J$504,2,FALSE()),"Revisar código"))</f>
        <v/>
      </c>
      <c r="F323" s="13"/>
      <c r="G323" s="14"/>
      <c r="H323" s="20" t="str">
        <f t="shared" si="4"/>
        <v/>
      </c>
      <c r="I323" s="12"/>
      <c r="J323" s="12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spans="2:27" ht="21.75" customHeight="1" x14ac:dyDescent="0.25">
      <c r="B324" s="12"/>
      <c r="C324" s="15"/>
      <c r="D324" s="12"/>
      <c r="E324" s="10" t="str">
        <f>IF(D324="","",IFERROR(VLOOKUP(D324,Productos!$B$5:$J$504,2,FALSE()),"Revisar código"))</f>
        <v/>
      </c>
      <c r="F324" s="13"/>
      <c r="G324" s="14"/>
      <c r="H324" s="20" t="str">
        <f t="shared" si="4"/>
        <v/>
      </c>
      <c r="I324" s="12"/>
      <c r="J324" s="12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spans="2:27" ht="21.75" customHeight="1" x14ac:dyDescent="0.25">
      <c r="B325" s="12"/>
      <c r="C325" s="15"/>
      <c r="D325" s="12"/>
      <c r="E325" s="10" t="str">
        <f>IF(D325="","",IFERROR(VLOOKUP(D325,Productos!$B$5:$J$504,2,FALSE()),"Revisar código"))</f>
        <v/>
      </c>
      <c r="F325" s="13"/>
      <c r="G325" s="14"/>
      <c r="H325" s="20" t="str">
        <f t="shared" ref="H325:H388" si="5">IF(OR(F325="",G325=""),"",F325*G325)</f>
        <v/>
      </c>
      <c r="I325" s="12"/>
      <c r="J325" s="12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spans="2:27" ht="21.75" customHeight="1" x14ac:dyDescent="0.25">
      <c r="B326" s="12"/>
      <c r="C326" s="15"/>
      <c r="D326" s="12"/>
      <c r="E326" s="10" t="str">
        <f>IF(D326="","",IFERROR(VLOOKUP(D326,Productos!$B$5:$J$504,2,FALSE()),"Revisar código"))</f>
        <v/>
      </c>
      <c r="F326" s="13"/>
      <c r="G326" s="14"/>
      <c r="H326" s="20" t="str">
        <f t="shared" si="5"/>
        <v/>
      </c>
      <c r="I326" s="12"/>
      <c r="J326" s="12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spans="2:27" ht="21.75" customHeight="1" x14ac:dyDescent="0.25">
      <c r="B327" s="12"/>
      <c r="C327" s="15"/>
      <c r="D327" s="12"/>
      <c r="E327" s="10" t="str">
        <f>IF(D327="","",IFERROR(VLOOKUP(D327,Productos!$B$5:$J$504,2,FALSE()),"Revisar código"))</f>
        <v/>
      </c>
      <c r="F327" s="13"/>
      <c r="G327" s="14"/>
      <c r="H327" s="20" t="str">
        <f t="shared" si="5"/>
        <v/>
      </c>
      <c r="I327" s="12"/>
      <c r="J327" s="12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spans="2:27" ht="21.75" customHeight="1" x14ac:dyDescent="0.25">
      <c r="B328" s="12"/>
      <c r="C328" s="15"/>
      <c r="D328" s="12"/>
      <c r="E328" s="10" t="str">
        <f>IF(D328="","",IFERROR(VLOOKUP(D328,Productos!$B$5:$J$504,2,FALSE()),"Revisar código"))</f>
        <v/>
      </c>
      <c r="F328" s="13"/>
      <c r="G328" s="14"/>
      <c r="H328" s="20" t="str">
        <f t="shared" si="5"/>
        <v/>
      </c>
      <c r="I328" s="12"/>
      <c r="J328" s="12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spans="2:27" ht="21.75" customHeight="1" x14ac:dyDescent="0.25">
      <c r="B329" s="12"/>
      <c r="C329" s="15"/>
      <c r="D329" s="12"/>
      <c r="E329" s="10" t="str">
        <f>IF(D329="","",IFERROR(VLOOKUP(D329,Productos!$B$5:$J$504,2,FALSE()),"Revisar código"))</f>
        <v/>
      </c>
      <c r="F329" s="13"/>
      <c r="G329" s="14"/>
      <c r="H329" s="20" t="str">
        <f t="shared" si="5"/>
        <v/>
      </c>
      <c r="I329" s="12"/>
      <c r="J329" s="12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spans="2:27" ht="21.75" customHeight="1" x14ac:dyDescent="0.25">
      <c r="B330" s="12"/>
      <c r="C330" s="15"/>
      <c r="D330" s="12"/>
      <c r="E330" s="10" t="str">
        <f>IF(D330="","",IFERROR(VLOOKUP(D330,Productos!$B$5:$J$504,2,FALSE()),"Revisar código"))</f>
        <v/>
      </c>
      <c r="F330" s="13"/>
      <c r="G330" s="14"/>
      <c r="H330" s="20" t="str">
        <f t="shared" si="5"/>
        <v/>
      </c>
      <c r="I330" s="12"/>
      <c r="J330" s="12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spans="2:27" ht="21.75" customHeight="1" x14ac:dyDescent="0.25">
      <c r="B331" s="12"/>
      <c r="C331" s="15"/>
      <c r="D331" s="12"/>
      <c r="E331" s="10" t="str">
        <f>IF(D331="","",IFERROR(VLOOKUP(D331,Productos!$B$5:$J$504,2,FALSE()),"Revisar código"))</f>
        <v/>
      </c>
      <c r="F331" s="13"/>
      <c r="G331" s="14"/>
      <c r="H331" s="20" t="str">
        <f t="shared" si="5"/>
        <v/>
      </c>
      <c r="I331" s="12"/>
      <c r="J331" s="12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spans="2:27" ht="21.75" customHeight="1" x14ac:dyDescent="0.25">
      <c r="B332" s="12"/>
      <c r="C332" s="15"/>
      <c r="D332" s="12"/>
      <c r="E332" s="10" t="str">
        <f>IF(D332="","",IFERROR(VLOOKUP(D332,Productos!$B$5:$J$504,2,FALSE()),"Revisar código"))</f>
        <v/>
      </c>
      <c r="F332" s="13"/>
      <c r="G332" s="14"/>
      <c r="H332" s="20" t="str">
        <f t="shared" si="5"/>
        <v/>
      </c>
      <c r="I332" s="12"/>
      <c r="J332" s="12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spans="2:27" ht="21.75" customHeight="1" x14ac:dyDescent="0.25">
      <c r="B333" s="12"/>
      <c r="C333" s="15"/>
      <c r="D333" s="12"/>
      <c r="E333" s="10" t="str">
        <f>IF(D333="","",IFERROR(VLOOKUP(D333,Productos!$B$5:$J$504,2,FALSE()),"Revisar código"))</f>
        <v/>
      </c>
      <c r="F333" s="13"/>
      <c r="G333" s="14"/>
      <c r="H333" s="20" t="str">
        <f t="shared" si="5"/>
        <v/>
      </c>
      <c r="I333" s="12"/>
      <c r="J333" s="12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spans="2:27" ht="21.75" customHeight="1" x14ac:dyDescent="0.25">
      <c r="B334" s="12"/>
      <c r="C334" s="15"/>
      <c r="D334" s="12"/>
      <c r="E334" s="10" t="str">
        <f>IF(D334="","",IFERROR(VLOOKUP(D334,Productos!$B$5:$J$504,2,FALSE()),"Revisar código"))</f>
        <v/>
      </c>
      <c r="F334" s="13"/>
      <c r="G334" s="14"/>
      <c r="H334" s="20" t="str">
        <f t="shared" si="5"/>
        <v/>
      </c>
      <c r="I334" s="12"/>
      <c r="J334" s="12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spans="2:27" ht="21.75" customHeight="1" x14ac:dyDescent="0.25">
      <c r="B335" s="12"/>
      <c r="C335" s="15"/>
      <c r="D335" s="12"/>
      <c r="E335" s="10" t="str">
        <f>IF(D335="","",IFERROR(VLOOKUP(D335,Productos!$B$5:$J$504,2,FALSE()),"Revisar código"))</f>
        <v/>
      </c>
      <c r="F335" s="13"/>
      <c r="G335" s="14"/>
      <c r="H335" s="20" t="str">
        <f t="shared" si="5"/>
        <v/>
      </c>
      <c r="I335" s="12"/>
      <c r="J335" s="12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spans="2:27" ht="21.75" customHeight="1" x14ac:dyDescent="0.25">
      <c r="B336" s="12"/>
      <c r="C336" s="15"/>
      <c r="D336" s="12"/>
      <c r="E336" s="10" t="str">
        <f>IF(D336="","",IFERROR(VLOOKUP(D336,Productos!$B$5:$J$504,2,FALSE()),"Revisar código"))</f>
        <v/>
      </c>
      <c r="F336" s="13"/>
      <c r="G336" s="14"/>
      <c r="H336" s="20" t="str">
        <f t="shared" si="5"/>
        <v/>
      </c>
      <c r="I336" s="12"/>
      <c r="J336" s="12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spans="2:27" ht="21.75" customHeight="1" x14ac:dyDescent="0.25">
      <c r="B337" s="12"/>
      <c r="C337" s="15"/>
      <c r="D337" s="12"/>
      <c r="E337" s="10" t="str">
        <f>IF(D337="","",IFERROR(VLOOKUP(D337,Productos!$B$5:$J$504,2,FALSE()),"Revisar código"))</f>
        <v/>
      </c>
      <c r="F337" s="13"/>
      <c r="G337" s="14"/>
      <c r="H337" s="20" t="str">
        <f t="shared" si="5"/>
        <v/>
      </c>
      <c r="I337" s="12"/>
      <c r="J337" s="12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spans="2:27" ht="21.75" customHeight="1" x14ac:dyDescent="0.25">
      <c r="B338" s="12"/>
      <c r="C338" s="15"/>
      <c r="D338" s="12"/>
      <c r="E338" s="10" t="str">
        <f>IF(D338="","",IFERROR(VLOOKUP(D338,Productos!$B$5:$J$504,2,FALSE()),"Revisar código"))</f>
        <v/>
      </c>
      <c r="F338" s="13"/>
      <c r="G338" s="14"/>
      <c r="H338" s="20" t="str">
        <f t="shared" si="5"/>
        <v/>
      </c>
      <c r="I338" s="12"/>
      <c r="J338" s="12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spans="2:27" ht="21.75" customHeight="1" x14ac:dyDescent="0.25">
      <c r="B339" s="12"/>
      <c r="C339" s="15"/>
      <c r="D339" s="12"/>
      <c r="E339" s="10" t="str">
        <f>IF(D339="","",IFERROR(VLOOKUP(D339,Productos!$B$5:$J$504,2,FALSE()),"Revisar código"))</f>
        <v/>
      </c>
      <c r="F339" s="13"/>
      <c r="G339" s="14"/>
      <c r="H339" s="20" t="str">
        <f t="shared" si="5"/>
        <v/>
      </c>
      <c r="I339" s="12"/>
      <c r="J339" s="12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spans="2:27" ht="21.75" customHeight="1" x14ac:dyDescent="0.25">
      <c r="B340" s="12"/>
      <c r="C340" s="15"/>
      <c r="D340" s="12"/>
      <c r="E340" s="10" t="str">
        <f>IF(D340="","",IFERROR(VLOOKUP(D340,Productos!$B$5:$J$504,2,FALSE()),"Revisar código"))</f>
        <v/>
      </c>
      <c r="F340" s="13"/>
      <c r="G340" s="14"/>
      <c r="H340" s="20" t="str">
        <f t="shared" si="5"/>
        <v/>
      </c>
      <c r="I340" s="12"/>
      <c r="J340" s="12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spans="2:27" ht="21.75" customHeight="1" x14ac:dyDescent="0.25">
      <c r="B341" s="12"/>
      <c r="C341" s="15"/>
      <c r="D341" s="12"/>
      <c r="E341" s="10" t="str">
        <f>IF(D341="","",IFERROR(VLOOKUP(D341,Productos!$B$5:$J$504,2,FALSE()),"Revisar código"))</f>
        <v/>
      </c>
      <c r="F341" s="13"/>
      <c r="G341" s="14"/>
      <c r="H341" s="20" t="str">
        <f t="shared" si="5"/>
        <v/>
      </c>
      <c r="I341" s="12"/>
      <c r="J341" s="12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spans="2:27" ht="21.75" customHeight="1" x14ac:dyDescent="0.25">
      <c r="B342" s="12"/>
      <c r="C342" s="15"/>
      <c r="D342" s="12"/>
      <c r="E342" s="10" t="str">
        <f>IF(D342="","",IFERROR(VLOOKUP(D342,Productos!$B$5:$J$504,2,FALSE()),"Revisar código"))</f>
        <v/>
      </c>
      <c r="F342" s="13"/>
      <c r="G342" s="14"/>
      <c r="H342" s="20" t="str">
        <f t="shared" si="5"/>
        <v/>
      </c>
      <c r="I342" s="12"/>
      <c r="J342" s="12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spans="2:27" ht="21.75" customHeight="1" x14ac:dyDescent="0.25">
      <c r="B343" s="12"/>
      <c r="C343" s="15"/>
      <c r="D343" s="12"/>
      <c r="E343" s="10" t="str">
        <f>IF(D343="","",IFERROR(VLOOKUP(D343,Productos!$B$5:$J$504,2,FALSE()),"Revisar código"))</f>
        <v/>
      </c>
      <c r="F343" s="13"/>
      <c r="G343" s="14"/>
      <c r="H343" s="20" t="str">
        <f t="shared" si="5"/>
        <v/>
      </c>
      <c r="I343" s="12"/>
      <c r="J343" s="12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spans="2:27" ht="21.75" customHeight="1" x14ac:dyDescent="0.25">
      <c r="B344" s="12"/>
      <c r="C344" s="15"/>
      <c r="D344" s="12"/>
      <c r="E344" s="10" t="str">
        <f>IF(D344="","",IFERROR(VLOOKUP(D344,Productos!$B$5:$J$504,2,FALSE()),"Revisar código"))</f>
        <v/>
      </c>
      <c r="F344" s="13"/>
      <c r="G344" s="14"/>
      <c r="H344" s="20" t="str">
        <f t="shared" si="5"/>
        <v/>
      </c>
      <c r="I344" s="12"/>
      <c r="J344" s="12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spans="2:27" ht="21.75" customHeight="1" x14ac:dyDescent="0.25">
      <c r="B345" s="12"/>
      <c r="C345" s="15"/>
      <c r="D345" s="12"/>
      <c r="E345" s="10" t="str">
        <f>IF(D345="","",IFERROR(VLOOKUP(D345,Productos!$B$5:$J$504,2,FALSE()),"Revisar código"))</f>
        <v/>
      </c>
      <c r="F345" s="13"/>
      <c r="G345" s="14"/>
      <c r="H345" s="20" t="str">
        <f t="shared" si="5"/>
        <v/>
      </c>
      <c r="I345" s="12"/>
      <c r="J345" s="12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spans="2:27" ht="21.75" customHeight="1" x14ac:dyDescent="0.25">
      <c r="B346" s="12"/>
      <c r="C346" s="15"/>
      <c r="D346" s="12"/>
      <c r="E346" s="10" t="str">
        <f>IF(D346="","",IFERROR(VLOOKUP(D346,Productos!$B$5:$J$504,2,FALSE()),"Revisar código"))</f>
        <v/>
      </c>
      <c r="F346" s="13"/>
      <c r="G346" s="14"/>
      <c r="H346" s="20" t="str">
        <f t="shared" si="5"/>
        <v/>
      </c>
      <c r="I346" s="12"/>
      <c r="J346" s="12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spans="2:27" ht="21.75" customHeight="1" x14ac:dyDescent="0.25">
      <c r="B347" s="12"/>
      <c r="C347" s="15"/>
      <c r="D347" s="12"/>
      <c r="E347" s="10" t="str">
        <f>IF(D347="","",IFERROR(VLOOKUP(D347,Productos!$B$5:$J$504,2,FALSE()),"Revisar código"))</f>
        <v/>
      </c>
      <c r="F347" s="13"/>
      <c r="G347" s="14"/>
      <c r="H347" s="20" t="str">
        <f t="shared" si="5"/>
        <v/>
      </c>
      <c r="I347" s="12"/>
      <c r="J347" s="12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spans="2:27" ht="21.75" customHeight="1" x14ac:dyDescent="0.25">
      <c r="B348" s="12"/>
      <c r="C348" s="15"/>
      <c r="D348" s="12"/>
      <c r="E348" s="10" t="str">
        <f>IF(D348="","",IFERROR(VLOOKUP(D348,Productos!$B$5:$J$504,2,FALSE()),"Revisar código"))</f>
        <v/>
      </c>
      <c r="F348" s="13"/>
      <c r="G348" s="14"/>
      <c r="H348" s="20" t="str">
        <f t="shared" si="5"/>
        <v/>
      </c>
      <c r="I348" s="12"/>
      <c r="J348" s="12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spans="2:27" ht="21.75" customHeight="1" x14ac:dyDescent="0.25">
      <c r="B349" s="12"/>
      <c r="C349" s="15"/>
      <c r="D349" s="12"/>
      <c r="E349" s="10" t="str">
        <f>IF(D349="","",IFERROR(VLOOKUP(D349,Productos!$B$5:$J$504,2,FALSE()),"Revisar código"))</f>
        <v/>
      </c>
      <c r="F349" s="13"/>
      <c r="G349" s="14"/>
      <c r="H349" s="20" t="str">
        <f t="shared" si="5"/>
        <v/>
      </c>
      <c r="I349" s="12"/>
      <c r="J349" s="12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spans="2:27" ht="21.75" customHeight="1" x14ac:dyDescent="0.25">
      <c r="B350" s="12"/>
      <c r="C350" s="15"/>
      <c r="D350" s="12"/>
      <c r="E350" s="10" t="str">
        <f>IF(D350="","",IFERROR(VLOOKUP(D350,Productos!$B$5:$J$504,2,FALSE()),"Revisar código"))</f>
        <v/>
      </c>
      <c r="F350" s="13"/>
      <c r="G350" s="14"/>
      <c r="H350" s="20" t="str">
        <f t="shared" si="5"/>
        <v/>
      </c>
      <c r="I350" s="12"/>
      <c r="J350" s="12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spans="2:27" ht="21.75" customHeight="1" x14ac:dyDescent="0.25">
      <c r="B351" s="12"/>
      <c r="C351" s="15"/>
      <c r="D351" s="12"/>
      <c r="E351" s="10" t="str">
        <f>IF(D351="","",IFERROR(VLOOKUP(D351,Productos!$B$5:$J$504,2,FALSE()),"Revisar código"))</f>
        <v/>
      </c>
      <c r="F351" s="13"/>
      <c r="G351" s="14"/>
      <c r="H351" s="20" t="str">
        <f t="shared" si="5"/>
        <v/>
      </c>
      <c r="I351" s="12"/>
      <c r="J351" s="12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spans="2:27" ht="21.75" customHeight="1" x14ac:dyDescent="0.25">
      <c r="B352" s="12"/>
      <c r="C352" s="15"/>
      <c r="D352" s="12"/>
      <c r="E352" s="10" t="str">
        <f>IF(D352="","",IFERROR(VLOOKUP(D352,Productos!$B$5:$J$504,2,FALSE()),"Revisar código"))</f>
        <v/>
      </c>
      <c r="F352" s="13"/>
      <c r="G352" s="14"/>
      <c r="H352" s="20" t="str">
        <f t="shared" si="5"/>
        <v/>
      </c>
      <c r="I352" s="12"/>
      <c r="J352" s="12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spans="2:27" ht="21.75" customHeight="1" x14ac:dyDescent="0.25">
      <c r="B353" s="12"/>
      <c r="C353" s="15"/>
      <c r="D353" s="12"/>
      <c r="E353" s="10" t="str">
        <f>IF(D353="","",IFERROR(VLOOKUP(D353,Productos!$B$5:$J$504,2,FALSE()),"Revisar código"))</f>
        <v/>
      </c>
      <c r="F353" s="13"/>
      <c r="G353" s="14"/>
      <c r="H353" s="20" t="str">
        <f t="shared" si="5"/>
        <v/>
      </c>
      <c r="I353" s="12"/>
      <c r="J353" s="12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spans="2:27" ht="21.75" customHeight="1" x14ac:dyDescent="0.25">
      <c r="B354" s="12"/>
      <c r="C354" s="15"/>
      <c r="D354" s="12"/>
      <c r="E354" s="10" t="str">
        <f>IF(D354="","",IFERROR(VLOOKUP(D354,Productos!$B$5:$J$504,2,FALSE()),"Revisar código"))</f>
        <v/>
      </c>
      <c r="F354" s="13"/>
      <c r="G354" s="14"/>
      <c r="H354" s="20" t="str">
        <f t="shared" si="5"/>
        <v/>
      </c>
      <c r="I354" s="12"/>
      <c r="J354" s="12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spans="2:27" ht="21.75" customHeight="1" x14ac:dyDescent="0.25">
      <c r="B355" s="12"/>
      <c r="C355" s="15"/>
      <c r="D355" s="12"/>
      <c r="E355" s="10" t="str">
        <f>IF(D355="","",IFERROR(VLOOKUP(D355,Productos!$B$5:$J$504,2,FALSE()),"Revisar código"))</f>
        <v/>
      </c>
      <c r="F355" s="13"/>
      <c r="G355" s="14"/>
      <c r="H355" s="20" t="str">
        <f t="shared" si="5"/>
        <v/>
      </c>
      <c r="I355" s="12"/>
      <c r="J355" s="12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spans="2:27" ht="21.75" customHeight="1" x14ac:dyDescent="0.25">
      <c r="B356" s="12"/>
      <c r="C356" s="15"/>
      <c r="D356" s="12"/>
      <c r="E356" s="10" t="str">
        <f>IF(D356="","",IFERROR(VLOOKUP(D356,Productos!$B$5:$J$504,2,FALSE()),"Revisar código"))</f>
        <v/>
      </c>
      <c r="F356" s="13"/>
      <c r="G356" s="14"/>
      <c r="H356" s="20" t="str">
        <f t="shared" si="5"/>
        <v/>
      </c>
      <c r="I356" s="12"/>
      <c r="J356" s="12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spans="2:27" ht="21.75" customHeight="1" x14ac:dyDescent="0.25">
      <c r="B357" s="12"/>
      <c r="C357" s="15"/>
      <c r="D357" s="12"/>
      <c r="E357" s="10" t="str">
        <f>IF(D357="","",IFERROR(VLOOKUP(D357,Productos!$B$5:$J$504,2,FALSE()),"Revisar código"))</f>
        <v/>
      </c>
      <c r="F357" s="13"/>
      <c r="G357" s="14"/>
      <c r="H357" s="20" t="str">
        <f t="shared" si="5"/>
        <v/>
      </c>
      <c r="I357" s="12"/>
      <c r="J357" s="12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spans="2:27" ht="21.75" customHeight="1" x14ac:dyDescent="0.25">
      <c r="B358" s="12"/>
      <c r="C358" s="15"/>
      <c r="D358" s="12"/>
      <c r="E358" s="10" t="str">
        <f>IF(D358="","",IFERROR(VLOOKUP(D358,Productos!$B$5:$J$504,2,FALSE()),"Revisar código"))</f>
        <v/>
      </c>
      <c r="F358" s="13"/>
      <c r="G358" s="14"/>
      <c r="H358" s="20" t="str">
        <f t="shared" si="5"/>
        <v/>
      </c>
      <c r="I358" s="12"/>
      <c r="J358" s="12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spans="2:27" ht="21.75" customHeight="1" x14ac:dyDescent="0.25">
      <c r="B359" s="12"/>
      <c r="C359" s="15"/>
      <c r="D359" s="12"/>
      <c r="E359" s="10" t="str">
        <f>IF(D359="","",IFERROR(VLOOKUP(D359,Productos!$B$5:$J$504,2,FALSE()),"Revisar código"))</f>
        <v/>
      </c>
      <c r="F359" s="13"/>
      <c r="G359" s="14"/>
      <c r="H359" s="20" t="str">
        <f t="shared" si="5"/>
        <v/>
      </c>
      <c r="I359" s="12"/>
      <c r="J359" s="12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spans="2:27" ht="21.75" customHeight="1" x14ac:dyDescent="0.25">
      <c r="B360" s="12"/>
      <c r="C360" s="15"/>
      <c r="D360" s="12"/>
      <c r="E360" s="10" t="str">
        <f>IF(D360="","",IFERROR(VLOOKUP(D360,Productos!$B$5:$J$504,2,FALSE()),"Revisar código"))</f>
        <v/>
      </c>
      <c r="F360" s="13"/>
      <c r="G360" s="14"/>
      <c r="H360" s="20" t="str">
        <f t="shared" si="5"/>
        <v/>
      </c>
      <c r="I360" s="12"/>
      <c r="J360" s="12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spans="2:27" ht="21.75" customHeight="1" x14ac:dyDescent="0.25">
      <c r="B361" s="12"/>
      <c r="C361" s="15"/>
      <c r="D361" s="12"/>
      <c r="E361" s="10" t="str">
        <f>IF(D361="","",IFERROR(VLOOKUP(D361,Productos!$B$5:$J$504,2,FALSE()),"Revisar código"))</f>
        <v/>
      </c>
      <c r="F361" s="13"/>
      <c r="G361" s="14"/>
      <c r="H361" s="20" t="str">
        <f t="shared" si="5"/>
        <v/>
      </c>
      <c r="I361" s="12"/>
      <c r="J361" s="12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spans="2:27" ht="21.75" customHeight="1" x14ac:dyDescent="0.25">
      <c r="B362" s="12"/>
      <c r="C362" s="15"/>
      <c r="D362" s="12"/>
      <c r="E362" s="10" t="str">
        <f>IF(D362="","",IFERROR(VLOOKUP(D362,Productos!$B$5:$J$504,2,FALSE()),"Revisar código"))</f>
        <v/>
      </c>
      <c r="F362" s="13"/>
      <c r="G362" s="14"/>
      <c r="H362" s="20" t="str">
        <f t="shared" si="5"/>
        <v/>
      </c>
      <c r="I362" s="12"/>
      <c r="J362" s="12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spans="2:27" ht="21.75" customHeight="1" x14ac:dyDescent="0.25">
      <c r="B363" s="12"/>
      <c r="C363" s="15"/>
      <c r="D363" s="12"/>
      <c r="E363" s="10" t="str">
        <f>IF(D363="","",IFERROR(VLOOKUP(D363,Productos!$B$5:$J$504,2,FALSE()),"Revisar código"))</f>
        <v/>
      </c>
      <c r="F363" s="13"/>
      <c r="G363" s="14"/>
      <c r="H363" s="20" t="str">
        <f t="shared" si="5"/>
        <v/>
      </c>
      <c r="I363" s="12"/>
      <c r="J363" s="12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spans="2:27" ht="21.75" customHeight="1" x14ac:dyDescent="0.25">
      <c r="B364" s="12"/>
      <c r="C364" s="15"/>
      <c r="D364" s="12"/>
      <c r="E364" s="10" t="str">
        <f>IF(D364="","",IFERROR(VLOOKUP(D364,Productos!$B$5:$J$504,2,FALSE()),"Revisar código"))</f>
        <v/>
      </c>
      <c r="F364" s="13"/>
      <c r="G364" s="14"/>
      <c r="H364" s="20" t="str">
        <f t="shared" si="5"/>
        <v/>
      </c>
      <c r="I364" s="12"/>
      <c r="J364" s="12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spans="2:27" ht="21.75" customHeight="1" x14ac:dyDescent="0.25">
      <c r="B365" s="12"/>
      <c r="C365" s="15"/>
      <c r="D365" s="12"/>
      <c r="E365" s="10" t="str">
        <f>IF(D365="","",IFERROR(VLOOKUP(D365,Productos!$B$5:$J$504,2,FALSE()),"Revisar código"))</f>
        <v/>
      </c>
      <c r="F365" s="13"/>
      <c r="G365" s="14"/>
      <c r="H365" s="20" t="str">
        <f t="shared" si="5"/>
        <v/>
      </c>
      <c r="I365" s="12"/>
      <c r="J365" s="12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spans="2:27" ht="21.75" customHeight="1" x14ac:dyDescent="0.25">
      <c r="B366" s="12"/>
      <c r="C366" s="15"/>
      <c r="D366" s="12"/>
      <c r="E366" s="10" t="str">
        <f>IF(D366="","",IFERROR(VLOOKUP(D366,Productos!$B$5:$J$504,2,FALSE()),"Revisar código"))</f>
        <v/>
      </c>
      <c r="F366" s="13"/>
      <c r="G366" s="14"/>
      <c r="H366" s="20" t="str">
        <f t="shared" si="5"/>
        <v/>
      </c>
      <c r="I366" s="12"/>
      <c r="J366" s="12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spans="2:27" ht="21.75" customHeight="1" x14ac:dyDescent="0.25">
      <c r="B367" s="12"/>
      <c r="C367" s="15"/>
      <c r="D367" s="12"/>
      <c r="E367" s="10" t="str">
        <f>IF(D367="","",IFERROR(VLOOKUP(D367,Productos!$B$5:$J$504,2,FALSE()),"Revisar código"))</f>
        <v/>
      </c>
      <c r="F367" s="13"/>
      <c r="G367" s="14"/>
      <c r="H367" s="20" t="str">
        <f t="shared" si="5"/>
        <v/>
      </c>
      <c r="I367" s="12"/>
      <c r="J367" s="12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spans="2:27" ht="21.75" customHeight="1" x14ac:dyDescent="0.25">
      <c r="B368" s="12"/>
      <c r="C368" s="15"/>
      <c r="D368" s="12"/>
      <c r="E368" s="10" t="str">
        <f>IF(D368="","",IFERROR(VLOOKUP(D368,Productos!$B$5:$J$504,2,FALSE()),"Revisar código"))</f>
        <v/>
      </c>
      <c r="F368" s="13"/>
      <c r="G368" s="14"/>
      <c r="H368" s="20" t="str">
        <f t="shared" si="5"/>
        <v/>
      </c>
      <c r="I368" s="12"/>
      <c r="J368" s="12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spans="2:27" ht="21.75" customHeight="1" x14ac:dyDescent="0.25">
      <c r="B369" s="12"/>
      <c r="C369" s="15"/>
      <c r="D369" s="12"/>
      <c r="E369" s="10" t="str">
        <f>IF(D369="","",IFERROR(VLOOKUP(D369,Productos!$B$5:$J$504,2,FALSE()),"Revisar código"))</f>
        <v/>
      </c>
      <c r="F369" s="13"/>
      <c r="G369" s="14"/>
      <c r="H369" s="20" t="str">
        <f t="shared" si="5"/>
        <v/>
      </c>
      <c r="I369" s="12"/>
      <c r="J369" s="12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spans="2:27" ht="21.75" customHeight="1" x14ac:dyDescent="0.25">
      <c r="B370" s="12"/>
      <c r="C370" s="15"/>
      <c r="D370" s="12"/>
      <c r="E370" s="10" t="str">
        <f>IF(D370="","",IFERROR(VLOOKUP(D370,Productos!$B$5:$J$504,2,FALSE()),"Revisar código"))</f>
        <v/>
      </c>
      <c r="F370" s="13"/>
      <c r="G370" s="14"/>
      <c r="H370" s="20" t="str">
        <f t="shared" si="5"/>
        <v/>
      </c>
      <c r="I370" s="12"/>
      <c r="J370" s="12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spans="2:27" ht="21.75" customHeight="1" x14ac:dyDescent="0.25">
      <c r="B371" s="12"/>
      <c r="C371" s="15"/>
      <c r="D371" s="12"/>
      <c r="E371" s="10" t="str">
        <f>IF(D371="","",IFERROR(VLOOKUP(D371,Productos!$B$5:$J$504,2,FALSE()),"Revisar código"))</f>
        <v/>
      </c>
      <c r="F371" s="13"/>
      <c r="G371" s="14"/>
      <c r="H371" s="20" t="str">
        <f t="shared" si="5"/>
        <v/>
      </c>
      <c r="I371" s="12"/>
      <c r="J371" s="12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spans="2:27" ht="21.75" customHeight="1" x14ac:dyDescent="0.25">
      <c r="B372" s="12"/>
      <c r="C372" s="15"/>
      <c r="D372" s="12"/>
      <c r="E372" s="10" t="str">
        <f>IF(D372="","",IFERROR(VLOOKUP(D372,Productos!$B$5:$J$504,2,FALSE()),"Revisar código"))</f>
        <v/>
      </c>
      <c r="F372" s="13"/>
      <c r="G372" s="14"/>
      <c r="H372" s="20" t="str">
        <f t="shared" si="5"/>
        <v/>
      </c>
      <c r="I372" s="12"/>
      <c r="J372" s="12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spans="2:27" ht="21.75" customHeight="1" x14ac:dyDescent="0.25">
      <c r="B373" s="12"/>
      <c r="C373" s="15"/>
      <c r="D373" s="12"/>
      <c r="E373" s="10" t="str">
        <f>IF(D373="","",IFERROR(VLOOKUP(D373,Productos!$B$5:$J$504,2,FALSE()),"Revisar código"))</f>
        <v/>
      </c>
      <c r="F373" s="13"/>
      <c r="G373" s="14"/>
      <c r="H373" s="20" t="str">
        <f t="shared" si="5"/>
        <v/>
      </c>
      <c r="I373" s="12"/>
      <c r="J373" s="12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spans="2:27" ht="21.75" customHeight="1" x14ac:dyDescent="0.25">
      <c r="B374" s="12"/>
      <c r="C374" s="15"/>
      <c r="D374" s="12"/>
      <c r="E374" s="10" t="str">
        <f>IF(D374="","",IFERROR(VLOOKUP(D374,Productos!$B$5:$J$504,2,FALSE()),"Revisar código"))</f>
        <v/>
      </c>
      <c r="F374" s="13"/>
      <c r="G374" s="14"/>
      <c r="H374" s="20" t="str">
        <f t="shared" si="5"/>
        <v/>
      </c>
      <c r="I374" s="12"/>
      <c r="J374" s="12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spans="2:27" ht="21.75" customHeight="1" x14ac:dyDescent="0.25">
      <c r="B375" s="12"/>
      <c r="C375" s="15"/>
      <c r="D375" s="12"/>
      <c r="E375" s="10" t="str">
        <f>IF(D375="","",IFERROR(VLOOKUP(D375,Productos!$B$5:$J$504,2,FALSE()),"Revisar código"))</f>
        <v/>
      </c>
      <c r="F375" s="13"/>
      <c r="G375" s="14"/>
      <c r="H375" s="20" t="str">
        <f t="shared" si="5"/>
        <v/>
      </c>
      <c r="I375" s="12"/>
      <c r="J375" s="12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spans="2:27" ht="21.75" customHeight="1" x14ac:dyDescent="0.25">
      <c r="B376" s="12"/>
      <c r="C376" s="15"/>
      <c r="D376" s="12"/>
      <c r="E376" s="10" t="str">
        <f>IF(D376="","",IFERROR(VLOOKUP(D376,Productos!$B$5:$J$504,2,FALSE()),"Revisar código"))</f>
        <v/>
      </c>
      <c r="F376" s="13"/>
      <c r="G376" s="14"/>
      <c r="H376" s="20" t="str">
        <f t="shared" si="5"/>
        <v/>
      </c>
      <c r="I376" s="12"/>
      <c r="J376" s="12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spans="2:27" ht="21.75" customHeight="1" x14ac:dyDescent="0.25">
      <c r="B377" s="12"/>
      <c r="C377" s="15"/>
      <c r="D377" s="12"/>
      <c r="E377" s="10" t="str">
        <f>IF(D377="","",IFERROR(VLOOKUP(D377,Productos!$B$5:$J$504,2,FALSE()),"Revisar código"))</f>
        <v/>
      </c>
      <c r="F377" s="13"/>
      <c r="G377" s="14"/>
      <c r="H377" s="20" t="str">
        <f t="shared" si="5"/>
        <v/>
      </c>
      <c r="I377" s="12"/>
      <c r="J377" s="12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spans="2:27" ht="21.75" customHeight="1" x14ac:dyDescent="0.25">
      <c r="B378" s="12"/>
      <c r="C378" s="15"/>
      <c r="D378" s="12"/>
      <c r="E378" s="10" t="str">
        <f>IF(D378="","",IFERROR(VLOOKUP(D378,Productos!$B$5:$J$504,2,FALSE()),"Revisar código"))</f>
        <v/>
      </c>
      <c r="F378" s="13"/>
      <c r="G378" s="14"/>
      <c r="H378" s="20" t="str">
        <f t="shared" si="5"/>
        <v/>
      </c>
      <c r="I378" s="12"/>
      <c r="J378" s="12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pans="2:27" ht="21.75" customHeight="1" x14ac:dyDescent="0.25">
      <c r="B379" s="12"/>
      <c r="C379" s="15"/>
      <c r="D379" s="12"/>
      <c r="E379" s="10" t="str">
        <f>IF(D379="","",IFERROR(VLOOKUP(D379,Productos!$B$5:$J$504,2,FALSE()),"Revisar código"))</f>
        <v/>
      </c>
      <c r="F379" s="13"/>
      <c r="G379" s="14"/>
      <c r="H379" s="20" t="str">
        <f t="shared" si="5"/>
        <v/>
      </c>
      <c r="I379" s="12"/>
      <c r="J379" s="12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spans="2:27" ht="21.75" customHeight="1" x14ac:dyDescent="0.25">
      <c r="B380" s="12"/>
      <c r="C380" s="15"/>
      <c r="D380" s="12"/>
      <c r="E380" s="10" t="str">
        <f>IF(D380="","",IFERROR(VLOOKUP(D380,Productos!$B$5:$J$504,2,FALSE()),"Revisar código"))</f>
        <v/>
      </c>
      <c r="F380" s="13"/>
      <c r="G380" s="14"/>
      <c r="H380" s="20" t="str">
        <f t="shared" si="5"/>
        <v/>
      </c>
      <c r="I380" s="12"/>
      <c r="J380" s="12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spans="2:27" ht="21.75" customHeight="1" x14ac:dyDescent="0.25">
      <c r="B381" s="12"/>
      <c r="C381" s="15"/>
      <c r="D381" s="12"/>
      <c r="E381" s="10" t="str">
        <f>IF(D381="","",IFERROR(VLOOKUP(D381,Productos!$B$5:$J$504,2,FALSE()),"Revisar código"))</f>
        <v/>
      </c>
      <c r="F381" s="13"/>
      <c r="G381" s="14"/>
      <c r="H381" s="20" t="str">
        <f t="shared" si="5"/>
        <v/>
      </c>
      <c r="I381" s="12"/>
      <c r="J381" s="12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spans="2:27" ht="21.75" customHeight="1" x14ac:dyDescent="0.25">
      <c r="B382" s="12"/>
      <c r="C382" s="15"/>
      <c r="D382" s="12"/>
      <c r="E382" s="10" t="str">
        <f>IF(D382="","",IFERROR(VLOOKUP(D382,Productos!$B$5:$J$504,2,FALSE()),"Revisar código"))</f>
        <v/>
      </c>
      <c r="F382" s="13"/>
      <c r="G382" s="14"/>
      <c r="H382" s="20" t="str">
        <f t="shared" si="5"/>
        <v/>
      </c>
      <c r="I382" s="12"/>
      <c r="J382" s="12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spans="2:27" ht="21.75" customHeight="1" x14ac:dyDescent="0.25">
      <c r="B383" s="12"/>
      <c r="C383" s="15"/>
      <c r="D383" s="12"/>
      <c r="E383" s="10" t="str">
        <f>IF(D383="","",IFERROR(VLOOKUP(D383,Productos!$B$5:$J$504,2,FALSE()),"Revisar código"))</f>
        <v/>
      </c>
      <c r="F383" s="13"/>
      <c r="G383" s="14"/>
      <c r="H383" s="20" t="str">
        <f t="shared" si="5"/>
        <v/>
      </c>
      <c r="I383" s="12"/>
      <c r="J383" s="12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spans="2:27" ht="21.75" customHeight="1" x14ac:dyDescent="0.25">
      <c r="B384" s="12"/>
      <c r="C384" s="15"/>
      <c r="D384" s="12"/>
      <c r="E384" s="10" t="str">
        <f>IF(D384="","",IFERROR(VLOOKUP(D384,Productos!$B$5:$J$504,2,FALSE()),"Revisar código"))</f>
        <v/>
      </c>
      <c r="F384" s="13"/>
      <c r="G384" s="14"/>
      <c r="H384" s="20" t="str">
        <f t="shared" si="5"/>
        <v/>
      </c>
      <c r="I384" s="12"/>
      <c r="J384" s="12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spans="2:27" ht="21.75" customHeight="1" x14ac:dyDescent="0.25">
      <c r="B385" s="12"/>
      <c r="C385" s="15"/>
      <c r="D385" s="12"/>
      <c r="E385" s="10" t="str">
        <f>IF(D385="","",IFERROR(VLOOKUP(D385,Productos!$B$5:$J$504,2,FALSE()),"Revisar código"))</f>
        <v/>
      </c>
      <c r="F385" s="13"/>
      <c r="G385" s="14"/>
      <c r="H385" s="20" t="str">
        <f t="shared" si="5"/>
        <v/>
      </c>
      <c r="I385" s="12"/>
      <c r="J385" s="12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spans="2:27" ht="21.75" customHeight="1" x14ac:dyDescent="0.25">
      <c r="B386" s="12"/>
      <c r="C386" s="15"/>
      <c r="D386" s="12"/>
      <c r="E386" s="10" t="str">
        <f>IF(D386="","",IFERROR(VLOOKUP(D386,Productos!$B$5:$J$504,2,FALSE()),"Revisar código"))</f>
        <v/>
      </c>
      <c r="F386" s="13"/>
      <c r="G386" s="14"/>
      <c r="H386" s="20" t="str">
        <f t="shared" si="5"/>
        <v/>
      </c>
      <c r="I386" s="12"/>
      <c r="J386" s="12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spans="2:27" ht="21.75" customHeight="1" x14ac:dyDescent="0.25">
      <c r="B387" s="12"/>
      <c r="C387" s="15"/>
      <c r="D387" s="12"/>
      <c r="E387" s="10" t="str">
        <f>IF(D387="","",IFERROR(VLOOKUP(D387,Productos!$B$5:$J$504,2,FALSE()),"Revisar código"))</f>
        <v/>
      </c>
      <c r="F387" s="13"/>
      <c r="G387" s="14"/>
      <c r="H387" s="20" t="str">
        <f t="shared" si="5"/>
        <v/>
      </c>
      <c r="I387" s="12"/>
      <c r="J387" s="12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spans="2:27" ht="21.75" customHeight="1" x14ac:dyDescent="0.25">
      <c r="B388" s="12"/>
      <c r="C388" s="15"/>
      <c r="D388" s="12"/>
      <c r="E388" s="10" t="str">
        <f>IF(D388="","",IFERROR(VLOOKUP(D388,Productos!$B$5:$J$504,2,FALSE()),"Revisar código"))</f>
        <v/>
      </c>
      <c r="F388" s="13"/>
      <c r="G388" s="14"/>
      <c r="H388" s="20" t="str">
        <f t="shared" si="5"/>
        <v/>
      </c>
      <c r="I388" s="12"/>
      <c r="J388" s="12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spans="2:27" ht="21.75" customHeight="1" x14ac:dyDescent="0.25">
      <c r="B389" s="12"/>
      <c r="C389" s="15"/>
      <c r="D389" s="12"/>
      <c r="E389" s="10" t="str">
        <f>IF(D389="","",IFERROR(VLOOKUP(D389,Productos!$B$5:$J$504,2,FALSE()),"Revisar código"))</f>
        <v/>
      </c>
      <c r="F389" s="13"/>
      <c r="G389" s="14"/>
      <c r="H389" s="20" t="str">
        <f t="shared" ref="H389:H452" si="6">IF(OR(F389="",G389=""),"",F389*G389)</f>
        <v/>
      </c>
      <c r="I389" s="12"/>
      <c r="J389" s="12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spans="2:27" ht="21.75" customHeight="1" x14ac:dyDescent="0.25">
      <c r="B390" s="12"/>
      <c r="C390" s="15"/>
      <c r="D390" s="12"/>
      <c r="E390" s="10" t="str">
        <f>IF(D390="","",IFERROR(VLOOKUP(D390,Productos!$B$5:$J$504,2,FALSE()),"Revisar código"))</f>
        <v/>
      </c>
      <c r="F390" s="13"/>
      <c r="G390" s="14"/>
      <c r="H390" s="20" t="str">
        <f t="shared" si="6"/>
        <v/>
      </c>
      <c r="I390" s="12"/>
      <c r="J390" s="12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spans="2:27" ht="21.75" customHeight="1" x14ac:dyDescent="0.25">
      <c r="B391" s="12"/>
      <c r="C391" s="15"/>
      <c r="D391" s="12"/>
      <c r="E391" s="10" t="str">
        <f>IF(D391="","",IFERROR(VLOOKUP(D391,Productos!$B$5:$J$504,2,FALSE()),"Revisar código"))</f>
        <v/>
      </c>
      <c r="F391" s="13"/>
      <c r="G391" s="14"/>
      <c r="H391" s="20" t="str">
        <f t="shared" si="6"/>
        <v/>
      </c>
      <c r="I391" s="12"/>
      <c r="J391" s="12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spans="2:27" ht="21.75" customHeight="1" x14ac:dyDescent="0.25">
      <c r="B392" s="12"/>
      <c r="C392" s="15"/>
      <c r="D392" s="12"/>
      <c r="E392" s="10" t="str">
        <f>IF(D392="","",IFERROR(VLOOKUP(D392,Productos!$B$5:$J$504,2,FALSE()),"Revisar código"))</f>
        <v/>
      </c>
      <c r="F392" s="13"/>
      <c r="G392" s="14"/>
      <c r="H392" s="20" t="str">
        <f t="shared" si="6"/>
        <v/>
      </c>
      <c r="I392" s="12"/>
      <c r="J392" s="12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spans="2:27" ht="21.75" customHeight="1" x14ac:dyDescent="0.25">
      <c r="B393" s="12"/>
      <c r="C393" s="15"/>
      <c r="D393" s="12"/>
      <c r="E393" s="10" t="str">
        <f>IF(D393="","",IFERROR(VLOOKUP(D393,Productos!$B$5:$J$504,2,FALSE()),"Revisar código"))</f>
        <v/>
      </c>
      <c r="F393" s="13"/>
      <c r="G393" s="14"/>
      <c r="H393" s="20" t="str">
        <f t="shared" si="6"/>
        <v/>
      </c>
      <c r="I393" s="12"/>
      <c r="J393" s="12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spans="2:27" ht="21.75" customHeight="1" x14ac:dyDescent="0.25">
      <c r="B394" s="12"/>
      <c r="C394" s="15"/>
      <c r="D394" s="12"/>
      <c r="E394" s="10" t="str">
        <f>IF(D394="","",IFERROR(VLOOKUP(D394,Productos!$B$5:$J$504,2,FALSE()),"Revisar código"))</f>
        <v/>
      </c>
      <c r="F394" s="13"/>
      <c r="G394" s="14"/>
      <c r="H394" s="20" t="str">
        <f t="shared" si="6"/>
        <v/>
      </c>
      <c r="I394" s="12"/>
      <c r="J394" s="12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pans="2:27" ht="21.75" customHeight="1" x14ac:dyDescent="0.25">
      <c r="B395" s="12"/>
      <c r="C395" s="15"/>
      <c r="D395" s="12"/>
      <c r="E395" s="10" t="str">
        <f>IF(D395="","",IFERROR(VLOOKUP(D395,Productos!$B$5:$J$504,2,FALSE()),"Revisar código"))</f>
        <v/>
      </c>
      <c r="F395" s="13"/>
      <c r="G395" s="14"/>
      <c r="H395" s="20" t="str">
        <f t="shared" si="6"/>
        <v/>
      </c>
      <c r="I395" s="12"/>
      <c r="J395" s="12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spans="2:27" ht="21.75" customHeight="1" x14ac:dyDescent="0.25">
      <c r="B396" s="12"/>
      <c r="C396" s="15"/>
      <c r="D396" s="12"/>
      <c r="E396" s="10" t="str">
        <f>IF(D396="","",IFERROR(VLOOKUP(D396,Productos!$B$5:$J$504,2,FALSE()),"Revisar código"))</f>
        <v/>
      </c>
      <c r="F396" s="13"/>
      <c r="G396" s="14"/>
      <c r="H396" s="20" t="str">
        <f t="shared" si="6"/>
        <v/>
      </c>
      <c r="I396" s="12"/>
      <c r="J396" s="12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spans="2:27" ht="21.75" customHeight="1" x14ac:dyDescent="0.25">
      <c r="B397" s="12"/>
      <c r="C397" s="15"/>
      <c r="D397" s="12"/>
      <c r="E397" s="10" t="str">
        <f>IF(D397="","",IFERROR(VLOOKUP(D397,Productos!$B$5:$J$504,2,FALSE()),"Revisar código"))</f>
        <v/>
      </c>
      <c r="F397" s="13"/>
      <c r="G397" s="14"/>
      <c r="H397" s="20" t="str">
        <f t="shared" si="6"/>
        <v/>
      </c>
      <c r="I397" s="12"/>
      <c r="J397" s="12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spans="2:27" ht="21.75" customHeight="1" x14ac:dyDescent="0.25">
      <c r="B398" s="12"/>
      <c r="C398" s="15"/>
      <c r="D398" s="12"/>
      <c r="E398" s="10" t="str">
        <f>IF(D398="","",IFERROR(VLOOKUP(D398,Productos!$B$5:$J$504,2,FALSE()),"Revisar código"))</f>
        <v/>
      </c>
      <c r="F398" s="13"/>
      <c r="G398" s="14"/>
      <c r="H398" s="20" t="str">
        <f t="shared" si="6"/>
        <v/>
      </c>
      <c r="I398" s="12"/>
      <c r="J398" s="12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spans="2:27" ht="21.75" customHeight="1" x14ac:dyDescent="0.25">
      <c r="B399" s="12"/>
      <c r="C399" s="15"/>
      <c r="D399" s="12"/>
      <c r="E399" s="10" t="str">
        <f>IF(D399="","",IFERROR(VLOOKUP(D399,Productos!$B$5:$J$504,2,FALSE()),"Revisar código"))</f>
        <v/>
      </c>
      <c r="F399" s="13"/>
      <c r="G399" s="14"/>
      <c r="H399" s="20" t="str">
        <f t="shared" si="6"/>
        <v/>
      </c>
      <c r="I399" s="12"/>
      <c r="J399" s="12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spans="2:27" ht="21.75" customHeight="1" x14ac:dyDescent="0.25">
      <c r="B400" s="12"/>
      <c r="C400" s="15"/>
      <c r="D400" s="12"/>
      <c r="E400" s="10" t="str">
        <f>IF(D400="","",IFERROR(VLOOKUP(D400,Productos!$B$5:$J$504,2,FALSE()),"Revisar código"))</f>
        <v/>
      </c>
      <c r="F400" s="13"/>
      <c r="G400" s="14"/>
      <c r="H400" s="20" t="str">
        <f t="shared" si="6"/>
        <v/>
      </c>
      <c r="I400" s="12"/>
      <c r="J400" s="12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spans="2:27" ht="21.75" customHeight="1" x14ac:dyDescent="0.25">
      <c r="B401" s="12"/>
      <c r="C401" s="15"/>
      <c r="D401" s="12"/>
      <c r="E401" s="10" t="str">
        <f>IF(D401="","",IFERROR(VLOOKUP(D401,Productos!$B$5:$J$504,2,FALSE()),"Revisar código"))</f>
        <v/>
      </c>
      <c r="F401" s="13"/>
      <c r="G401" s="14"/>
      <c r="H401" s="20" t="str">
        <f t="shared" si="6"/>
        <v/>
      </c>
      <c r="I401" s="12"/>
      <c r="J401" s="12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spans="2:27" ht="21.75" customHeight="1" x14ac:dyDescent="0.25">
      <c r="B402" s="12"/>
      <c r="C402" s="15"/>
      <c r="D402" s="12"/>
      <c r="E402" s="10" t="str">
        <f>IF(D402="","",IFERROR(VLOOKUP(D402,Productos!$B$5:$J$504,2,FALSE()),"Revisar código"))</f>
        <v/>
      </c>
      <c r="F402" s="13"/>
      <c r="G402" s="14"/>
      <c r="H402" s="20" t="str">
        <f t="shared" si="6"/>
        <v/>
      </c>
      <c r="I402" s="12"/>
      <c r="J402" s="12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spans="2:27" ht="21.75" customHeight="1" x14ac:dyDescent="0.25">
      <c r="B403" s="12"/>
      <c r="C403" s="15"/>
      <c r="D403" s="12"/>
      <c r="E403" s="10" t="str">
        <f>IF(D403="","",IFERROR(VLOOKUP(D403,Productos!$B$5:$J$504,2,FALSE()),"Revisar código"))</f>
        <v/>
      </c>
      <c r="F403" s="13"/>
      <c r="G403" s="14"/>
      <c r="H403" s="20" t="str">
        <f t="shared" si="6"/>
        <v/>
      </c>
      <c r="I403" s="12"/>
      <c r="J403" s="12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spans="2:27" ht="21.75" customHeight="1" x14ac:dyDescent="0.25">
      <c r="B404" s="12"/>
      <c r="C404" s="15"/>
      <c r="D404" s="12"/>
      <c r="E404" s="10" t="str">
        <f>IF(D404="","",IFERROR(VLOOKUP(D404,Productos!$B$5:$J$504,2,FALSE()),"Revisar código"))</f>
        <v/>
      </c>
      <c r="F404" s="13"/>
      <c r="G404" s="14"/>
      <c r="H404" s="20" t="str">
        <f t="shared" si="6"/>
        <v/>
      </c>
      <c r="I404" s="12"/>
      <c r="J404" s="12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spans="2:27" ht="21.75" customHeight="1" x14ac:dyDescent="0.25">
      <c r="B405" s="12"/>
      <c r="C405" s="15"/>
      <c r="D405" s="12"/>
      <c r="E405" s="10" t="str">
        <f>IF(D405="","",IFERROR(VLOOKUP(D405,Productos!$B$5:$J$504,2,FALSE()),"Revisar código"))</f>
        <v/>
      </c>
      <c r="F405" s="13"/>
      <c r="G405" s="14"/>
      <c r="H405" s="20" t="str">
        <f t="shared" si="6"/>
        <v/>
      </c>
      <c r="I405" s="12"/>
      <c r="J405" s="12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spans="2:27" ht="21.75" customHeight="1" x14ac:dyDescent="0.25">
      <c r="B406" s="12"/>
      <c r="C406" s="15"/>
      <c r="D406" s="12"/>
      <c r="E406" s="10" t="str">
        <f>IF(D406="","",IFERROR(VLOOKUP(D406,Productos!$B$5:$J$504,2,FALSE()),"Revisar código"))</f>
        <v/>
      </c>
      <c r="F406" s="13"/>
      <c r="G406" s="14"/>
      <c r="H406" s="20" t="str">
        <f t="shared" si="6"/>
        <v/>
      </c>
      <c r="I406" s="12"/>
      <c r="J406" s="12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pans="2:27" ht="21.75" customHeight="1" x14ac:dyDescent="0.25">
      <c r="B407" s="12"/>
      <c r="C407" s="15"/>
      <c r="D407" s="12"/>
      <c r="E407" s="10" t="str">
        <f>IF(D407="","",IFERROR(VLOOKUP(D407,Productos!$B$5:$J$504,2,FALSE()),"Revisar código"))</f>
        <v/>
      </c>
      <c r="F407" s="13"/>
      <c r="G407" s="14"/>
      <c r="H407" s="20" t="str">
        <f t="shared" si="6"/>
        <v/>
      </c>
      <c r="I407" s="12"/>
      <c r="J407" s="12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spans="2:27" ht="21.75" customHeight="1" x14ac:dyDescent="0.25">
      <c r="B408" s="12"/>
      <c r="C408" s="15"/>
      <c r="D408" s="12"/>
      <c r="E408" s="10" t="str">
        <f>IF(D408="","",IFERROR(VLOOKUP(D408,Productos!$B$5:$J$504,2,FALSE()),"Revisar código"))</f>
        <v/>
      </c>
      <c r="F408" s="13"/>
      <c r="G408" s="14"/>
      <c r="H408" s="20" t="str">
        <f t="shared" si="6"/>
        <v/>
      </c>
      <c r="I408" s="12"/>
      <c r="J408" s="12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pans="2:27" ht="21.75" customHeight="1" x14ac:dyDescent="0.25">
      <c r="B409" s="12"/>
      <c r="C409" s="15"/>
      <c r="D409" s="12"/>
      <c r="E409" s="10" t="str">
        <f>IF(D409="","",IFERROR(VLOOKUP(D409,Productos!$B$5:$J$504,2,FALSE()),"Revisar código"))</f>
        <v/>
      </c>
      <c r="F409" s="13"/>
      <c r="G409" s="14"/>
      <c r="H409" s="20" t="str">
        <f t="shared" si="6"/>
        <v/>
      </c>
      <c r="I409" s="12"/>
      <c r="J409" s="12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pans="2:27" ht="21.75" customHeight="1" x14ac:dyDescent="0.25">
      <c r="B410" s="12"/>
      <c r="C410" s="15"/>
      <c r="D410" s="12"/>
      <c r="E410" s="10" t="str">
        <f>IF(D410="","",IFERROR(VLOOKUP(D410,Productos!$B$5:$J$504,2,FALSE()),"Revisar código"))</f>
        <v/>
      </c>
      <c r="F410" s="13"/>
      <c r="G410" s="14"/>
      <c r="H410" s="20" t="str">
        <f t="shared" si="6"/>
        <v/>
      </c>
      <c r="I410" s="12"/>
      <c r="J410" s="12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spans="2:27" ht="21.75" customHeight="1" x14ac:dyDescent="0.25">
      <c r="B411" s="12"/>
      <c r="C411" s="15"/>
      <c r="D411" s="12"/>
      <c r="E411" s="10" t="str">
        <f>IF(D411="","",IFERROR(VLOOKUP(D411,Productos!$B$5:$J$504,2,FALSE()),"Revisar código"))</f>
        <v/>
      </c>
      <c r="F411" s="13"/>
      <c r="G411" s="14"/>
      <c r="H411" s="20" t="str">
        <f t="shared" si="6"/>
        <v/>
      </c>
      <c r="I411" s="12"/>
      <c r="J411" s="12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spans="2:27" ht="21.75" customHeight="1" x14ac:dyDescent="0.25">
      <c r="B412" s="12"/>
      <c r="C412" s="15"/>
      <c r="D412" s="12"/>
      <c r="E412" s="10" t="str">
        <f>IF(D412="","",IFERROR(VLOOKUP(D412,Productos!$B$5:$J$504,2,FALSE()),"Revisar código"))</f>
        <v/>
      </c>
      <c r="F412" s="13"/>
      <c r="G412" s="14"/>
      <c r="H412" s="20" t="str">
        <f t="shared" si="6"/>
        <v/>
      </c>
      <c r="I412" s="12"/>
      <c r="J412" s="12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spans="2:27" ht="21.75" customHeight="1" x14ac:dyDescent="0.25">
      <c r="B413" s="12"/>
      <c r="C413" s="15"/>
      <c r="D413" s="12"/>
      <c r="E413" s="10" t="str">
        <f>IF(D413="","",IFERROR(VLOOKUP(D413,Productos!$B$5:$J$504,2,FALSE()),"Revisar código"))</f>
        <v/>
      </c>
      <c r="F413" s="13"/>
      <c r="G413" s="14"/>
      <c r="H413" s="20" t="str">
        <f t="shared" si="6"/>
        <v/>
      </c>
      <c r="I413" s="12"/>
      <c r="J413" s="12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spans="2:27" ht="21.75" customHeight="1" x14ac:dyDescent="0.25">
      <c r="B414" s="12"/>
      <c r="C414" s="15"/>
      <c r="D414" s="12"/>
      <c r="E414" s="10" t="str">
        <f>IF(D414="","",IFERROR(VLOOKUP(D414,Productos!$B$5:$J$504,2,FALSE()),"Revisar código"))</f>
        <v/>
      </c>
      <c r="F414" s="13"/>
      <c r="G414" s="14"/>
      <c r="H414" s="20" t="str">
        <f t="shared" si="6"/>
        <v/>
      </c>
      <c r="I414" s="12"/>
      <c r="J414" s="12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spans="2:27" ht="21.75" customHeight="1" x14ac:dyDescent="0.25">
      <c r="B415" s="12"/>
      <c r="C415" s="15"/>
      <c r="D415" s="12"/>
      <c r="E415" s="10" t="str">
        <f>IF(D415="","",IFERROR(VLOOKUP(D415,Productos!$B$5:$J$504,2,FALSE()),"Revisar código"))</f>
        <v/>
      </c>
      <c r="F415" s="13"/>
      <c r="G415" s="14"/>
      <c r="H415" s="20" t="str">
        <f t="shared" si="6"/>
        <v/>
      </c>
      <c r="I415" s="12"/>
      <c r="J415" s="12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spans="2:27" ht="21.75" customHeight="1" x14ac:dyDescent="0.25">
      <c r="B416" s="12"/>
      <c r="C416" s="15"/>
      <c r="D416" s="12"/>
      <c r="E416" s="10" t="str">
        <f>IF(D416="","",IFERROR(VLOOKUP(D416,Productos!$B$5:$J$504,2,FALSE()),"Revisar código"))</f>
        <v/>
      </c>
      <c r="F416" s="13"/>
      <c r="G416" s="14"/>
      <c r="H416" s="20" t="str">
        <f t="shared" si="6"/>
        <v/>
      </c>
      <c r="I416" s="12"/>
      <c r="J416" s="12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spans="2:27" ht="21.75" customHeight="1" x14ac:dyDescent="0.25">
      <c r="B417" s="12"/>
      <c r="C417" s="15"/>
      <c r="D417" s="12"/>
      <c r="E417" s="10" t="str">
        <f>IF(D417="","",IFERROR(VLOOKUP(D417,Productos!$B$5:$J$504,2,FALSE()),"Revisar código"))</f>
        <v/>
      </c>
      <c r="F417" s="13"/>
      <c r="G417" s="14"/>
      <c r="H417" s="20" t="str">
        <f t="shared" si="6"/>
        <v/>
      </c>
      <c r="I417" s="12"/>
      <c r="J417" s="12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pans="2:27" ht="21.75" customHeight="1" x14ac:dyDescent="0.25">
      <c r="B418" s="12"/>
      <c r="C418" s="15"/>
      <c r="D418" s="12"/>
      <c r="E418" s="10" t="str">
        <f>IF(D418="","",IFERROR(VLOOKUP(D418,Productos!$B$5:$J$504,2,FALSE()),"Revisar código"))</f>
        <v/>
      </c>
      <c r="F418" s="13"/>
      <c r="G418" s="14"/>
      <c r="H418" s="20" t="str">
        <f t="shared" si="6"/>
        <v/>
      </c>
      <c r="I418" s="12"/>
      <c r="J418" s="12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spans="2:27" ht="21.75" customHeight="1" x14ac:dyDescent="0.25">
      <c r="B419" s="12"/>
      <c r="C419" s="15"/>
      <c r="D419" s="12"/>
      <c r="E419" s="10" t="str">
        <f>IF(D419="","",IFERROR(VLOOKUP(D419,Productos!$B$5:$J$504,2,FALSE()),"Revisar código"))</f>
        <v/>
      </c>
      <c r="F419" s="13"/>
      <c r="G419" s="14"/>
      <c r="H419" s="20" t="str">
        <f t="shared" si="6"/>
        <v/>
      </c>
      <c r="I419" s="12"/>
      <c r="J419" s="12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spans="2:27" ht="21.75" customHeight="1" x14ac:dyDescent="0.25">
      <c r="B420" s="12"/>
      <c r="C420" s="15"/>
      <c r="D420" s="12"/>
      <c r="E420" s="10" t="str">
        <f>IF(D420="","",IFERROR(VLOOKUP(D420,Productos!$B$5:$J$504,2,FALSE()),"Revisar código"))</f>
        <v/>
      </c>
      <c r="F420" s="13"/>
      <c r="G420" s="14"/>
      <c r="H420" s="20" t="str">
        <f t="shared" si="6"/>
        <v/>
      </c>
      <c r="I420" s="12"/>
      <c r="J420" s="12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spans="2:27" ht="21.75" customHeight="1" x14ac:dyDescent="0.25">
      <c r="B421" s="12"/>
      <c r="C421" s="15"/>
      <c r="D421" s="12"/>
      <c r="E421" s="10" t="str">
        <f>IF(D421="","",IFERROR(VLOOKUP(D421,Productos!$B$5:$J$504,2,FALSE()),"Revisar código"))</f>
        <v/>
      </c>
      <c r="F421" s="13"/>
      <c r="G421" s="14"/>
      <c r="H421" s="20" t="str">
        <f t="shared" si="6"/>
        <v/>
      </c>
      <c r="I421" s="12"/>
      <c r="J421" s="12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spans="2:27" ht="21.75" customHeight="1" x14ac:dyDescent="0.25">
      <c r="B422" s="12"/>
      <c r="C422" s="15"/>
      <c r="D422" s="12"/>
      <c r="E422" s="10" t="str">
        <f>IF(D422="","",IFERROR(VLOOKUP(D422,Productos!$B$5:$J$504,2,FALSE()),"Revisar código"))</f>
        <v/>
      </c>
      <c r="F422" s="13"/>
      <c r="G422" s="14"/>
      <c r="H422" s="20" t="str">
        <f t="shared" si="6"/>
        <v/>
      </c>
      <c r="I422" s="12"/>
      <c r="J422" s="12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spans="2:27" ht="21.75" customHeight="1" x14ac:dyDescent="0.25">
      <c r="B423" s="12"/>
      <c r="C423" s="15"/>
      <c r="D423" s="12"/>
      <c r="E423" s="10" t="str">
        <f>IF(D423="","",IFERROR(VLOOKUP(D423,Productos!$B$5:$J$504,2,FALSE()),"Revisar código"))</f>
        <v/>
      </c>
      <c r="F423" s="13"/>
      <c r="G423" s="14"/>
      <c r="H423" s="20" t="str">
        <f t="shared" si="6"/>
        <v/>
      </c>
      <c r="I423" s="12"/>
      <c r="J423" s="12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spans="2:27" ht="21.75" customHeight="1" x14ac:dyDescent="0.25">
      <c r="B424" s="12"/>
      <c r="C424" s="15"/>
      <c r="D424" s="12"/>
      <c r="E424" s="10" t="str">
        <f>IF(D424="","",IFERROR(VLOOKUP(D424,Productos!$B$5:$J$504,2,FALSE()),"Revisar código"))</f>
        <v/>
      </c>
      <c r="F424" s="13"/>
      <c r="G424" s="14"/>
      <c r="H424" s="20" t="str">
        <f t="shared" si="6"/>
        <v/>
      </c>
      <c r="I424" s="12"/>
      <c r="J424" s="12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spans="2:27" ht="21.75" customHeight="1" x14ac:dyDescent="0.25">
      <c r="B425" s="12"/>
      <c r="C425" s="15"/>
      <c r="D425" s="12"/>
      <c r="E425" s="10" t="str">
        <f>IF(D425="","",IFERROR(VLOOKUP(D425,Productos!$B$5:$J$504,2,FALSE()),"Revisar código"))</f>
        <v/>
      </c>
      <c r="F425" s="13"/>
      <c r="G425" s="14"/>
      <c r="H425" s="20" t="str">
        <f t="shared" si="6"/>
        <v/>
      </c>
      <c r="I425" s="12"/>
      <c r="J425" s="12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spans="2:27" ht="21.75" customHeight="1" x14ac:dyDescent="0.25">
      <c r="B426" s="12"/>
      <c r="C426" s="15"/>
      <c r="D426" s="12"/>
      <c r="E426" s="10" t="str">
        <f>IF(D426="","",IFERROR(VLOOKUP(D426,Productos!$B$5:$J$504,2,FALSE()),"Revisar código"))</f>
        <v/>
      </c>
      <c r="F426" s="13"/>
      <c r="G426" s="14"/>
      <c r="H426" s="20" t="str">
        <f t="shared" si="6"/>
        <v/>
      </c>
      <c r="I426" s="12"/>
      <c r="J426" s="12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spans="2:27" ht="21.75" customHeight="1" x14ac:dyDescent="0.25">
      <c r="B427" s="12"/>
      <c r="C427" s="15"/>
      <c r="D427" s="12"/>
      <c r="E427" s="10" t="str">
        <f>IF(D427="","",IFERROR(VLOOKUP(D427,Productos!$B$5:$J$504,2,FALSE()),"Revisar código"))</f>
        <v/>
      </c>
      <c r="F427" s="13"/>
      <c r="G427" s="14"/>
      <c r="H427" s="20" t="str">
        <f t="shared" si="6"/>
        <v/>
      </c>
      <c r="I427" s="12"/>
      <c r="J427" s="12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spans="2:27" ht="21.75" customHeight="1" x14ac:dyDescent="0.25">
      <c r="B428" s="12"/>
      <c r="C428" s="15"/>
      <c r="D428" s="12"/>
      <c r="E428" s="10" t="str">
        <f>IF(D428="","",IFERROR(VLOOKUP(D428,Productos!$B$5:$J$504,2,FALSE()),"Revisar código"))</f>
        <v/>
      </c>
      <c r="F428" s="13"/>
      <c r="G428" s="14"/>
      <c r="H428" s="20" t="str">
        <f t="shared" si="6"/>
        <v/>
      </c>
      <c r="I428" s="12"/>
      <c r="J428" s="12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spans="2:27" ht="21.75" customHeight="1" x14ac:dyDescent="0.25">
      <c r="B429" s="12"/>
      <c r="C429" s="15"/>
      <c r="D429" s="12"/>
      <c r="E429" s="10" t="str">
        <f>IF(D429="","",IFERROR(VLOOKUP(D429,Productos!$B$5:$J$504,2,FALSE()),"Revisar código"))</f>
        <v/>
      </c>
      <c r="F429" s="13"/>
      <c r="G429" s="14"/>
      <c r="H429" s="20" t="str">
        <f t="shared" si="6"/>
        <v/>
      </c>
      <c r="I429" s="12"/>
      <c r="J429" s="12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spans="2:27" ht="21.75" customHeight="1" x14ac:dyDescent="0.25">
      <c r="B430" s="12"/>
      <c r="C430" s="15"/>
      <c r="D430" s="12"/>
      <c r="E430" s="10" t="str">
        <f>IF(D430="","",IFERROR(VLOOKUP(D430,Productos!$B$5:$J$504,2,FALSE()),"Revisar código"))</f>
        <v/>
      </c>
      <c r="F430" s="13"/>
      <c r="G430" s="14"/>
      <c r="H430" s="20" t="str">
        <f t="shared" si="6"/>
        <v/>
      </c>
      <c r="I430" s="12"/>
      <c r="J430" s="12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spans="2:27" ht="21.75" customHeight="1" x14ac:dyDescent="0.25">
      <c r="B431" s="12"/>
      <c r="C431" s="15"/>
      <c r="D431" s="12"/>
      <c r="E431" s="10" t="str">
        <f>IF(D431="","",IFERROR(VLOOKUP(D431,Productos!$B$5:$J$504,2,FALSE()),"Revisar código"))</f>
        <v/>
      </c>
      <c r="F431" s="13"/>
      <c r="G431" s="14"/>
      <c r="H431" s="20" t="str">
        <f t="shared" si="6"/>
        <v/>
      </c>
      <c r="I431" s="12"/>
      <c r="J431" s="12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spans="2:27" ht="21.75" customHeight="1" x14ac:dyDescent="0.25">
      <c r="B432" s="12"/>
      <c r="C432" s="15"/>
      <c r="D432" s="12"/>
      <c r="E432" s="10" t="str">
        <f>IF(D432="","",IFERROR(VLOOKUP(D432,Productos!$B$5:$J$504,2,FALSE()),"Revisar código"))</f>
        <v/>
      </c>
      <c r="F432" s="13"/>
      <c r="G432" s="14"/>
      <c r="H432" s="20" t="str">
        <f t="shared" si="6"/>
        <v/>
      </c>
      <c r="I432" s="12"/>
      <c r="J432" s="12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spans="2:27" ht="21.75" customHeight="1" x14ac:dyDescent="0.25">
      <c r="B433" s="12"/>
      <c r="C433" s="15"/>
      <c r="D433" s="12"/>
      <c r="E433" s="10" t="str">
        <f>IF(D433="","",IFERROR(VLOOKUP(D433,Productos!$B$5:$J$504,2,FALSE()),"Revisar código"))</f>
        <v/>
      </c>
      <c r="F433" s="13"/>
      <c r="G433" s="14"/>
      <c r="H433" s="20" t="str">
        <f t="shared" si="6"/>
        <v/>
      </c>
      <c r="I433" s="12"/>
      <c r="J433" s="12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spans="2:27" ht="21.75" customHeight="1" x14ac:dyDescent="0.25">
      <c r="B434" s="12"/>
      <c r="C434" s="15"/>
      <c r="D434" s="12"/>
      <c r="E434" s="10" t="str">
        <f>IF(D434="","",IFERROR(VLOOKUP(D434,Productos!$B$5:$J$504,2,FALSE()),"Revisar código"))</f>
        <v/>
      </c>
      <c r="F434" s="13"/>
      <c r="G434" s="14"/>
      <c r="H434" s="20" t="str">
        <f t="shared" si="6"/>
        <v/>
      </c>
      <c r="I434" s="12"/>
      <c r="J434" s="12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spans="2:27" ht="21.75" customHeight="1" x14ac:dyDescent="0.25">
      <c r="B435" s="12"/>
      <c r="C435" s="15"/>
      <c r="D435" s="12"/>
      <c r="E435" s="10" t="str">
        <f>IF(D435="","",IFERROR(VLOOKUP(D435,Productos!$B$5:$J$504,2,FALSE()),"Revisar código"))</f>
        <v/>
      </c>
      <c r="F435" s="13"/>
      <c r="G435" s="14"/>
      <c r="H435" s="20" t="str">
        <f t="shared" si="6"/>
        <v/>
      </c>
      <c r="I435" s="12"/>
      <c r="J435" s="12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spans="2:27" ht="21.75" customHeight="1" x14ac:dyDescent="0.25">
      <c r="B436" s="12"/>
      <c r="C436" s="15"/>
      <c r="D436" s="12"/>
      <c r="E436" s="10" t="str">
        <f>IF(D436="","",IFERROR(VLOOKUP(D436,Productos!$B$5:$J$504,2,FALSE()),"Revisar código"))</f>
        <v/>
      </c>
      <c r="F436" s="13"/>
      <c r="G436" s="14"/>
      <c r="H436" s="20" t="str">
        <f t="shared" si="6"/>
        <v/>
      </c>
      <c r="I436" s="12"/>
      <c r="J436" s="12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spans="2:27" ht="21.75" customHeight="1" x14ac:dyDescent="0.25">
      <c r="B437" s="12"/>
      <c r="C437" s="15"/>
      <c r="D437" s="12"/>
      <c r="E437" s="10" t="str">
        <f>IF(D437="","",IFERROR(VLOOKUP(D437,Productos!$B$5:$J$504,2,FALSE()),"Revisar código"))</f>
        <v/>
      </c>
      <c r="F437" s="13"/>
      <c r="G437" s="14"/>
      <c r="H437" s="20" t="str">
        <f t="shared" si="6"/>
        <v/>
      </c>
      <c r="I437" s="12"/>
      <c r="J437" s="12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spans="2:27" ht="21.75" customHeight="1" x14ac:dyDescent="0.25">
      <c r="B438" s="12"/>
      <c r="C438" s="15"/>
      <c r="D438" s="12"/>
      <c r="E438" s="10" t="str">
        <f>IF(D438="","",IFERROR(VLOOKUP(D438,Productos!$B$5:$J$504,2,FALSE()),"Revisar código"))</f>
        <v/>
      </c>
      <c r="F438" s="13"/>
      <c r="G438" s="14"/>
      <c r="H438" s="20" t="str">
        <f t="shared" si="6"/>
        <v/>
      </c>
      <c r="I438" s="12"/>
      <c r="J438" s="12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spans="2:27" ht="21.75" customHeight="1" x14ac:dyDescent="0.25">
      <c r="B439" s="12"/>
      <c r="C439" s="15"/>
      <c r="D439" s="12"/>
      <c r="E439" s="10" t="str">
        <f>IF(D439="","",IFERROR(VLOOKUP(D439,Productos!$B$5:$J$504,2,FALSE()),"Revisar código"))</f>
        <v/>
      </c>
      <c r="F439" s="13"/>
      <c r="G439" s="14"/>
      <c r="H439" s="20" t="str">
        <f t="shared" si="6"/>
        <v/>
      </c>
      <c r="I439" s="12"/>
      <c r="J439" s="12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spans="2:27" ht="21.75" customHeight="1" x14ac:dyDescent="0.25">
      <c r="B440" s="12"/>
      <c r="C440" s="15"/>
      <c r="D440" s="12"/>
      <c r="E440" s="10" t="str">
        <f>IF(D440="","",IFERROR(VLOOKUP(D440,Productos!$B$5:$J$504,2,FALSE()),"Revisar código"))</f>
        <v/>
      </c>
      <c r="F440" s="13"/>
      <c r="G440" s="14"/>
      <c r="H440" s="20" t="str">
        <f t="shared" si="6"/>
        <v/>
      </c>
      <c r="I440" s="12"/>
      <c r="J440" s="12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spans="2:27" ht="21.75" customHeight="1" x14ac:dyDescent="0.25">
      <c r="B441" s="12"/>
      <c r="C441" s="15"/>
      <c r="D441" s="12"/>
      <c r="E441" s="10" t="str">
        <f>IF(D441="","",IFERROR(VLOOKUP(D441,Productos!$B$5:$J$504,2,FALSE()),"Revisar código"))</f>
        <v/>
      </c>
      <c r="F441" s="13"/>
      <c r="G441" s="14"/>
      <c r="H441" s="20" t="str">
        <f t="shared" si="6"/>
        <v/>
      </c>
      <c r="I441" s="12"/>
      <c r="J441" s="12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spans="2:27" ht="21.75" customHeight="1" x14ac:dyDescent="0.25">
      <c r="B442" s="12"/>
      <c r="C442" s="15"/>
      <c r="D442" s="12"/>
      <c r="E442" s="10" t="str">
        <f>IF(D442="","",IFERROR(VLOOKUP(D442,Productos!$B$5:$J$504,2,FALSE()),"Revisar código"))</f>
        <v/>
      </c>
      <c r="F442" s="13"/>
      <c r="G442" s="14"/>
      <c r="H442" s="20" t="str">
        <f t="shared" si="6"/>
        <v/>
      </c>
      <c r="I442" s="12"/>
      <c r="J442" s="12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spans="2:27" ht="21.75" customHeight="1" x14ac:dyDescent="0.25">
      <c r="B443" s="12"/>
      <c r="C443" s="15"/>
      <c r="D443" s="12"/>
      <c r="E443" s="10" t="str">
        <f>IF(D443="","",IFERROR(VLOOKUP(D443,Productos!$B$5:$J$504,2,FALSE()),"Revisar código"))</f>
        <v/>
      </c>
      <c r="F443" s="13"/>
      <c r="G443" s="14"/>
      <c r="H443" s="20" t="str">
        <f t="shared" si="6"/>
        <v/>
      </c>
      <c r="I443" s="12"/>
      <c r="J443" s="12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spans="2:27" ht="21.75" customHeight="1" x14ac:dyDescent="0.25">
      <c r="B444" s="12"/>
      <c r="C444" s="15"/>
      <c r="D444" s="12"/>
      <c r="E444" s="10" t="str">
        <f>IF(D444="","",IFERROR(VLOOKUP(D444,Productos!$B$5:$J$504,2,FALSE()),"Revisar código"))</f>
        <v/>
      </c>
      <c r="F444" s="13"/>
      <c r="G444" s="14"/>
      <c r="H444" s="20" t="str">
        <f t="shared" si="6"/>
        <v/>
      </c>
      <c r="I444" s="12"/>
      <c r="J444" s="12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spans="2:27" ht="21.75" customHeight="1" x14ac:dyDescent="0.25">
      <c r="B445" s="12"/>
      <c r="C445" s="15"/>
      <c r="D445" s="12"/>
      <c r="E445" s="10" t="str">
        <f>IF(D445="","",IFERROR(VLOOKUP(D445,Productos!$B$5:$J$504,2,FALSE()),"Revisar código"))</f>
        <v/>
      </c>
      <c r="F445" s="13"/>
      <c r="G445" s="14"/>
      <c r="H445" s="20" t="str">
        <f t="shared" si="6"/>
        <v/>
      </c>
      <c r="I445" s="12"/>
      <c r="J445" s="12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spans="2:27" ht="21.75" customHeight="1" x14ac:dyDescent="0.25">
      <c r="B446" s="12"/>
      <c r="C446" s="15"/>
      <c r="D446" s="12"/>
      <c r="E446" s="10" t="str">
        <f>IF(D446="","",IFERROR(VLOOKUP(D446,Productos!$B$5:$J$504,2,FALSE()),"Revisar código"))</f>
        <v/>
      </c>
      <c r="F446" s="13"/>
      <c r="G446" s="14"/>
      <c r="H446" s="20" t="str">
        <f t="shared" si="6"/>
        <v/>
      </c>
      <c r="I446" s="12"/>
      <c r="J446" s="12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spans="2:27" ht="21.75" customHeight="1" x14ac:dyDescent="0.25">
      <c r="B447" s="12"/>
      <c r="C447" s="15"/>
      <c r="D447" s="12"/>
      <c r="E447" s="10" t="str">
        <f>IF(D447="","",IFERROR(VLOOKUP(D447,Productos!$B$5:$J$504,2,FALSE()),"Revisar código"))</f>
        <v/>
      </c>
      <c r="F447" s="13"/>
      <c r="G447" s="14"/>
      <c r="H447" s="20" t="str">
        <f t="shared" si="6"/>
        <v/>
      </c>
      <c r="I447" s="12"/>
      <c r="J447" s="12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spans="2:27" ht="21.75" customHeight="1" x14ac:dyDescent="0.25">
      <c r="B448" s="12"/>
      <c r="C448" s="15"/>
      <c r="D448" s="12"/>
      <c r="E448" s="10" t="str">
        <f>IF(D448="","",IFERROR(VLOOKUP(D448,Productos!$B$5:$J$504,2,FALSE()),"Revisar código"))</f>
        <v/>
      </c>
      <c r="F448" s="13"/>
      <c r="G448" s="14"/>
      <c r="H448" s="20" t="str">
        <f t="shared" si="6"/>
        <v/>
      </c>
      <c r="I448" s="12"/>
      <c r="J448" s="12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spans="2:27" ht="21.75" customHeight="1" x14ac:dyDescent="0.25">
      <c r="B449" s="12"/>
      <c r="C449" s="15"/>
      <c r="D449" s="12"/>
      <c r="E449" s="10" t="str">
        <f>IF(D449="","",IFERROR(VLOOKUP(D449,Productos!$B$5:$J$504,2,FALSE()),"Revisar código"))</f>
        <v/>
      </c>
      <c r="F449" s="13"/>
      <c r="G449" s="14"/>
      <c r="H449" s="20" t="str">
        <f t="shared" si="6"/>
        <v/>
      </c>
      <c r="I449" s="12"/>
      <c r="J449" s="12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spans="2:27" ht="21.75" customHeight="1" x14ac:dyDescent="0.25">
      <c r="B450" s="12"/>
      <c r="C450" s="15"/>
      <c r="D450" s="12"/>
      <c r="E450" s="10" t="str">
        <f>IF(D450="","",IFERROR(VLOOKUP(D450,Productos!$B$5:$J$504,2,FALSE()),"Revisar código"))</f>
        <v/>
      </c>
      <c r="F450" s="13"/>
      <c r="G450" s="14"/>
      <c r="H450" s="20" t="str">
        <f t="shared" si="6"/>
        <v/>
      </c>
      <c r="I450" s="12"/>
      <c r="J450" s="12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spans="2:27" ht="21.75" customHeight="1" x14ac:dyDescent="0.25">
      <c r="B451" s="12"/>
      <c r="C451" s="15"/>
      <c r="D451" s="12"/>
      <c r="E451" s="10" t="str">
        <f>IF(D451="","",IFERROR(VLOOKUP(D451,Productos!$B$5:$J$504,2,FALSE()),"Revisar código"))</f>
        <v/>
      </c>
      <c r="F451" s="13"/>
      <c r="G451" s="14"/>
      <c r="H451" s="20" t="str">
        <f t="shared" si="6"/>
        <v/>
      </c>
      <c r="I451" s="12"/>
      <c r="J451" s="12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spans="2:27" ht="21.75" customHeight="1" x14ac:dyDescent="0.25">
      <c r="B452" s="12"/>
      <c r="C452" s="15"/>
      <c r="D452" s="12"/>
      <c r="E452" s="10" t="str">
        <f>IF(D452="","",IFERROR(VLOOKUP(D452,Productos!$B$5:$J$504,2,FALSE()),"Revisar código"))</f>
        <v/>
      </c>
      <c r="F452" s="13"/>
      <c r="G452" s="14"/>
      <c r="H452" s="20" t="str">
        <f t="shared" si="6"/>
        <v/>
      </c>
      <c r="I452" s="12"/>
      <c r="J452" s="12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spans="2:27" ht="21.75" customHeight="1" x14ac:dyDescent="0.25">
      <c r="B453" s="12"/>
      <c r="C453" s="15"/>
      <c r="D453" s="12"/>
      <c r="E453" s="10" t="str">
        <f>IF(D453="","",IFERROR(VLOOKUP(D453,Productos!$B$5:$J$504,2,FALSE()),"Revisar código"))</f>
        <v/>
      </c>
      <c r="F453" s="13"/>
      <c r="G453" s="14"/>
      <c r="H453" s="20" t="str">
        <f t="shared" ref="H453:H516" si="7">IF(OR(F453="",G453=""),"",F453*G453)</f>
        <v/>
      </c>
      <c r="I453" s="12"/>
      <c r="J453" s="12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spans="2:27" ht="21.75" customHeight="1" x14ac:dyDescent="0.25">
      <c r="B454" s="12"/>
      <c r="C454" s="15"/>
      <c r="D454" s="12"/>
      <c r="E454" s="10" t="str">
        <f>IF(D454="","",IFERROR(VLOOKUP(D454,Productos!$B$5:$J$504,2,FALSE()),"Revisar código"))</f>
        <v/>
      </c>
      <c r="F454" s="13"/>
      <c r="G454" s="14"/>
      <c r="H454" s="20" t="str">
        <f t="shared" si="7"/>
        <v/>
      </c>
      <c r="I454" s="12"/>
      <c r="J454" s="12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spans="2:27" ht="21.75" customHeight="1" x14ac:dyDescent="0.25">
      <c r="B455" s="12"/>
      <c r="C455" s="15"/>
      <c r="D455" s="12"/>
      <c r="E455" s="10" t="str">
        <f>IF(D455="","",IFERROR(VLOOKUP(D455,Productos!$B$5:$J$504,2,FALSE()),"Revisar código"))</f>
        <v/>
      </c>
      <c r="F455" s="13"/>
      <c r="G455" s="14"/>
      <c r="H455" s="20" t="str">
        <f t="shared" si="7"/>
        <v/>
      </c>
      <c r="I455" s="12"/>
      <c r="J455" s="12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spans="2:27" ht="21.75" customHeight="1" x14ac:dyDescent="0.25">
      <c r="B456" s="12"/>
      <c r="C456" s="15"/>
      <c r="D456" s="12"/>
      <c r="E456" s="10" t="str">
        <f>IF(D456="","",IFERROR(VLOOKUP(D456,Productos!$B$5:$J$504,2,FALSE()),"Revisar código"))</f>
        <v/>
      </c>
      <c r="F456" s="13"/>
      <c r="G456" s="14"/>
      <c r="H456" s="20" t="str">
        <f t="shared" si="7"/>
        <v/>
      </c>
      <c r="I456" s="12"/>
      <c r="J456" s="12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spans="2:27" ht="21.75" customHeight="1" x14ac:dyDescent="0.25">
      <c r="B457" s="12"/>
      <c r="C457" s="15"/>
      <c r="D457" s="12"/>
      <c r="E457" s="10" t="str">
        <f>IF(D457="","",IFERROR(VLOOKUP(D457,Productos!$B$5:$J$504,2,FALSE()),"Revisar código"))</f>
        <v/>
      </c>
      <c r="F457" s="13"/>
      <c r="G457" s="14"/>
      <c r="H457" s="20" t="str">
        <f t="shared" si="7"/>
        <v/>
      </c>
      <c r="I457" s="12"/>
      <c r="J457" s="12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spans="2:27" ht="21.75" customHeight="1" x14ac:dyDescent="0.25">
      <c r="B458" s="12"/>
      <c r="C458" s="15"/>
      <c r="D458" s="12"/>
      <c r="E458" s="10" t="str">
        <f>IF(D458="","",IFERROR(VLOOKUP(D458,Productos!$B$5:$J$504,2,FALSE()),"Revisar código"))</f>
        <v/>
      </c>
      <c r="F458" s="13"/>
      <c r="G458" s="14"/>
      <c r="H458" s="20" t="str">
        <f t="shared" si="7"/>
        <v/>
      </c>
      <c r="I458" s="12"/>
      <c r="J458" s="12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spans="2:27" ht="21.75" customHeight="1" x14ac:dyDescent="0.25">
      <c r="B459" s="12"/>
      <c r="C459" s="15"/>
      <c r="D459" s="12"/>
      <c r="E459" s="10" t="str">
        <f>IF(D459="","",IFERROR(VLOOKUP(D459,Productos!$B$5:$J$504,2,FALSE()),"Revisar código"))</f>
        <v/>
      </c>
      <c r="F459" s="13"/>
      <c r="G459" s="14"/>
      <c r="H459" s="20" t="str">
        <f t="shared" si="7"/>
        <v/>
      </c>
      <c r="I459" s="12"/>
      <c r="J459" s="12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spans="2:27" ht="21.75" customHeight="1" x14ac:dyDescent="0.25">
      <c r="B460" s="12"/>
      <c r="C460" s="15"/>
      <c r="D460" s="12"/>
      <c r="E460" s="10" t="str">
        <f>IF(D460="","",IFERROR(VLOOKUP(D460,Productos!$B$5:$J$504,2,FALSE()),"Revisar código"))</f>
        <v/>
      </c>
      <c r="F460" s="13"/>
      <c r="G460" s="14"/>
      <c r="H460" s="20" t="str">
        <f t="shared" si="7"/>
        <v/>
      </c>
      <c r="I460" s="12"/>
      <c r="J460" s="12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spans="2:27" ht="21.75" customHeight="1" x14ac:dyDescent="0.25">
      <c r="B461" s="12"/>
      <c r="C461" s="15"/>
      <c r="D461" s="12"/>
      <c r="E461" s="10" t="str">
        <f>IF(D461="","",IFERROR(VLOOKUP(D461,Productos!$B$5:$J$504,2,FALSE()),"Revisar código"))</f>
        <v/>
      </c>
      <c r="F461" s="13"/>
      <c r="G461" s="14"/>
      <c r="H461" s="20" t="str">
        <f t="shared" si="7"/>
        <v/>
      </c>
      <c r="I461" s="12"/>
      <c r="J461" s="12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spans="2:27" ht="21.75" customHeight="1" x14ac:dyDescent="0.25">
      <c r="B462" s="12"/>
      <c r="C462" s="15"/>
      <c r="D462" s="12"/>
      <c r="E462" s="10" t="str">
        <f>IF(D462="","",IFERROR(VLOOKUP(D462,Productos!$B$5:$J$504,2,FALSE()),"Revisar código"))</f>
        <v/>
      </c>
      <c r="F462" s="13"/>
      <c r="G462" s="14"/>
      <c r="H462" s="20" t="str">
        <f t="shared" si="7"/>
        <v/>
      </c>
      <c r="I462" s="12"/>
      <c r="J462" s="12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spans="2:27" ht="21.75" customHeight="1" x14ac:dyDescent="0.25">
      <c r="B463" s="12"/>
      <c r="C463" s="15"/>
      <c r="D463" s="12"/>
      <c r="E463" s="10" t="str">
        <f>IF(D463="","",IFERROR(VLOOKUP(D463,Productos!$B$5:$J$504,2,FALSE()),"Revisar código"))</f>
        <v/>
      </c>
      <c r="F463" s="13"/>
      <c r="G463" s="14"/>
      <c r="H463" s="20" t="str">
        <f t="shared" si="7"/>
        <v/>
      </c>
      <c r="I463" s="12"/>
      <c r="J463" s="12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spans="2:27" ht="21.75" customHeight="1" x14ac:dyDescent="0.25">
      <c r="B464" s="12"/>
      <c r="C464" s="15"/>
      <c r="D464" s="12"/>
      <c r="E464" s="10" t="str">
        <f>IF(D464="","",IFERROR(VLOOKUP(D464,Productos!$B$5:$J$504,2,FALSE()),"Revisar código"))</f>
        <v/>
      </c>
      <c r="F464" s="13"/>
      <c r="G464" s="14"/>
      <c r="H464" s="20" t="str">
        <f t="shared" si="7"/>
        <v/>
      </c>
      <c r="I464" s="12"/>
      <c r="J464" s="12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spans="2:27" ht="21.75" customHeight="1" x14ac:dyDescent="0.25">
      <c r="B465" s="12"/>
      <c r="C465" s="15"/>
      <c r="D465" s="12"/>
      <c r="E465" s="10" t="str">
        <f>IF(D465="","",IFERROR(VLOOKUP(D465,Productos!$B$5:$J$504,2,FALSE()),"Revisar código"))</f>
        <v/>
      </c>
      <c r="F465" s="13"/>
      <c r="G465" s="14"/>
      <c r="H465" s="20" t="str">
        <f t="shared" si="7"/>
        <v/>
      </c>
      <c r="I465" s="12"/>
      <c r="J465" s="12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spans="2:27" ht="21.75" customHeight="1" x14ac:dyDescent="0.25">
      <c r="B466" s="12"/>
      <c r="C466" s="15"/>
      <c r="D466" s="12"/>
      <c r="E466" s="10" t="str">
        <f>IF(D466="","",IFERROR(VLOOKUP(D466,Productos!$B$5:$J$504,2,FALSE()),"Revisar código"))</f>
        <v/>
      </c>
      <c r="F466" s="13"/>
      <c r="G466" s="14"/>
      <c r="H466" s="20" t="str">
        <f t="shared" si="7"/>
        <v/>
      </c>
      <c r="I466" s="12"/>
      <c r="J466" s="12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spans="2:27" ht="21.75" customHeight="1" x14ac:dyDescent="0.25">
      <c r="B467" s="12"/>
      <c r="C467" s="15"/>
      <c r="D467" s="12"/>
      <c r="E467" s="10" t="str">
        <f>IF(D467="","",IFERROR(VLOOKUP(D467,Productos!$B$5:$J$504,2,FALSE()),"Revisar código"))</f>
        <v/>
      </c>
      <c r="F467" s="13"/>
      <c r="G467" s="14"/>
      <c r="H467" s="20" t="str">
        <f t="shared" si="7"/>
        <v/>
      </c>
      <c r="I467" s="12"/>
      <c r="J467" s="12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spans="2:27" ht="21.75" customHeight="1" x14ac:dyDescent="0.25">
      <c r="B468" s="12"/>
      <c r="C468" s="15"/>
      <c r="D468" s="12"/>
      <c r="E468" s="10" t="str">
        <f>IF(D468="","",IFERROR(VLOOKUP(D468,Productos!$B$5:$J$504,2,FALSE()),"Revisar código"))</f>
        <v/>
      </c>
      <c r="F468" s="13"/>
      <c r="G468" s="14"/>
      <c r="H468" s="20" t="str">
        <f t="shared" si="7"/>
        <v/>
      </c>
      <c r="I468" s="12"/>
      <c r="J468" s="12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spans="2:27" ht="21.75" customHeight="1" x14ac:dyDescent="0.25">
      <c r="B469" s="12"/>
      <c r="C469" s="15"/>
      <c r="D469" s="12"/>
      <c r="E469" s="10" t="str">
        <f>IF(D469="","",IFERROR(VLOOKUP(D469,Productos!$B$5:$J$504,2,FALSE()),"Revisar código"))</f>
        <v/>
      </c>
      <c r="F469" s="13"/>
      <c r="G469" s="14"/>
      <c r="H469" s="20" t="str">
        <f t="shared" si="7"/>
        <v/>
      </c>
      <c r="I469" s="12"/>
      <c r="J469" s="12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spans="2:27" ht="21.75" customHeight="1" x14ac:dyDescent="0.25">
      <c r="B470" s="12"/>
      <c r="C470" s="15"/>
      <c r="D470" s="12"/>
      <c r="E470" s="10" t="str">
        <f>IF(D470="","",IFERROR(VLOOKUP(D470,Productos!$B$5:$J$504,2,FALSE()),"Revisar código"))</f>
        <v/>
      </c>
      <c r="F470" s="13"/>
      <c r="G470" s="14"/>
      <c r="H470" s="20" t="str">
        <f t="shared" si="7"/>
        <v/>
      </c>
      <c r="I470" s="12"/>
      <c r="J470" s="12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spans="2:27" ht="21.75" customHeight="1" x14ac:dyDescent="0.25">
      <c r="B471" s="12"/>
      <c r="C471" s="15"/>
      <c r="D471" s="12"/>
      <c r="E471" s="10" t="str">
        <f>IF(D471="","",IFERROR(VLOOKUP(D471,Productos!$B$5:$J$504,2,FALSE()),"Revisar código"))</f>
        <v/>
      </c>
      <c r="F471" s="13"/>
      <c r="G471" s="14"/>
      <c r="H471" s="20" t="str">
        <f t="shared" si="7"/>
        <v/>
      </c>
      <c r="I471" s="12"/>
      <c r="J471" s="12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spans="2:27" ht="21.75" customHeight="1" x14ac:dyDescent="0.25">
      <c r="B472" s="12"/>
      <c r="C472" s="15"/>
      <c r="D472" s="12"/>
      <c r="E472" s="10" t="str">
        <f>IF(D472="","",IFERROR(VLOOKUP(D472,Productos!$B$5:$J$504,2,FALSE()),"Revisar código"))</f>
        <v/>
      </c>
      <c r="F472" s="13"/>
      <c r="G472" s="14"/>
      <c r="H472" s="20" t="str">
        <f t="shared" si="7"/>
        <v/>
      </c>
      <c r="I472" s="12"/>
      <c r="J472" s="12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spans="2:27" ht="21.75" customHeight="1" x14ac:dyDescent="0.25">
      <c r="B473" s="12"/>
      <c r="C473" s="15"/>
      <c r="D473" s="12"/>
      <c r="E473" s="10" t="str">
        <f>IF(D473="","",IFERROR(VLOOKUP(D473,Productos!$B$5:$J$504,2,FALSE()),"Revisar código"))</f>
        <v/>
      </c>
      <c r="F473" s="13"/>
      <c r="G473" s="14"/>
      <c r="H473" s="20" t="str">
        <f t="shared" si="7"/>
        <v/>
      </c>
      <c r="I473" s="12"/>
      <c r="J473" s="12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spans="2:27" ht="21.75" customHeight="1" x14ac:dyDescent="0.25">
      <c r="B474" s="12"/>
      <c r="C474" s="15"/>
      <c r="D474" s="12"/>
      <c r="E474" s="10" t="str">
        <f>IF(D474="","",IFERROR(VLOOKUP(D474,Productos!$B$5:$J$504,2,FALSE()),"Revisar código"))</f>
        <v/>
      </c>
      <c r="F474" s="13"/>
      <c r="G474" s="14"/>
      <c r="H474" s="20" t="str">
        <f t="shared" si="7"/>
        <v/>
      </c>
      <c r="I474" s="12"/>
      <c r="J474" s="12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spans="2:27" ht="21.75" customHeight="1" x14ac:dyDescent="0.25">
      <c r="B475" s="12"/>
      <c r="C475" s="15"/>
      <c r="D475" s="12"/>
      <c r="E475" s="10" t="str">
        <f>IF(D475="","",IFERROR(VLOOKUP(D475,Productos!$B$5:$J$504,2,FALSE()),"Revisar código"))</f>
        <v/>
      </c>
      <c r="F475" s="13"/>
      <c r="G475" s="14"/>
      <c r="H475" s="20" t="str">
        <f t="shared" si="7"/>
        <v/>
      </c>
      <c r="I475" s="12"/>
      <c r="J475" s="12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spans="2:27" ht="21.75" customHeight="1" x14ac:dyDescent="0.25">
      <c r="B476" s="12"/>
      <c r="C476" s="15"/>
      <c r="D476" s="12"/>
      <c r="E476" s="10" t="str">
        <f>IF(D476="","",IFERROR(VLOOKUP(D476,Productos!$B$5:$J$504,2,FALSE()),"Revisar código"))</f>
        <v/>
      </c>
      <c r="F476" s="13"/>
      <c r="G476" s="14"/>
      <c r="H476" s="20" t="str">
        <f t="shared" si="7"/>
        <v/>
      </c>
      <c r="I476" s="12"/>
      <c r="J476" s="12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spans="2:27" ht="21.75" customHeight="1" x14ac:dyDescent="0.25">
      <c r="B477" s="12"/>
      <c r="C477" s="15"/>
      <c r="D477" s="12"/>
      <c r="E477" s="10" t="str">
        <f>IF(D477="","",IFERROR(VLOOKUP(D477,Productos!$B$5:$J$504,2,FALSE()),"Revisar código"))</f>
        <v/>
      </c>
      <c r="F477" s="13"/>
      <c r="G477" s="14"/>
      <c r="H477" s="20" t="str">
        <f t="shared" si="7"/>
        <v/>
      </c>
      <c r="I477" s="12"/>
      <c r="J477" s="12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spans="2:27" ht="21.75" customHeight="1" x14ac:dyDescent="0.25">
      <c r="B478" s="12"/>
      <c r="C478" s="15"/>
      <c r="D478" s="12"/>
      <c r="E478" s="10" t="str">
        <f>IF(D478="","",IFERROR(VLOOKUP(D478,Productos!$B$5:$J$504,2,FALSE()),"Revisar código"))</f>
        <v/>
      </c>
      <c r="F478" s="13"/>
      <c r="G478" s="14"/>
      <c r="H478" s="20" t="str">
        <f t="shared" si="7"/>
        <v/>
      </c>
      <c r="I478" s="12"/>
      <c r="J478" s="12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spans="2:27" ht="21.75" customHeight="1" x14ac:dyDescent="0.25">
      <c r="B479" s="12"/>
      <c r="C479" s="15"/>
      <c r="D479" s="12"/>
      <c r="E479" s="10" t="str">
        <f>IF(D479="","",IFERROR(VLOOKUP(D479,Productos!$B$5:$J$504,2,FALSE()),"Revisar código"))</f>
        <v/>
      </c>
      <c r="F479" s="13"/>
      <c r="G479" s="14"/>
      <c r="H479" s="20" t="str">
        <f t="shared" si="7"/>
        <v/>
      </c>
      <c r="I479" s="12"/>
      <c r="J479" s="12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spans="2:27" ht="21.75" customHeight="1" x14ac:dyDescent="0.25">
      <c r="B480" s="12"/>
      <c r="C480" s="15"/>
      <c r="D480" s="12"/>
      <c r="E480" s="10" t="str">
        <f>IF(D480="","",IFERROR(VLOOKUP(D480,Productos!$B$5:$J$504,2,FALSE()),"Revisar código"))</f>
        <v/>
      </c>
      <c r="F480" s="13"/>
      <c r="G480" s="14"/>
      <c r="H480" s="20" t="str">
        <f t="shared" si="7"/>
        <v/>
      </c>
      <c r="I480" s="12"/>
      <c r="J480" s="12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spans="2:27" ht="21.75" customHeight="1" x14ac:dyDescent="0.25">
      <c r="B481" s="12"/>
      <c r="C481" s="15"/>
      <c r="D481" s="12"/>
      <c r="E481" s="10" t="str">
        <f>IF(D481="","",IFERROR(VLOOKUP(D481,Productos!$B$5:$J$504,2,FALSE()),"Revisar código"))</f>
        <v/>
      </c>
      <c r="F481" s="13"/>
      <c r="G481" s="14"/>
      <c r="H481" s="20" t="str">
        <f t="shared" si="7"/>
        <v/>
      </c>
      <c r="I481" s="12"/>
      <c r="J481" s="12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spans="2:27" ht="21.75" customHeight="1" x14ac:dyDescent="0.25">
      <c r="B482" s="12"/>
      <c r="C482" s="15"/>
      <c r="D482" s="12"/>
      <c r="E482" s="10" t="str">
        <f>IF(D482="","",IFERROR(VLOOKUP(D482,Productos!$B$5:$J$504,2,FALSE()),"Revisar código"))</f>
        <v/>
      </c>
      <c r="F482" s="13"/>
      <c r="G482" s="14"/>
      <c r="H482" s="20" t="str">
        <f t="shared" si="7"/>
        <v/>
      </c>
      <c r="I482" s="12"/>
      <c r="J482" s="12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spans="2:27" ht="21.75" customHeight="1" x14ac:dyDescent="0.25">
      <c r="B483" s="12"/>
      <c r="C483" s="15"/>
      <c r="D483" s="12"/>
      <c r="E483" s="10" t="str">
        <f>IF(D483="","",IFERROR(VLOOKUP(D483,Productos!$B$5:$J$504,2,FALSE()),"Revisar código"))</f>
        <v/>
      </c>
      <c r="F483" s="13"/>
      <c r="G483" s="14"/>
      <c r="H483" s="20" t="str">
        <f t="shared" si="7"/>
        <v/>
      </c>
      <c r="I483" s="12"/>
      <c r="J483" s="12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spans="2:27" ht="21.75" customHeight="1" x14ac:dyDescent="0.25">
      <c r="B484" s="12"/>
      <c r="C484" s="15"/>
      <c r="D484" s="12"/>
      <c r="E484" s="10" t="str">
        <f>IF(D484="","",IFERROR(VLOOKUP(D484,Productos!$B$5:$J$504,2,FALSE()),"Revisar código"))</f>
        <v/>
      </c>
      <c r="F484" s="13"/>
      <c r="G484" s="14"/>
      <c r="H484" s="20" t="str">
        <f t="shared" si="7"/>
        <v/>
      </c>
      <c r="I484" s="12"/>
      <c r="J484" s="12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spans="2:27" ht="21.75" customHeight="1" x14ac:dyDescent="0.25">
      <c r="B485" s="12"/>
      <c r="C485" s="15"/>
      <c r="D485" s="12"/>
      <c r="E485" s="10" t="str">
        <f>IF(D485="","",IFERROR(VLOOKUP(D485,Productos!$B$5:$J$504,2,FALSE()),"Revisar código"))</f>
        <v/>
      </c>
      <c r="F485" s="13"/>
      <c r="G485" s="14"/>
      <c r="H485" s="20" t="str">
        <f t="shared" si="7"/>
        <v/>
      </c>
      <c r="I485" s="12"/>
      <c r="J485" s="12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spans="2:27" ht="21.75" customHeight="1" x14ac:dyDescent="0.25">
      <c r="B486" s="12"/>
      <c r="C486" s="15"/>
      <c r="D486" s="12"/>
      <c r="E486" s="10" t="str">
        <f>IF(D486="","",IFERROR(VLOOKUP(D486,Productos!$B$5:$J$504,2,FALSE()),"Revisar código"))</f>
        <v/>
      </c>
      <c r="F486" s="13"/>
      <c r="G486" s="14"/>
      <c r="H486" s="20" t="str">
        <f t="shared" si="7"/>
        <v/>
      </c>
      <c r="I486" s="12"/>
      <c r="J486" s="12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spans="2:27" ht="21.75" customHeight="1" x14ac:dyDescent="0.25">
      <c r="B487" s="12"/>
      <c r="C487" s="15"/>
      <c r="D487" s="12"/>
      <c r="E487" s="10" t="str">
        <f>IF(D487="","",IFERROR(VLOOKUP(D487,Productos!$B$5:$J$504,2,FALSE()),"Revisar código"))</f>
        <v/>
      </c>
      <c r="F487" s="13"/>
      <c r="G487" s="14"/>
      <c r="H487" s="20" t="str">
        <f t="shared" si="7"/>
        <v/>
      </c>
      <c r="I487" s="12"/>
      <c r="J487" s="12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spans="2:27" ht="21.75" customHeight="1" x14ac:dyDescent="0.25">
      <c r="B488" s="12"/>
      <c r="C488" s="15"/>
      <c r="D488" s="12"/>
      <c r="E488" s="10" t="str">
        <f>IF(D488="","",IFERROR(VLOOKUP(D488,Productos!$B$5:$J$504,2,FALSE()),"Revisar código"))</f>
        <v/>
      </c>
      <c r="F488" s="13"/>
      <c r="G488" s="14"/>
      <c r="H488" s="20" t="str">
        <f t="shared" si="7"/>
        <v/>
      </c>
      <c r="I488" s="12"/>
      <c r="J488" s="12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spans="2:27" ht="21.75" customHeight="1" x14ac:dyDescent="0.25">
      <c r="B489" s="12"/>
      <c r="C489" s="15"/>
      <c r="D489" s="12"/>
      <c r="E489" s="10" t="str">
        <f>IF(D489="","",IFERROR(VLOOKUP(D489,Productos!$B$5:$J$504,2,FALSE()),"Revisar código"))</f>
        <v/>
      </c>
      <c r="F489" s="13"/>
      <c r="G489" s="14"/>
      <c r="H489" s="20" t="str">
        <f t="shared" si="7"/>
        <v/>
      </c>
      <c r="I489" s="12"/>
      <c r="J489" s="12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spans="2:27" ht="21.75" customHeight="1" x14ac:dyDescent="0.25">
      <c r="B490" s="12"/>
      <c r="C490" s="15"/>
      <c r="D490" s="12"/>
      <c r="E490" s="10" t="str">
        <f>IF(D490="","",IFERROR(VLOOKUP(D490,Productos!$B$5:$J$504,2,FALSE()),"Revisar código"))</f>
        <v/>
      </c>
      <c r="F490" s="13"/>
      <c r="G490" s="14"/>
      <c r="H490" s="20" t="str">
        <f t="shared" si="7"/>
        <v/>
      </c>
      <c r="I490" s="12"/>
      <c r="J490" s="12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spans="2:27" ht="21.75" customHeight="1" x14ac:dyDescent="0.25">
      <c r="B491" s="12"/>
      <c r="C491" s="15"/>
      <c r="D491" s="12"/>
      <c r="E491" s="10" t="str">
        <f>IF(D491="","",IFERROR(VLOOKUP(D491,Productos!$B$5:$J$504,2,FALSE()),"Revisar código"))</f>
        <v/>
      </c>
      <c r="F491" s="13"/>
      <c r="G491" s="14"/>
      <c r="H491" s="20" t="str">
        <f t="shared" si="7"/>
        <v/>
      </c>
      <c r="I491" s="12"/>
      <c r="J491" s="12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spans="2:27" ht="21.75" customHeight="1" x14ac:dyDescent="0.25">
      <c r="B492" s="12"/>
      <c r="C492" s="15"/>
      <c r="D492" s="12"/>
      <c r="E492" s="10" t="str">
        <f>IF(D492="","",IFERROR(VLOOKUP(D492,Productos!$B$5:$J$504,2,FALSE()),"Revisar código"))</f>
        <v/>
      </c>
      <c r="F492" s="13"/>
      <c r="G492" s="14"/>
      <c r="H492" s="20" t="str">
        <f t="shared" si="7"/>
        <v/>
      </c>
      <c r="I492" s="12"/>
      <c r="J492" s="12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spans="2:27" ht="21.75" customHeight="1" x14ac:dyDescent="0.25">
      <c r="B493" s="12"/>
      <c r="C493" s="15"/>
      <c r="D493" s="12"/>
      <c r="E493" s="10" t="str">
        <f>IF(D493="","",IFERROR(VLOOKUP(D493,Productos!$B$5:$J$504,2,FALSE()),"Revisar código"))</f>
        <v/>
      </c>
      <c r="F493" s="13"/>
      <c r="G493" s="14"/>
      <c r="H493" s="20" t="str">
        <f t="shared" si="7"/>
        <v/>
      </c>
      <c r="I493" s="12"/>
      <c r="J493" s="12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spans="2:27" ht="21.75" customHeight="1" x14ac:dyDescent="0.25">
      <c r="B494" s="12"/>
      <c r="C494" s="15"/>
      <c r="D494" s="12"/>
      <c r="E494" s="10" t="str">
        <f>IF(D494="","",IFERROR(VLOOKUP(D494,Productos!$B$5:$J$504,2,FALSE()),"Revisar código"))</f>
        <v/>
      </c>
      <c r="F494" s="13"/>
      <c r="G494" s="14"/>
      <c r="H494" s="20" t="str">
        <f t="shared" si="7"/>
        <v/>
      </c>
      <c r="I494" s="12"/>
      <c r="J494" s="12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spans="2:27" ht="21.75" customHeight="1" x14ac:dyDescent="0.25">
      <c r="B495" s="12"/>
      <c r="C495" s="15"/>
      <c r="D495" s="12"/>
      <c r="E495" s="10" t="str">
        <f>IF(D495="","",IFERROR(VLOOKUP(D495,Productos!$B$5:$J$504,2,FALSE()),"Revisar código"))</f>
        <v/>
      </c>
      <c r="F495" s="13"/>
      <c r="G495" s="14"/>
      <c r="H495" s="20" t="str">
        <f t="shared" si="7"/>
        <v/>
      </c>
      <c r="I495" s="12"/>
      <c r="J495" s="12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spans="2:27" ht="21.75" customHeight="1" x14ac:dyDescent="0.25">
      <c r="B496" s="12"/>
      <c r="C496" s="15"/>
      <c r="D496" s="12"/>
      <c r="E496" s="10" t="str">
        <f>IF(D496="","",IFERROR(VLOOKUP(D496,Productos!$B$5:$J$504,2,FALSE()),"Revisar código"))</f>
        <v/>
      </c>
      <c r="F496" s="13"/>
      <c r="G496" s="14"/>
      <c r="H496" s="20" t="str">
        <f t="shared" si="7"/>
        <v/>
      </c>
      <c r="I496" s="12"/>
      <c r="J496" s="12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spans="2:27" ht="21.75" customHeight="1" x14ac:dyDescent="0.25">
      <c r="B497" s="12"/>
      <c r="C497" s="15"/>
      <c r="D497" s="12"/>
      <c r="E497" s="10" t="str">
        <f>IF(D497="","",IFERROR(VLOOKUP(D497,Productos!$B$5:$J$504,2,FALSE()),"Revisar código"))</f>
        <v/>
      </c>
      <c r="F497" s="13"/>
      <c r="G497" s="14"/>
      <c r="H497" s="20" t="str">
        <f t="shared" si="7"/>
        <v/>
      </c>
      <c r="I497" s="12"/>
      <c r="J497" s="12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spans="2:27" ht="21.75" customHeight="1" x14ac:dyDescent="0.25">
      <c r="B498" s="12"/>
      <c r="C498" s="15"/>
      <c r="D498" s="12"/>
      <c r="E498" s="10" t="str">
        <f>IF(D498="","",IFERROR(VLOOKUP(D498,Productos!$B$5:$J$504,2,FALSE()),"Revisar código"))</f>
        <v/>
      </c>
      <c r="F498" s="13"/>
      <c r="G498" s="14"/>
      <c r="H498" s="20" t="str">
        <f t="shared" si="7"/>
        <v/>
      </c>
      <c r="I498" s="12"/>
      <c r="J498" s="12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spans="2:27" ht="21.75" customHeight="1" x14ac:dyDescent="0.25">
      <c r="B499" s="12"/>
      <c r="C499" s="15"/>
      <c r="D499" s="12"/>
      <c r="E499" s="10" t="str">
        <f>IF(D499="","",IFERROR(VLOOKUP(D499,Productos!$B$5:$J$504,2,FALSE()),"Revisar código"))</f>
        <v/>
      </c>
      <c r="F499" s="13"/>
      <c r="G499" s="14"/>
      <c r="H499" s="20" t="str">
        <f t="shared" si="7"/>
        <v/>
      </c>
      <c r="I499" s="12"/>
      <c r="J499" s="12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spans="2:27" ht="21.75" customHeight="1" x14ac:dyDescent="0.25">
      <c r="B500" s="12"/>
      <c r="C500" s="15"/>
      <c r="D500" s="12"/>
      <c r="E500" s="10" t="str">
        <f>IF(D500="","",IFERROR(VLOOKUP(D500,Productos!$B$5:$J$504,2,FALSE()),"Revisar código"))</f>
        <v/>
      </c>
      <c r="F500" s="13"/>
      <c r="G500" s="14"/>
      <c r="H500" s="20" t="str">
        <f t="shared" si="7"/>
        <v/>
      </c>
      <c r="I500" s="12"/>
      <c r="J500" s="12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spans="2:27" ht="21.75" customHeight="1" x14ac:dyDescent="0.25">
      <c r="B501" s="12"/>
      <c r="C501" s="15"/>
      <c r="D501" s="12"/>
      <c r="E501" s="10" t="str">
        <f>IF(D501="","",IFERROR(VLOOKUP(D501,Productos!$B$5:$J$504,2,FALSE()),"Revisar código"))</f>
        <v/>
      </c>
      <c r="F501" s="13"/>
      <c r="G501" s="14"/>
      <c r="H501" s="20" t="str">
        <f t="shared" si="7"/>
        <v/>
      </c>
      <c r="I501" s="12"/>
      <c r="J501" s="12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spans="2:27" ht="21.75" customHeight="1" x14ac:dyDescent="0.25">
      <c r="B502" s="12"/>
      <c r="C502" s="15"/>
      <c r="D502" s="12"/>
      <c r="E502" s="10" t="str">
        <f>IF(D502="","",IFERROR(VLOOKUP(D502,Productos!$B$5:$J$504,2,FALSE()),"Revisar código"))</f>
        <v/>
      </c>
      <c r="F502" s="13"/>
      <c r="G502" s="14"/>
      <c r="H502" s="20" t="str">
        <f t="shared" si="7"/>
        <v/>
      </c>
      <c r="I502" s="12"/>
      <c r="J502" s="12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spans="2:27" ht="21.75" customHeight="1" x14ac:dyDescent="0.25">
      <c r="B503" s="12"/>
      <c r="C503" s="15"/>
      <c r="D503" s="12"/>
      <c r="E503" s="10" t="str">
        <f>IF(D503="","",IFERROR(VLOOKUP(D503,Productos!$B$5:$J$504,2,FALSE()),"Revisar código"))</f>
        <v/>
      </c>
      <c r="F503" s="13"/>
      <c r="G503" s="14"/>
      <c r="H503" s="20" t="str">
        <f t="shared" si="7"/>
        <v/>
      </c>
      <c r="I503" s="12"/>
      <c r="J503" s="12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spans="2:27" ht="21.75" customHeight="1" x14ac:dyDescent="0.25">
      <c r="B504" s="12"/>
      <c r="C504" s="15"/>
      <c r="D504" s="12"/>
      <c r="E504" s="10" t="str">
        <f>IF(D504="","",IFERROR(VLOOKUP(D504,Productos!$B$5:$J$504,2,FALSE()),"Revisar código"))</f>
        <v/>
      </c>
      <c r="F504" s="13"/>
      <c r="G504" s="14"/>
      <c r="H504" s="20" t="str">
        <f t="shared" si="7"/>
        <v/>
      </c>
      <c r="I504" s="12"/>
      <c r="J504" s="12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spans="2:27" ht="21.75" customHeight="1" x14ac:dyDescent="0.25">
      <c r="B505" s="12"/>
      <c r="C505" s="15"/>
      <c r="D505" s="12"/>
      <c r="E505" s="10" t="str">
        <f>IF(D505="","",IFERROR(VLOOKUP(D505,Productos!$B$5:$J$204,2,FALSE()),"Revisar código"))</f>
        <v/>
      </c>
      <c r="F505" s="13"/>
      <c r="G505" s="14"/>
      <c r="H505" s="20" t="str">
        <f t="shared" si="7"/>
        <v/>
      </c>
      <c r="I505" s="12"/>
      <c r="J505" s="12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spans="2:27" ht="21.75" customHeight="1" x14ac:dyDescent="0.25">
      <c r="B506" s="12"/>
      <c r="C506" s="15"/>
      <c r="D506" s="12"/>
      <c r="E506" s="10" t="str">
        <f>IF(D506="","",IFERROR(VLOOKUP(D506,Productos!$B$5:$J$204,2,FALSE()),"Revisar código"))</f>
        <v/>
      </c>
      <c r="F506" s="13"/>
      <c r="G506" s="14"/>
      <c r="H506" s="20" t="str">
        <f t="shared" si="7"/>
        <v/>
      </c>
      <c r="I506" s="12"/>
      <c r="J506" s="12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spans="2:27" ht="21.75" customHeight="1" x14ac:dyDescent="0.25">
      <c r="B507" s="12"/>
      <c r="C507" s="15"/>
      <c r="D507" s="12"/>
      <c r="E507" s="10" t="str">
        <f>IF(D507="","",IFERROR(VLOOKUP(D507,Productos!$B$5:$J$204,2,FALSE()),"Revisar código"))</f>
        <v/>
      </c>
      <c r="F507" s="13"/>
      <c r="G507" s="14"/>
      <c r="H507" s="20" t="str">
        <f t="shared" si="7"/>
        <v/>
      </c>
      <c r="I507" s="12"/>
      <c r="J507" s="12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spans="2:27" ht="21.75" customHeight="1" x14ac:dyDescent="0.25">
      <c r="B508" s="12"/>
      <c r="C508" s="15"/>
      <c r="D508" s="12"/>
      <c r="E508" s="10" t="str">
        <f>IF(D508="","",IFERROR(VLOOKUP(D508,Productos!$B$5:$J$204,2,FALSE()),"Revisar código"))</f>
        <v/>
      </c>
      <c r="F508" s="13"/>
      <c r="G508" s="14"/>
      <c r="H508" s="20" t="str">
        <f t="shared" si="7"/>
        <v/>
      </c>
      <c r="I508" s="12"/>
      <c r="J508" s="12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spans="2:27" ht="21.75" customHeight="1" x14ac:dyDescent="0.25">
      <c r="B509" s="12"/>
      <c r="C509" s="15"/>
      <c r="D509" s="12"/>
      <c r="E509" s="10" t="str">
        <f>IF(D509="","",IFERROR(VLOOKUP(D509,Productos!$B$5:$J$204,2,FALSE()),"Revisar código"))</f>
        <v/>
      </c>
      <c r="F509" s="13"/>
      <c r="G509" s="14"/>
      <c r="H509" s="20" t="str">
        <f t="shared" si="7"/>
        <v/>
      </c>
      <c r="I509" s="12"/>
      <c r="J509" s="12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spans="2:27" ht="21.75" customHeight="1" x14ac:dyDescent="0.25">
      <c r="B510" s="12"/>
      <c r="C510" s="15"/>
      <c r="D510" s="12"/>
      <c r="E510" s="10" t="str">
        <f>IF(D510="","",IFERROR(VLOOKUP(D510,Productos!$B$5:$J$204,2,FALSE()),"Revisar código"))</f>
        <v/>
      </c>
      <c r="F510" s="13"/>
      <c r="G510" s="14"/>
      <c r="H510" s="20" t="str">
        <f t="shared" si="7"/>
        <v/>
      </c>
      <c r="I510" s="12"/>
      <c r="J510" s="12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spans="2:27" ht="21.75" customHeight="1" x14ac:dyDescent="0.25">
      <c r="B511" s="12"/>
      <c r="C511" s="15"/>
      <c r="D511" s="12"/>
      <c r="E511" s="10" t="str">
        <f>IF(D511="","",IFERROR(VLOOKUP(D511,Productos!$B$5:$J$204,2,FALSE()),"Revisar código"))</f>
        <v/>
      </c>
      <c r="F511" s="13"/>
      <c r="G511" s="14"/>
      <c r="H511" s="20" t="str">
        <f t="shared" si="7"/>
        <v/>
      </c>
      <c r="I511" s="12"/>
      <c r="J511" s="12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spans="2:27" ht="21.75" customHeight="1" x14ac:dyDescent="0.25">
      <c r="B512" s="12"/>
      <c r="C512" s="15"/>
      <c r="D512" s="12"/>
      <c r="E512" s="10" t="str">
        <f>IF(D512="","",IFERROR(VLOOKUP(D512,Productos!$B$5:$J$204,2,FALSE()),"Revisar código"))</f>
        <v/>
      </c>
      <c r="F512" s="13"/>
      <c r="G512" s="14"/>
      <c r="H512" s="20" t="str">
        <f t="shared" si="7"/>
        <v/>
      </c>
      <c r="I512" s="12"/>
      <c r="J512" s="12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spans="2:27" ht="21.75" customHeight="1" x14ac:dyDescent="0.25">
      <c r="B513" s="12"/>
      <c r="C513" s="15"/>
      <c r="D513" s="12"/>
      <c r="E513" s="10" t="str">
        <f>IF(D513="","",IFERROR(VLOOKUP(D513,Productos!$B$5:$J$204,2,FALSE()),"Revisar código"))</f>
        <v/>
      </c>
      <c r="F513" s="13"/>
      <c r="G513" s="14"/>
      <c r="H513" s="20" t="str">
        <f t="shared" si="7"/>
        <v/>
      </c>
      <c r="I513" s="12"/>
      <c r="J513" s="12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spans="2:27" ht="21.75" customHeight="1" x14ac:dyDescent="0.25">
      <c r="B514" s="12"/>
      <c r="C514" s="15"/>
      <c r="D514" s="12"/>
      <c r="E514" s="10" t="str">
        <f>IF(D514="","",IFERROR(VLOOKUP(D514,Productos!$B$5:$J$204,2,FALSE()),"Revisar código"))</f>
        <v/>
      </c>
      <c r="F514" s="13"/>
      <c r="G514" s="14"/>
      <c r="H514" s="20" t="str">
        <f t="shared" si="7"/>
        <v/>
      </c>
      <c r="I514" s="12"/>
      <c r="J514" s="12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spans="2:27" ht="21.75" customHeight="1" x14ac:dyDescent="0.25">
      <c r="B515" s="12"/>
      <c r="C515" s="15"/>
      <c r="D515" s="12"/>
      <c r="E515" s="10" t="str">
        <f>IF(D515="","",IFERROR(VLOOKUP(D515,Productos!$B$5:$J$204,2,FALSE()),"Revisar código"))</f>
        <v/>
      </c>
      <c r="F515" s="13"/>
      <c r="G515" s="14"/>
      <c r="H515" s="20" t="str">
        <f t="shared" si="7"/>
        <v/>
      </c>
      <c r="I515" s="12"/>
      <c r="J515" s="12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spans="2:27" ht="21.75" customHeight="1" x14ac:dyDescent="0.25">
      <c r="B516" s="12"/>
      <c r="C516" s="15"/>
      <c r="D516" s="12"/>
      <c r="E516" s="10" t="str">
        <f>IF(D516="","",IFERROR(VLOOKUP(D516,Productos!$B$5:$J$204,2,FALSE()),"Revisar código"))</f>
        <v/>
      </c>
      <c r="F516" s="13"/>
      <c r="G516" s="14"/>
      <c r="H516" s="20" t="str">
        <f t="shared" si="7"/>
        <v/>
      </c>
      <c r="I516" s="12"/>
      <c r="J516" s="12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spans="2:27" ht="21.75" customHeight="1" x14ac:dyDescent="0.25">
      <c r="B517" s="12"/>
      <c r="C517" s="15"/>
      <c r="D517" s="12"/>
      <c r="E517" s="10" t="str">
        <f>IF(D517="","",IFERROR(VLOOKUP(D517,Productos!$B$5:$J$204,2,FALSE()),"Revisar código"))</f>
        <v/>
      </c>
      <c r="F517" s="13"/>
      <c r="G517" s="14"/>
      <c r="H517" s="20" t="str">
        <f t="shared" ref="H517:H580" si="8">IF(OR(F517="",G517=""),"",F517*G517)</f>
        <v/>
      </c>
      <c r="I517" s="12"/>
      <c r="J517" s="12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spans="2:27" ht="21.75" customHeight="1" x14ac:dyDescent="0.25">
      <c r="B518" s="12"/>
      <c r="C518" s="15"/>
      <c r="D518" s="12"/>
      <c r="E518" s="10" t="str">
        <f>IF(D518="","",IFERROR(VLOOKUP(D518,Productos!$B$5:$J$204,2,FALSE()),"Revisar código"))</f>
        <v/>
      </c>
      <c r="F518" s="13"/>
      <c r="G518" s="14"/>
      <c r="H518" s="20" t="str">
        <f t="shared" si="8"/>
        <v/>
      </c>
      <c r="I518" s="12"/>
      <c r="J518" s="12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spans="2:27" ht="21.75" customHeight="1" x14ac:dyDescent="0.25">
      <c r="B519" s="12"/>
      <c r="C519" s="15"/>
      <c r="D519" s="12"/>
      <c r="E519" s="10" t="str">
        <f>IF(D519="","",IFERROR(VLOOKUP(D519,Productos!$B$5:$J$204,2,FALSE()),"Revisar código"))</f>
        <v/>
      </c>
      <c r="F519" s="13"/>
      <c r="G519" s="14"/>
      <c r="H519" s="20" t="str">
        <f t="shared" si="8"/>
        <v/>
      </c>
      <c r="I519" s="12"/>
      <c r="J519" s="12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spans="2:27" ht="21.75" customHeight="1" x14ac:dyDescent="0.25">
      <c r="B520" s="12"/>
      <c r="C520" s="15"/>
      <c r="D520" s="12"/>
      <c r="E520" s="10" t="str">
        <f>IF(D520="","",IFERROR(VLOOKUP(D520,Productos!$B$5:$J$204,2,FALSE()),"Revisar código"))</f>
        <v/>
      </c>
      <c r="F520" s="13"/>
      <c r="G520" s="14"/>
      <c r="H520" s="20" t="str">
        <f t="shared" si="8"/>
        <v/>
      </c>
      <c r="I520" s="12"/>
      <c r="J520" s="12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spans="2:27" ht="21.75" customHeight="1" x14ac:dyDescent="0.25">
      <c r="B521" s="12"/>
      <c r="C521" s="15"/>
      <c r="D521" s="12"/>
      <c r="E521" s="10" t="str">
        <f>IF(D521="","",IFERROR(VLOOKUP(D521,Productos!$B$5:$J$204,2,FALSE()),"Revisar código"))</f>
        <v/>
      </c>
      <c r="F521" s="13"/>
      <c r="G521" s="14"/>
      <c r="H521" s="20" t="str">
        <f t="shared" si="8"/>
        <v/>
      </c>
      <c r="I521" s="12"/>
      <c r="J521" s="12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spans="2:27" ht="21.75" customHeight="1" x14ac:dyDescent="0.25">
      <c r="B522" s="12"/>
      <c r="C522" s="15"/>
      <c r="D522" s="12"/>
      <c r="E522" s="10" t="str">
        <f>IF(D522="","",IFERROR(VLOOKUP(D522,Productos!$B$5:$J$204,2,FALSE()),"Revisar código"))</f>
        <v/>
      </c>
      <c r="F522" s="13"/>
      <c r="G522" s="14"/>
      <c r="H522" s="20" t="str">
        <f t="shared" si="8"/>
        <v/>
      </c>
      <c r="I522" s="12"/>
      <c r="J522" s="12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spans="2:27" ht="21.75" customHeight="1" x14ac:dyDescent="0.25">
      <c r="B523" s="12"/>
      <c r="C523" s="15"/>
      <c r="D523" s="12"/>
      <c r="E523" s="10" t="str">
        <f>IF(D523="","",IFERROR(VLOOKUP(D523,Productos!$B$5:$J$204,2,FALSE()),"Revisar código"))</f>
        <v/>
      </c>
      <c r="F523" s="13"/>
      <c r="G523" s="14"/>
      <c r="H523" s="20" t="str">
        <f t="shared" si="8"/>
        <v/>
      </c>
      <c r="I523" s="12"/>
      <c r="J523" s="12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spans="2:27" ht="21.75" customHeight="1" x14ac:dyDescent="0.25">
      <c r="B524" s="12"/>
      <c r="C524" s="15"/>
      <c r="D524" s="12"/>
      <c r="E524" s="10" t="str">
        <f>IF(D524="","",IFERROR(VLOOKUP(D524,Productos!$B$5:$J$204,2,FALSE()),"Revisar código"))</f>
        <v/>
      </c>
      <c r="F524" s="13"/>
      <c r="G524" s="14"/>
      <c r="H524" s="20" t="str">
        <f t="shared" si="8"/>
        <v/>
      </c>
      <c r="I524" s="12"/>
      <c r="J524" s="12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spans="2:27" ht="21.75" customHeight="1" x14ac:dyDescent="0.25">
      <c r="B525" s="12"/>
      <c r="C525" s="15"/>
      <c r="D525" s="12"/>
      <c r="E525" s="10" t="str">
        <f>IF(D525="","",IFERROR(VLOOKUP(D525,Productos!$B$5:$J$204,2,FALSE()),"Revisar código"))</f>
        <v/>
      </c>
      <c r="F525" s="13"/>
      <c r="G525" s="14"/>
      <c r="H525" s="20" t="str">
        <f t="shared" si="8"/>
        <v/>
      </c>
      <c r="I525" s="12"/>
      <c r="J525" s="12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spans="2:27" ht="21.75" customHeight="1" x14ac:dyDescent="0.25">
      <c r="B526" s="12"/>
      <c r="C526" s="15"/>
      <c r="D526" s="12"/>
      <c r="E526" s="10" t="str">
        <f>IF(D526="","",IFERROR(VLOOKUP(D526,Productos!$B$5:$J$204,2,FALSE()),"Revisar código"))</f>
        <v/>
      </c>
      <c r="F526" s="13"/>
      <c r="G526" s="14"/>
      <c r="H526" s="20" t="str">
        <f t="shared" si="8"/>
        <v/>
      </c>
      <c r="I526" s="12"/>
      <c r="J526" s="12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spans="2:27" ht="21.75" customHeight="1" x14ac:dyDescent="0.25">
      <c r="B527" s="12"/>
      <c r="C527" s="15"/>
      <c r="D527" s="12"/>
      <c r="E527" s="10" t="str">
        <f>IF(D527="","",IFERROR(VLOOKUP(D527,Productos!$B$5:$J$204,2,FALSE()),"Revisar código"))</f>
        <v/>
      </c>
      <c r="F527" s="13"/>
      <c r="G527" s="14"/>
      <c r="H527" s="20" t="str">
        <f t="shared" si="8"/>
        <v/>
      </c>
      <c r="I527" s="12"/>
      <c r="J527" s="12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spans="2:27" ht="21.75" customHeight="1" x14ac:dyDescent="0.25">
      <c r="B528" s="12"/>
      <c r="C528" s="15"/>
      <c r="D528" s="12"/>
      <c r="E528" s="10" t="str">
        <f>IF(D528="","",IFERROR(VLOOKUP(D528,Productos!$B$5:$J$204,2,FALSE()),"Revisar código"))</f>
        <v/>
      </c>
      <c r="F528" s="13"/>
      <c r="G528" s="14"/>
      <c r="H528" s="20" t="str">
        <f t="shared" si="8"/>
        <v/>
      </c>
      <c r="I528" s="12"/>
      <c r="J528" s="12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spans="2:27" ht="21.75" customHeight="1" x14ac:dyDescent="0.25">
      <c r="B529" s="12"/>
      <c r="C529" s="15"/>
      <c r="D529" s="12"/>
      <c r="E529" s="10" t="str">
        <f>IF(D529="","",IFERROR(VLOOKUP(D529,Productos!$B$5:$J$204,2,FALSE()),"Revisar código"))</f>
        <v/>
      </c>
      <c r="F529" s="13"/>
      <c r="G529" s="14"/>
      <c r="H529" s="20" t="str">
        <f t="shared" si="8"/>
        <v/>
      </c>
      <c r="I529" s="12"/>
      <c r="J529" s="12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spans="2:27" ht="21.75" customHeight="1" x14ac:dyDescent="0.25">
      <c r="B530" s="12"/>
      <c r="C530" s="15"/>
      <c r="D530" s="12"/>
      <c r="E530" s="10" t="str">
        <f>IF(D530="","",IFERROR(VLOOKUP(D530,Productos!$B$5:$J$204,2,FALSE()),"Revisar código"))</f>
        <v/>
      </c>
      <c r="F530" s="13"/>
      <c r="G530" s="14"/>
      <c r="H530" s="20" t="str">
        <f t="shared" si="8"/>
        <v/>
      </c>
      <c r="I530" s="12"/>
      <c r="J530" s="12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spans="2:27" ht="21.75" customHeight="1" x14ac:dyDescent="0.25">
      <c r="B531" s="12"/>
      <c r="C531" s="15"/>
      <c r="D531" s="12"/>
      <c r="E531" s="10" t="str">
        <f>IF(D531="","",IFERROR(VLOOKUP(D531,Productos!$B$5:$J$204,2,FALSE()),"Revisar código"))</f>
        <v/>
      </c>
      <c r="F531" s="13"/>
      <c r="G531" s="14"/>
      <c r="H531" s="20" t="str">
        <f t="shared" si="8"/>
        <v/>
      </c>
      <c r="I531" s="12"/>
      <c r="J531" s="12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spans="2:27" ht="21.75" customHeight="1" x14ac:dyDescent="0.25">
      <c r="B532" s="12"/>
      <c r="C532" s="15"/>
      <c r="D532" s="12"/>
      <c r="E532" s="10" t="str">
        <f>IF(D532="","",IFERROR(VLOOKUP(D532,Productos!$B$5:$J$204,2,FALSE()),"Revisar código"))</f>
        <v/>
      </c>
      <c r="F532" s="13"/>
      <c r="G532" s="14"/>
      <c r="H532" s="20" t="str">
        <f t="shared" si="8"/>
        <v/>
      </c>
      <c r="I532" s="12"/>
      <c r="J532" s="12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spans="2:27" ht="21.75" customHeight="1" x14ac:dyDescent="0.25">
      <c r="B533" s="12"/>
      <c r="C533" s="15"/>
      <c r="D533" s="12"/>
      <c r="E533" s="10" t="str">
        <f>IF(D533="","",IFERROR(VLOOKUP(D533,Productos!$B$5:$J$204,2,FALSE()),"Revisar código"))</f>
        <v/>
      </c>
      <c r="F533" s="13"/>
      <c r="G533" s="14"/>
      <c r="H533" s="20" t="str">
        <f t="shared" si="8"/>
        <v/>
      </c>
      <c r="I533" s="12"/>
      <c r="J533" s="12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spans="2:27" ht="21.75" customHeight="1" x14ac:dyDescent="0.25">
      <c r="B534" s="12"/>
      <c r="C534" s="15"/>
      <c r="D534" s="12"/>
      <c r="E534" s="10" t="str">
        <f>IF(D534="","",IFERROR(VLOOKUP(D534,Productos!$B$5:$J$204,2,FALSE()),"Revisar código"))</f>
        <v/>
      </c>
      <c r="F534" s="13"/>
      <c r="G534" s="14"/>
      <c r="H534" s="20" t="str">
        <f t="shared" si="8"/>
        <v/>
      </c>
      <c r="I534" s="12"/>
      <c r="J534" s="12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spans="2:27" ht="21.75" customHeight="1" x14ac:dyDescent="0.25">
      <c r="B535" s="12"/>
      <c r="C535" s="15"/>
      <c r="D535" s="12"/>
      <c r="E535" s="10" t="str">
        <f>IF(D535="","",IFERROR(VLOOKUP(D535,Productos!$B$5:$J$204,2,FALSE()),"Revisar código"))</f>
        <v/>
      </c>
      <c r="F535" s="13"/>
      <c r="G535" s="14"/>
      <c r="H535" s="20" t="str">
        <f t="shared" si="8"/>
        <v/>
      </c>
      <c r="I535" s="12"/>
      <c r="J535" s="12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spans="2:27" ht="21.75" customHeight="1" x14ac:dyDescent="0.25">
      <c r="B536" s="12"/>
      <c r="C536" s="15"/>
      <c r="D536" s="12"/>
      <c r="E536" s="10" t="str">
        <f>IF(D536="","",IFERROR(VLOOKUP(D536,Productos!$B$5:$J$204,2,FALSE()),"Revisar código"))</f>
        <v/>
      </c>
      <c r="F536" s="13"/>
      <c r="G536" s="14"/>
      <c r="H536" s="20" t="str">
        <f t="shared" si="8"/>
        <v/>
      </c>
      <c r="I536" s="12"/>
      <c r="J536" s="12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spans="2:27" ht="21.75" customHeight="1" x14ac:dyDescent="0.25">
      <c r="B537" s="12"/>
      <c r="C537" s="15"/>
      <c r="D537" s="12"/>
      <c r="E537" s="10" t="str">
        <f>IF(D537="","",IFERROR(VLOOKUP(D537,Productos!$B$5:$J$204,2,FALSE()),"Revisar código"))</f>
        <v/>
      </c>
      <c r="F537" s="13"/>
      <c r="G537" s="14"/>
      <c r="H537" s="20" t="str">
        <f t="shared" si="8"/>
        <v/>
      </c>
      <c r="I537" s="12"/>
      <c r="J537" s="12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spans="2:27" ht="21.75" customHeight="1" x14ac:dyDescent="0.25">
      <c r="B538" s="12"/>
      <c r="C538" s="15"/>
      <c r="D538" s="12"/>
      <c r="E538" s="10" t="str">
        <f>IF(D538="","",IFERROR(VLOOKUP(D538,Productos!$B$5:$J$204,2,FALSE()),"Revisar código"))</f>
        <v/>
      </c>
      <c r="F538" s="13"/>
      <c r="G538" s="14"/>
      <c r="H538" s="20" t="str">
        <f t="shared" si="8"/>
        <v/>
      </c>
      <c r="I538" s="12"/>
      <c r="J538" s="12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spans="2:27" ht="21.75" customHeight="1" x14ac:dyDescent="0.25">
      <c r="B539" s="12"/>
      <c r="C539" s="15"/>
      <c r="D539" s="12"/>
      <c r="E539" s="10" t="str">
        <f>IF(D539="","",IFERROR(VLOOKUP(D539,Productos!$B$5:$J$204,2,FALSE()),"Revisar código"))</f>
        <v/>
      </c>
      <c r="F539" s="13"/>
      <c r="G539" s="14"/>
      <c r="H539" s="20" t="str">
        <f t="shared" si="8"/>
        <v/>
      </c>
      <c r="I539" s="12"/>
      <c r="J539" s="12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spans="2:27" ht="21.75" customHeight="1" x14ac:dyDescent="0.25">
      <c r="B540" s="12"/>
      <c r="C540" s="15"/>
      <c r="D540" s="12"/>
      <c r="E540" s="10" t="str">
        <f>IF(D540="","",IFERROR(VLOOKUP(D540,Productos!$B$5:$J$204,2,FALSE()),"Revisar código"))</f>
        <v/>
      </c>
      <c r="F540" s="13"/>
      <c r="G540" s="14"/>
      <c r="H540" s="20" t="str">
        <f t="shared" si="8"/>
        <v/>
      </c>
      <c r="I540" s="12"/>
      <c r="J540" s="12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spans="2:27" ht="21.75" customHeight="1" x14ac:dyDescent="0.25">
      <c r="B541" s="12"/>
      <c r="C541" s="15"/>
      <c r="D541" s="12"/>
      <c r="E541" s="10" t="str">
        <f>IF(D541="","",IFERROR(VLOOKUP(D541,Productos!$B$5:$J$204,2,FALSE()),"Revisar código"))</f>
        <v/>
      </c>
      <c r="F541" s="13"/>
      <c r="G541" s="14"/>
      <c r="H541" s="20" t="str">
        <f t="shared" si="8"/>
        <v/>
      </c>
      <c r="I541" s="12"/>
      <c r="J541" s="12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spans="2:27" ht="21.75" customHeight="1" x14ac:dyDescent="0.25">
      <c r="B542" s="12"/>
      <c r="C542" s="15"/>
      <c r="D542" s="12"/>
      <c r="E542" s="10" t="str">
        <f>IF(D542="","",IFERROR(VLOOKUP(D542,Productos!$B$5:$J$204,2,FALSE()),"Revisar código"))</f>
        <v/>
      </c>
      <c r="F542" s="13"/>
      <c r="G542" s="14"/>
      <c r="H542" s="20" t="str">
        <f t="shared" si="8"/>
        <v/>
      </c>
      <c r="I542" s="12"/>
      <c r="J542" s="12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spans="2:27" ht="21.75" customHeight="1" x14ac:dyDescent="0.25">
      <c r="B543" s="12"/>
      <c r="C543" s="15"/>
      <c r="D543" s="12"/>
      <c r="E543" s="10" t="str">
        <f>IF(D543="","",IFERROR(VLOOKUP(D543,Productos!$B$5:$J$204,2,FALSE()),"Revisar código"))</f>
        <v/>
      </c>
      <c r="F543" s="13"/>
      <c r="G543" s="14"/>
      <c r="H543" s="20" t="str">
        <f t="shared" si="8"/>
        <v/>
      </c>
      <c r="I543" s="12"/>
      <c r="J543" s="12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spans="2:27" ht="21.75" customHeight="1" x14ac:dyDescent="0.25">
      <c r="B544" s="12"/>
      <c r="C544" s="15"/>
      <c r="D544" s="12"/>
      <c r="E544" s="10" t="str">
        <f>IF(D544="","",IFERROR(VLOOKUP(D544,Productos!$B$5:$J$204,2,FALSE()),"Revisar código"))</f>
        <v/>
      </c>
      <c r="F544" s="13"/>
      <c r="G544" s="14"/>
      <c r="H544" s="20" t="str">
        <f t="shared" si="8"/>
        <v/>
      </c>
      <c r="I544" s="12"/>
      <c r="J544" s="12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spans="2:27" ht="21.75" customHeight="1" x14ac:dyDescent="0.25">
      <c r="B545" s="12"/>
      <c r="C545" s="15"/>
      <c r="D545" s="12"/>
      <c r="E545" s="10" t="str">
        <f>IF(D545="","",IFERROR(VLOOKUP(D545,Productos!$B$5:$J$204,2,FALSE()),"Revisar código"))</f>
        <v/>
      </c>
      <c r="F545" s="13"/>
      <c r="G545" s="14"/>
      <c r="H545" s="20" t="str">
        <f t="shared" si="8"/>
        <v/>
      </c>
      <c r="I545" s="12"/>
      <c r="J545" s="12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spans="2:27" ht="21.75" customHeight="1" x14ac:dyDescent="0.25">
      <c r="B546" s="12"/>
      <c r="C546" s="15"/>
      <c r="D546" s="12"/>
      <c r="E546" s="10" t="str">
        <f>IF(D546="","",IFERROR(VLOOKUP(D546,Productos!$B$5:$J$204,2,FALSE()),"Revisar código"))</f>
        <v/>
      </c>
      <c r="F546" s="13"/>
      <c r="G546" s="14"/>
      <c r="H546" s="20" t="str">
        <f t="shared" si="8"/>
        <v/>
      </c>
      <c r="I546" s="12"/>
      <c r="J546" s="12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spans="2:27" ht="21.75" customHeight="1" x14ac:dyDescent="0.25">
      <c r="B547" s="12"/>
      <c r="C547" s="15"/>
      <c r="D547" s="12"/>
      <c r="E547" s="10" t="str">
        <f>IF(D547="","",IFERROR(VLOOKUP(D547,Productos!$B$5:$J$204,2,FALSE()),"Revisar código"))</f>
        <v/>
      </c>
      <c r="F547" s="13"/>
      <c r="G547" s="14"/>
      <c r="H547" s="20" t="str">
        <f t="shared" si="8"/>
        <v/>
      </c>
      <c r="I547" s="12"/>
      <c r="J547" s="12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spans="2:27" ht="21.75" customHeight="1" x14ac:dyDescent="0.25">
      <c r="B548" s="12"/>
      <c r="C548" s="15"/>
      <c r="D548" s="12"/>
      <c r="E548" s="10" t="str">
        <f>IF(D548="","",IFERROR(VLOOKUP(D548,Productos!$B$5:$J$204,2,FALSE()),"Revisar código"))</f>
        <v/>
      </c>
      <c r="F548" s="13"/>
      <c r="G548" s="14"/>
      <c r="H548" s="20" t="str">
        <f t="shared" si="8"/>
        <v/>
      </c>
      <c r="I548" s="12"/>
      <c r="J548" s="12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spans="2:27" ht="21.75" customHeight="1" x14ac:dyDescent="0.25">
      <c r="B549" s="12"/>
      <c r="C549" s="15"/>
      <c r="D549" s="12"/>
      <c r="E549" s="10" t="str">
        <f>IF(D549="","",IFERROR(VLOOKUP(D549,Productos!$B$5:$J$204,2,FALSE()),"Revisar código"))</f>
        <v/>
      </c>
      <c r="F549" s="13"/>
      <c r="G549" s="14"/>
      <c r="H549" s="20" t="str">
        <f t="shared" si="8"/>
        <v/>
      </c>
      <c r="I549" s="12"/>
      <c r="J549" s="12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spans="2:27" ht="21.75" customHeight="1" x14ac:dyDescent="0.25">
      <c r="B550" s="12"/>
      <c r="C550" s="15"/>
      <c r="D550" s="12"/>
      <c r="E550" s="10" t="str">
        <f>IF(D550="","",IFERROR(VLOOKUP(D550,Productos!$B$5:$J$204,2,FALSE()),"Revisar código"))</f>
        <v/>
      </c>
      <c r="F550" s="13"/>
      <c r="G550" s="14"/>
      <c r="H550" s="20" t="str">
        <f t="shared" si="8"/>
        <v/>
      </c>
      <c r="I550" s="12"/>
      <c r="J550" s="12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spans="2:27" ht="21.75" customHeight="1" x14ac:dyDescent="0.25">
      <c r="B551" s="12"/>
      <c r="C551" s="15"/>
      <c r="D551" s="12"/>
      <c r="E551" s="10" t="str">
        <f>IF(D551="","",IFERROR(VLOOKUP(D551,Productos!$B$5:$J$204,2,FALSE()),"Revisar código"))</f>
        <v/>
      </c>
      <c r="F551" s="13"/>
      <c r="G551" s="14"/>
      <c r="H551" s="20" t="str">
        <f t="shared" si="8"/>
        <v/>
      </c>
      <c r="I551" s="12"/>
      <c r="J551" s="12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spans="2:27" ht="21.75" customHeight="1" x14ac:dyDescent="0.25">
      <c r="B552" s="12"/>
      <c r="C552" s="15"/>
      <c r="D552" s="12"/>
      <c r="E552" s="10" t="str">
        <f>IF(D552="","",IFERROR(VLOOKUP(D552,Productos!$B$5:$J$204,2,FALSE()),"Revisar código"))</f>
        <v/>
      </c>
      <c r="F552" s="13"/>
      <c r="G552" s="14"/>
      <c r="H552" s="20" t="str">
        <f t="shared" si="8"/>
        <v/>
      </c>
      <c r="I552" s="12"/>
      <c r="J552" s="12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spans="2:27" ht="21.75" customHeight="1" x14ac:dyDescent="0.25">
      <c r="B553" s="12"/>
      <c r="C553" s="15"/>
      <c r="D553" s="12"/>
      <c r="E553" s="10" t="str">
        <f>IF(D553="","",IFERROR(VLOOKUP(D553,Productos!$B$5:$J$204,2,FALSE()),"Revisar código"))</f>
        <v/>
      </c>
      <c r="F553" s="13"/>
      <c r="G553" s="14"/>
      <c r="H553" s="20" t="str">
        <f t="shared" si="8"/>
        <v/>
      </c>
      <c r="I553" s="12"/>
      <c r="J553" s="12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spans="2:27" ht="21.75" customHeight="1" x14ac:dyDescent="0.25">
      <c r="B554" s="12"/>
      <c r="C554" s="15"/>
      <c r="D554" s="12"/>
      <c r="E554" s="10" t="str">
        <f>IF(D554="","",IFERROR(VLOOKUP(D554,Productos!$B$5:$J$204,2,FALSE()),"Revisar código"))</f>
        <v/>
      </c>
      <c r="F554" s="13"/>
      <c r="G554" s="14"/>
      <c r="H554" s="20" t="str">
        <f t="shared" si="8"/>
        <v/>
      </c>
      <c r="I554" s="12"/>
      <c r="J554" s="12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spans="2:27" ht="21.75" customHeight="1" x14ac:dyDescent="0.25">
      <c r="B555" s="12"/>
      <c r="C555" s="15"/>
      <c r="D555" s="12"/>
      <c r="E555" s="10" t="str">
        <f>IF(D555="","",IFERROR(VLOOKUP(D555,Productos!$B$5:$J$204,2,FALSE()),"Revisar código"))</f>
        <v/>
      </c>
      <c r="F555" s="13"/>
      <c r="G555" s="14"/>
      <c r="H555" s="20" t="str">
        <f t="shared" si="8"/>
        <v/>
      </c>
      <c r="I555" s="12"/>
      <c r="J555" s="12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spans="2:27" ht="21.75" customHeight="1" x14ac:dyDescent="0.25">
      <c r="B556" s="12"/>
      <c r="C556" s="15"/>
      <c r="D556" s="12"/>
      <c r="E556" s="10" t="str">
        <f>IF(D556="","",IFERROR(VLOOKUP(D556,Productos!$B$5:$J$204,2,FALSE()),"Revisar código"))</f>
        <v/>
      </c>
      <c r="F556" s="13"/>
      <c r="G556" s="14"/>
      <c r="H556" s="20" t="str">
        <f t="shared" si="8"/>
        <v/>
      </c>
      <c r="I556" s="12"/>
      <c r="J556" s="12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spans="2:27" ht="21.75" customHeight="1" x14ac:dyDescent="0.25">
      <c r="B557" s="12"/>
      <c r="C557" s="15"/>
      <c r="D557" s="12"/>
      <c r="E557" s="10" t="str">
        <f>IF(D557="","",IFERROR(VLOOKUP(D557,Productos!$B$5:$J$204,2,FALSE()),"Revisar código"))</f>
        <v/>
      </c>
      <c r="F557" s="13"/>
      <c r="G557" s="14"/>
      <c r="H557" s="20" t="str">
        <f t="shared" si="8"/>
        <v/>
      </c>
      <c r="I557" s="12"/>
      <c r="J557" s="12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spans="2:27" ht="21.75" customHeight="1" x14ac:dyDescent="0.25">
      <c r="B558" s="12"/>
      <c r="C558" s="15"/>
      <c r="D558" s="12"/>
      <c r="E558" s="10" t="str">
        <f>IF(D558="","",IFERROR(VLOOKUP(D558,Productos!$B$5:$J$204,2,FALSE()),"Revisar código"))</f>
        <v/>
      </c>
      <c r="F558" s="13"/>
      <c r="G558" s="14"/>
      <c r="H558" s="20" t="str">
        <f t="shared" si="8"/>
        <v/>
      </c>
      <c r="I558" s="12"/>
      <c r="J558" s="12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spans="2:27" ht="21.75" customHeight="1" x14ac:dyDescent="0.25">
      <c r="B559" s="12"/>
      <c r="C559" s="15"/>
      <c r="D559" s="12"/>
      <c r="E559" s="10" t="str">
        <f>IF(D559="","",IFERROR(VLOOKUP(D559,Productos!$B$5:$J$204,2,FALSE()),"Revisar código"))</f>
        <v/>
      </c>
      <c r="F559" s="13"/>
      <c r="G559" s="14"/>
      <c r="H559" s="20" t="str">
        <f t="shared" si="8"/>
        <v/>
      </c>
      <c r="I559" s="12"/>
      <c r="J559" s="12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spans="2:27" ht="21.75" customHeight="1" x14ac:dyDescent="0.25">
      <c r="B560" s="12"/>
      <c r="C560" s="15"/>
      <c r="D560" s="12"/>
      <c r="E560" s="10" t="str">
        <f>IF(D560="","",IFERROR(VLOOKUP(D560,Productos!$B$5:$J$204,2,FALSE()),"Revisar código"))</f>
        <v/>
      </c>
      <c r="F560" s="13"/>
      <c r="G560" s="14"/>
      <c r="H560" s="20" t="str">
        <f t="shared" si="8"/>
        <v/>
      </c>
      <c r="I560" s="12"/>
      <c r="J560" s="12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2:27" ht="21.75" customHeight="1" x14ac:dyDescent="0.25">
      <c r="B561" s="12"/>
      <c r="C561" s="15"/>
      <c r="D561" s="12"/>
      <c r="E561" s="10" t="str">
        <f>IF(D561="","",IFERROR(VLOOKUP(D561,Productos!$B$5:$J$204,2,FALSE()),"Revisar código"))</f>
        <v/>
      </c>
      <c r="F561" s="13"/>
      <c r="G561" s="14"/>
      <c r="H561" s="20" t="str">
        <f t="shared" si="8"/>
        <v/>
      </c>
      <c r="I561" s="12"/>
      <c r="J561" s="12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spans="2:27" ht="21.75" customHeight="1" x14ac:dyDescent="0.25">
      <c r="B562" s="12"/>
      <c r="C562" s="15"/>
      <c r="D562" s="12"/>
      <c r="E562" s="10" t="str">
        <f>IF(D562="","",IFERROR(VLOOKUP(D562,Productos!$B$5:$J$204,2,FALSE()),"Revisar código"))</f>
        <v/>
      </c>
      <c r="F562" s="13"/>
      <c r="G562" s="14"/>
      <c r="H562" s="20" t="str">
        <f t="shared" si="8"/>
        <v/>
      </c>
      <c r="I562" s="12"/>
      <c r="J562" s="12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spans="2:27" ht="21.75" customHeight="1" x14ac:dyDescent="0.25">
      <c r="B563" s="12"/>
      <c r="C563" s="15"/>
      <c r="D563" s="12"/>
      <c r="E563" s="10" t="str">
        <f>IF(D563="","",IFERROR(VLOOKUP(D563,Productos!$B$5:$J$204,2,FALSE()),"Revisar código"))</f>
        <v/>
      </c>
      <c r="F563" s="13"/>
      <c r="G563" s="14"/>
      <c r="H563" s="20" t="str">
        <f t="shared" si="8"/>
        <v/>
      </c>
      <c r="I563" s="12"/>
      <c r="J563" s="12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spans="2:27" ht="21.75" customHeight="1" x14ac:dyDescent="0.25">
      <c r="B564" s="12"/>
      <c r="C564" s="15"/>
      <c r="D564" s="12"/>
      <c r="E564" s="10" t="str">
        <f>IF(D564="","",IFERROR(VLOOKUP(D564,Productos!$B$5:$J$204,2,FALSE()),"Revisar código"))</f>
        <v/>
      </c>
      <c r="F564" s="13"/>
      <c r="G564" s="14"/>
      <c r="H564" s="20" t="str">
        <f t="shared" si="8"/>
        <v/>
      </c>
      <c r="I564" s="12"/>
      <c r="J564" s="12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spans="2:27" ht="21.75" customHeight="1" x14ac:dyDescent="0.25">
      <c r="B565" s="12"/>
      <c r="C565" s="15"/>
      <c r="D565" s="12"/>
      <c r="E565" s="10" t="str">
        <f>IF(D565="","",IFERROR(VLOOKUP(D565,Productos!$B$5:$J$204,2,FALSE()),"Revisar código"))</f>
        <v/>
      </c>
      <c r="F565" s="13"/>
      <c r="G565" s="14"/>
      <c r="H565" s="20" t="str">
        <f t="shared" si="8"/>
        <v/>
      </c>
      <c r="I565" s="12"/>
      <c r="J565" s="12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spans="2:27" ht="21.75" customHeight="1" x14ac:dyDescent="0.25">
      <c r="B566" s="12"/>
      <c r="C566" s="15"/>
      <c r="D566" s="12"/>
      <c r="E566" s="10" t="str">
        <f>IF(D566="","",IFERROR(VLOOKUP(D566,Productos!$B$5:$J$204,2,FALSE()),"Revisar código"))</f>
        <v/>
      </c>
      <c r="F566" s="13"/>
      <c r="G566" s="14"/>
      <c r="H566" s="20" t="str">
        <f t="shared" si="8"/>
        <v/>
      </c>
      <c r="I566" s="12"/>
      <c r="J566" s="12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spans="2:27" ht="21.75" customHeight="1" x14ac:dyDescent="0.25">
      <c r="B567" s="12"/>
      <c r="C567" s="15"/>
      <c r="D567" s="12"/>
      <c r="E567" s="10" t="str">
        <f>IF(D567="","",IFERROR(VLOOKUP(D567,Productos!$B$5:$J$204,2,FALSE()),"Revisar código"))</f>
        <v/>
      </c>
      <c r="F567" s="13"/>
      <c r="G567" s="14"/>
      <c r="H567" s="20" t="str">
        <f t="shared" si="8"/>
        <v/>
      </c>
      <c r="I567" s="12"/>
      <c r="J567" s="12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spans="2:27" ht="21.75" customHeight="1" x14ac:dyDescent="0.25">
      <c r="B568" s="12"/>
      <c r="C568" s="15"/>
      <c r="D568" s="12"/>
      <c r="E568" s="10" t="str">
        <f>IF(D568="","",IFERROR(VLOOKUP(D568,Productos!$B$5:$J$204,2,FALSE()),"Revisar código"))</f>
        <v/>
      </c>
      <c r="F568" s="13"/>
      <c r="G568" s="14"/>
      <c r="H568" s="20" t="str">
        <f t="shared" si="8"/>
        <v/>
      </c>
      <c r="I568" s="12"/>
      <c r="J568" s="12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spans="2:27" ht="21.75" customHeight="1" x14ac:dyDescent="0.25">
      <c r="B569" s="12"/>
      <c r="C569" s="15"/>
      <c r="D569" s="12"/>
      <c r="E569" s="10" t="str">
        <f>IF(D569="","",IFERROR(VLOOKUP(D569,Productos!$B$5:$J$204,2,FALSE()),"Revisar código"))</f>
        <v/>
      </c>
      <c r="F569" s="13"/>
      <c r="G569" s="14"/>
      <c r="H569" s="20" t="str">
        <f t="shared" si="8"/>
        <v/>
      </c>
      <c r="I569" s="12"/>
      <c r="J569" s="12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spans="2:27" ht="21.75" customHeight="1" x14ac:dyDescent="0.25">
      <c r="B570" s="12"/>
      <c r="C570" s="15"/>
      <c r="D570" s="12"/>
      <c r="E570" s="10" t="str">
        <f>IF(D570="","",IFERROR(VLOOKUP(D570,Productos!$B$5:$J$204,2,FALSE()),"Revisar código"))</f>
        <v/>
      </c>
      <c r="F570" s="13"/>
      <c r="G570" s="14"/>
      <c r="H570" s="20" t="str">
        <f t="shared" si="8"/>
        <v/>
      </c>
      <c r="I570" s="12"/>
      <c r="J570" s="12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spans="2:27" ht="21.75" customHeight="1" x14ac:dyDescent="0.25">
      <c r="B571" s="12"/>
      <c r="C571" s="15"/>
      <c r="D571" s="12"/>
      <c r="E571" s="10" t="str">
        <f>IF(D571="","",IFERROR(VLOOKUP(D571,Productos!$B$5:$J$204,2,FALSE()),"Revisar código"))</f>
        <v/>
      </c>
      <c r="F571" s="13"/>
      <c r="G571" s="14"/>
      <c r="H571" s="20" t="str">
        <f t="shared" si="8"/>
        <v/>
      </c>
      <c r="I571" s="12"/>
      <c r="J571" s="12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spans="2:27" ht="21.75" customHeight="1" x14ac:dyDescent="0.25">
      <c r="B572" s="12"/>
      <c r="C572" s="15"/>
      <c r="D572" s="12"/>
      <c r="E572" s="10" t="str">
        <f>IF(D572="","",IFERROR(VLOOKUP(D572,Productos!$B$5:$J$204,2,FALSE()),"Revisar código"))</f>
        <v/>
      </c>
      <c r="F572" s="13"/>
      <c r="G572" s="14"/>
      <c r="H572" s="20" t="str">
        <f t="shared" si="8"/>
        <v/>
      </c>
      <c r="I572" s="12"/>
      <c r="J572" s="12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spans="2:27" ht="21.75" customHeight="1" x14ac:dyDescent="0.25">
      <c r="B573" s="12"/>
      <c r="C573" s="15"/>
      <c r="D573" s="12"/>
      <c r="E573" s="10" t="str">
        <f>IF(D573="","",IFERROR(VLOOKUP(D573,Productos!$B$5:$J$204,2,FALSE()),"Revisar código"))</f>
        <v/>
      </c>
      <c r="F573" s="13"/>
      <c r="G573" s="14"/>
      <c r="H573" s="20" t="str">
        <f t="shared" si="8"/>
        <v/>
      </c>
      <c r="I573" s="12"/>
      <c r="J573" s="12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spans="2:27" ht="21.75" customHeight="1" x14ac:dyDescent="0.25">
      <c r="B574" s="12"/>
      <c r="C574" s="15"/>
      <c r="D574" s="12"/>
      <c r="E574" s="10" t="str">
        <f>IF(D574="","",IFERROR(VLOOKUP(D574,Productos!$B$5:$J$204,2,FALSE()),"Revisar código"))</f>
        <v/>
      </c>
      <c r="F574" s="13"/>
      <c r="G574" s="14"/>
      <c r="H574" s="20" t="str">
        <f t="shared" si="8"/>
        <v/>
      </c>
      <c r="I574" s="12"/>
      <c r="J574" s="12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spans="2:27" ht="21.75" customHeight="1" x14ac:dyDescent="0.25">
      <c r="B575" s="12"/>
      <c r="C575" s="15"/>
      <c r="D575" s="12"/>
      <c r="E575" s="10" t="str">
        <f>IF(D575="","",IFERROR(VLOOKUP(D575,Productos!$B$5:$J$204,2,FALSE()),"Revisar código"))</f>
        <v/>
      </c>
      <c r="F575" s="13"/>
      <c r="G575" s="14"/>
      <c r="H575" s="20" t="str">
        <f t="shared" si="8"/>
        <v/>
      </c>
      <c r="I575" s="12"/>
      <c r="J575" s="12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spans="2:27" ht="21.75" customHeight="1" x14ac:dyDescent="0.25">
      <c r="B576" s="12"/>
      <c r="C576" s="15"/>
      <c r="D576" s="12"/>
      <c r="E576" s="10" t="str">
        <f>IF(D576="","",IFERROR(VLOOKUP(D576,Productos!$B$5:$J$204,2,FALSE()),"Revisar código"))</f>
        <v/>
      </c>
      <c r="F576" s="13"/>
      <c r="G576" s="14"/>
      <c r="H576" s="20" t="str">
        <f t="shared" si="8"/>
        <v/>
      </c>
      <c r="I576" s="12"/>
      <c r="J576" s="12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spans="2:27" ht="21.75" customHeight="1" x14ac:dyDescent="0.25">
      <c r="B577" s="12"/>
      <c r="C577" s="15"/>
      <c r="D577" s="12"/>
      <c r="E577" s="10" t="str">
        <f>IF(D577="","",IFERROR(VLOOKUP(D577,Productos!$B$5:$J$204,2,FALSE()),"Revisar código"))</f>
        <v/>
      </c>
      <c r="F577" s="13"/>
      <c r="G577" s="14"/>
      <c r="H577" s="20" t="str">
        <f t="shared" si="8"/>
        <v/>
      </c>
      <c r="I577" s="12"/>
      <c r="J577" s="12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spans="2:27" ht="21.75" customHeight="1" x14ac:dyDescent="0.25">
      <c r="B578" s="12"/>
      <c r="C578" s="15"/>
      <c r="D578" s="12"/>
      <c r="E578" s="10" t="str">
        <f>IF(D578="","",IFERROR(VLOOKUP(D578,Productos!$B$5:$J$204,2,FALSE()),"Revisar código"))</f>
        <v/>
      </c>
      <c r="F578" s="13"/>
      <c r="G578" s="14"/>
      <c r="H578" s="20" t="str">
        <f t="shared" si="8"/>
        <v/>
      </c>
      <c r="I578" s="12"/>
      <c r="J578" s="12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spans="2:27" ht="21.75" customHeight="1" x14ac:dyDescent="0.25">
      <c r="B579" s="12"/>
      <c r="C579" s="15"/>
      <c r="D579" s="12"/>
      <c r="E579" s="10" t="str">
        <f>IF(D579="","",IFERROR(VLOOKUP(D579,Productos!$B$5:$J$204,2,FALSE()),"Revisar código"))</f>
        <v/>
      </c>
      <c r="F579" s="13"/>
      <c r="G579" s="14"/>
      <c r="H579" s="20" t="str">
        <f t="shared" si="8"/>
        <v/>
      </c>
      <c r="I579" s="12"/>
      <c r="J579" s="12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spans="2:27" ht="21.75" customHeight="1" x14ac:dyDescent="0.25">
      <c r="B580" s="12"/>
      <c r="C580" s="15"/>
      <c r="D580" s="12"/>
      <c r="E580" s="10" t="str">
        <f>IF(D580="","",IFERROR(VLOOKUP(D580,Productos!$B$5:$J$204,2,FALSE()),"Revisar código"))</f>
        <v/>
      </c>
      <c r="F580" s="13"/>
      <c r="G580" s="14"/>
      <c r="H580" s="20" t="str">
        <f t="shared" si="8"/>
        <v/>
      </c>
      <c r="I580" s="12"/>
      <c r="J580" s="12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spans="2:27" ht="21.75" customHeight="1" x14ac:dyDescent="0.25">
      <c r="B581" s="12"/>
      <c r="C581" s="15"/>
      <c r="D581" s="12"/>
      <c r="E581" s="10" t="str">
        <f>IF(D581="","",IFERROR(VLOOKUP(D581,Productos!$B$5:$J$204,2,FALSE()),"Revisar código"))</f>
        <v/>
      </c>
      <c r="F581" s="13"/>
      <c r="G581" s="14"/>
      <c r="H581" s="20" t="str">
        <f t="shared" ref="H581:H604" si="9">IF(OR(F581="",G581=""),"",F581*G581)</f>
        <v/>
      </c>
      <c r="I581" s="12"/>
      <c r="J581" s="12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spans="2:27" ht="21.75" customHeight="1" x14ac:dyDescent="0.25">
      <c r="B582" s="12"/>
      <c r="C582" s="15"/>
      <c r="D582" s="12"/>
      <c r="E582" s="10" t="str">
        <f>IF(D582="","",IFERROR(VLOOKUP(D582,Productos!$B$5:$J$204,2,FALSE()),"Revisar código"))</f>
        <v/>
      </c>
      <c r="F582" s="13"/>
      <c r="G582" s="14"/>
      <c r="H582" s="20" t="str">
        <f t="shared" si="9"/>
        <v/>
      </c>
      <c r="I582" s="12"/>
      <c r="J582" s="12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spans="2:27" ht="21.75" customHeight="1" x14ac:dyDescent="0.25">
      <c r="B583" s="12"/>
      <c r="C583" s="15"/>
      <c r="D583" s="12"/>
      <c r="E583" s="10" t="str">
        <f>IF(D583="","",IFERROR(VLOOKUP(D583,Productos!$B$5:$J$204,2,FALSE()),"Revisar código"))</f>
        <v/>
      </c>
      <c r="F583" s="13"/>
      <c r="G583" s="14"/>
      <c r="H583" s="20" t="str">
        <f t="shared" si="9"/>
        <v/>
      </c>
      <c r="I583" s="12"/>
      <c r="J583" s="12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spans="2:27" ht="21.75" customHeight="1" x14ac:dyDescent="0.25">
      <c r="B584" s="12"/>
      <c r="C584" s="15"/>
      <c r="D584" s="12"/>
      <c r="E584" s="10" t="str">
        <f>IF(D584="","",IFERROR(VLOOKUP(D584,Productos!$B$5:$J$204,2,FALSE()),"Revisar código"))</f>
        <v/>
      </c>
      <c r="F584" s="13"/>
      <c r="G584" s="14"/>
      <c r="H584" s="20" t="str">
        <f t="shared" si="9"/>
        <v/>
      </c>
      <c r="I584" s="12"/>
      <c r="J584" s="12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spans="2:27" ht="21.75" customHeight="1" x14ac:dyDescent="0.25">
      <c r="B585" s="12"/>
      <c r="C585" s="15"/>
      <c r="D585" s="12"/>
      <c r="E585" s="10" t="str">
        <f>IF(D585="","",IFERROR(VLOOKUP(D585,Productos!$B$5:$J$204,2,FALSE()),"Revisar código"))</f>
        <v/>
      </c>
      <c r="F585" s="13"/>
      <c r="G585" s="14"/>
      <c r="H585" s="20" t="str">
        <f t="shared" si="9"/>
        <v/>
      </c>
      <c r="I585" s="12"/>
      <c r="J585" s="12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spans="2:27" ht="21.75" customHeight="1" x14ac:dyDescent="0.25">
      <c r="B586" s="12"/>
      <c r="C586" s="15"/>
      <c r="D586" s="12"/>
      <c r="E586" s="10" t="str">
        <f>IF(D586="","",IFERROR(VLOOKUP(D586,Productos!$B$5:$J$204,2,FALSE()),"Revisar código"))</f>
        <v/>
      </c>
      <c r="F586" s="13"/>
      <c r="G586" s="14"/>
      <c r="H586" s="20" t="str">
        <f t="shared" si="9"/>
        <v/>
      </c>
      <c r="I586" s="12"/>
      <c r="J586" s="12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spans="2:27" ht="21.75" customHeight="1" x14ac:dyDescent="0.25">
      <c r="B587" s="12"/>
      <c r="C587" s="15"/>
      <c r="D587" s="12"/>
      <c r="E587" s="10" t="str">
        <f>IF(D587="","",IFERROR(VLOOKUP(D587,Productos!$B$5:$J$204,2,FALSE()),"Revisar código"))</f>
        <v/>
      </c>
      <c r="F587" s="13"/>
      <c r="G587" s="14"/>
      <c r="H587" s="20" t="str">
        <f t="shared" si="9"/>
        <v/>
      </c>
      <c r="I587" s="12"/>
      <c r="J587" s="12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spans="2:27" ht="21.75" customHeight="1" x14ac:dyDescent="0.25">
      <c r="B588" s="12"/>
      <c r="C588" s="15"/>
      <c r="D588" s="12"/>
      <c r="E588" s="10" t="str">
        <f>IF(D588="","",IFERROR(VLOOKUP(D588,Productos!$B$5:$J$204,2,FALSE()),"Revisar código"))</f>
        <v/>
      </c>
      <c r="F588" s="13"/>
      <c r="G588" s="14"/>
      <c r="H588" s="20" t="str">
        <f t="shared" si="9"/>
        <v/>
      </c>
      <c r="I588" s="12"/>
      <c r="J588" s="12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spans="2:27" ht="21.75" customHeight="1" x14ac:dyDescent="0.25">
      <c r="B589" s="12"/>
      <c r="C589" s="15"/>
      <c r="D589" s="12"/>
      <c r="E589" s="10" t="str">
        <f>IF(D589="","",IFERROR(VLOOKUP(D589,Productos!$B$5:$J$204,2,FALSE()),"Revisar código"))</f>
        <v/>
      </c>
      <c r="F589" s="13"/>
      <c r="G589" s="14"/>
      <c r="H589" s="20" t="str">
        <f t="shared" si="9"/>
        <v/>
      </c>
      <c r="I589" s="12"/>
      <c r="J589" s="12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spans="2:27" ht="21.75" customHeight="1" x14ac:dyDescent="0.25">
      <c r="B590" s="12"/>
      <c r="C590" s="15"/>
      <c r="D590" s="12"/>
      <c r="E590" s="10" t="str">
        <f>IF(D590="","",IFERROR(VLOOKUP(D590,Productos!$B$5:$J$204,2,FALSE()),"Revisar código"))</f>
        <v/>
      </c>
      <c r="F590" s="13"/>
      <c r="G590" s="14"/>
      <c r="H590" s="20" t="str">
        <f t="shared" si="9"/>
        <v/>
      </c>
      <c r="I590" s="12"/>
      <c r="J590" s="12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spans="2:27" ht="21.75" customHeight="1" x14ac:dyDescent="0.25">
      <c r="B591" s="12"/>
      <c r="C591" s="15"/>
      <c r="D591" s="12"/>
      <c r="E591" s="10" t="str">
        <f>IF(D591="","",IFERROR(VLOOKUP(D591,Productos!$B$5:$J$204,2,FALSE()),"Revisar código"))</f>
        <v/>
      </c>
      <c r="F591" s="13"/>
      <c r="G591" s="14"/>
      <c r="H591" s="20" t="str">
        <f t="shared" si="9"/>
        <v/>
      </c>
      <c r="I591" s="12"/>
      <c r="J591" s="12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spans="2:27" ht="21.75" customHeight="1" x14ac:dyDescent="0.25">
      <c r="B592" s="12"/>
      <c r="C592" s="15"/>
      <c r="D592" s="12"/>
      <c r="E592" s="10" t="str">
        <f>IF(D592="","",IFERROR(VLOOKUP(D592,Productos!$B$5:$J$204,2,FALSE()),"Revisar código"))</f>
        <v/>
      </c>
      <c r="F592" s="13"/>
      <c r="G592" s="14"/>
      <c r="H592" s="20" t="str">
        <f t="shared" si="9"/>
        <v/>
      </c>
      <c r="I592" s="12"/>
      <c r="J592" s="12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spans="2:27" ht="21.75" customHeight="1" x14ac:dyDescent="0.25">
      <c r="B593" s="12"/>
      <c r="C593" s="15"/>
      <c r="D593" s="12"/>
      <c r="E593" s="10" t="str">
        <f>IF(D593="","",IFERROR(VLOOKUP(D593,Productos!$B$5:$J$204,2,FALSE()),"Revisar código"))</f>
        <v/>
      </c>
      <c r="F593" s="13"/>
      <c r="G593" s="14"/>
      <c r="H593" s="20" t="str">
        <f t="shared" si="9"/>
        <v/>
      </c>
      <c r="I593" s="12"/>
      <c r="J593" s="12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spans="2:27" ht="21.75" customHeight="1" x14ac:dyDescent="0.25">
      <c r="B594" s="12"/>
      <c r="C594" s="15"/>
      <c r="D594" s="12"/>
      <c r="E594" s="10" t="str">
        <f>IF(D594="","",IFERROR(VLOOKUP(D594,Productos!$B$5:$J$204,2,FALSE()),"Revisar código"))</f>
        <v/>
      </c>
      <c r="F594" s="13"/>
      <c r="G594" s="14"/>
      <c r="H594" s="20" t="str">
        <f t="shared" si="9"/>
        <v/>
      </c>
      <c r="I594" s="12"/>
      <c r="J594" s="12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spans="2:27" ht="21.75" customHeight="1" x14ac:dyDescent="0.25">
      <c r="B595" s="12"/>
      <c r="C595" s="15"/>
      <c r="D595" s="12"/>
      <c r="E595" s="10" t="str">
        <f>IF(D595="","",IFERROR(VLOOKUP(D595,Productos!$B$5:$J$204,2,FALSE()),"Revisar código"))</f>
        <v/>
      </c>
      <c r="F595" s="13"/>
      <c r="G595" s="14"/>
      <c r="H595" s="20" t="str">
        <f t="shared" si="9"/>
        <v/>
      </c>
      <c r="I595" s="12"/>
      <c r="J595" s="12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spans="2:27" ht="21.75" customHeight="1" x14ac:dyDescent="0.25">
      <c r="B596" s="12"/>
      <c r="C596" s="15"/>
      <c r="D596" s="12"/>
      <c r="E596" s="10" t="str">
        <f>IF(D596="","",IFERROR(VLOOKUP(D596,Productos!$B$5:$J$204,2,FALSE()),"Revisar código"))</f>
        <v/>
      </c>
      <c r="F596" s="13"/>
      <c r="G596" s="14"/>
      <c r="H596" s="20" t="str">
        <f t="shared" si="9"/>
        <v/>
      </c>
      <c r="I596" s="12"/>
      <c r="J596" s="12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spans="2:27" ht="21.75" customHeight="1" x14ac:dyDescent="0.25">
      <c r="B597" s="12"/>
      <c r="C597" s="15"/>
      <c r="D597" s="12"/>
      <c r="E597" s="10" t="str">
        <f>IF(D597="","",IFERROR(VLOOKUP(D597,Productos!$B$5:$J$204,2,FALSE()),"Revisar código"))</f>
        <v/>
      </c>
      <c r="F597" s="13"/>
      <c r="G597" s="14"/>
      <c r="H597" s="20" t="str">
        <f t="shared" si="9"/>
        <v/>
      </c>
      <c r="I597" s="12"/>
      <c r="J597" s="12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spans="2:27" ht="21.75" customHeight="1" x14ac:dyDescent="0.25">
      <c r="B598" s="12"/>
      <c r="C598" s="15"/>
      <c r="D598" s="12"/>
      <c r="E598" s="10" t="str">
        <f>IF(D598="","",IFERROR(VLOOKUP(D598,Productos!$B$5:$J$204,2,FALSE()),"Revisar código"))</f>
        <v/>
      </c>
      <c r="F598" s="13"/>
      <c r="G598" s="14"/>
      <c r="H598" s="20" t="str">
        <f t="shared" si="9"/>
        <v/>
      </c>
      <c r="I598" s="12"/>
      <c r="J598" s="12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spans="2:27" ht="21.75" customHeight="1" x14ac:dyDescent="0.25">
      <c r="B599" s="12"/>
      <c r="C599" s="15"/>
      <c r="D599" s="12"/>
      <c r="E599" s="10" t="str">
        <f>IF(D599="","",IFERROR(VLOOKUP(D599,Productos!$B$5:$J$204,2,FALSE()),"Revisar código"))</f>
        <v/>
      </c>
      <c r="F599" s="13"/>
      <c r="G599" s="14"/>
      <c r="H599" s="20" t="str">
        <f t="shared" si="9"/>
        <v/>
      </c>
      <c r="I599" s="12"/>
      <c r="J599" s="12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2:27" ht="21.75" customHeight="1" x14ac:dyDescent="0.25">
      <c r="B600" s="12"/>
      <c r="C600" s="15"/>
      <c r="D600" s="12"/>
      <c r="E600" s="10" t="str">
        <f>IF(D600="","",IFERROR(VLOOKUP(D600,Productos!$B$5:$J$204,2,FALSE()),"Revisar código"))</f>
        <v/>
      </c>
      <c r="F600" s="13"/>
      <c r="G600" s="14"/>
      <c r="H600" s="20" t="str">
        <f t="shared" si="9"/>
        <v/>
      </c>
      <c r="I600" s="12"/>
      <c r="J600" s="12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spans="2:27" ht="21.75" customHeight="1" x14ac:dyDescent="0.25">
      <c r="B601" s="12"/>
      <c r="C601" s="15"/>
      <c r="D601" s="12"/>
      <c r="E601" s="10" t="str">
        <f>IF(D601="","",IFERROR(VLOOKUP(D601,Productos!$B$5:$J$204,2,FALSE()),"Revisar código"))</f>
        <v/>
      </c>
      <c r="F601" s="13"/>
      <c r="G601" s="14"/>
      <c r="H601" s="20" t="str">
        <f t="shared" si="9"/>
        <v/>
      </c>
      <c r="I601" s="12"/>
      <c r="J601" s="12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spans="2:27" ht="21.75" customHeight="1" x14ac:dyDescent="0.25">
      <c r="B602" s="12"/>
      <c r="C602" s="15"/>
      <c r="D602" s="12"/>
      <c r="E602" s="10" t="str">
        <f>IF(D602="","",IFERROR(VLOOKUP(D602,Productos!$B$5:$J$204,2,FALSE()),"Revisar código"))</f>
        <v/>
      </c>
      <c r="F602" s="13"/>
      <c r="G602" s="14"/>
      <c r="H602" s="20" t="str">
        <f t="shared" si="9"/>
        <v/>
      </c>
      <c r="I602" s="12"/>
      <c r="J602" s="12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spans="2:27" ht="21.75" customHeight="1" x14ac:dyDescent="0.25">
      <c r="B603" s="12"/>
      <c r="C603" s="15"/>
      <c r="D603" s="12"/>
      <c r="E603" s="10" t="str">
        <f>IF(D603="","",IFERROR(VLOOKUP(D603,Productos!$B$5:$J$204,2,FALSE()),"Revisar código"))</f>
        <v/>
      </c>
      <c r="F603" s="13"/>
      <c r="G603" s="14"/>
      <c r="H603" s="20" t="str">
        <f t="shared" si="9"/>
        <v/>
      </c>
      <c r="I603" s="12"/>
      <c r="J603" s="12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spans="2:27" ht="21.75" customHeight="1" x14ac:dyDescent="0.25">
      <c r="B604" s="12"/>
      <c r="C604" s="15"/>
      <c r="D604" s="12"/>
      <c r="E604" s="10" t="str">
        <f>IF(D604="","",IFERROR(VLOOKUP(D604,Productos!$B$5:$J$204,2,FALSE()),"Revisar código"))</f>
        <v/>
      </c>
      <c r="F604" s="13"/>
      <c r="G604" s="14"/>
      <c r="H604" s="20" t="str">
        <f t="shared" si="9"/>
        <v/>
      </c>
      <c r="I604" s="12"/>
      <c r="J604" s="12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spans="2:27" s="5" customFormat="1" ht="21.75" customHeight="1" x14ac:dyDescent="0.25">
      <c r="B605" s="16"/>
      <c r="C605" s="16"/>
      <c r="D605" s="16"/>
      <c r="E605" s="4"/>
      <c r="F605" s="4"/>
      <c r="G605" s="4"/>
      <c r="H605" s="4"/>
      <c r="I605" s="16"/>
      <c r="J605" s="16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spans="2:27" s="5" customFormat="1" ht="21.75" customHeight="1" x14ac:dyDescent="0.25">
      <c r="B606" s="16"/>
      <c r="C606" s="16"/>
      <c r="D606" s="16"/>
      <c r="E606" s="4"/>
      <c r="F606" s="4"/>
      <c r="G606" s="4"/>
      <c r="H606" s="4"/>
      <c r="I606" s="16"/>
      <c r="J606" s="16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spans="2:27" s="5" customFormat="1" ht="21.75" customHeight="1" x14ac:dyDescent="0.25">
      <c r="B607" s="16"/>
      <c r="C607" s="16"/>
      <c r="D607" s="16"/>
      <c r="E607" s="4"/>
      <c r="F607" s="4"/>
      <c r="G607" s="4"/>
      <c r="H607" s="4"/>
      <c r="I607" s="16"/>
      <c r="J607" s="16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spans="2:27" s="5" customFormat="1" ht="21.75" customHeight="1" x14ac:dyDescent="0.25">
      <c r="B608" s="16"/>
      <c r="C608" s="16"/>
      <c r="D608" s="16"/>
      <c r="E608" s="4"/>
      <c r="F608" s="4"/>
      <c r="G608" s="4"/>
      <c r="H608" s="4"/>
      <c r="I608" s="16"/>
      <c r="J608" s="16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spans="2:27" s="5" customFormat="1" ht="21.75" customHeight="1" x14ac:dyDescent="0.25">
      <c r="B609" s="16"/>
      <c r="C609" s="16"/>
      <c r="D609" s="16"/>
      <c r="E609" s="4"/>
      <c r="F609" s="4"/>
      <c r="G609" s="4"/>
      <c r="H609" s="4"/>
      <c r="I609" s="16"/>
      <c r="J609" s="16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spans="2:27" s="5" customFormat="1" ht="21.75" customHeight="1" x14ac:dyDescent="0.25">
      <c r="B610" s="16"/>
      <c r="C610" s="16"/>
      <c r="D610" s="16"/>
      <c r="E610" s="4"/>
      <c r="F610" s="4"/>
      <c r="G610" s="4"/>
      <c r="H610" s="4"/>
      <c r="I610" s="16"/>
      <c r="J610" s="16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spans="2:27" s="5" customFormat="1" ht="21.75" customHeight="1" x14ac:dyDescent="0.25">
      <c r="B611" s="16"/>
      <c r="C611" s="16"/>
      <c r="D611" s="16"/>
      <c r="E611" s="4"/>
      <c r="F611" s="4"/>
      <c r="G611" s="4"/>
      <c r="H611" s="4"/>
      <c r="I611" s="16"/>
      <c r="J611" s="16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spans="2:27" s="5" customFormat="1" ht="21.75" customHeight="1" x14ac:dyDescent="0.25">
      <c r="B612" s="16"/>
      <c r="C612" s="16"/>
      <c r="D612" s="16"/>
      <c r="E612" s="4"/>
      <c r="F612" s="4"/>
      <c r="G612" s="4"/>
      <c r="H612" s="4"/>
      <c r="I612" s="16"/>
      <c r="J612" s="16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spans="2:27" s="5" customFormat="1" ht="21.75" customHeight="1" x14ac:dyDescent="0.25">
      <c r="B613" s="16"/>
      <c r="C613" s="16"/>
      <c r="D613" s="16"/>
      <c r="E613" s="4"/>
      <c r="F613" s="4"/>
      <c r="G613" s="4"/>
      <c r="H613" s="4"/>
      <c r="I613" s="16"/>
      <c r="J613" s="16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spans="2:27" s="5" customFormat="1" ht="21.75" customHeight="1" x14ac:dyDescent="0.25">
      <c r="B614" s="16"/>
      <c r="C614" s="16"/>
      <c r="D614" s="16"/>
      <c r="E614" s="4"/>
      <c r="F614" s="4"/>
      <c r="G614" s="4"/>
      <c r="H614" s="4"/>
      <c r="I614" s="16"/>
      <c r="J614" s="16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spans="2:27" s="5" customFormat="1" ht="21.75" customHeight="1" x14ac:dyDescent="0.25">
      <c r="B615" s="16"/>
      <c r="C615" s="16"/>
      <c r="D615" s="16"/>
      <c r="E615" s="4"/>
      <c r="F615" s="4"/>
      <c r="G615" s="4"/>
      <c r="H615" s="4"/>
      <c r="I615" s="16"/>
      <c r="J615" s="16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spans="2:27" s="5" customFormat="1" ht="21.75" customHeight="1" x14ac:dyDescent="0.25">
      <c r="B616" s="16"/>
      <c r="C616" s="16"/>
      <c r="D616" s="16"/>
      <c r="E616" s="4"/>
      <c r="F616" s="4"/>
      <c r="G616" s="4"/>
      <c r="H616" s="4"/>
      <c r="I616" s="16"/>
      <c r="J616" s="16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spans="2:27" s="5" customFormat="1" ht="21.75" customHeight="1" x14ac:dyDescent="0.25">
      <c r="B617" s="16"/>
      <c r="C617" s="16"/>
      <c r="D617" s="16"/>
      <c r="E617" s="4"/>
      <c r="F617" s="4"/>
      <c r="G617" s="4"/>
      <c r="H617" s="4"/>
      <c r="I617" s="16"/>
      <c r="J617" s="16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spans="2:27" s="5" customFormat="1" ht="21.75" customHeight="1" x14ac:dyDescent="0.25">
      <c r="B618" s="16"/>
      <c r="C618" s="16"/>
      <c r="D618" s="16"/>
      <c r="E618" s="4"/>
      <c r="F618" s="4"/>
      <c r="G618" s="4"/>
      <c r="H618" s="4"/>
      <c r="I618" s="16"/>
      <c r="J618" s="16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spans="2:27" s="5" customFormat="1" ht="21.75" customHeight="1" x14ac:dyDescent="0.25">
      <c r="B619" s="16"/>
      <c r="C619" s="16"/>
      <c r="D619" s="16"/>
      <c r="E619" s="4"/>
      <c r="F619" s="4"/>
      <c r="G619" s="4"/>
      <c r="H619" s="4"/>
      <c r="I619" s="16"/>
      <c r="J619" s="16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spans="2:27" s="5" customFormat="1" ht="21.75" customHeight="1" x14ac:dyDescent="0.25">
      <c r="B620" s="16"/>
      <c r="C620" s="16"/>
      <c r="D620" s="16"/>
      <c r="E620" s="4"/>
      <c r="F620" s="4"/>
      <c r="G620" s="4"/>
      <c r="H620" s="4"/>
      <c r="I620" s="16"/>
      <c r="J620" s="16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spans="2:27" s="5" customFormat="1" ht="21.75" customHeight="1" x14ac:dyDescent="0.25">
      <c r="B621" s="16"/>
      <c r="C621" s="16"/>
      <c r="D621" s="16"/>
      <c r="E621" s="4"/>
      <c r="F621" s="4"/>
      <c r="G621" s="4"/>
      <c r="H621" s="4"/>
      <c r="I621" s="16"/>
      <c r="J621" s="16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spans="2:27" s="5" customFormat="1" ht="21.75" customHeight="1" x14ac:dyDescent="0.25">
      <c r="B622" s="16"/>
      <c r="C622" s="16"/>
      <c r="D622" s="16"/>
      <c r="E622" s="4"/>
      <c r="F622" s="4"/>
      <c r="G622" s="4"/>
      <c r="H622" s="4"/>
      <c r="I622" s="16"/>
      <c r="J622" s="16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spans="2:27" s="5" customFormat="1" ht="21.75" customHeight="1" x14ac:dyDescent="0.25">
      <c r="B623" s="16"/>
      <c r="C623" s="16"/>
      <c r="D623" s="16"/>
      <c r="E623" s="4"/>
      <c r="F623" s="4"/>
      <c r="G623" s="4"/>
      <c r="H623" s="4"/>
      <c r="I623" s="16"/>
      <c r="J623" s="16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spans="2:27" s="5" customFormat="1" ht="21.75" customHeight="1" x14ac:dyDescent="0.25">
      <c r="B624" s="16"/>
      <c r="C624" s="16"/>
      <c r="D624" s="16"/>
      <c r="E624" s="4"/>
      <c r="F624" s="4"/>
      <c r="G624" s="4"/>
      <c r="H624" s="4"/>
      <c r="I624" s="16"/>
      <c r="J624" s="16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spans="2:27" s="5" customFormat="1" ht="21.75" customHeight="1" x14ac:dyDescent="0.25">
      <c r="B625" s="16"/>
      <c r="C625" s="16"/>
      <c r="D625" s="16"/>
      <c r="E625" s="4"/>
      <c r="F625" s="4"/>
      <c r="G625" s="4"/>
      <c r="H625" s="4"/>
      <c r="I625" s="16"/>
      <c r="J625" s="16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spans="2:27" s="5" customFormat="1" ht="21.75" customHeight="1" x14ac:dyDescent="0.25">
      <c r="B626" s="16"/>
      <c r="C626" s="16"/>
      <c r="D626" s="16"/>
      <c r="E626" s="4"/>
      <c r="F626" s="4"/>
      <c r="G626" s="4"/>
      <c r="H626" s="4"/>
      <c r="I626" s="16"/>
      <c r="J626" s="16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spans="2:27" s="5" customFormat="1" ht="21.75" customHeight="1" x14ac:dyDescent="0.25">
      <c r="B627" s="16"/>
      <c r="C627" s="16"/>
      <c r="D627" s="16"/>
      <c r="E627" s="4"/>
      <c r="F627" s="4"/>
      <c r="G627" s="4"/>
      <c r="H627" s="4"/>
      <c r="I627" s="16"/>
      <c r="J627" s="16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spans="2:27" s="5" customFormat="1" ht="21.75" customHeight="1" x14ac:dyDescent="0.25">
      <c r="B628" s="16"/>
      <c r="C628" s="16"/>
      <c r="D628" s="16"/>
      <c r="E628" s="4"/>
      <c r="F628" s="4"/>
      <c r="G628" s="4"/>
      <c r="H628" s="4"/>
      <c r="I628" s="16"/>
      <c r="J628" s="16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spans="2:27" s="5" customFormat="1" ht="21.75" customHeight="1" x14ac:dyDescent="0.25">
      <c r="B629" s="16"/>
      <c r="C629" s="16"/>
      <c r="D629" s="16"/>
      <c r="E629" s="4"/>
      <c r="F629" s="4"/>
      <c r="G629" s="4"/>
      <c r="H629" s="4"/>
      <c r="I629" s="16"/>
      <c r="J629" s="16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spans="2:27" s="5" customFormat="1" ht="21.75" customHeight="1" x14ac:dyDescent="0.25">
      <c r="B630" s="16"/>
      <c r="C630" s="16"/>
      <c r="D630" s="16"/>
      <c r="E630" s="4"/>
      <c r="F630" s="4"/>
      <c r="G630" s="4"/>
      <c r="H630" s="4"/>
      <c r="I630" s="16"/>
      <c r="J630" s="16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spans="2:27" s="5" customFormat="1" ht="21.75" customHeight="1" x14ac:dyDescent="0.25">
      <c r="B631" s="16"/>
      <c r="C631" s="16"/>
      <c r="D631" s="16"/>
      <c r="E631" s="4"/>
      <c r="F631" s="4"/>
      <c r="G631" s="4"/>
      <c r="H631" s="4"/>
      <c r="I631" s="16"/>
      <c r="J631" s="16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spans="2:27" s="5" customFormat="1" ht="21.75" customHeight="1" x14ac:dyDescent="0.25">
      <c r="B632" s="16"/>
      <c r="C632" s="16"/>
      <c r="D632" s="16"/>
      <c r="E632" s="4"/>
      <c r="F632" s="4"/>
      <c r="G632" s="4"/>
      <c r="H632" s="4"/>
      <c r="I632" s="16"/>
      <c r="J632" s="16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spans="2:27" s="5" customFormat="1" ht="21.75" customHeight="1" x14ac:dyDescent="0.25">
      <c r="B633" s="16"/>
      <c r="C633" s="16"/>
      <c r="D633" s="16"/>
      <c r="E633" s="4"/>
      <c r="F633" s="4"/>
      <c r="G633" s="4"/>
      <c r="H633" s="4"/>
      <c r="I633" s="16"/>
      <c r="J633" s="16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spans="2:27" s="5" customFormat="1" ht="21.75" customHeight="1" x14ac:dyDescent="0.25">
      <c r="B634" s="16"/>
      <c r="C634" s="16"/>
      <c r="D634" s="16"/>
      <c r="E634" s="4"/>
      <c r="F634" s="4"/>
      <c r="G634" s="4"/>
      <c r="H634" s="4"/>
      <c r="I634" s="16"/>
      <c r="J634" s="16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spans="2:27" s="5" customFormat="1" ht="21.75" customHeight="1" x14ac:dyDescent="0.25">
      <c r="B635" s="16"/>
      <c r="C635" s="16"/>
      <c r="D635" s="16"/>
      <c r="E635" s="4"/>
      <c r="F635" s="4"/>
      <c r="G635" s="4"/>
      <c r="H635" s="4"/>
      <c r="I635" s="16"/>
      <c r="J635" s="16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spans="2:27" s="5" customFormat="1" ht="21.75" customHeight="1" x14ac:dyDescent="0.25">
      <c r="B636" s="16"/>
      <c r="C636" s="16"/>
      <c r="D636" s="16"/>
      <c r="E636" s="4"/>
      <c r="F636" s="4"/>
      <c r="G636" s="4"/>
      <c r="H636" s="4"/>
      <c r="I636" s="16"/>
      <c r="J636" s="16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spans="2:27" s="5" customFormat="1" ht="21.75" customHeight="1" x14ac:dyDescent="0.25">
      <c r="B637" s="16"/>
      <c r="C637" s="16"/>
      <c r="D637" s="16"/>
      <c r="E637" s="4"/>
      <c r="F637" s="4"/>
      <c r="G637" s="4"/>
      <c r="H637" s="4"/>
      <c r="I637" s="16"/>
      <c r="J637" s="16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spans="2:27" s="5" customFormat="1" ht="21.75" customHeight="1" x14ac:dyDescent="0.25">
      <c r="B638" s="16"/>
      <c r="C638" s="16"/>
      <c r="D638" s="16"/>
      <c r="E638" s="4"/>
      <c r="F638" s="4"/>
      <c r="G638" s="4"/>
      <c r="H638" s="4"/>
      <c r="I638" s="16"/>
      <c r="J638" s="16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spans="2:27" s="5" customFormat="1" ht="21.75" customHeight="1" x14ac:dyDescent="0.25">
      <c r="B639" s="16"/>
      <c r="C639" s="16"/>
      <c r="D639" s="16"/>
      <c r="E639" s="4"/>
      <c r="F639" s="4"/>
      <c r="G639" s="4"/>
      <c r="H639" s="4"/>
      <c r="I639" s="16"/>
      <c r="J639" s="16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spans="2:27" s="5" customFormat="1" ht="21.75" customHeight="1" x14ac:dyDescent="0.25">
      <c r="B640" s="16"/>
      <c r="C640" s="16"/>
      <c r="D640" s="16"/>
      <c r="E640" s="4"/>
      <c r="F640" s="4"/>
      <c r="G640" s="4"/>
      <c r="H640" s="4"/>
      <c r="I640" s="16"/>
      <c r="J640" s="16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spans="2:27" s="5" customFormat="1" ht="21.75" customHeight="1" x14ac:dyDescent="0.25">
      <c r="B641" s="17"/>
      <c r="C641" s="17"/>
      <c r="D641" s="17"/>
      <c r="I641" s="17"/>
      <c r="J641" s="17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spans="2:27" s="5" customFormat="1" ht="21.75" customHeight="1" x14ac:dyDescent="0.25">
      <c r="B642" s="17"/>
      <c r="C642" s="17"/>
      <c r="D642" s="17"/>
      <c r="I642" s="17"/>
      <c r="J642" s="17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spans="2:27" s="5" customFormat="1" ht="21.75" customHeight="1" x14ac:dyDescent="0.25">
      <c r="B643" s="17"/>
      <c r="C643" s="17"/>
      <c r="D643" s="17"/>
      <c r="I643" s="17"/>
      <c r="J643" s="17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spans="2:27" ht="21.75" customHeight="1" x14ac:dyDescent="0.25"/>
  </sheetData>
  <mergeCells count="2">
    <mergeCell ref="B1:J1"/>
    <mergeCell ref="B2:J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287A5"/>
  </sheetPr>
  <dimension ref="B1:V644"/>
  <sheetViews>
    <sheetView showGridLines="0" zoomScaleNormal="100" workbookViewId="0">
      <pane ySplit="4" topLeftCell="A5" activePane="bottomLeft" state="frozen"/>
      <selection pane="bottomLeft" activeCell="Q10" sqref="Q10"/>
    </sheetView>
  </sheetViews>
  <sheetFormatPr baseColWidth="10" defaultColWidth="9.140625" defaultRowHeight="15" x14ac:dyDescent="0.25"/>
  <cols>
    <col min="2" max="2" width="18" customWidth="1"/>
    <col min="3" max="3" width="34" customWidth="1"/>
    <col min="4" max="4" width="20" customWidth="1"/>
    <col min="5" max="5" width="24" customWidth="1"/>
    <col min="6" max="7" width="16" customWidth="1"/>
    <col min="8" max="8" width="18" customWidth="1"/>
    <col min="9" max="9" width="22" customWidth="1"/>
    <col min="10" max="10" width="18" customWidth="1"/>
    <col min="11" max="22" width="9.140625" style="5"/>
  </cols>
  <sheetData>
    <row r="1" spans="2:22" ht="21.75" customHeight="1" x14ac:dyDescent="0.25">
      <c r="B1" s="32" t="s">
        <v>50</v>
      </c>
      <c r="C1" s="32"/>
      <c r="D1" s="32"/>
      <c r="E1" s="32"/>
      <c r="F1" s="32"/>
      <c r="G1" s="32"/>
      <c r="H1" s="32"/>
      <c r="I1" s="32"/>
      <c r="J1" s="3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2:22" ht="21.75" customHeight="1" x14ac:dyDescent="0.25">
      <c r="B2" s="33" t="s">
        <v>51</v>
      </c>
      <c r="C2" s="33"/>
      <c r="D2" s="33"/>
      <c r="E2" s="33"/>
      <c r="F2" s="33"/>
      <c r="G2" s="33"/>
      <c r="H2" s="33"/>
      <c r="I2" s="33"/>
      <c r="J2" s="33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s="5" customFormat="1" ht="12.75" customHeight="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spans="2:22" ht="21.75" customHeight="1" x14ac:dyDescent="0.25">
      <c r="B4" s="1" t="s">
        <v>52</v>
      </c>
      <c r="C4" s="1" t="s">
        <v>46</v>
      </c>
      <c r="D4" s="1" t="s">
        <v>33</v>
      </c>
      <c r="E4" s="1" t="s">
        <v>53</v>
      </c>
      <c r="F4" s="1" t="s">
        <v>54</v>
      </c>
      <c r="G4" s="1" t="s">
        <v>55</v>
      </c>
      <c r="H4" s="1" t="s">
        <v>56</v>
      </c>
      <c r="I4" s="1" t="s">
        <v>57</v>
      </c>
      <c r="J4" s="1" t="s">
        <v>58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spans="2:22" ht="21.75" customHeight="1" x14ac:dyDescent="0.25">
      <c r="B5" s="12" t="s">
        <v>59</v>
      </c>
      <c r="C5" s="12" t="s">
        <v>60</v>
      </c>
      <c r="D5" s="12" t="s">
        <v>37</v>
      </c>
      <c r="E5" s="12" t="s">
        <v>61</v>
      </c>
      <c r="F5" s="13">
        <v>5</v>
      </c>
      <c r="G5" s="13">
        <v>20</v>
      </c>
      <c r="H5" s="14">
        <v>3500</v>
      </c>
      <c r="I5" s="12" t="s">
        <v>62</v>
      </c>
      <c r="J5" s="1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2:22" ht="21.75" customHeight="1" x14ac:dyDescent="0.25">
      <c r="B6" s="12" t="s">
        <v>63</v>
      </c>
      <c r="C6" s="12" t="s">
        <v>64</v>
      </c>
      <c r="D6" s="12" t="s">
        <v>37</v>
      </c>
      <c r="E6" s="12" t="s">
        <v>61</v>
      </c>
      <c r="F6" s="13">
        <v>5</v>
      </c>
      <c r="G6" s="13">
        <v>15</v>
      </c>
      <c r="H6" s="14">
        <v>3200</v>
      </c>
      <c r="I6" s="12" t="s">
        <v>62</v>
      </c>
      <c r="J6" s="1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spans="2:22" ht="21.75" customHeight="1" x14ac:dyDescent="0.25">
      <c r="B7" s="12" t="s">
        <v>65</v>
      </c>
      <c r="C7" s="12" t="s">
        <v>66</v>
      </c>
      <c r="D7" s="12" t="s">
        <v>37</v>
      </c>
      <c r="E7" s="12" t="s">
        <v>67</v>
      </c>
      <c r="F7" s="13">
        <v>4</v>
      </c>
      <c r="G7" s="13">
        <v>12</v>
      </c>
      <c r="H7" s="14">
        <v>5200</v>
      </c>
      <c r="I7" s="12" t="s">
        <v>68</v>
      </c>
      <c r="J7" s="12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spans="2:22" ht="21.75" customHeight="1" x14ac:dyDescent="0.25">
      <c r="B8" s="12" t="s">
        <v>69</v>
      </c>
      <c r="C8" s="12" t="s">
        <v>70</v>
      </c>
      <c r="D8" s="12" t="s">
        <v>39</v>
      </c>
      <c r="E8" s="12" t="s">
        <v>67</v>
      </c>
      <c r="F8" s="13">
        <v>3</v>
      </c>
      <c r="G8" s="13">
        <v>10</v>
      </c>
      <c r="H8" s="14">
        <v>4300</v>
      </c>
      <c r="I8" s="12" t="s">
        <v>71</v>
      </c>
      <c r="J8" s="12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spans="2:22" ht="21.75" customHeight="1" x14ac:dyDescent="0.25">
      <c r="B9" s="12" t="s">
        <v>72</v>
      </c>
      <c r="C9" s="12" t="s">
        <v>73</v>
      </c>
      <c r="D9" s="12" t="s">
        <v>39</v>
      </c>
      <c r="E9" s="12" t="s">
        <v>67</v>
      </c>
      <c r="F9" s="13">
        <v>3</v>
      </c>
      <c r="G9" s="13">
        <v>8</v>
      </c>
      <c r="H9" s="14">
        <v>4800</v>
      </c>
      <c r="I9" s="12" t="s">
        <v>71</v>
      </c>
      <c r="J9" s="12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spans="2:22" ht="21.75" customHeight="1" x14ac:dyDescent="0.25">
      <c r="B10" s="12" t="s">
        <v>74</v>
      </c>
      <c r="C10" s="12" t="s">
        <v>75</v>
      </c>
      <c r="D10" s="12" t="s">
        <v>41</v>
      </c>
      <c r="E10" s="12" t="s">
        <v>76</v>
      </c>
      <c r="F10" s="13">
        <v>4</v>
      </c>
      <c r="G10" s="13">
        <v>18</v>
      </c>
      <c r="H10" s="14">
        <v>3000</v>
      </c>
      <c r="I10" s="12" t="s">
        <v>77</v>
      </c>
      <c r="J10" s="12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spans="2:22" ht="21.75" customHeight="1" x14ac:dyDescent="0.25">
      <c r="B11" s="12" t="s">
        <v>78</v>
      </c>
      <c r="C11" s="12" t="s">
        <v>79</v>
      </c>
      <c r="D11" s="12" t="s">
        <v>41</v>
      </c>
      <c r="E11" s="12" t="s">
        <v>76</v>
      </c>
      <c r="F11" s="13">
        <v>4</v>
      </c>
      <c r="G11" s="13">
        <v>11</v>
      </c>
      <c r="H11" s="14">
        <v>3400</v>
      </c>
      <c r="I11" s="12" t="s">
        <v>77</v>
      </c>
      <c r="J11" s="12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2:22" ht="21.75" customHeight="1" x14ac:dyDescent="0.25">
      <c r="B12" s="12" t="s">
        <v>80</v>
      </c>
      <c r="C12" s="12" t="s">
        <v>81</v>
      </c>
      <c r="D12" s="12" t="s">
        <v>41</v>
      </c>
      <c r="E12" s="12" t="s">
        <v>76</v>
      </c>
      <c r="F12" s="13">
        <v>4</v>
      </c>
      <c r="G12" s="13">
        <v>0</v>
      </c>
      <c r="H12" s="14">
        <v>5000</v>
      </c>
      <c r="I12" s="12" t="s">
        <v>82</v>
      </c>
      <c r="J12" s="12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spans="2:22" ht="21.75" customHeight="1" x14ac:dyDescent="0.25">
      <c r="B13" s="12" t="s">
        <v>83</v>
      </c>
      <c r="C13" s="12" t="s">
        <v>84</v>
      </c>
      <c r="D13" s="12" t="s">
        <v>37</v>
      </c>
      <c r="E13" s="12" t="s">
        <v>61</v>
      </c>
      <c r="F13" s="13">
        <v>5</v>
      </c>
      <c r="G13" s="13">
        <v>14</v>
      </c>
      <c r="H13" s="14">
        <v>3600</v>
      </c>
      <c r="I13" s="12" t="s">
        <v>85</v>
      </c>
      <c r="J13" s="12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spans="2:22" ht="21.75" customHeight="1" x14ac:dyDescent="0.25">
      <c r="B14" s="12" t="s">
        <v>86</v>
      </c>
      <c r="C14" s="12" t="s">
        <v>87</v>
      </c>
      <c r="D14" s="12" t="s">
        <v>37</v>
      </c>
      <c r="E14" s="12" t="s">
        <v>61</v>
      </c>
      <c r="F14" s="13">
        <v>5</v>
      </c>
      <c r="G14" s="13">
        <v>9</v>
      </c>
      <c r="H14" s="14">
        <v>3300</v>
      </c>
      <c r="I14" s="12" t="s">
        <v>85</v>
      </c>
      <c r="J14" s="12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spans="2:22" ht="21.75" customHeight="1" x14ac:dyDescent="0.25">
      <c r="B15" s="12"/>
      <c r="C15" s="12"/>
      <c r="D15" s="12"/>
      <c r="E15" s="12"/>
      <c r="F15" s="13"/>
      <c r="G15" s="13"/>
      <c r="H15" s="14"/>
      <c r="I15" s="12"/>
      <c r="J15" s="12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spans="2:22" ht="21.75" customHeight="1" x14ac:dyDescent="0.25">
      <c r="B16" s="12"/>
      <c r="C16" s="12"/>
      <c r="D16" s="12"/>
      <c r="E16" s="12"/>
      <c r="F16" s="13"/>
      <c r="G16" s="13"/>
      <c r="H16" s="14"/>
      <c r="I16" s="12"/>
      <c r="J16" s="12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spans="2:22" ht="21.75" customHeight="1" x14ac:dyDescent="0.25">
      <c r="B17" s="12"/>
      <c r="C17" s="12"/>
      <c r="D17" s="12"/>
      <c r="E17" s="12"/>
      <c r="F17" s="13"/>
      <c r="G17" s="13"/>
      <c r="H17" s="14"/>
      <c r="I17" s="12"/>
      <c r="J17" s="12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2:22" ht="21.75" customHeight="1" x14ac:dyDescent="0.25">
      <c r="B18" s="12"/>
      <c r="C18" s="12"/>
      <c r="D18" s="12"/>
      <c r="E18" s="12"/>
      <c r="F18" s="13"/>
      <c r="G18" s="13"/>
      <c r="H18" s="14"/>
      <c r="I18" s="12"/>
      <c r="J18" s="12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spans="2:22" ht="21.75" customHeight="1" x14ac:dyDescent="0.25">
      <c r="B19" s="12"/>
      <c r="C19" s="12"/>
      <c r="D19" s="12"/>
      <c r="E19" s="12"/>
      <c r="F19" s="13"/>
      <c r="G19" s="13"/>
      <c r="H19" s="14"/>
      <c r="I19" s="12"/>
      <c r="J19" s="12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spans="2:22" ht="21.75" customHeight="1" x14ac:dyDescent="0.25">
      <c r="B20" s="12"/>
      <c r="C20" s="12"/>
      <c r="D20" s="12"/>
      <c r="E20" s="12"/>
      <c r="F20" s="13"/>
      <c r="G20" s="13"/>
      <c r="H20" s="14"/>
      <c r="I20" s="12"/>
      <c r="J20" s="12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spans="2:22" ht="21.75" customHeight="1" x14ac:dyDescent="0.25">
      <c r="B21" s="12"/>
      <c r="C21" s="12"/>
      <c r="D21" s="12"/>
      <c r="E21" s="12"/>
      <c r="F21" s="13"/>
      <c r="G21" s="13"/>
      <c r="H21" s="14"/>
      <c r="I21" s="12"/>
      <c r="J21" s="1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spans="2:22" ht="21.75" customHeight="1" x14ac:dyDescent="0.25">
      <c r="B22" s="12"/>
      <c r="C22" s="12"/>
      <c r="D22" s="12"/>
      <c r="E22" s="12"/>
      <c r="F22" s="13"/>
      <c r="G22" s="13"/>
      <c r="H22" s="14"/>
      <c r="I22" s="12"/>
      <c r="J22" s="12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spans="2:22" ht="21.75" customHeight="1" x14ac:dyDescent="0.25">
      <c r="B23" s="12"/>
      <c r="C23" s="12"/>
      <c r="D23" s="12"/>
      <c r="E23" s="12"/>
      <c r="F23" s="13"/>
      <c r="G23" s="13"/>
      <c r="H23" s="14"/>
      <c r="I23" s="12"/>
      <c r="J23" s="12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2:22" ht="21.75" customHeight="1" x14ac:dyDescent="0.25">
      <c r="B24" s="12"/>
      <c r="C24" s="12"/>
      <c r="D24" s="12"/>
      <c r="E24" s="12"/>
      <c r="F24" s="13"/>
      <c r="G24" s="13"/>
      <c r="H24" s="14"/>
      <c r="I24" s="12"/>
      <c r="J24" s="12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spans="2:22" ht="21.75" customHeight="1" x14ac:dyDescent="0.25">
      <c r="B25" s="12"/>
      <c r="C25" s="12"/>
      <c r="D25" s="12"/>
      <c r="E25" s="12"/>
      <c r="F25" s="13"/>
      <c r="G25" s="13"/>
      <c r="H25" s="14"/>
      <c r="I25" s="12"/>
      <c r="J25" s="12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spans="2:22" ht="21.75" customHeight="1" x14ac:dyDescent="0.25">
      <c r="B26" s="12"/>
      <c r="C26" s="12"/>
      <c r="D26" s="12"/>
      <c r="E26" s="12"/>
      <c r="F26" s="13"/>
      <c r="G26" s="13"/>
      <c r="H26" s="14"/>
      <c r="I26" s="12"/>
      <c r="J26" s="12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spans="2:22" ht="21.75" customHeight="1" x14ac:dyDescent="0.25">
      <c r="B27" s="12"/>
      <c r="C27" s="12"/>
      <c r="D27" s="12"/>
      <c r="E27" s="12"/>
      <c r="F27" s="13"/>
      <c r="G27" s="13"/>
      <c r="H27" s="14"/>
      <c r="I27" s="12"/>
      <c r="J27" s="12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2:22" ht="21.75" customHeight="1" x14ac:dyDescent="0.25">
      <c r="B28" s="12"/>
      <c r="C28" s="12"/>
      <c r="D28" s="12"/>
      <c r="E28" s="12"/>
      <c r="F28" s="13"/>
      <c r="G28" s="13"/>
      <c r="H28" s="14"/>
      <c r="I28" s="12"/>
      <c r="J28" s="12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spans="2:22" ht="21.75" customHeight="1" x14ac:dyDescent="0.25">
      <c r="B29" s="12"/>
      <c r="C29" s="12"/>
      <c r="D29" s="12"/>
      <c r="E29" s="12"/>
      <c r="F29" s="13"/>
      <c r="G29" s="13"/>
      <c r="H29" s="14"/>
      <c r="I29" s="12"/>
      <c r="J29" s="12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spans="2:22" ht="21.75" customHeight="1" x14ac:dyDescent="0.25">
      <c r="B30" s="12"/>
      <c r="C30" s="12"/>
      <c r="D30" s="12"/>
      <c r="E30" s="12"/>
      <c r="F30" s="13"/>
      <c r="G30" s="13"/>
      <c r="H30" s="14"/>
      <c r="I30" s="12"/>
      <c r="J30" s="12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spans="2:22" ht="21.75" customHeight="1" x14ac:dyDescent="0.25">
      <c r="B31" s="12"/>
      <c r="C31" s="12"/>
      <c r="D31" s="12"/>
      <c r="E31" s="12"/>
      <c r="F31" s="13"/>
      <c r="G31" s="13"/>
      <c r="H31" s="14"/>
      <c r="I31" s="12"/>
      <c r="J31" s="12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2:22" ht="21.75" customHeight="1" x14ac:dyDescent="0.25">
      <c r="B32" s="12"/>
      <c r="C32" s="12"/>
      <c r="D32" s="12"/>
      <c r="E32" s="12"/>
      <c r="F32" s="13"/>
      <c r="G32" s="13"/>
      <c r="H32" s="14"/>
      <c r="I32" s="12"/>
      <c r="J32" s="12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spans="2:22" ht="21.75" customHeight="1" x14ac:dyDescent="0.25">
      <c r="B33" s="12"/>
      <c r="C33" s="12"/>
      <c r="D33" s="12"/>
      <c r="E33" s="12"/>
      <c r="F33" s="13"/>
      <c r="G33" s="13"/>
      <c r="H33" s="14"/>
      <c r="I33" s="12"/>
      <c r="J33" s="12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spans="2:22" ht="21.75" customHeight="1" x14ac:dyDescent="0.25">
      <c r="B34" s="12"/>
      <c r="C34" s="12"/>
      <c r="D34" s="12"/>
      <c r="E34" s="12"/>
      <c r="F34" s="13"/>
      <c r="G34" s="13"/>
      <c r="H34" s="14"/>
      <c r="I34" s="12"/>
      <c r="J34" s="12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spans="2:22" ht="21.75" customHeight="1" x14ac:dyDescent="0.25">
      <c r="B35" s="12"/>
      <c r="C35" s="12"/>
      <c r="D35" s="12"/>
      <c r="E35" s="12"/>
      <c r="F35" s="13"/>
      <c r="G35" s="13"/>
      <c r="H35" s="14"/>
      <c r="I35" s="12"/>
      <c r="J35" s="12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spans="2:22" ht="21.75" customHeight="1" x14ac:dyDescent="0.25">
      <c r="B36" s="12"/>
      <c r="C36" s="12"/>
      <c r="D36" s="12"/>
      <c r="E36" s="12"/>
      <c r="F36" s="13"/>
      <c r="G36" s="13"/>
      <c r="H36" s="14"/>
      <c r="I36" s="12"/>
      <c r="J36" s="12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spans="2:22" ht="21.75" customHeight="1" x14ac:dyDescent="0.25">
      <c r="B37" s="12"/>
      <c r="C37" s="12"/>
      <c r="D37" s="12"/>
      <c r="E37" s="12"/>
      <c r="F37" s="13"/>
      <c r="G37" s="13"/>
      <c r="H37" s="14"/>
      <c r="I37" s="12"/>
      <c r="J37" s="12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spans="2:22" ht="21.75" customHeight="1" x14ac:dyDescent="0.25">
      <c r="B38" s="12"/>
      <c r="C38" s="12"/>
      <c r="D38" s="12"/>
      <c r="E38" s="12"/>
      <c r="F38" s="13"/>
      <c r="G38" s="13"/>
      <c r="H38" s="14"/>
      <c r="I38" s="12"/>
      <c r="J38" s="12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spans="2:22" ht="21.75" customHeight="1" x14ac:dyDescent="0.25">
      <c r="B39" s="12"/>
      <c r="C39" s="12"/>
      <c r="D39" s="12"/>
      <c r="E39" s="12"/>
      <c r="F39" s="13"/>
      <c r="G39" s="13"/>
      <c r="H39" s="14"/>
      <c r="I39" s="12"/>
      <c r="J39" s="12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2:22" ht="21.75" customHeight="1" x14ac:dyDescent="0.25">
      <c r="B40" s="12"/>
      <c r="C40" s="12"/>
      <c r="D40" s="12"/>
      <c r="E40" s="12"/>
      <c r="F40" s="13"/>
      <c r="G40" s="13"/>
      <c r="H40" s="14"/>
      <c r="I40" s="12"/>
      <c r="J40" s="12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2:22" ht="21.75" customHeight="1" x14ac:dyDescent="0.25">
      <c r="B41" s="12"/>
      <c r="C41" s="12"/>
      <c r="D41" s="12"/>
      <c r="E41" s="12"/>
      <c r="F41" s="13"/>
      <c r="G41" s="13"/>
      <c r="H41" s="14"/>
      <c r="I41" s="12"/>
      <c r="J41" s="12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2:22" ht="21.75" customHeight="1" x14ac:dyDescent="0.25">
      <c r="B42" s="12"/>
      <c r="C42" s="12"/>
      <c r="D42" s="12"/>
      <c r="E42" s="12"/>
      <c r="F42" s="13"/>
      <c r="G42" s="13"/>
      <c r="H42" s="14"/>
      <c r="I42" s="12"/>
      <c r="J42" s="12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2:22" ht="21.75" customHeight="1" x14ac:dyDescent="0.25">
      <c r="B43" s="12"/>
      <c r="C43" s="12"/>
      <c r="D43" s="12"/>
      <c r="E43" s="12"/>
      <c r="F43" s="13"/>
      <c r="G43" s="13"/>
      <c r="H43" s="14"/>
      <c r="I43" s="12"/>
      <c r="J43" s="12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2:22" ht="21.75" customHeight="1" x14ac:dyDescent="0.25">
      <c r="B44" s="12"/>
      <c r="C44" s="12"/>
      <c r="D44" s="12"/>
      <c r="E44" s="12"/>
      <c r="F44" s="13"/>
      <c r="G44" s="13"/>
      <c r="H44" s="14"/>
      <c r="I44" s="12"/>
      <c r="J44" s="12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2:22" ht="21.75" customHeight="1" x14ac:dyDescent="0.25">
      <c r="B45" s="12"/>
      <c r="C45" s="12"/>
      <c r="D45" s="12"/>
      <c r="E45" s="12"/>
      <c r="F45" s="13"/>
      <c r="G45" s="13"/>
      <c r="H45" s="14"/>
      <c r="I45" s="12"/>
      <c r="J45" s="12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2:22" ht="21.75" customHeight="1" x14ac:dyDescent="0.25">
      <c r="B46" s="12"/>
      <c r="C46" s="12"/>
      <c r="D46" s="12"/>
      <c r="E46" s="12"/>
      <c r="F46" s="13"/>
      <c r="G46" s="13"/>
      <c r="H46" s="14"/>
      <c r="I46" s="12"/>
      <c r="J46" s="12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2:22" ht="21.75" customHeight="1" x14ac:dyDescent="0.25">
      <c r="B47" s="12"/>
      <c r="C47" s="12"/>
      <c r="D47" s="12"/>
      <c r="E47" s="12"/>
      <c r="F47" s="13"/>
      <c r="G47" s="13"/>
      <c r="H47" s="14"/>
      <c r="I47" s="12"/>
      <c r="J47" s="12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2:22" ht="21.75" customHeight="1" x14ac:dyDescent="0.25">
      <c r="B48" s="12"/>
      <c r="C48" s="12"/>
      <c r="D48" s="12"/>
      <c r="E48" s="12"/>
      <c r="F48" s="13"/>
      <c r="G48" s="13"/>
      <c r="H48" s="14"/>
      <c r="I48" s="12"/>
      <c r="J48" s="12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2:22" ht="21.75" customHeight="1" x14ac:dyDescent="0.25">
      <c r="B49" s="12"/>
      <c r="C49" s="12"/>
      <c r="D49" s="12"/>
      <c r="E49" s="12"/>
      <c r="F49" s="13"/>
      <c r="G49" s="13"/>
      <c r="H49" s="14"/>
      <c r="I49" s="12"/>
      <c r="J49" s="12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spans="2:22" ht="21.75" customHeight="1" x14ac:dyDescent="0.25">
      <c r="B50" s="12"/>
      <c r="C50" s="12"/>
      <c r="D50" s="12"/>
      <c r="E50" s="12"/>
      <c r="F50" s="13"/>
      <c r="G50" s="13"/>
      <c r="H50" s="14"/>
      <c r="I50" s="12"/>
      <c r="J50" s="12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1.75" customHeight="1" x14ac:dyDescent="0.25">
      <c r="B51" s="12"/>
      <c r="C51" s="12"/>
      <c r="D51" s="12"/>
      <c r="E51" s="12"/>
      <c r="F51" s="13"/>
      <c r="G51" s="13"/>
      <c r="H51" s="14"/>
      <c r="I51" s="12"/>
      <c r="J51" s="12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1.75" customHeight="1" x14ac:dyDescent="0.25">
      <c r="B52" s="12"/>
      <c r="C52" s="12"/>
      <c r="D52" s="12"/>
      <c r="E52" s="12"/>
      <c r="F52" s="13"/>
      <c r="G52" s="13"/>
      <c r="H52" s="14"/>
      <c r="I52" s="12"/>
      <c r="J52" s="12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21.75" customHeight="1" x14ac:dyDescent="0.25">
      <c r="B53" s="12"/>
      <c r="C53" s="12"/>
      <c r="D53" s="12"/>
      <c r="E53" s="12"/>
      <c r="F53" s="13"/>
      <c r="G53" s="13"/>
      <c r="H53" s="14"/>
      <c r="I53" s="12"/>
      <c r="J53" s="12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1.75" customHeight="1" x14ac:dyDescent="0.25">
      <c r="B54" s="12"/>
      <c r="C54" s="12"/>
      <c r="D54" s="12"/>
      <c r="E54" s="12"/>
      <c r="F54" s="13"/>
      <c r="G54" s="13"/>
      <c r="H54" s="14"/>
      <c r="I54" s="12"/>
      <c r="J54" s="12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1.75" customHeight="1" x14ac:dyDescent="0.25">
      <c r="B55" s="12"/>
      <c r="C55" s="12"/>
      <c r="D55" s="12"/>
      <c r="E55" s="12"/>
      <c r="F55" s="13"/>
      <c r="G55" s="13"/>
      <c r="H55" s="14"/>
      <c r="I55" s="12"/>
      <c r="J55" s="12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1.75" customHeight="1" x14ac:dyDescent="0.25">
      <c r="B56" s="12"/>
      <c r="C56" s="12"/>
      <c r="D56" s="12"/>
      <c r="E56" s="12"/>
      <c r="F56" s="13"/>
      <c r="G56" s="13"/>
      <c r="H56" s="14"/>
      <c r="I56" s="12"/>
      <c r="J56" s="12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1.75" customHeight="1" x14ac:dyDescent="0.25">
      <c r="B57" s="12"/>
      <c r="C57" s="12"/>
      <c r="D57" s="12"/>
      <c r="E57" s="12"/>
      <c r="F57" s="13"/>
      <c r="G57" s="13"/>
      <c r="H57" s="14"/>
      <c r="I57" s="12"/>
      <c r="J57" s="12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1.75" customHeight="1" x14ac:dyDescent="0.25">
      <c r="B58" s="12"/>
      <c r="C58" s="12"/>
      <c r="D58" s="12"/>
      <c r="E58" s="12"/>
      <c r="F58" s="13"/>
      <c r="G58" s="13"/>
      <c r="H58" s="14"/>
      <c r="I58" s="12"/>
      <c r="J58" s="12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1.75" customHeight="1" x14ac:dyDescent="0.25">
      <c r="B59" s="12"/>
      <c r="C59" s="12"/>
      <c r="D59" s="12"/>
      <c r="E59" s="12"/>
      <c r="F59" s="13"/>
      <c r="G59" s="13"/>
      <c r="H59" s="14"/>
      <c r="I59" s="12"/>
      <c r="J59" s="12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1.75" customHeight="1" x14ac:dyDescent="0.25">
      <c r="B60" s="12"/>
      <c r="C60" s="12"/>
      <c r="D60" s="12"/>
      <c r="E60" s="12"/>
      <c r="F60" s="13"/>
      <c r="G60" s="13"/>
      <c r="H60" s="14"/>
      <c r="I60" s="12"/>
      <c r="J60" s="12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1.75" customHeight="1" x14ac:dyDescent="0.25">
      <c r="B61" s="12"/>
      <c r="C61" s="12"/>
      <c r="D61" s="12"/>
      <c r="E61" s="12"/>
      <c r="F61" s="13"/>
      <c r="G61" s="13"/>
      <c r="H61" s="14"/>
      <c r="I61" s="12"/>
      <c r="J61" s="12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1.75" customHeight="1" x14ac:dyDescent="0.25">
      <c r="B62" s="12"/>
      <c r="C62" s="12"/>
      <c r="D62" s="12"/>
      <c r="E62" s="12"/>
      <c r="F62" s="13"/>
      <c r="G62" s="13"/>
      <c r="H62" s="14"/>
      <c r="I62" s="12"/>
      <c r="J62" s="12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1.75" customHeight="1" x14ac:dyDescent="0.25">
      <c r="B63" s="12"/>
      <c r="C63" s="12"/>
      <c r="D63" s="12"/>
      <c r="E63" s="12"/>
      <c r="F63" s="13"/>
      <c r="G63" s="13"/>
      <c r="H63" s="14"/>
      <c r="I63" s="12"/>
      <c r="J63" s="12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1.75" customHeight="1" x14ac:dyDescent="0.25">
      <c r="B64" s="12"/>
      <c r="C64" s="12"/>
      <c r="D64" s="12"/>
      <c r="E64" s="12"/>
      <c r="F64" s="13"/>
      <c r="G64" s="13"/>
      <c r="H64" s="14"/>
      <c r="I64" s="12"/>
      <c r="J64" s="12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1.75" customHeight="1" x14ac:dyDescent="0.25">
      <c r="B65" s="12"/>
      <c r="C65" s="12"/>
      <c r="D65" s="12"/>
      <c r="E65" s="12"/>
      <c r="F65" s="13"/>
      <c r="G65" s="13"/>
      <c r="H65" s="14"/>
      <c r="I65" s="12"/>
      <c r="J65" s="12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1.75" customHeight="1" x14ac:dyDescent="0.25">
      <c r="B66" s="12"/>
      <c r="C66" s="12"/>
      <c r="D66" s="12"/>
      <c r="E66" s="12"/>
      <c r="F66" s="13"/>
      <c r="G66" s="13"/>
      <c r="H66" s="14"/>
      <c r="I66" s="12"/>
      <c r="J66" s="12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1.75" customHeight="1" x14ac:dyDescent="0.25">
      <c r="B67" s="12"/>
      <c r="C67" s="12"/>
      <c r="D67" s="12"/>
      <c r="E67" s="12"/>
      <c r="F67" s="13"/>
      <c r="G67" s="13"/>
      <c r="H67" s="14"/>
      <c r="I67" s="12"/>
      <c r="J67" s="12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1.75" customHeight="1" x14ac:dyDescent="0.25">
      <c r="B68" s="12"/>
      <c r="C68" s="12"/>
      <c r="D68" s="12"/>
      <c r="E68" s="12"/>
      <c r="F68" s="13"/>
      <c r="G68" s="13"/>
      <c r="H68" s="14"/>
      <c r="I68" s="12"/>
      <c r="J68" s="12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1.75" customHeight="1" x14ac:dyDescent="0.25">
      <c r="B69" s="12"/>
      <c r="C69" s="12"/>
      <c r="D69" s="12"/>
      <c r="E69" s="12"/>
      <c r="F69" s="13"/>
      <c r="G69" s="13"/>
      <c r="H69" s="14"/>
      <c r="I69" s="12"/>
      <c r="J69" s="12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1.75" customHeight="1" x14ac:dyDescent="0.25">
      <c r="B70" s="12"/>
      <c r="C70" s="12"/>
      <c r="D70" s="12"/>
      <c r="E70" s="12"/>
      <c r="F70" s="13"/>
      <c r="G70" s="13"/>
      <c r="H70" s="14"/>
      <c r="I70" s="12"/>
      <c r="J70" s="12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1.75" customHeight="1" x14ac:dyDescent="0.25">
      <c r="B71" s="12"/>
      <c r="C71" s="12"/>
      <c r="D71" s="12"/>
      <c r="E71" s="12"/>
      <c r="F71" s="13"/>
      <c r="G71" s="13"/>
      <c r="H71" s="14"/>
      <c r="I71" s="12"/>
      <c r="J71" s="12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1.75" customHeight="1" x14ac:dyDescent="0.25">
      <c r="B72" s="12"/>
      <c r="C72" s="12"/>
      <c r="D72" s="12"/>
      <c r="E72" s="12"/>
      <c r="F72" s="13"/>
      <c r="G72" s="13"/>
      <c r="H72" s="14"/>
      <c r="I72" s="12"/>
      <c r="J72" s="12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1.75" customHeight="1" x14ac:dyDescent="0.25">
      <c r="B73" s="12"/>
      <c r="C73" s="12"/>
      <c r="D73" s="12"/>
      <c r="E73" s="12"/>
      <c r="F73" s="13"/>
      <c r="G73" s="13"/>
      <c r="H73" s="14"/>
      <c r="I73" s="12"/>
      <c r="J73" s="12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1.75" customHeight="1" x14ac:dyDescent="0.25">
      <c r="B74" s="12"/>
      <c r="C74" s="12"/>
      <c r="D74" s="12"/>
      <c r="E74" s="12"/>
      <c r="F74" s="13"/>
      <c r="G74" s="13"/>
      <c r="H74" s="14"/>
      <c r="I74" s="12"/>
      <c r="J74" s="12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1.75" customHeight="1" x14ac:dyDescent="0.25">
      <c r="B75" s="12"/>
      <c r="C75" s="12"/>
      <c r="D75" s="12"/>
      <c r="E75" s="12"/>
      <c r="F75" s="13"/>
      <c r="G75" s="13"/>
      <c r="H75" s="14"/>
      <c r="I75" s="12"/>
      <c r="J75" s="12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1.75" customHeight="1" x14ac:dyDescent="0.25">
      <c r="B76" s="12"/>
      <c r="C76" s="12"/>
      <c r="D76" s="12"/>
      <c r="E76" s="12"/>
      <c r="F76" s="13"/>
      <c r="G76" s="13"/>
      <c r="H76" s="14"/>
      <c r="I76" s="12"/>
      <c r="J76" s="12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1.75" customHeight="1" x14ac:dyDescent="0.25">
      <c r="B77" s="12"/>
      <c r="C77" s="12"/>
      <c r="D77" s="12"/>
      <c r="E77" s="12"/>
      <c r="F77" s="13"/>
      <c r="G77" s="13"/>
      <c r="H77" s="14"/>
      <c r="I77" s="12"/>
      <c r="J77" s="12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1.75" customHeight="1" x14ac:dyDescent="0.25">
      <c r="B78" s="12"/>
      <c r="C78" s="12"/>
      <c r="D78" s="12"/>
      <c r="E78" s="12"/>
      <c r="F78" s="13"/>
      <c r="G78" s="13"/>
      <c r="H78" s="14"/>
      <c r="I78" s="12"/>
      <c r="J78" s="12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1.75" customHeight="1" x14ac:dyDescent="0.25">
      <c r="B79" s="12"/>
      <c r="C79" s="12"/>
      <c r="D79" s="12"/>
      <c r="E79" s="12"/>
      <c r="F79" s="13"/>
      <c r="G79" s="13"/>
      <c r="H79" s="14"/>
      <c r="I79" s="12"/>
      <c r="J79" s="12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1.75" customHeight="1" x14ac:dyDescent="0.25">
      <c r="B80" s="12"/>
      <c r="C80" s="12"/>
      <c r="D80" s="12"/>
      <c r="E80" s="12"/>
      <c r="F80" s="13"/>
      <c r="G80" s="13"/>
      <c r="H80" s="14"/>
      <c r="I80" s="12"/>
      <c r="J80" s="12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21.75" customHeight="1" x14ac:dyDescent="0.25">
      <c r="B81" s="12"/>
      <c r="C81" s="12"/>
      <c r="D81" s="12"/>
      <c r="E81" s="12"/>
      <c r="F81" s="13"/>
      <c r="G81" s="13"/>
      <c r="H81" s="14"/>
      <c r="I81" s="12"/>
      <c r="J81" s="12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2:22" ht="21.75" customHeight="1" x14ac:dyDescent="0.25">
      <c r="B82" s="12"/>
      <c r="C82" s="12"/>
      <c r="D82" s="12"/>
      <c r="E82" s="12"/>
      <c r="F82" s="13"/>
      <c r="G82" s="13"/>
      <c r="H82" s="14"/>
      <c r="I82" s="12"/>
      <c r="J82" s="12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1.75" customHeight="1" x14ac:dyDescent="0.25">
      <c r="B83" s="12"/>
      <c r="C83" s="12"/>
      <c r="D83" s="12"/>
      <c r="E83" s="12"/>
      <c r="F83" s="13"/>
      <c r="G83" s="13"/>
      <c r="H83" s="14"/>
      <c r="I83" s="12"/>
      <c r="J83" s="12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21.75" customHeight="1" x14ac:dyDescent="0.25">
      <c r="B84" s="12"/>
      <c r="C84" s="12"/>
      <c r="D84" s="12"/>
      <c r="E84" s="12"/>
      <c r="F84" s="13"/>
      <c r="G84" s="13"/>
      <c r="H84" s="14"/>
      <c r="I84" s="12"/>
      <c r="J84" s="12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2:22" ht="21.75" customHeight="1" x14ac:dyDescent="0.25">
      <c r="B85" s="12"/>
      <c r="C85" s="12"/>
      <c r="D85" s="12"/>
      <c r="E85" s="12"/>
      <c r="F85" s="13"/>
      <c r="G85" s="13"/>
      <c r="H85" s="14"/>
      <c r="I85" s="12"/>
      <c r="J85" s="12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2:22" ht="21.75" customHeight="1" x14ac:dyDescent="0.25">
      <c r="B86" s="12"/>
      <c r="C86" s="12"/>
      <c r="D86" s="12"/>
      <c r="E86" s="12"/>
      <c r="F86" s="13"/>
      <c r="G86" s="13"/>
      <c r="H86" s="14"/>
      <c r="I86" s="12"/>
      <c r="J86" s="12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2:22" ht="21.75" customHeight="1" x14ac:dyDescent="0.25">
      <c r="B87" s="12"/>
      <c r="C87" s="12"/>
      <c r="D87" s="12"/>
      <c r="E87" s="12"/>
      <c r="F87" s="13"/>
      <c r="G87" s="13"/>
      <c r="H87" s="14"/>
      <c r="I87" s="12"/>
      <c r="J87" s="12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2:22" ht="21.75" customHeight="1" x14ac:dyDescent="0.25">
      <c r="B88" s="12"/>
      <c r="C88" s="12"/>
      <c r="D88" s="12"/>
      <c r="E88" s="12"/>
      <c r="F88" s="13"/>
      <c r="G88" s="13"/>
      <c r="H88" s="14"/>
      <c r="I88" s="12"/>
      <c r="J88" s="12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2:22" ht="21.75" customHeight="1" x14ac:dyDescent="0.25">
      <c r="B89" s="12"/>
      <c r="C89" s="12"/>
      <c r="D89" s="12"/>
      <c r="E89" s="12"/>
      <c r="F89" s="13"/>
      <c r="G89" s="13"/>
      <c r="H89" s="14"/>
      <c r="I89" s="12"/>
      <c r="J89" s="12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2:22" ht="21.75" customHeight="1" x14ac:dyDescent="0.25">
      <c r="B90" s="12"/>
      <c r="C90" s="12"/>
      <c r="D90" s="12"/>
      <c r="E90" s="12"/>
      <c r="F90" s="13"/>
      <c r="G90" s="13"/>
      <c r="H90" s="14"/>
      <c r="I90" s="12"/>
      <c r="J90" s="12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1.75" customHeight="1" x14ac:dyDescent="0.25">
      <c r="B91" s="12"/>
      <c r="C91" s="12"/>
      <c r="D91" s="12"/>
      <c r="E91" s="12"/>
      <c r="F91" s="13"/>
      <c r="G91" s="13"/>
      <c r="H91" s="14"/>
      <c r="I91" s="12"/>
      <c r="J91" s="12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1.75" customHeight="1" x14ac:dyDescent="0.25">
      <c r="B92" s="12"/>
      <c r="C92" s="12"/>
      <c r="D92" s="12"/>
      <c r="E92" s="12"/>
      <c r="F92" s="13"/>
      <c r="G92" s="13"/>
      <c r="H92" s="14"/>
      <c r="I92" s="12"/>
      <c r="J92" s="12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21.75" customHeight="1" x14ac:dyDescent="0.25">
      <c r="B93" s="12"/>
      <c r="C93" s="12"/>
      <c r="D93" s="12"/>
      <c r="E93" s="12"/>
      <c r="F93" s="13"/>
      <c r="G93" s="13"/>
      <c r="H93" s="14"/>
      <c r="I93" s="12"/>
      <c r="J93" s="12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1.75" customHeight="1" x14ac:dyDescent="0.25">
      <c r="B94" s="12"/>
      <c r="C94" s="12"/>
      <c r="D94" s="12"/>
      <c r="E94" s="12"/>
      <c r="F94" s="13"/>
      <c r="G94" s="13"/>
      <c r="H94" s="14"/>
      <c r="I94" s="12"/>
      <c r="J94" s="12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1.75" customHeight="1" x14ac:dyDescent="0.25">
      <c r="B95" s="12"/>
      <c r="C95" s="12"/>
      <c r="D95" s="12"/>
      <c r="E95" s="12"/>
      <c r="F95" s="13"/>
      <c r="G95" s="13"/>
      <c r="H95" s="14"/>
      <c r="I95" s="12"/>
      <c r="J95" s="12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1.75" customHeight="1" x14ac:dyDescent="0.25">
      <c r="B96" s="12"/>
      <c r="C96" s="12"/>
      <c r="D96" s="12"/>
      <c r="E96" s="12"/>
      <c r="F96" s="13"/>
      <c r="G96" s="13"/>
      <c r="H96" s="14"/>
      <c r="I96" s="12"/>
      <c r="J96" s="12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1.75" customHeight="1" x14ac:dyDescent="0.25">
      <c r="B97" s="12"/>
      <c r="C97" s="12"/>
      <c r="D97" s="12"/>
      <c r="E97" s="12"/>
      <c r="F97" s="13"/>
      <c r="G97" s="13"/>
      <c r="H97" s="14"/>
      <c r="I97" s="12"/>
      <c r="J97" s="12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1.75" customHeight="1" x14ac:dyDescent="0.25">
      <c r="B98" s="12"/>
      <c r="C98" s="12"/>
      <c r="D98" s="12"/>
      <c r="E98" s="12"/>
      <c r="F98" s="13"/>
      <c r="G98" s="13"/>
      <c r="H98" s="14"/>
      <c r="I98" s="12"/>
      <c r="J98" s="12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1.75" customHeight="1" x14ac:dyDescent="0.25">
      <c r="B99" s="12"/>
      <c r="C99" s="12"/>
      <c r="D99" s="12"/>
      <c r="E99" s="12"/>
      <c r="F99" s="13"/>
      <c r="G99" s="13"/>
      <c r="H99" s="14"/>
      <c r="I99" s="12"/>
      <c r="J99" s="12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1.75" customHeight="1" x14ac:dyDescent="0.25">
      <c r="B100" s="12"/>
      <c r="C100" s="12"/>
      <c r="D100" s="12"/>
      <c r="E100" s="12"/>
      <c r="F100" s="13"/>
      <c r="G100" s="13"/>
      <c r="H100" s="14"/>
      <c r="I100" s="12"/>
      <c r="J100" s="12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1.75" customHeight="1" x14ac:dyDescent="0.25">
      <c r="B101" s="12"/>
      <c r="C101" s="12"/>
      <c r="D101" s="12"/>
      <c r="E101" s="12"/>
      <c r="F101" s="13"/>
      <c r="G101" s="13"/>
      <c r="H101" s="14"/>
      <c r="I101" s="12"/>
      <c r="J101" s="12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1.75" customHeight="1" x14ac:dyDescent="0.25">
      <c r="B102" s="12"/>
      <c r="C102" s="12"/>
      <c r="D102" s="12"/>
      <c r="E102" s="12"/>
      <c r="F102" s="13"/>
      <c r="G102" s="13"/>
      <c r="H102" s="14"/>
      <c r="I102" s="12"/>
      <c r="J102" s="12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1.75" customHeight="1" x14ac:dyDescent="0.25">
      <c r="B103" s="12"/>
      <c r="C103" s="12"/>
      <c r="D103" s="12"/>
      <c r="E103" s="12"/>
      <c r="F103" s="13"/>
      <c r="G103" s="13"/>
      <c r="H103" s="14"/>
      <c r="I103" s="12"/>
      <c r="J103" s="12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1.75" customHeight="1" x14ac:dyDescent="0.25">
      <c r="B104" s="12"/>
      <c r="C104" s="12"/>
      <c r="D104" s="12"/>
      <c r="E104" s="12"/>
      <c r="F104" s="13"/>
      <c r="G104" s="13"/>
      <c r="H104" s="14"/>
      <c r="I104" s="12"/>
      <c r="J104" s="12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1.75" customHeight="1" x14ac:dyDescent="0.25">
      <c r="B105" s="12"/>
      <c r="C105" s="12"/>
      <c r="D105" s="12"/>
      <c r="E105" s="12"/>
      <c r="F105" s="13"/>
      <c r="G105" s="13"/>
      <c r="H105" s="14"/>
      <c r="I105" s="12"/>
      <c r="J105" s="12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1.75" customHeight="1" x14ac:dyDescent="0.25">
      <c r="B106" s="12"/>
      <c r="C106" s="12"/>
      <c r="D106" s="12"/>
      <c r="E106" s="12"/>
      <c r="F106" s="13"/>
      <c r="G106" s="13"/>
      <c r="H106" s="14"/>
      <c r="I106" s="12"/>
      <c r="J106" s="12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1.75" customHeight="1" x14ac:dyDescent="0.25">
      <c r="B107" s="12"/>
      <c r="C107" s="12"/>
      <c r="D107" s="12"/>
      <c r="E107" s="12"/>
      <c r="F107" s="13"/>
      <c r="G107" s="13"/>
      <c r="H107" s="14"/>
      <c r="I107" s="12"/>
      <c r="J107" s="12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1.75" customHeight="1" x14ac:dyDescent="0.25">
      <c r="B108" s="12"/>
      <c r="C108" s="12"/>
      <c r="D108" s="12"/>
      <c r="E108" s="12"/>
      <c r="F108" s="13"/>
      <c r="G108" s="13"/>
      <c r="H108" s="14"/>
      <c r="I108" s="12"/>
      <c r="J108" s="12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1.75" customHeight="1" x14ac:dyDescent="0.25">
      <c r="B109" s="12"/>
      <c r="C109" s="12"/>
      <c r="D109" s="12"/>
      <c r="E109" s="12"/>
      <c r="F109" s="13"/>
      <c r="G109" s="13"/>
      <c r="H109" s="14"/>
      <c r="I109" s="12"/>
      <c r="J109" s="12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1.75" customHeight="1" x14ac:dyDescent="0.25">
      <c r="B110" s="12"/>
      <c r="C110" s="12"/>
      <c r="D110" s="12"/>
      <c r="E110" s="12"/>
      <c r="F110" s="13"/>
      <c r="G110" s="13"/>
      <c r="H110" s="14"/>
      <c r="I110" s="12"/>
      <c r="J110" s="12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1.75" customHeight="1" x14ac:dyDescent="0.25">
      <c r="B111" s="12"/>
      <c r="C111" s="12"/>
      <c r="D111" s="12"/>
      <c r="E111" s="12"/>
      <c r="F111" s="13"/>
      <c r="G111" s="13"/>
      <c r="H111" s="14"/>
      <c r="I111" s="12"/>
      <c r="J111" s="12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1.75" customHeight="1" x14ac:dyDescent="0.25">
      <c r="B112" s="12"/>
      <c r="C112" s="12"/>
      <c r="D112" s="12"/>
      <c r="E112" s="12"/>
      <c r="F112" s="13"/>
      <c r="G112" s="13"/>
      <c r="H112" s="14"/>
      <c r="I112" s="12"/>
      <c r="J112" s="12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1.75" customHeight="1" x14ac:dyDescent="0.25">
      <c r="B113" s="12"/>
      <c r="C113" s="12"/>
      <c r="D113" s="12"/>
      <c r="E113" s="12"/>
      <c r="F113" s="13"/>
      <c r="G113" s="13"/>
      <c r="H113" s="14"/>
      <c r="I113" s="12"/>
      <c r="J113" s="12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1.75" customHeight="1" x14ac:dyDescent="0.25">
      <c r="B114" s="12"/>
      <c r="C114" s="12"/>
      <c r="D114" s="12"/>
      <c r="E114" s="12"/>
      <c r="F114" s="13"/>
      <c r="G114" s="13"/>
      <c r="H114" s="14"/>
      <c r="I114" s="12"/>
      <c r="J114" s="12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1.75" customHeight="1" x14ac:dyDescent="0.25">
      <c r="B115" s="12"/>
      <c r="C115" s="12"/>
      <c r="D115" s="12"/>
      <c r="E115" s="12"/>
      <c r="F115" s="13"/>
      <c r="G115" s="13"/>
      <c r="H115" s="14"/>
      <c r="I115" s="12"/>
      <c r="J115" s="12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1.75" customHeight="1" x14ac:dyDescent="0.25">
      <c r="B116" s="12"/>
      <c r="C116" s="12"/>
      <c r="D116" s="12"/>
      <c r="E116" s="12"/>
      <c r="F116" s="13"/>
      <c r="G116" s="13"/>
      <c r="H116" s="14"/>
      <c r="I116" s="12"/>
      <c r="J116" s="12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1.75" customHeight="1" x14ac:dyDescent="0.25">
      <c r="B117" s="12"/>
      <c r="C117" s="12"/>
      <c r="D117" s="12"/>
      <c r="E117" s="12"/>
      <c r="F117" s="13"/>
      <c r="G117" s="13"/>
      <c r="H117" s="14"/>
      <c r="I117" s="12"/>
      <c r="J117" s="12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1.75" customHeight="1" x14ac:dyDescent="0.25">
      <c r="B118" s="12"/>
      <c r="C118" s="12"/>
      <c r="D118" s="12"/>
      <c r="E118" s="12"/>
      <c r="F118" s="13"/>
      <c r="G118" s="13"/>
      <c r="H118" s="14"/>
      <c r="I118" s="12"/>
      <c r="J118" s="12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1.75" customHeight="1" x14ac:dyDescent="0.25">
      <c r="B119" s="12"/>
      <c r="C119" s="12"/>
      <c r="D119" s="12"/>
      <c r="E119" s="12"/>
      <c r="F119" s="13"/>
      <c r="G119" s="13"/>
      <c r="H119" s="14"/>
      <c r="I119" s="12"/>
      <c r="J119" s="12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1.75" customHeight="1" x14ac:dyDescent="0.25">
      <c r="B120" s="12"/>
      <c r="C120" s="12"/>
      <c r="D120" s="12"/>
      <c r="E120" s="12"/>
      <c r="F120" s="13"/>
      <c r="G120" s="13"/>
      <c r="H120" s="14"/>
      <c r="I120" s="12"/>
      <c r="J120" s="12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21.75" customHeight="1" x14ac:dyDescent="0.25">
      <c r="B121" s="12"/>
      <c r="C121" s="12"/>
      <c r="D121" s="12"/>
      <c r="E121" s="12"/>
      <c r="F121" s="13"/>
      <c r="G121" s="13"/>
      <c r="H121" s="14"/>
      <c r="I121" s="12"/>
      <c r="J121" s="12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2:22" ht="21.75" customHeight="1" x14ac:dyDescent="0.25">
      <c r="B122" s="12"/>
      <c r="C122" s="12"/>
      <c r="D122" s="12"/>
      <c r="E122" s="12"/>
      <c r="F122" s="13"/>
      <c r="G122" s="13"/>
      <c r="H122" s="14"/>
      <c r="I122" s="12"/>
      <c r="J122" s="12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1.75" customHeight="1" x14ac:dyDescent="0.25">
      <c r="B123" s="12"/>
      <c r="C123" s="12"/>
      <c r="D123" s="12"/>
      <c r="E123" s="12"/>
      <c r="F123" s="13"/>
      <c r="G123" s="13"/>
      <c r="H123" s="14"/>
      <c r="I123" s="12"/>
      <c r="J123" s="12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21.75" customHeight="1" x14ac:dyDescent="0.25">
      <c r="B124" s="12"/>
      <c r="C124" s="12"/>
      <c r="D124" s="12"/>
      <c r="E124" s="12"/>
      <c r="F124" s="13"/>
      <c r="G124" s="13"/>
      <c r="H124" s="14"/>
      <c r="I124" s="12"/>
      <c r="J124" s="12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2:22" ht="21.75" customHeight="1" x14ac:dyDescent="0.25">
      <c r="B125" s="12"/>
      <c r="C125" s="12"/>
      <c r="D125" s="12"/>
      <c r="E125" s="12"/>
      <c r="F125" s="13"/>
      <c r="G125" s="13"/>
      <c r="H125" s="14"/>
      <c r="I125" s="12"/>
      <c r="J125" s="12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2:22" ht="21.75" customHeight="1" x14ac:dyDescent="0.25">
      <c r="B126" s="12"/>
      <c r="C126" s="12"/>
      <c r="D126" s="12"/>
      <c r="E126" s="12"/>
      <c r="F126" s="13"/>
      <c r="G126" s="13"/>
      <c r="H126" s="14"/>
      <c r="I126" s="12"/>
      <c r="J126" s="12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2:22" ht="21.75" customHeight="1" x14ac:dyDescent="0.25">
      <c r="B127" s="12"/>
      <c r="C127" s="12"/>
      <c r="D127" s="12"/>
      <c r="E127" s="12"/>
      <c r="F127" s="13"/>
      <c r="G127" s="13"/>
      <c r="H127" s="14"/>
      <c r="I127" s="12"/>
      <c r="J127" s="12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2:22" ht="21.75" customHeight="1" x14ac:dyDescent="0.25">
      <c r="B128" s="12"/>
      <c r="C128" s="12"/>
      <c r="D128" s="12"/>
      <c r="E128" s="12"/>
      <c r="F128" s="13"/>
      <c r="G128" s="13"/>
      <c r="H128" s="14"/>
      <c r="I128" s="12"/>
      <c r="J128" s="12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2:22" ht="21.75" customHeight="1" x14ac:dyDescent="0.25">
      <c r="B129" s="12"/>
      <c r="C129" s="12"/>
      <c r="D129" s="12"/>
      <c r="E129" s="12"/>
      <c r="F129" s="13"/>
      <c r="G129" s="13"/>
      <c r="H129" s="14"/>
      <c r="I129" s="12"/>
      <c r="J129" s="12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2:22" ht="21.75" customHeight="1" x14ac:dyDescent="0.25">
      <c r="B130" s="12"/>
      <c r="C130" s="12"/>
      <c r="D130" s="12"/>
      <c r="E130" s="12"/>
      <c r="F130" s="13"/>
      <c r="G130" s="13"/>
      <c r="H130" s="14"/>
      <c r="I130" s="12"/>
      <c r="J130" s="12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1.75" customHeight="1" x14ac:dyDescent="0.25">
      <c r="B131" s="12"/>
      <c r="C131" s="12"/>
      <c r="D131" s="12"/>
      <c r="E131" s="12"/>
      <c r="F131" s="13"/>
      <c r="G131" s="13"/>
      <c r="H131" s="14"/>
      <c r="I131" s="12"/>
      <c r="J131" s="12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1.75" customHeight="1" x14ac:dyDescent="0.25">
      <c r="B132" s="12"/>
      <c r="C132" s="12"/>
      <c r="D132" s="12"/>
      <c r="E132" s="12"/>
      <c r="F132" s="13"/>
      <c r="G132" s="13"/>
      <c r="H132" s="14"/>
      <c r="I132" s="12"/>
      <c r="J132" s="12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21.75" customHeight="1" x14ac:dyDescent="0.25">
      <c r="B133" s="12"/>
      <c r="C133" s="12"/>
      <c r="D133" s="12"/>
      <c r="E133" s="12"/>
      <c r="F133" s="13"/>
      <c r="G133" s="13"/>
      <c r="H133" s="14"/>
      <c r="I133" s="12"/>
      <c r="J133" s="12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1.75" customHeight="1" x14ac:dyDescent="0.25">
      <c r="B134" s="12"/>
      <c r="C134" s="12"/>
      <c r="D134" s="12"/>
      <c r="E134" s="12"/>
      <c r="F134" s="13"/>
      <c r="G134" s="13"/>
      <c r="H134" s="14"/>
      <c r="I134" s="12"/>
      <c r="J134" s="12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1.75" customHeight="1" x14ac:dyDescent="0.25">
      <c r="B135" s="12"/>
      <c r="C135" s="12"/>
      <c r="D135" s="12"/>
      <c r="E135" s="12"/>
      <c r="F135" s="13"/>
      <c r="G135" s="13"/>
      <c r="H135" s="14"/>
      <c r="I135" s="12"/>
      <c r="J135" s="12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1.75" customHeight="1" x14ac:dyDescent="0.25">
      <c r="B136" s="12"/>
      <c r="C136" s="12"/>
      <c r="D136" s="12"/>
      <c r="E136" s="12"/>
      <c r="F136" s="13"/>
      <c r="G136" s="13"/>
      <c r="H136" s="14"/>
      <c r="I136" s="12"/>
      <c r="J136" s="12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1.75" customHeight="1" x14ac:dyDescent="0.25">
      <c r="B137" s="12"/>
      <c r="C137" s="12"/>
      <c r="D137" s="12"/>
      <c r="E137" s="12"/>
      <c r="F137" s="13"/>
      <c r="G137" s="13"/>
      <c r="H137" s="14"/>
      <c r="I137" s="12"/>
      <c r="J137" s="12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1.75" customHeight="1" x14ac:dyDescent="0.25">
      <c r="B138" s="12"/>
      <c r="C138" s="12"/>
      <c r="D138" s="12"/>
      <c r="E138" s="12"/>
      <c r="F138" s="13"/>
      <c r="G138" s="13"/>
      <c r="H138" s="14"/>
      <c r="I138" s="12"/>
      <c r="J138" s="12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1.75" customHeight="1" x14ac:dyDescent="0.25">
      <c r="B139" s="12"/>
      <c r="C139" s="12"/>
      <c r="D139" s="12"/>
      <c r="E139" s="12"/>
      <c r="F139" s="13"/>
      <c r="G139" s="13"/>
      <c r="H139" s="14"/>
      <c r="I139" s="12"/>
      <c r="J139" s="12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1.75" customHeight="1" x14ac:dyDescent="0.25">
      <c r="B140" s="12"/>
      <c r="C140" s="12"/>
      <c r="D140" s="12"/>
      <c r="E140" s="12"/>
      <c r="F140" s="13"/>
      <c r="G140" s="13"/>
      <c r="H140" s="14"/>
      <c r="I140" s="12"/>
      <c r="J140" s="12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1.75" customHeight="1" x14ac:dyDescent="0.25">
      <c r="B141" s="12"/>
      <c r="C141" s="12"/>
      <c r="D141" s="12"/>
      <c r="E141" s="12"/>
      <c r="F141" s="13"/>
      <c r="G141" s="13"/>
      <c r="H141" s="14"/>
      <c r="I141" s="12"/>
      <c r="J141" s="12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1.75" customHeight="1" x14ac:dyDescent="0.25">
      <c r="B142" s="12"/>
      <c r="C142" s="12"/>
      <c r="D142" s="12"/>
      <c r="E142" s="12"/>
      <c r="F142" s="13"/>
      <c r="G142" s="13"/>
      <c r="H142" s="14"/>
      <c r="I142" s="12"/>
      <c r="J142" s="12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1.75" customHeight="1" x14ac:dyDescent="0.25">
      <c r="B143" s="12"/>
      <c r="C143" s="12"/>
      <c r="D143" s="12"/>
      <c r="E143" s="12"/>
      <c r="F143" s="13"/>
      <c r="G143" s="13"/>
      <c r="H143" s="14"/>
      <c r="I143" s="12"/>
      <c r="J143" s="12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1.75" customHeight="1" x14ac:dyDescent="0.25">
      <c r="B144" s="12"/>
      <c r="C144" s="12"/>
      <c r="D144" s="12"/>
      <c r="E144" s="12"/>
      <c r="F144" s="13"/>
      <c r="G144" s="13"/>
      <c r="H144" s="14"/>
      <c r="I144" s="12"/>
      <c r="J144" s="12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1.75" customHeight="1" x14ac:dyDescent="0.25">
      <c r="B145" s="12"/>
      <c r="C145" s="12"/>
      <c r="D145" s="12"/>
      <c r="E145" s="12"/>
      <c r="F145" s="13"/>
      <c r="G145" s="13"/>
      <c r="H145" s="14"/>
      <c r="I145" s="12"/>
      <c r="J145" s="12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1.75" customHeight="1" x14ac:dyDescent="0.25">
      <c r="B146" s="12"/>
      <c r="C146" s="12"/>
      <c r="D146" s="12"/>
      <c r="E146" s="12"/>
      <c r="F146" s="13"/>
      <c r="G146" s="13"/>
      <c r="H146" s="14"/>
      <c r="I146" s="12"/>
      <c r="J146" s="12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1.75" customHeight="1" x14ac:dyDescent="0.25">
      <c r="B147" s="12"/>
      <c r="C147" s="12"/>
      <c r="D147" s="12"/>
      <c r="E147" s="12"/>
      <c r="F147" s="13"/>
      <c r="G147" s="13"/>
      <c r="H147" s="14"/>
      <c r="I147" s="12"/>
      <c r="J147" s="12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1.75" customHeight="1" x14ac:dyDescent="0.25">
      <c r="B148" s="12"/>
      <c r="C148" s="12"/>
      <c r="D148" s="12"/>
      <c r="E148" s="12"/>
      <c r="F148" s="13"/>
      <c r="G148" s="13"/>
      <c r="H148" s="14"/>
      <c r="I148" s="12"/>
      <c r="J148" s="12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1.75" customHeight="1" x14ac:dyDescent="0.25">
      <c r="B149" s="12"/>
      <c r="C149" s="12"/>
      <c r="D149" s="12"/>
      <c r="E149" s="12"/>
      <c r="F149" s="13"/>
      <c r="G149" s="13"/>
      <c r="H149" s="14"/>
      <c r="I149" s="12"/>
      <c r="J149" s="12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1.75" customHeight="1" x14ac:dyDescent="0.25">
      <c r="B150" s="12"/>
      <c r="C150" s="12"/>
      <c r="D150" s="12"/>
      <c r="E150" s="12"/>
      <c r="F150" s="13"/>
      <c r="G150" s="13"/>
      <c r="H150" s="14"/>
      <c r="I150" s="12"/>
      <c r="J150" s="12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1.75" customHeight="1" x14ac:dyDescent="0.25">
      <c r="B151" s="12"/>
      <c r="C151" s="12"/>
      <c r="D151" s="12"/>
      <c r="E151" s="12"/>
      <c r="F151" s="13"/>
      <c r="G151" s="13"/>
      <c r="H151" s="14"/>
      <c r="I151" s="12"/>
      <c r="J151" s="12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1.75" customHeight="1" x14ac:dyDescent="0.25">
      <c r="B152" s="12"/>
      <c r="C152" s="12"/>
      <c r="D152" s="12"/>
      <c r="E152" s="12"/>
      <c r="F152" s="13"/>
      <c r="G152" s="13"/>
      <c r="H152" s="14"/>
      <c r="I152" s="12"/>
      <c r="J152" s="12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1.75" customHeight="1" x14ac:dyDescent="0.25">
      <c r="B153" s="12"/>
      <c r="C153" s="12"/>
      <c r="D153" s="12"/>
      <c r="E153" s="12"/>
      <c r="F153" s="13"/>
      <c r="G153" s="13"/>
      <c r="H153" s="14"/>
      <c r="I153" s="12"/>
      <c r="J153" s="12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1.75" customHeight="1" x14ac:dyDescent="0.25">
      <c r="B154" s="12"/>
      <c r="C154" s="12"/>
      <c r="D154" s="12"/>
      <c r="E154" s="12"/>
      <c r="F154" s="13"/>
      <c r="G154" s="13"/>
      <c r="H154" s="14"/>
      <c r="I154" s="12"/>
      <c r="J154" s="12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1.75" customHeight="1" x14ac:dyDescent="0.25">
      <c r="B155" s="12"/>
      <c r="C155" s="12"/>
      <c r="D155" s="12"/>
      <c r="E155" s="12"/>
      <c r="F155" s="13"/>
      <c r="G155" s="13"/>
      <c r="H155" s="14"/>
      <c r="I155" s="12"/>
      <c r="J155" s="12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1.75" customHeight="1" x14ac:dyDescent="0.25">
      <c r="B156" s="12"/>
      <c r="C156" s="12"/>
      <c r="D156" s="12"/>
      <c r="E156" s="12"/>
      <c r="F156" s="13"/>
      <c r="G156" s="13"/>
      <c r="H156" s="14"/>
      <c r="I156" s="12"/>
      <c r="J156" s="12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1.75" customHeight="1" x14ac:dyDescent="0.25">
      <c r="B157" s="12"/>
      <c r="C157" s="12"/>
      <c r="D157" s="12"/>
      <c r="E157" s="12"/>
      <c r="F157" s="13"/>
      <c r="G157" s="13"/>
      <c r="H157" s="14"/>
      <c r="I157" s="12"/>
      <c r="J157" s="12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2:22" ht="21.75" customHeight="1" x14ac:dyDescent="0.25">
      <c r="B158" s="12"/>
      <c r="C158" s="12"/>
      <c r="D158" s="12"/>
      <c r="E158" s="12"/>
      <c r="F158" s="13"/>
      <c r="G158" s="13"/>
      <c r="H158" s="14"/>
      <c r="I158" s="12"/>
      <c r="J158" s="12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2:22" ht="21.75" customHeight="1" x14ac:dyDescent="0.25">
      <c r="B159" s="12"/>
      <c r="C159" s="12"/>
      <c r="D159" s="12"/>
      <c r="E159" s="12"/>
      <c r="F159" s="13"/>
      <c r="G159" s="13"/>
      <c r="H159" s="14"/>
      <c r="I159" s="12"/>
      <c r="J159" s="12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2:22" ht="21.75" customHeight="1" x14ac:dyDescent="0.25">
      <c r="B160" s="12"/>
      <c r="C160" s="12"/>
      <c r="D160" s="12"/>
      <c r="E160" s="12"/>
      <c r="F160" s="13"/>
      <c r="G160" s="13"/>
      <c r="H160" s="14"/>
      <c r="I160" s="12"/>
      <c r="J160" s="12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2:22" ht="21.75" customHeight="1" x14ac:dyDescent="0.25">
      <c r="B161" s="12"/>
      <c r="C161" s="12"/>
      <c r="D161" s="12"/>
      <c r="E161" s="12"/>
      <c r="F161" s="13"/>
      <c r="G161" s="13"/>
      <c r="H161" s="14"/>
      <c r="I161" s="12"/>
      <c r="J161" s="12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2:22" ht="21.75" customHeight="1" x14ac:dyDescent="0.25">
      <c r="B162" s="12"/>
      <c r="C162" s="12"/>
      <c r="D162" s="12"/>
      <c r="E162" s="12"/>
      <c r="F162" s="13"/>
      <c r="G162" s="13"/>
      <c r="H162" s="14"/>
      <c r="I162" s="12"/>
      <c r="J162" s="12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2:22" ht="21.75" customHeight="1" x14ac:dyDescent="0.25">
      <c r="B163" s="12"/>
      <c r="C163" s="12"/>
      <c r="D163" s="12"/>
      <c r="E163" s="12"/>
      <c r="F163" s="13"/>
      <c r="G163" s="13"/>
      <c r="H163" s="14"/>
      <c r="I163" s="12"/>
      <c r="J163" s="12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2:22" ht="21.75" customHeight="1" x14ac:dyDescent="0.25">
      <c r="B164" s="12"/>
      <c r="C164" s="12"/>
      <c r="D164" s="12"/>
      <c r="E164" s="12"/>
      <c r="F164" s="13"/>
      <c r="G164" s="13"/>
      <c r="H164" s="14"/>
      <c r="I164" s="12"/>
      <c r="J164" s="12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2:22" ht="21.75" customHeight="1" x14ac:dyDescent="0.25">
      <c r="B165" s="12"/>
      <c r="C165" s="12"/>
      <c r="D165" s="12"/>
      <c r="E165" s="12"/>
      <c r="F165" s="13"/>
      <c r="G165" s="13"/>
      <c r="H165" s="14"/>
      <c r="I165" s="12"/>
      <c r="J165" s="12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2:22" ht="21.75" customHeight="1" x14ac:dyDescent="0.25">
      <c r="B166" s="12"/>
      <c r="C166" s="12"/>
      <c r="D166" s="12"/>
      <c r="E166" s="12"/>
      <c r="F166" s="13"/>
      <c r="G166" s="13"/>
      <c r="H166" s="14"/>
      <c r="I166" s="12"/>
      <c r="J166" s="12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2:22" ht="21.75" customHeight="1" x14ac:dyDescent="0.25">
      <c r="B167" s="12"/>
      <c r="C167" s="12"/>
      <c r="D167" s="12"/>
      <c r="E167" s="12"/>
      <c r="F167" s="13"/>
      <c r="G167" s="13"/>
      <c r="H167" s="14"/>
      <c r="I167" s="12"/>
      <c r="J167" s="12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2:22" ht="21.75" customHeight="1" x14ac:dyDescent="0.25">
      <c r="B168" s="12"/>
      <c r="C168" s="12"/>
      <c r="D168" s="12"/>
      <c r="E168" s="12"/>
      <c r="F168" s="13"/>
      <c r="G168" s="13"/>
      <c r="H168" s="14"/>
      <c r="I168" s="12"/>
      <c r="J168" s="12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2:22" ht="21.75" customHeight="1" x14ac:dyDescent="0.25">
      <c r="B169" s="12"/>
      <c r="C169" s="12"/>
      <c r="D169" s="12"/>
      <c r="E169" s="12"/>
      <c r="F169" s="13"/>
      <c r="G169" s="13"/>
      <c r="H169" s="14"/>
      <c r="I169" s="12"/>
      <c r="J169" s="12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2:22" ht="21.75" customHeight="1" x14ac:dyDescent="0.25">
      <c r="B170" s="12"/>
      <c r="C170" s="12"/>
      <c r="D170" s="12"/>
      <c r="E170" s="12"/>
      <c r="F170" s="13"/>
      <c r="G170" s="13"/>
      <c r="H170" s="14"/>
      <c r="I170" s="12"/>
      <c r="J170" s="12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2:22" ht="21.75" customHeight="1" x14ac:dyDescent="0.25">
      <c r="B171" s="12"/>
      <c r="C171" s="12"/>
      <c r="D171" s="12"/>
      <c r="E171" s="12"/>
      <c r="F171" s="13"/>
      <c r="G171" s="13"/>
      <c r="H171" s="14"/>
      <c r="I171" s="12"/>
      <c r="J171" s="12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2:22" ht="21.75" customHeight="1" x14ac:dyDescent="0.25">
      <c r="B172" s="12"/>
      <c r="C172" s="12"/>
      <c r="D172" s="12"/>
      <c r="E172" s="12"/>
      <c r="F172" s="13"/>
      <c r="G172" s="13"/>
      <c r="H172" s="14"/>
      <c r="I172" s="12"/>
      <c r="J172" s="12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2:22" ht="21.75" customHeight="1" x14ac:dyDescent="0.25">
      <c r="B173" s="12"/>
      <c r="C173" s="12"/>
      <c r="D173" s="12"/>
      <c r="E173" s="12"/>
      <c r="F173" s="13"/>
      <c r="G173" s="13"/>
      <c r="H173" s="14"/>
      <c r="I173" s="12"/>
      <c r="J173" s="12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2:22" ht="21.75" customHeight="1" x14ac:dyDescent="0.25">
      <c r="B174" s="12"/>
      <c r="C174" s="12"/>
      <c r="D174" s="12"/>
      <c r="E174" s="12"/>
      <c r="F174" s="13"/>
      <c r="G174" s="13"/>
      <c r="H174" s="14"/>
      <c r="I174" s="12"/>
      <c r="J174" s="12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2:22" ht="21.75" customHeight="1" x14ac:dyDescent="0.25">
      <c r="B175" s="12"/>
      <c r="C175" s="12"/>
      <c r="D175" s="12"/>
      <c r="E175" s="12"/>
      <c r="F175" s="13"/>
      <c r="G175" s="13"/>
      <c r="H175" s="14"/>
      <c r="I175" s="12"/>
      <c r="J175" s="12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2:22" ht="21.75" customHeight="1" x14ac:dyDescent="0.25">
      <c r="B176" s="12"/>
      <c r="C176" s="12"/>
      <c r="D176" s="12"/>
      <c r="E176" s="12"/>
      <c r="F176" s="13"/>
      <c r="G176" s="13"/>
      <c r="H176" s="14"/>
      <c r="I176" s="12"/>
      <c r="J176" s="12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2:22" ht="21.75" customHeight="1" x14ac:dyDescent="0.25">
      <c r="B177" s="12"/>
      <c r="C177" s="12"/>
      <c r="D177" s="12"/>
      <c r="E177" s="12"/>
      <c r="F177" s="13"/>
      <c r="G177" s="13"/>
      <c r="H177" s="14"/>
      <c r="I177" s="12"/>
      <c r="J177" s="12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2:22" ht="21.75" customHeight="1" x14ac:dyDescent="0.25">
      <c r="B178" s="12"/>
      <c r="C178" s="12"/>
      <c r="D178" s="12"/>
      <c r="E178" s="12"/>
      <c r="F178" s="13"/>
      <c r="G178" s="13"/>
      <c r="H178" s="14"/>
      <c r="I178" s="12"/>
      <c r="J178" s="12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2:22" ht="21.75" customHeight="1" x14ac:dyDescent="0.25">
      <c r="B179" s="12"/>
      <c r="C179" s="12"/>
      <c r="D179" s="12"/>
      <c r="E179" s="12"/>
      <c r="F179" s="13"/>
      <c r="G179" s="13"/>
      <c r="H179" s="14"/>
      <c r="I179" s="12"/>
      <c r="J179" s="12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2:22" ht="21.75" customHeight="1" x14ac:dyDescent="0.25">
      <c r="B180" s="12"/>
      <c r="C180" s="12"/>
      <c r="D180" s="12"/>
      <c r="E180" s="12"/>
      <c r="F180" s="13"/>
      <c r="G180" s="13"/>
      <c r="H180" s="14"/>
      <c r="I180" s="12"/>
      <c r="J180" s="12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2:22" ht="21.75" customHeight="1" x14ac:dyDescent="0.25">
      <c r="B181" s="12"/>
      <c r="C181" s="12"/>
      <c r="D181" s="12"/>
      <c r="E181" s="12"/>
      <c r="F181" s="13"/>
      <c r="G181" s="13"/>
      <c r="H181" s="14"/>
      <c r="I181" s="12"/>
      <c r="J181" s="12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2:22" ht="21.75" customHeight="1" x14ac:dyDescent="0.25">
      <c r="B182" s="12"/>
      <c r="C182" s="12"/>
      <c r="D182" s="12"/>
      <c r="E182" s="12"/>
      <c r="F182" s="13"/>
      <c r="G182" s="13"/>
      <c r="H182" s="14"/>
      <c r="I182" s="12"/>
      <c r="J182" s="12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2:22" ht="21.75" customHeight="1" x14ac:dyDescent="0.25">
      <c r="B183" s="12"/>
      <c r="C183" s="12"/>
      <c r="D183" s="12"/>
      <c r="E183" s="12"/>
      <c r="F183" s="13"/>
      <c r="G183" s="13"/>
      <c r="H183" s="14"/>
      <c r="I183" s="12"/>
      <c r="J183" s="12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2:22" ht="21.75" customHeight="1" x14ac:dyDescent="0.25">
      <c r="B184" s="12"/>
      <c r="C184" s="12"/>
      <c r="D184" s="12"/>
      <c r="E184" s="12"/>
      <c r="F184" s="13"/>
      <c r="G184" s="13"/>
      <c r="H184" s="14"/>
      <c r="I184" s="12"/>
      <c r="J184" s="12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2:22" ht="21.75" customHeight="1" x14ac:dyDescent="0.25">
      <c r="B185" s="12"/>
      <c r="C185" s="12"/>
      <c r="D185" s="12"/>
      <c r="E185" s="12"/>
      <c r="F185" s="13"/>
      <c r="G185" s="13"/>
      <c r="H185" s="14"/>
      <c r="I185" s="12"/>
      <c r="J185" s="12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2:22" ht="21.75" customHeight="1" x14ac:dyDescent="0.25">
      <c r="B186" s="12"/>
      <c r="C186" s="12"/>
      <c r="D186" s="12"/>
      <c r="E186" s="12"/>
      <c r="F186" s="13"/>
      <c r="G186" s="13"/>
      <c r="H186" s="14"/>
      <c r="I186" s="12"/>
      <c r="J186" s="12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2:22" ht="21.75" customHeight="1" x14ac:dyDescent="0.25">
      <c r="B187" s="12"/>
      <c r="C187" s="12"/>
      <c r="D187" s="12"/>
      <c r="E187" s="12"/>
      <c r="F187" s="13"/>
      <c r="G187" s="13"/>
      <c r="H187" s="14"/>
      <c r="I187" s="12"/>
      <c r="J187" s="12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2:22" ht="21.75" customHeight="1" x14ac:dyDescent="0.25">
      <c r="B188" s="12"/>
      <c r="C188" s="12"/>
      <c r="D188" s="12"/>
      <c r="E188" s="12"/>
      <c r="F188" s="13"/>
      <c r="G188" s="13"/>
      <c r="H188" s="14"/>
      <c r="I188" s="12"/>
      <c r="J188" s="12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2:22" ht="21.75" customHeight="1" x14ac:dyDescent="0.25">
      <c r="B189" s="12"/>
      <c r="C189" s="12"/>
      <c r="D189" s="12"/>
      <c r="E189" s="12"/>
      <c r="F189" s="13"/>
      <c r="G189" s="13"/>
      <c r="H189" s="14"/>
      <c r="I189" s="12"/>
      <c r="J189" s="12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2:22" ht="21.75" customHeight="1" x14ac:dyDescent="0.25">
      <c r="B190" s="12"/>
      <c r="C190" s="12"/>
      <c r="D190" s="12"/>
      <c r="E190" s="12"/>
      <c r="F190" s="13"/>
      <c r="G190" s="13"/>
      <c r="H190" s="14"/>
      <c r="I190" s="12"/>
      <c r="J190" s="12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2:22" ht="21.75" customHeight="1" x14ac:dyDescent="0.25">
      <c r="B191" s="12"/>
      <c r="C191" s="12"/>
      <c r="D191" s="12"/>
      <c r="E191" s="12"/>
      <c r="F191" s="13"/>
      <c r="G191" s="13"/>
      <c r="H191" s="14"/>
      <c r="I191" s="12"/>
      <c r="J191" s="12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2:22" ht="21.75" customHeight="1" x14ac:dyDescent="0.25">
      <c r="B192" s="12"/>
      <c r="C192" s="12"/>
      <c r="D192" s="12"/>
      <c r="E192" s="12"/>
      <c r="F192" s="13"/>
      <c r="G192" s="13"/>
      <c r="H192" s="14"/>
      <c r="I192" s="12"/>
      <c r="J192" s="12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2:22" ht="21.75" customHeight="1" x14ac:dyDescent="0.25">
      <c r="B193" s="12"/>
      <c r="C193" s="12"/>
      <c r="D193" s="12"/>
      <c r="E193" s="12"/>
      <c r="F193" s="13"/>
      <c r="G193" s="13"/>
      <c r="H193" s="14"/>
      <c r="I193" s="12"/>
      <c r="J193" s="12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2:22" ht="21.75" customHeight="1" x14ac:dyDescent="0.25">
      <c r="B194" s="12"/>
      <c r="C194" s="12"/>
      <c r="D194" s="12"/>
      <c r="E194" s="12"/>
      <c r="F194" s="13"/>
      <c r="G194" s="13"/>
      <c r="H194" s="14"/>
      <c r="I194" s="12"/>
      <c r="J194" s="12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2:22" ht="21.75" customHeight="1" x14ac:dyDescent="0.25">
      <c r="B195" s="12"/>
      <c r="C195" s="12"/>
      <c r="D195" s="12"/>
      <c r="E195" s="12"/>
      <c r="F195" s="13"/>
      <c r="G195" s="13"/>
      <c r="H195" s="14"/>
      <c r="I195" s="12"/>
      <c r="J195" s="12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2:22" ht="21.75" customHeight="1" x14ac:dyDescent="0.25">
      <c r="B196" s="12"/>
      <c r="C196" s="12"/>
      <c r="D196" s="12"/>
      <c r="E196" s="12"/>
      <c r="F196" s="13"/>
      <c r="G196" s="13"/>
      <c r="H196" s="14"/>
      <c r="I196" s="12"/>
      <c r="J196" s="12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2:22" ht="21.75" customHeight="1" x14ac:dyDescent="0.25">
      <c r="B197" s="12"/>
      <c r="C197" s="12"/>
      <c r="D197" s="12"/>
      <c r="E197" s="12"/>
      <c r="F197" s="13"/>
      <c r="G197" s="13"/>
      <c r="H197" s="14"/>
      <c r="I197" s="12"/>
      <c r="J197" s="12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2:22" ht="21.75" customHeight="1" x14ac:dyDescent="0.25">
      <c r="B198" s="12"/>
      <c r="C198" s="12"/>
      <c r="D198" s="12"/>
      <c r="E198" s="12"/>
      <c r="F198" s="13"/>
      <c r="G198" s="13"/>
      <c r="H198" s="14"/>
      <c r="I198" s="12"/>
      <c r="J198" s="12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2:22" ht="21.75" customHeight="1" x14ac:dyDescent="0.25">
      <c r="B199" s="12"/>
      <c r="C199" s="12"/>
      <c r="D199" s="12"/>
      <c r="E199" s="12"/>
      <c r="F199" s="13"/>
      <c r="G199" s="13"/>
      <c r="H199" s="14"/>
      <c r="I199" s="12"/>
      <c r="J199" s="12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2:22" ht="21.75" customHeight="1" x14ac:dyDescent="0.25">
      <c r="B200" s="12"/>
      <c r="C200" s="12"/>
      <c r="D200" s="12"/>
      <c r="E200" s="12"/>
      <c r="F200" s="13"/>
      <c r="G200" s="13"/>
      <c r="H200" s="14"/>
      <c r="I200" s="12"/>
      <c r="J200" s="12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2:22" ht="21.75" customHeight="1" x14ac:dyDescent="0.25">
      <c r="B201" s="12"/>
      <c r="C201" s="12"/>
      <c r="D201" s="12"/>
      <c r="E201" s="12"/>
      <c r="F201" s="13"/>
      <c r="G201" s="13"/>
      <c r="H201" s="14"/>
      <c r="I201" s="12"/>
      <c r="J201" s="12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2:22" ht="21.75" customHeight="1" x14ac:dyDescent="0.25">
      <c r="B202" s="12"/>
      <c r="C202" s="12"/>
      <c r="D202" s="12"/>
      <c r="E202" s="12"/>
      <c r="F202" s="13"/>
      <c r="G202" s="13"/>
      <c r="H202" s="14"/>
      <c r="I202" s="12"/>
      <c r="J202" s="12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2:22" ht="21.75" customHeight="1" x14ac:dyDescent="0.25">
      <c r="B203" s="12"/>
      <c r="C203" s="12"/>
      <c r="D203" s="12"/>
      <c r="E203" s="12"/>
      <c r="F203" s="13"/>
      <c r="G203" s="13"/>
      <c r="H203" s="14"/>
      <c r="I203" s="12"/>
      <c r="J203" s="12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2:22" ht="21.75" customHeight="1" x14ac:dyDescent="0.25">
      <c r="B204" s="12"/>
      <c r="C204" s="12"/>
      <c r="D204" s="12"/>
      <c r="E204" s="12"/>
      <c r="F204" s="13"/>
      <c r="G204" s="13"/>
      <c r="H204" s="14"/>
      <c r="I204" s="12"/>
      <c r="J204" s="12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2:22" s="5" customFormat="1" ht="21.75" customHeight="1" x14ac:dyDescent="0.25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2:22" s="5" customFormat="1" ht="21.75" customHeight="1" x14ac:dyDescent="0.25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2:22" s="5" customFormat="1" ht="21.75" customHeight="1" x14ac:dyDescent="0.25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2:22" s="5" customFormat="1" ht="21.75" customHeight="1" x14ac:dyDescent="0.25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2:22" s="5" customFormat="1" ht="21.75" customHeight="1" x14ac:dyDescent="0.25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2:22" s="5" customFormat="1" ht="21.75" customHeight="1" x14ac:dyDescent="0.25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2:22" s="5" customFormat="1" ht="21.75" customHeight="1" x14ac:dyDescent="0.25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2:22" s="5" customFormat="1" ht="21.75" customHeight="1" x14ac:dyDescent="0.25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2:22" s="5" customFormat="1" ht="21.75" customHeight="1" x14ac:dyDescent="0.25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2:22" s="5" customFormat="1" ht="21.75" customHeight="1" x14ac:dyDescent="0.25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2:22" s="5" customFormat="1" ht="21.75" customHeight="1" x14ac:dyDescent="0.25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2:22" s="5" customFormat="1" ht="21.75" customHeight="1" x14ac:dyDescent="0.25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2:22" s="5" customFormat="1" ht="21.75" customHeight="1" x14ac:dyDescent="0.25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2:22" s="5" customFormat="1" ht="21.75" customHeight="1" x14ac:dyDescent="0.25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2:22" s="5" customFormat="1" ht="21.75" customHeight="1" x14ac:dyDescent="0.25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2:22" s="5" customFormat="1" ht="21.75" customHeight="1" x14ac:dyDescent="0.25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2:22" s="5" customFormat="1" ht="21.75" customHeight="1" x14ac:dyDescent="0.25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2:22" s="5" customFormat="1" ht="21.75" customHeight="1" x14ac:dyDescent="0.25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2:22" s="5" customFormat="1" ht="21.75" customHeight="1" x14ac:dyDescent="0.25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2:22" s="5" customFormat="1" ht="21.75" customHeight="1" x14ac:dyDescent="0.25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2:22" s="5" customFormat="1" ht="21.75" customHeight="1" x14ac:dyDescent="0.25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2:22" s="5" customFormat="1" ht="21.75" customHeight="1" x14ac:dyDescent="0.25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2:22" s="5" customFormat="1" ht="21.75" customHeight="1" x14ac:dyDescent="0.25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2:22" s="5" customFormat="1" ht="21.75" customHeight="1" x14ac:dyDescent="0.25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2:22" s="5" customFormat="1" ht="21.75" customHeight="1" x14ac:dyDescent="0.25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2:22" s="5" customFormat="1" ht="21.75" customHeight="1" x14ac:dyDescent="0.25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2:22" s="5" customFormat="1" ht="21.75" customHeight="1" x14ac:dyDescent="0.25"/>
    <row r="232" spans="2:22" s="5" customFormat="1" ht="21.75" customHeight="1" x14ac:dyDescent="0.25"/>
    <row r="233" spans="2:22" s="5" customFormat="1" ht="21.75" customHeight="1" x14ac:dyDescent="0.25"/>
    <row r="234" spans="2:22" s="5" customFormat="1" ht="21.75" customHeight="1" x14ac:dyDescent="0.25"/>
    <row r="235" spans="2:22" s="5" customFormat="1" ht="21.75" customHeight="1" x14ac:dyDescent="0.25"/>
    <row r="236" spans="2:22" s="5" customFormat="1" ht="21.75" customHeight="1" x14ac:dyDescent="0.25"/>
    <row r="237" spans="2:22" s="5" customFormat="1" ht="21.75" customHeight="1" x14ac:dyDescent="0.25"/>
    <row r="238" spans="2:22" s="5" customFormat="1" ht="21.75" customHeight="1" x14ac:dyDescent="0.25"/>
    <row r="239" spans="2:22" s="5" customFormat="1" ht="21.75" customHeight="1" x14ac:dyDescent="0.25"/>
    <row r="240" spans="2:22" s="5" customFormat="1" ht="21.75" customHeight="1" x14ac:dyDescent="0.25"/>
    <row r="241" s="5" customFormat="1" ht="21.75" customHeight="1" x14ac:dyDescent="0.25"/>
    <row r="242" s="5" customFormat="1" ht="21.75" customHeight="1" x14ac:dyDescent="0.25"/>
    <row r="243" s="5" customFormat="1" ht="21.75" customHeight="1" x14ac:dyDescent="0.25"/>
    <row r="244" s="5" customFormat="1" ht="21.75" customHeight="1" x14ac:dyDescent="0.25"/>
    <row r="245" s="5" customFormat="1" ht="21.75" customHeight="1" x14ac:dyDescent="0.25"/>
    <row r="246" s="5" customFormat="1" ht="21.75" customHeight="1" x14ac:dyDescent="0.25"/>
    <row r="247" s="5" customFormat="1" ht="21.75" customHeight="1" x14ac:dyDescent="0.25"/>
    <row r="248" s="5" customFormat="1" ht="21.75" customHeight="1" x14ac:dyDescent="0.25"/>
    <row r="249" s="5" customFormat="1" ht="21.75" customHeight="1" x14ac:dyDescent="0.25"/>
    <row r="250" s="5" customFormat="1" ht="21.75" customHeight="1" x14ac:dyDescent="0.25"/>
    <row r="251" s="5" customFormat="1" ht="21.75" customHeight="1" x14ac:dyDescent="0.25"/>
    <row r="252" s="5" customFormat="1" ht="21.75" customHeight="1" x14ac:dyDescent="0.25"/>
    <row r="253" s="5" customFormat="1" ht="21.75" customHeight="1" x14ac:dyDescent="0.25"/>
    <row r="254" s="5" customFormat="1" ht="21.75" customHeight="1" x14ac:dyDescent="0.25"/>
    <row r="255" s="5" customFormat="1" ht="21.75" customHeight="1" x14ac:dyDescent="0.25"/>
    <row r="256" s="5" customFormat="1" ht="21.75" customHeight="1" x14ac:dyDescent="0.25"/>
    <row r="257" s="5" customFormat="1" ht="21.75" customHeight="1" x14ac:dyDescent="0.25"/>
    <row r="258" s="5" customFormat="1" ht="21.75" customHeight="1" x14ac:dyDescent="0.25"/>
    <row r="259" s="5" customFormat="1" ht="21.75" customHeight="1" x14ac:dyDescent="0.25"/>
    <row r="260" s="5" customFormat="1" ht="21.75" customHeight="1" x14ac:dyDescent="0.25"/>
    <row r="261" s="5" customFormat="1" ht="21.75" customHeight="1" x14ac:dyDescent="0.25"/>
    <row r="262" s="5" customFormat="1" ht="21.75" customHeight="1" x14ac:dyDescent="0.25"/>
    <row r="263" s="5" customFormat="1" ht="21.75" customHeight="1" x14ac:dyDescent="0.25"/>
    <row r="264" s="5" customFormat="1" ht="21.75" customHeight="1" x14ac:dyDescent="0.25"/>
    <row r="265" s="5" customFormat="1" ht="21.75" customHeight="1" x14ac:dyDescent="0.25"/>
    <row r="266" s="5" customFormat="1" ht="21.75" customHeight="1" x14ac:dyDescent="0.25"/>
    <row r="267" s="5" customFormat="1" ht="21.75" customHeight="1" x14ac:dyDescent="0.25"/>
    <row r="268" s="5" customFormat="1" ht="21.75" customHeight="1" x14ac:dyDescent="0.25"/>
    <row r="269" s="5" customFormat="1" ht="21.75" customHeight="1" x14ac:dyDescent="0.25"/>
    <row r="270" s="5" customFormat="1" ht="21.75" customHeight="1" x14ac:dyDescent="0.25"/>
    <row r="271" s="5" customFormat="1" ht="21.75" customHeight="1" x14ac:dyDescent="0.25"/>
    <row r="272" s="5" customFormat="1" ht="21.75" customHeight="1" x14ac:dyDescent="0.25"/>
    <row r="273" s="5" customFormat="1" ht="21.75" customHeight="1" x14ac:dyDescent="0.25"/>
    <row r="274" s="5" customFormat="1" ht="21.75" customHeight="1" x14ac:dyDescent="0.25"/>
    <row r="275" s="5" customFormat="1" ht="21.75" customHeight="1" x14ac:dyDescent="0.25"/>
    <row r="276" s="5" customFormat="1" ht="21.75" customHeight="1" x14ac:dyDescent="0.25"/>
    <row r="277" ht="21.75" customHeight="1" x14ac:dyDescent="0.25"/>
    <row r="278" ht="21.75" customHeight="1" x14ac:dyDescent="0.25"/>
    <row r="279" ht="21.75" customHeight="1" x14ac:dyDescent="0.25"/>
    <row r="280" ht="21.75" customHeight="1" x14ac:dyDescent="0.25"/>
    <row r="281" ht="21.75" customHeight="1" x14ac:dyDescent="0.25"/>
    <row r="282" ht="21.75" customHeight="1" x14ac:dyDescent="0.25"/>
    <row r="283" ht="21.75" customHeight="1" x14ac:dyDescent="0.25"/>
    <row r="284" ht="21.75" customHeight="1" x14ac:dyDescent="0.25"/>
    <row r="285" ht="21.75" customHeight="1" x14ac:dyDescent="0.25"/>
    <row r="286" ht="21.75" customHeight="1" x14ac:dyDescent="0.25"/>
    <row r="287" ht="21.75" customHeight="1" x14ac:dyDescent="0.25"/>
    <row r="288" ht="21.75" customHeight="1" x14ac:dyDescent="0.25"/>
    <row r="289" ht="21.75" customHeight="1" x14ac:dyDescent="0.25"/>
    <row r="290" ht="21.75" customHeight="1" x14ac:dyDescent="0.25"/>
    <row r="291" ht="21.75" customHeight="1" x14ac:dyDescent="0.25"/>
    <row r="292" ht="21.75" customHeight="1" x14ac:dyDescent="0.25"/>
    <row r="293" ht="21.75" customHeight="1" x14ac:dyDescent="0.25"/>
    <row r="294" ht="21.75" customHeight="1" x14ac:dyDescent="0.25"/>
    <row r="295" ht="21.75" customHeight="1" x14ac:dyDescent="0.25"/>
    <row r="296" ht="21.75" customHeight="1" x14ac:dyDescent="0.25"/>
    <row r="297" ht="21.75" customHeight="1" x14ac:dyDescent="0.25"/>
    <row r="298" ht="21.75" customHeight="1" x14ac:dyDescent="0.25"/>
    <row r="299" ht="21.75" customHeight="1" x14ac:dyDescent="0.25"/>
    <row r="300" ht="21.75" customHeight="1" x14ac:dyDescent="0.25"/>
    <row r="301" ht="21.75" customHeight="1" x14ac:dyDescent="0.25"/>
    <row r="302" ht="21.75" customHeight="1" x14ac:dyDescent="0.25"/>
    <row r="303" ht="21.75" customHeight="1" x14ac:dyDescent="0.25"/>
    <row r="304" ht="21.75" customHeight="1" x14ac:dyDescent="0.25"/>
    <row r="305" ht="21.75" customHeight="1" x14ac:dyDescent="0.25"/>
    <row r="306" ht="21.75" customHeight="1" x14ac:dyDescent="0.25"/>
    <row r="307" ht="21.75" customHeight="1" x14ac:dyDescent="0.25"/>
    <row r="308" ht="21.75" customHeight="1" x14ac:dyDescent="0.25"/>
    <row r="309" ht="21.75" customHeight="1" x14ac:dyDescent="0.25"/>
    <row r="310" ht="21.75" customHeight="1" x14ac:dyDescent="0.25"/>
    <row r="311" ht="21.75" customHeight="1" x14ac:dyDescent="0.25"/>
    <row r="312" ht="21.75" customHeight="1" x14ac:dyDescent="0.25"/>
    <row r="313" ht="21.75" customHeight="1" x14ac:dyDescent="0.25"/>
    <row r="314" ht="21.75" customHeight="1" x14ac:dyDescent="0.25"/>
    <row r="315" ht="21.75" customHeight="1" x14ac:dyDescent="0.25"/>
    <row r="316" ht="21.75" customHeight="1" x14ac:dyDescent="0.25"/>
    <row r="317" ht="21.75" customHeight="1" x14ac:dyDescent="0.25"/>
    <row r="318" ht="21.75" customHeight="1" x14ac:dyDescent="0.25"/>
    <row r="319" ht="21.75" customHeight="1" x14ac:dyDescent="0.25"/>
    <row r="320" ht="21.75" customHeight="1" x14ac:dyDescent="0.25"/>
    <row r="321" ht="21.75" customHeight="1" x14ac:dyDescent="0.25"/>
    <row r="322" ht="21.75" customHeight="1" x14ac:dyDescent="0.25"/>
    <row r="323" ht="21.75" customHeight="1" x14ac:dyDescent="0.25"/>
    <row r="324" ht="21.75" customHeight="1" x14ac:dyDescent="0.25"/>
    <row r="325" ht="21.75" customHeight="1" x14ac:dyDescent="0.25"/>
    <row r="326" ht="21.75" customHeight="1" x14ac:dyDescent="0.25"/>
    <row r="327" ht="21.75" customHeight="1" x14ac:dyDescent="0.25"/>
    <row r="328" ht="21.75" customHeight="1" x14ac:dyDescent="0.25"/>
    <row r="329" ht="21.75" customHeight="1" x14ac:dyDescent="0.25"/>
    <row r="330" ht="21.75" customHeight="1" x14ac:dyDescent="0.25"/>
    <row r="331" ht="21.75" customHeight="1" x14ac:dyDescent="0.25"/>
    <row r="332" ht="21.75" customHeight="1" x14ac:dyDescent="0.25"/>
    <row r="333" ht="21.75" customHeight="1" x14ac:dyDescent="0.25"/>
    <row r="334" ht="21.75" customHeight="1" x14ac:dyDescent="0.25"/>
    <row r="335" ht="21.75" customHeight="1" x14ac:dyDescent="0.25"/>
    <row r="336" ht="21.75" customHeight="1" x14ac:dyDescent="0.25"/>
    <row r="337" ht="21.75" customHeight="1" x14ac:dyDescent="0.25"/>
    <row r="338" ht="21.75" customHeight="1" x14ac:dyDescent="0.25"/>
    <row r="339" ht="21.75" customHeight="1" x14ac:dyDescent="0.25"/>
    <row r="340" ht="21.75" customHeight="1" x14ac:dyDescent="0.25"/>
    <row r="341" ht="21.75" customHeight="1" x14ac:dyDescent="0.25"/>
    <row r="342" ht="21.75" customHeight="1" x14ac:dyDescent="0.25"/>
    <row r="343" ht="21.75" customHeight="1" x14ac:dyDescent="0.25"/>
    <row r="344" ht="21.75" customHeight="1" x14ac:dyDescent="0.25"/>
    <row r="345" ht="21.75" customHeight="1" x14ac:dyDescent="0.25"/>
    <row r="346" ht="21.75" customHeight="1" x14ac:dyDescent="0.25"/>
    <row r="347" ht="21.75" customHeight="1" x14ac:dyDescent="0.25"/>
    <row r="348" ht="21.75" customHeight="1" x14ac:dyDescent="0.25"/>
    <row r="349" ht="21.75" customHeight="1" x14ac:dyDescent="0.25"/>
    <row r="350" ht="21.75" customHeight="1" x14ac:dyDescent="0.25"/>
    <row r="351" ht="21.75" customHeight="1" x14ac:dyDescent="0.25"/>
    <row r="352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  <row r="638" ht="21.75" customHeight="1" x14ac:dyDescent="0.25"/>
    <row r="639" ht="21.75" customHeight="1" x14ac:dyDescent="0.25"/>
    <row r="640" ht="21.75" customHeight="1" x14ac:dyDescent="0.25"/>
    <row r="641" ht="21.75" customHeight="1" x14ac:dyDescent="0.25"/>
    <row r="642" ht="21.75" customHeight="1" x14ac:dyDescent="0.25"/>
    <row r="643" ht="21.75" customHeight="1" x14ac:dyDescent="0.25"/>
    <row r="644" ht="21.75" customHeight="1" x14ac:dyDescent="0.25"/>
  </sheetData>
  <mergeCells count="2">
    <mergeCell ref="B1:J1"/>
    <mergeCell ref="B2:J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B3333"/>
  </sheetPr>
  <dimension ref="B1:J644"/>
  <sheetViews>
    <sheetView showGridLines="0" zoomScaleNormal="100" workbookViewId="0">
      <pane ySplit="4" topLeftCell="A5" activePane="bottomLeft" state="frozen"/>
      <selection pane="bottomLeft" activeCell="E13" sqref="E13"/>
    </sheetView>
  </sheetViews>
  <sheetFormatPr baseColWidth="10" defaultColWidth="9.140625" defaultRowHeight="15" x14ac:dyDescent="0.25"/>
  <cols>
    <col min="2" max="2" width="18" customWidth="1"/>
    <col min="3" max="3" width="14" customWidth="1"/>
    <col min="4" max="4" width="18" customWidth="1"/>
    <col min="5" max="5" width="34" customWidth="1"/>
    <col min="6" max="6" width="14" customWidth="1"/>
    <col min="7" max="7" width="18" customWidth="1"/>
    <col min="8" max="9" width="22" customWidth="1"/>
    <col min="10" max="10" width="26" customWidth="1"/>
  </cols>
  <sheetData>
    <row r="1" spans="2:10" ht="21.75" customHeight="1" x14ac:dyDescent="0.25">
      <c r="B1" s="32" t="s">
        <v>100</v>
      </c>
      <c r="C1" s="32"/>
      <c r="D1" s="32"/>
      <c r="E1" s="32"/>
      <c r="F1" s="32"/>
      <c r="G1" s="32"/>
      <c r="H1" s="32"/>
      <c r="I1" s="32"/>
      <c r="J1" s="32"/>
    </row>
    <row r="2" spans="2:10" ht="21.75" customHeight="1" x14ac:dyDescent="0.25">
      <c r="B2" s="33" t="s">
        <v>101</v>
      </c>
      <c r="C2" s="33"/>
      <c r="D2" s="33"/>
      <c r="E2" s="33"/>
      <c r="F2" s="33"/>
      <c r="G2" s="33"/>
      <c r="H2" s="33"/>
      <c r="I2" s="33"/>
      <c r="J2" s="33"/>
    </row>
    <row r="3" spans="2:10" s="5" customFormat="1" ht="21.75" customHeight="1" x14ac:dyDescent="0.25">
      <c r="B3" s="4"/>
      <c r="C3" s="4"/>
      <c r="D3" s="4"/>
      <c r="E3" s="4"/>
      <c r="F3" s="4"/>
      <c r="G3" s="4"/>
      <c r="H3" s="4"/>
      <c r="I3" s="4"/>
      <c r="J3" s="4"/>
    </row>
    <row r="4" spans="2:10" ht="21.75" customHeight="1" x14ac:dyDescent="0.25">
      <c r="B4" s="1" t="s">
        <v>102</v>
      </c>
      <c r="C4" s="1" t="s">
        <v>91</v>
      </c>
      <c r="D4" s="1" t="s">
        <v>52</v>
      </c>
      <c r="E4" s="1" t="s">
        <v>46</v>
      </c>
      <c r="F4" s="1" t="s">
        <v>92</v>
      </c>
      <c r="G4" s="1" t="s">
        <v>103</v>
      </c>
      <c r="H4" s="1" t="s">
        <v>104</v>
      </c>
      <c r="I4" s="1" t="s">
        <v>105</v>
      </c>
      <c r="J4" s="1" t="s">
        <v>58</v>
      </c>
    </row>
    <row r="5" spans="2:10" ht="21.75" customHeight="1" x14ac:dyDescent="0.25">
      <c r="B5" s="12" t="s">
        <v>106</v>
      </c>
      <c r="C5" s="15">
        <f>DATE(2026,1,28)</f>
        <v>46050</v>
      </c>
      <c r="D5" s="12" t="s">
        <v>59</v>
      </c>
      <c r="E5" s="10" t="str">
        <f>IF(D5="","",IFERROR(VLOOKUP(D5,Productos!$B$5:$J$504,2,FALSE()),"Revisar código"))</f>
        <v>Anillo luna plata</v>
      </c>
      <c r="F5" s="13">
        <v>5</v>
      </c>
      <c r="G5" s="12" t="s">
        <v>107</v>
      </c>
      <c r="H5" s="12" t="s">
        <v>108</v>
      </c>
      <c r="I5" s="12" t="s">
        <v>109</v>
      </c>
      <c r="J5" s="12"/>
    </row>
    <row r="6" spans="2:10" ht="21.75" customHeight="1" x14ac:dyDescent="0.25">
      <c r="B6" s="12" t="s">
        <v>110</v>
      </c>
      <c r="C6" s="15">
        <f>DATE(2026,2,12)</f>
        <v>46065</v>
      </c>
      <c r="D6" s="12" t="s">
        <v>80</v>
      </c>
      <c r="E6" s="10" t="str">
        <f>IF(D6="","",IFERROR(VLOOKUP(D6,Productos!$B$5:$J$504,2,FALSE()),"Revisar código"))</f>
        <v>Pendientes ídolo oro rosa</v>
      </c>
      <c r="F6" s="13">
        <v>2</v>
      </c>
      <c r="G6" s="12" t="s">
        <v>107</v>
      </c>
      <c r="H6" s="12" t="s">
        <v>111</v>
      </c>
      <c r="I6" s="12" t="s">
        <v>109</v>
      </c>
      <c r="J6" s="12"/>
    </row>
    <row r="7" spans="2:10" ht="21.75" customHeight="1" x14ac:dyDescent="0.25">
      <c r="B7" s="12" t="s">
        <v>112</v>
      </c>
      <c r="C7" s="15">
        <f>DATE(2026,2,15)</f>
        <v>46068</v>
      </c>
      <c r="D7" s="12" t="s">
        <v>63</v>
      </c>
      <c r="E7" s="10" t="str">
        <f>IF(D7="","",IFERROR(VLOOKUP(D7,Productos!$B$5:$J$504,2,FALSE()),"Revisar código"))</f>
        <v>Anillo venus plata</v>
      </c>
      <c r="F7" s="13">
        <v>15</v>
      </c>
      <c r="G7" s="12" t="s">
        <v>107</v>
      </c>
      <c r="H7" s="12" t="s">
        <v>113</v>
      </c>
      <c r="I7" s="12" t="s">
        <v>114</v>
      </c>
      <c r="J7" s="12"/>
    </row>
    <row r="8" spans="2:10" ht="21.75" customHeight="1" x14ac:dyDescent="0.25">
      <c r="B8" s="12" t="s">
        <v>115</v>
      </c>
      <c r="C8" s="15">
        <f>DATE(2026,3,22)</f>
        <v>46103</v>
      </c>
      <c r="D8" s="12" t="s">
        <v>69</v>
      </c>
      <c r="E8" s="10" t="str">
        <f>IF(D8="","",IFERROR(VLOOKUP(D8,Productos!$B$5:$J$504,2,FALSE()),"Revisar código"))</f>
        <v>Pulsera rubí plata</v>
      </c>
      <c r="F8" s="13">
        <v>3</v>
      </c>
      <c r="G8" s="12" t="s">
        <v>116</v>
      </c>
      <c r="H8" s="12" t="s">
        <v>117</v>
      </c>
      <c r="I8" s="12" t="s">
        <v>114</v>
      </c>
      <c r="J8" s="12"/>
    </row>
    <row r="9" spans="2:10" ht="21.75" customHeight="1" x14ac:dyDescent="0.25">
      <c r="B9" s="12" t="s">
        <v>118</v>
      </c>
      <c r="C9" s="15">
        <f>DATE(2026,4,5)</f>
        <v>46117</v>
      </c>
      <c r="D9" s="12" t="s">
        <v>86</v>
      </c>
      <c r="E9" s="10" t="str">
        <f>IF(D9="","",IFERROR(VLOOKUP(D9,Productos!$B$5:$J$504,2,FALSE()),"Revisar código"))</f>
        <v>Anillo cielo plata</v>
      </c>
      <c r="F9" s="13">
        <v>10</v>
      </c>
      <c r="G9" s="12" t="s">
        <v>107</v>
      </c>
      <c r="H9" s="12" t="s">
        <v>119</v>
      </c>
      <c r="I9" s="12" t="s">
        <v>109</v>
      </c>
      <c r="J9" s="12"/>
    </row>
    <row r="10" spans="2:10" ht="21.75" customHeight="1" x14ac:dyDescent="0.25">
      <c r="B10" s="12"/>
      <c r="C10" s="15"/>
      <c r="D10" s="12"/>
      <c r="E10" s="10" t="str">
        <f>IF(D10="","",IFERROR(VLOOKUP(D10,Productos!$B$5:$J$504,2,FALSE()),"Revisar código"))</f>
        <v/>
      </c>
      <c r="F10" s="13"/>
      <c r="G10" s="12"/>
      <c r="H10" s="12"/>
      <c r="I10" s="12"/>
      <c r="J10" s="12"/>
    </row>
    <row r="11" spans="2:10" ht="21.75" customHeight="1" x14ac:dyDescent="0.25">
      <c r="B11" s="12"/>
      <c r="C11" s="15"/>
      <c r="D11" s="12"/>
      <c r="E11" s="10" t="str">
        <f>IF(D11="","",IFERROR(VLOOKUP(D11,Productos!$B$5:$J$504,2,FALSE()),"Revisar código"))</f>
        <v/>
      </c>
      <c r="F11" s="13"/>
      <c r="G11" s="12"/>
      <c r="H11" s="12"/>
      <c r="I11" s="12"/>
      <c r="J11" s="12"/>
    </row>
    <row r="12" spans="2:10" ht="21.75" customHeight="1" x14ac:dyDescent="0.25">
      <c r="B12" s="12"/>
      <c r="C12" s="15"/>
      <c r="D12" s="12"/>
      <c r="E12" s="10" t="str">
        <f>IF(D12="","",IFERROR(VLOOKUP(D12,Productos!$B$5:$J$504,2,FALSE()),"Revisar código"))</f>
        <v/>
      </c>
      <c r="F12" s="13"/>
      <c r="G12" s="12"/>
      <c r="H12" s="12"/>
      <c r="I12" s="12"/>
      <c r="J12" s="12"/>
    </row>
    <row r="13" spans="2:10" ht="21.75" customHeight="1" x14ac:dyDescent="0.25">
      <c r="B13" s="12"/>
      <c r="C13" s="15"/>
      <c r="D13" s="12"/>
      <c r="E13" s="10" t="str">
        <f>IF(D13="","",IFERROR(VLOOKUP(D13,Productos!$B$5:$J$504,2,FALSE()),"Revisar código"))</f>
        <v/>
      </c>
      <c r="F13" s="13"/>
      <c r="G13" s="12"/>
      <c r="H13" s="12"/>
      <c r="I13" s="12"/>
      <c r="J13" s="12"/>
    </row>
    <row r="14" spans="2:10" ht="21.75" customHeight="1" x14ac:dyDescent="0.25">
      <c r="B14" s="12"/>
      <c r="C14" s="15"/>
      <c r="D14" s="12"/>
      <c r="E14" s="10" t="str">
        <f>IF(D14="","",IFERROR(VLOOKUP(D14,Productos!$B$5:$J$504,2,FALSE()),"Revisar código"))</f>
        <v/>
      </c>
      <c r="F14" s="13"/>
      <c r="G14" s="12"/>
      <c r="H14" s="12"/>
      <c r="I14" s="12"/>
      <c r="J14" s="12"/>
    </row>
    <row r="15" spans="2:10" ht="21.75" customHeight="1" x14ac:dyDescent="0.25">
      <c r="B15" s="12"/>
      <c r="C15" s="15"/>
      <c r="D15" s="12"/>
      <c r="E15" s="10" t="str">
        <f>IF(D15="","",IFERROR(VLOOKUP(D15,Productos!$B$5:$J$504,2,FALSE()),"Revisar código"))</f>
        <v/>
      </c>
      <c r="F15" s="13"/>
      <c r="G15" s="12"/>
      <c r="H15" s="12"/>
      <c r="I15" s="12"/>
      <c r="J15" s="12"/>
    </row>
    <row r="16" spans="2:10" ht="21.75" customHeight="1" x14ac:dyDescent="0.25">
      <c r="B16" s="12"/>
      <c r="C16" s="15"/>
      <c r="D16" s="12"/>
      <c r="E16" s="10" t="str">
        <f>IF(D16="","",IFERROR(VLOOKUP(D16,Productos!$B$5:$J$504,2,FALSE()),"Revisar código"))</f>
        <v/>
      </c>
      <c r="F16" s="13"/>
      <c r="G16" s="12"/>
      <c r="H16" s="12"/>
      <c r="I16" s="12"/>
      <c r="J16" s="12"/>
    </row>
    <row r="17" spans="2:10" ht="21.75" customHeight="1" x14ac:dyDescent="0.25">
      <c r="B17" s="12"/>
      <c r="C17" s="15"/>
      <c r="D17" s="12"/>
      <c r="E17" s="10" t="str">
        <f>IF(D17="","",IFERROR(VLOOKUP(D17,Productos!$B$5:$J$504,2,FALSE()),"Revisar código"))</f>
        <v/>
      </c>
      <c r="F17" s="13"/>
      <c r="G17" s="12"/>
      <c r="H17" s="12"/>
      <c r="I17" s="12"/>
      <c r="J17" s="12"/>
    </row>
    <row r="18" spans="2:10" ht="21.75" customHeight="1" x14ac:dyDescent="0.25">
      <c r="B18" s="12"/>
      <c r="C18" s="15"/>
      <c r="D18" s="12"/>
      <c r="E18" s="10" t="str">
        <f>IF(D18="","",IFERROR(VLOOKUP(D18,Productos!$B$5:$J$504,2,FALSE()),"Revisar código"))</f>
        <v/>
      </c>
      <c r="F18" s="13"/>
      <c r="G18" s="12"/>
      <c r="H18" s="12"/>
      <c r="I18" s="12"/>
      <c r="J18" s="12"/>
    </row>
    <row r="19" spans="2:10" ht="21.75" customHeight="1" x14ac:dyDescent="0.25">
      <c r="B19" s="12"/>
      <c r="C19" s="15"/>
      <c r="D19" s="12"/>
      <c r="E19" s="10" t="str">
        <f>IF(D19="","",IFERROR(VLOOKUP(D19,Productos!$B$5:$J$504,2,FALSE()),"Revisar código"))</f>
        <v/>
      </c>
      <c r="F19" s="13"/>
      <c r="G19" s="12"/>
      <c r="H19" s="12"/>
      <c r="I19" s="12"/>
      <c r="J19" s="12"/>
    </row>
    <row r="20" spans="2:10" ht="21.75" customHeight="1" x14ac:dyDescent="0.25">
      <c r="B20" s="12"/>
      <c r="C20" s="15"/>
      <c r="D20" s="12"/>
      <c r="E20" s="10" t="str">
        <f>IF(D20="","",IFERROR(VLOOKUP(D20,Productos!$B$5:$J$504,2,FALSE()),"Revisar código"))</f>
        <v/>
      </c>
      <c r="F20" s="13"/>
      <c r="G20" s="12"/>
      <c r="H20" s="12"/>
      <c r="I20" s="12"/>
      <c r="J20" s="12"/>
    </row>
    <row r="21" spans="2:10" ht="21.75" customHeight="1" x14ac:dyDescent="0.25">
      <c r="B21" s="12"/>
      <c r="C21" s="15"/>
      <c r="D21" s="12"/>
      <c r="E21" s="10" t="str">
        <f>IF(D21="","",IFERROR(VLOOKUP(D21,Productos!$B$5:$J$504,2,FALSE()),"Revisar código"))</f>
        <v/>
      </c>
      <c r="F21" s="13"/>
      <c r="G21" s="12"/>
      <c r="H21" s="12"/>
      <c r="I21" s="12"/>
      <c r="J21" s="12"/>
    </row>
    <row r="22" spans="2:10" ht="21.75" customHeight="1" x14ac:dyDescent="0.25">
      <c r="B22" s="12"/>
      <c r="C22" s="15"/>
      <c r="D22" s="12"/>
      <c r="E22" s="10" t="str">
        <f>IF(D22="","",IFERROR(VLOOKUP(D22,Productos!$B$5:$J$504,2,FALSE()),"Revisar código"))</f>
        <v/>
      </c>
      <c r="F22" s="13"/>
      <c r="G22" s="12"/>
      <c r="H22" s="12"/>
      <c r="I22" s="12"/>
      <c r="J22" s="12"/>
    </row>
    <row r="23" spans="2:10" ht="21.75" customHeight="1" x14ac:dyDescent="0.25">
      <c r="B23" s="12"/>
      <c r="C23" s="15"/>
      <c r="D23" s="12"/>
      <c r="E23" s="10" t="str">
        <f>IF(D23="","",IFERROR(VLOOKUP(D23,Productos!$B$5:$J$504,2,FALSE()),"Revisar código"))</f>
        <v/>
      </c>
      <c r="F23" s="13"/>
      <c r="G23" s="12"/>
      <c r="H23" s="12"/>
      <c r="I23" s="12"/>
      <c r="J23" s="12"/>
    </row>
    <row r="24" spans="2:10" ht="21.75" customHeight="1" x14ac:dyDescent="0.25">
      <c r="B24" s="12"/>
      <c r="C24" s="15"/>
      <c r="D24" s="12"/>
      <c r="E24" s="10" t="str">
        <f>IF(D24="","",IFERROR(VLOOKUP(D24,Productos!$B$5:$J$504,2,FALSE()),"Revisar código"))</f>
        <v/>
      </c>
      <c r="F24" s="13"/>
      <c r="G24" s="12"/>
      <c r="H24" s="12"/>
      <c r="I24" s="12"/>
      <c r="J24" s="12"/>
    </row>
    <row r="25" spans="2:10" ht="21.75" customHeight="1" x14ac:dyDescent="0.25">
      <c r="B25" s="12"/>
      <c r="C25" s="15"/>
      <c r="D25" s="12"/>
      <c r="E25" s="10" t="str">
        <f>IF(D25="","",IFERROR(VLOOKUP(D25,Productos!$B$5:$J$504,2,FALSE()),"Revisar código"))</f>
        <v/>
      </c>
      <c r="F25" s="13"/>
      <c r="G25" s="12"/>
      <c r="H25" s="12"/>
      <c r="I25" s="12"/>
      <c r="J25" s="12"/>
    </row>
    <row r="26" spans="2:10" ht="21.75" customHeight="1" x14ac:dyDescent="0.25">
      <c r="B26" s="12"/>
      <c r="C26" s="15"/>
      <c r="D26" s="12"/>
      <c r="E26" s="10" t="str">
        <f>IF(D26="","",IFERROR(VLOOKUP(D26,Productos!$B$5:$J$504,2,FALSE()),"Revisar código"))</f>
        <v/>
      </c>
      <c r="F26" s="13"/>
      <c r="G26" s="12"/>
      <c r="H26" s="12"/>
      <c r="I26" s="12"/>
      <c r="J26" s="12"/>
    </row>
    <row r="27" spans="2:10" ht="21.75" customHeight="1" x14ac:dyDescent="0.25">
      <c r="B27" s="12"/>
      <c r="C27" s="15"/>
      <c r="D27" s="12"/>
      <c r="E27" s="10" t="str">
        <f>IF(D27="","",IFERROR(VLOOKUP(D27,Productos!$B$5:$J$504,2,FALSE()),"Revisar código"))</f>
        <v/>
      </c>
      <c r="F27" s="13"/>
      <c r="G27" s="12"/>
      <c r="H27" s="12"/>
      <c r="I27" s="12"/>
      <c r="J27" s="12"/>
    </row>
    <row r="28" spans="2:10" ht="21.75" customHeight="1" x14ac:dyDescent="0.25">
      <c r="B28" s="12"/>
      <c r="C28" s="15"/>
      <c r="D28" s="12"/>
      <c r="E28" s="10" t="str">
        <f>IF(D28="","",IFERROR(VLOOKUP(D28,Productos!$B$5:$J$504,2,FALSE()),"Revisar código"))</f>
        <v/>
      </c>
      <c r="F28" s="13"/>
      <c r="G28" s="12"/>
      <c r="H28" s="12"/>
      <c r="I28" s="12"/>
      <c r="J28" s="12"/>
    </row>
    <row r="29" spans="2:10" ht="21.75" customHeight="1" x14ac:dyDescent="0.25">
      <c r="B29" s="12"/>
      <c r="C29" s="15"/>
      <c r="D29" s="12"/>
      <c r="E29" s="10" t="str">
        <f>IF(D29="","",IFERROR(VLOOKUP(D29,Productos!$B$5:$J$504,2,FALSE()),"Revisar código"))</f>
        <v/>
      </c>
      <c r="F29" s="13"/>
      <c r="G29" s="12"/>
      <c r="H29" s="12"/>
      <c r="I29" s="12"/>
      <c r="J29" s="12"/>
    </row>
    <row r="30" spans="2:10" ht="21.75" customHeight="1" x14ac:dyDescent="0.25">
      <c r="B30" s="12"/>
      <c r="C30" s="15"/>
      <c r="D30" s="12"/>
      <c r="E30" s="10" t="str">
        <f>IF(D30="","",IFERROR(VLOOKUP(D30,Productos!$B$5:$J$504,2,FALSE()),"Revisar código"))</f>
        <v/>
      </c>
      <c r="F30" s="13"/>
      <c r="G30" s="12"/>
      <c r="H30" s="12"/>
      <c r="I30" s="12"/>
      <c r="J30" s="12"/>
    </row>
    <row r="31" spans="2:10" ht="21.75" customHeight="1" x14ac:dyDescent="0.25">
      <c r="B31" s="12"/>
      <c r="C31" s="15"/>
      <c r="D31" s="12"/>
      <c r="E31" s="10" t="str">
        <f>IF(D31="","",IFERROR(VLOOKUP(D31,Productos!$B$5:$J$504,2,FALSE()),"Revisar código"))</f>
        <v/>
      </c>
      <c r="F31" s="13"/>
      <c r="G31" s="12"/>
      <c r="H31" s="12"/>
      <c r="I31" s="12"/>
      <c r="J31" s="12"/>
    </row>
    <row r="32" spans="2:10" ht="21.75" customHeight="1" x14ac:dyDescent="0.25">
      <c r="B32" s="12"/>
      <c r="C32" s="15"/>
      <c r="D32" s="12"/>
      <c r="E32" s="10" t="str">
        <f>IF(D32="","",IFERROR(VLOOKUP(D32,Productos!$B$5:$J$504,2,FALSE()),"Revisar código"))</f>
        <v/>
      </c>
      <c r="F32" s="13"/>
      <c r="G32" s="12"/>
      <c r="H32" s="12"/>
      <c r="I32" s="12"/>
      <c r="J32" s="12"/>
    </row>
    <row r="33" spans="2:10" ht="21.75" customHeight="1" x14ac:dyDescent="0.25">
      <c r="B33" s="12"/>
      <c r="C33" s="15"/>
      <c r="D33" s="12"/>
      <c r="E33" s="10" t="str">
        <f>IF(D33="","",IFERROR(VLOOKUP(D33,Productos!$B$5:$J$504,2,FALSE()),"Revisar código"))</f>
        <v/>
      </c>
      <c r="F33" s="13"/>
      <c r="G33" s="12"/>
      <c r="H33" s="12"/>
      <c r="I33" s="12"/>
      <c r="J33" s="12"/>
    </row>
    <row r="34" spans="2:10" ht="21.75" customHeight="1" x14ac:dyDescent="0.25">
      <c r="B34" s="12"/>
      <c r="C34" s="15"/>
      <c r="D34" s="12"/>
      <c r="E34" s="10" t="str">
        <f>IF(D34="","",IFERROR(VLOOKUP(D34,Productos!$B$5:$J$504,2,FALSE()),"Revisar código"))</f>
        <v/>
      </c>
      <c r="F34" s="13"/>
      <c r="G34" s="12"/>
      <c r="H34" s="12"/>
      <c r="I34" s="12"/>
      <c r="J34" s="12"/>
    </row>
    <row r="35" spans="2:10" ht="21.75" customHeight="1" x14ac:dyDescent="0.25">
      <c r="B35" s="12"/>
      <c r="C35" s="15"/>
      <c r="D35" s="12"/>
      <c r="E35" s="10" t="str">
        <f>IF(D35="","",IFERROR(VLOOKUP(D35,Productos!$B$5:$J$504,2,FALSE()),"Revisar código"))</f>
        <v/>
      </c>
      <c r="F35" s="13"/>
      <c r="G35" s="12"/>
      <c r="H35" s="12"/>
      <c r="I35" s="12"/>
      <c r="J35" s="12"/>
    </row>
    <row r="36" spans="2:10" ht="21.75" customHeight="1" x14ac:dyDescent="0.25">
      <c r="B36" s="12"/>
      <c r="C36" s="15"/>
      <c r="D36" s="12"/>
      <c r="E36" s="10" t="str">
        <f>IF(D36="","",IFERROR(VLOOKUP(D36,Productos!$B$5:$J$504,2,FALSE()),"Revisar código"))</f>
        <v/>
      </c>
      <c r="F36" s="13"/>
      <c r="G36" s="12"/>
      <c r="H36" s="12"/>
      <c r="I36" s="12"/>
      <c r="J36" s="12"/>
    </row>
    <row r="37" spans="2:10" ht="21.75" customHeight="1" x14ac:dyDescent="0.25">
      <c r="B37" s="12"/>
      <c r="C37" s="15"/>
      <c r="D37" s="12"/>
      <c r="E37" s="10" t="str">
        <f>IF(D37="","",IFERROR(VLOOKUP(D37,Productos!$B$5:$J$504,2,FALSE()),"Revisar código"))</f>
        <v/>
      </c>
      <c r="F37" s="13"/>
      <c r="G37" s="12"/>
      <c r="H37" s="12"/>
      <c r="I37" s="12"/>
      <c r="J37" s="12"/>
    </row>
    <row r="38" spans="2:10" ht="21.75" customHeight="1" x14ac:dyDescent="0.25">
      <c r="B38" s="12"/>
      <c r="C38" s="15"/>
      <c r="D38" s="12"/>
      <c r="E38" s="10" t="str">
        <f>IF(D38="","",IFERROR(VLOOKUP(D38,Productos!$B$5:$J$504,2,FALSE()),"Revisar código"))</f>
        <v/>
      </c>
      <c r="F38" s="13"/>
      <c r="G38" s="12"/>
      <c r="H38" s="12"/>
      <c r="I38" s="12"/>
      <c r="J38" s="12"/>
    </row>
    <row r="39" spans="2:10" ht="21.75" customHeight="1" x14ac:dyDescent="0.25">
      <c r="B39" s="12"/>
      <c r="C39" s="15"/>
      <c r="D39" s="12"/>
      <c r="E39" s="10" t="str">
        <f>IF(D39="","",IFERROR(VLOOKUP(D39,Productos!$B$5:$J$504,2,FALSE()),"Revisar código"))</f>
        <v/>
      </c>
      <c r="F39" s="13"/>
      <c r="G39" s="12"/>
      <c r="H39" s="12"/>
      <c r="I39" s="12"/>
      <c r="J39" s="12"/>
    </row>
    <row r="40" spans="2:10" ht="21.75" customHeight="1" x14ac:dyDescent="0.25">
      <c r="B40" s="12"/>
      <c r="C40" s="15"/>
      <c r="D40" s="12"/>
      <c r="E40" s="10" t="str">
        <f>IF(D40="","",IFERROR(VLOOKUP(D40,Productos!$B$5:$J$504,2,FALSE()),"Revisar código"))</f>
        <v/>
      </c>
      <c r="F40" s="13"/>
      <c r="G40" s="12"/>
      <c r="H40" s="12"/>
      <c r="I40" s="12"/>
      <c r="J40" s="12"/>
    </row>
    <row r="41" spans="2:10" ht="21.75" customHeight="1" x14ac:dyDescent="0.25">
      <c r="B41" s="12"/>
      <c r="C41" s="15"/>
      <c r="D41" s="12"/>
      <c r="E41" s="10" t="str">
        <f>IF(D41="","",IFERROR(VLOOKUP(D41,Productos!$B$5:$J$504,2,FALSE()),"Revisar código"))</f>
        <v/>
      </c>
      <c r="F41" s="13"/>
      <c r="G41" s="12"/>
      <c r="H41" s="12"/>
      <c r="I41" s="12"/>
      <c r="J41" s="12"/>
    </row>
    <row r="42" spans="2:10" ht="21.75" customHeight="1" x14ac:dyDescent="0.25">
      <c r="B42" s="12"/>
      <c r="C42" s="15"/>
      <c r="D42" s="12"/>
      <c r="E42" s="10" t="str">
        <f>IF(D42="","",IFERROR(VLOOKUP(D42,Productos!$B$5:$J$504,2,FALSE()),"Revisar código"))</f>
        <v/>
      </c>
      <c r="F42" s="13"/>
      <c r="G42" s="12"/>
      <c r="H42" s="12"/>
      <c r="I42" s="12"/>
      <c r="J42" s="12"/>
    </row>
    <row r="43" spans="2:10" ht="21.75" customHeight="1" x14ac:dyDescent="0.25">
      <c r="B43" s="12"/>
      <c r="C43" s="15"/>
      <c r="D43" s="12"/>
      <c r="E43" s="10" t="str">
        <f>IF(D43="","",IFERROR(VLOOKUP(D43,Productos!$B$5:$J$504,2,FALSE()),"Revisar código"))</f>
        <v/>
      </c>
      <c r="F43" s="13"/>
      <c r="G43" s="12"/>
      <c r="H43" s="12"/>
      <c r="I43" s="12"/>
      <c r="J43" s="12"/>
    </row>
    <row r="44" spans="2:10" ht="21.75" customHeight="1" x14ac:dyDescent="0.25">
      <c r="B44" s="12"/>
      <c r="C44" s="15"/>
      <c r="D44" s="12"/>
      <c r="E44" s="10" t="str">
        <f>IF(D44="","",IFERROR(VLOOKUP(D44,Productos!$B$5:$J$504,2,FALSE()),"Revisar código"))</f>
        <v/>
      </c>
      <c r="F44" s="13"/>
      <c r="G44" s="12"/>
      <c r="H44" s="12"/>
      <c r="I44" s="12"/>
      <c r="J44" s="12"/>
    </row>
    <row r="45" spans="2:10" ht="21.75" customHeight="1" x14ac:dyDescent="0.25">
      <c r="B45" s="12"/>
      <c r="C45" s="15"/>
      <c r="D45" s="12"/>
      <c r="E45" s="10" t="str">
        <f>IF(D45="","",IFERROR(VLOOKUP(D45,Productos!$B$5:$J$504,2,FALSE()),"Revisar código"))</f>
        <v/>
      </c>
      <c r="F45" s="13"/>
      <c r="G45" s="12"/>
      <c r="H45" s="12"/>
      <c r="I45" s="12"/>
      <c r="J45" s="12"/>
    </row>
    <row r="46" spans="2:10" ht="21.75" customHeight="1" x14ac:dyDescent="0.25">
      <c r="B46" s="12"/>
      <c r="C46" s="15"/>
      <c r="D46" s="12"/>
      <c r="E46" s="10" t="str">
        <f>IF(D46="","",IFERROR(VLOOKUP(D46,Productos!$B$5:$J$504,2,FALSE()),"Revisar código"))</f>
        <v/>
      </c>
      <c r="F46" s="13"/>
      <c r="G46" s="12"/>
      <c r="H46" s="12"/>
      <c r="I46" s="12"/>
      <c r="J46" s="12"/>
    </row>
    <row r="47" spans="2:10" ht="21.75" customHeight="1" x14ac:dyDescent="0.25">
      <c r="B47" s="12"/>
      <c r="C47" s="15"/>
      <c r="D47" s="12"/>
      <c r="E47" s="10" t="str">
        <f>IF(D47="","",IFERROR(VLOOKUP(D47,Productos!$B$5:$J$504,2,FALSE()),"Revisar código"))</f>
        <v/>
      </c>
      <c r="F47" s="13"/>
      <c r="G47" s="12"/>
      <c r="H47" s="12"/>
      <c r="I47" s="12"/>
      <c r="J47" s="12"/>
    </row>
    <row r="48" spans="2:10" ht="21.75" customHeight="1" x14ac:dyDescent="0.25">
      <c r="B48" s="12"/>
      <c r="C48" s="15"/>
      <c r="D48" s="12"/>
      <c r="E48" s="10" t="str">
        <f>IF(D48="","",IFERROR(VLOOKUP(D48,Productos!$B$5:$J$504,2,FALSE()),"Revisar código"))</f>
        <v/>
      </c>
      <c r="F48" s="13"/>
      <c r="G48" s="12"/>
      <c r="H48" s="12"/>
      <c r="I48" s="12"/>
      <c r="J48" s="12"/>
    </row>
    <row r="49" spans="2:10" ht="21.75" customHeight="1" x14ac:dyDescent="0.25">
      <c r="B49" s="12"/>
      <c r="C49" s="15"/>
      <c r="D49" s="12"/>
      <c r="E49" s="10" t="str">
        <f>IF(D49="","",IFERROR(VLOOKUP(D49,Productos!$B$5:$J$504,2,FALSE()),"Revisar código"))</f>
        <v/>
      </c>
      <c r="F49" s="13"/>
      <c r="G49" s="12"/>
      <c r="H49" s="12"/>
      <c r="I49" s="12"/>
      <c r="J49" s="12"/>
    </row>
    <row r="50" spans="2:10" ht="21.75" customHeight="1" x14ac:dyDescent="0.25">
      <c r="B50" s="12"/>
      <c r="C50" s="15"/>
      <c r="D50" s="12"/>
      <c r="E50" s="10" t="str">
        <f>IF(D50="","",IFERROR(VLOOKUP(D50,Productos!$B$5:$J$504,2,FALSE()),"Revisar código"))</f>
        <v/>
      </c>
      <c r="F50" s="13"/>
      <c r="G50" s="12"/>
      <c r="H50" s="12"/>
      <c r="I50" s="12"/>
      <c r="J50" s="12"/>
    </row>
    <row r="51" spans="2:10" ht="21.75" customHeight="1" x14ac:dyDescent="0.25">
      <c r="B51" s="12"/>
      <c r="C51" s="15"/>
      <c r="D51" s="12"/>
      <c r="E51" s="10" t="str">
        <f>IF(D51="","",IFERROR(VLOOKUP(D51,Productos!$B$5:$J$504,2,FALSE()),"Revisar código"))</f>
        <v/>
      </c>
      <c r="F51" s="13"/>
      <c r="G51" s="12"/>
      <c r="H51" s="12"/>
      <c r="I51" s="12"/>
      <c r="J51" s="12"/>
    </row>
    <row r="52" spans="2:10" ht="21.75" customHeight="1" x14ac:dyDescent="0.25">
      <c r="B52" s="12"/>
      <c r="C52" s="15"/>
      <c r="D52" s="12"/>
      <c r="E52" s="10" t="str">
        <f>IF(D52="","",IFERROR(VLOOKUP(D52,Productos!$B$5:$J$504,2,FALSE()),"Revisar código"))</f>
        <v/>
      </c>
      <c r="F52" s="13"/>
      <c r="G52" s="12"/>
      <c r="H52" s="12"/>
      <c r="I52" s="12"/>
      <c r="J52" s="12"/>
    </row>
    <row r="53" spans="2:10" ht="21.75" customHeight="1" x14ac:dyDescent="0.25">
      <c r="B53" s="12"/>
      <c r="C53" s="15"/>
      <c r="D53" s="12"/>
      <c r="E53" s="10" t="str">
        <f>IF(D53="","",IFERROR(VLOOKUP(D53,Productos!$B$5:$J$504,2,FALSE()),"Revisar código"))</f>
        <v/>
      </c>
      <c r="F53" s="13"/>
      <c r="G53" s="12"/>
      <c r="H53" s="12"/>
      <c r="I53" s="12"/>
      <c r="J53" s="12"/>
    </row>
    <row r="54" spans="2:10" ht="21.75" customHeight="1" x14ac:dyDescent="0.25">
      <c r="B54" s="12"/>
      <c r="C54" s="15"/>
      <c r="D54" s="12"/>
      <c r="E54" s="10" t="str">
        <f>IF(D54="","",IFERROR(VLOOKUP(D54,Productos!$B$5:$J$504,2,FALSE()),"Revisar código"))</f>
        <v/>
      </c>
      <c r="F54" s="13"/>
      <c r="G54" s="12"/>
      <c r="H54" s="12"/>
      <c r="I54" s="12"/>
      <c r="J54" s="12"/>
    </row>
    <row r="55" spans="2:10" ht="21.75" customHeight="1" x14ac:dyDescent="0.25">
      <c r="B55" s="12"/>
      <c r="C55" s="15"/>
      <c r="D55" s="12"/>
      <c r="E55" s="10" t="str">
        <f>IF(D55="","",IFERROR(VLOOKUP(D55,Productos!$B$5:$J$504,2,FALSE()),"Revisar código"))</f>
        <v/>
      </c>
      <c r="F55" s="13"/>
      <c r="G55" s="12"/>
      <c r="H55" s="12"/>
      <c r="I55" s="12"/>
      <c r="J55" s="12"/>
    </row>
    <row r="56" spans="2:10" ht="21.75" customHeight="1" x14ac:dyDescent="0.25">
      <c r="B56" s="12"/>
      <c r="C56" s="15"/>
      <c r="D56" s="12"/>
      <c r="E56" s="10" t="str">
        <f>IF(D56="","",IFERROR(VLOOKUP(D56,Productos!$B$5:$J$504,2,FALSE()),"Revisar código"))</f>
        <v/>
      </c>
      <c r="F56" s="13"/>
      <c r="G56" s="12"/>
      <c r="H56" s="12"/>
      <c r="I56" s="12"/>
      <c r="J56" s="12"/>
    </row>
    <row r="57" spans="2:10" ht="21.75" customHeight="1" x14ac:dyDescent="0.25">
      <c r="B57" s="12"/>
      <c r="C57" s="15"/>
      <c r="D57" s="12"/>
      <c r="E57" s="10" t="str">
        <f>IF(D57="","",IFERROR(VLOOKUP(D57,Productos!$B$5:$J$504,2,FALSE()),"Revisar código"))</f>
        <v/>
      </c>
      <c r="F57" s="13"/>
      <c r="G57" s="12"/>
      <c r="H57" s="12"/>
      <c r="I57" s="12"/>
      <c r="J57" s="12"/>
    </row>
    <row r="58" spans="2:10" ht="21.75" customHeight="1" x14ac:dyDescent="0.25">
      <c r="B58" s="12"/>
      <c r="C58" s="15"/>
      <c r="D58" s="12"/>
      <c r="E58" s="10" t="str">
        <f>IF(D58="","",IFERROR(VLOOKUP(D58,Productos!$B$5:$J$504,2,FALSE()),"Revisar código"))</f>
        <v/>
      </c>
      <c r="F58" s="13"/>
      <c r="G58" s="12"/>
      <c r="H58" s="12"/>
      <c r="I58" s="12"/>
      <c r="J58" s="12"/>
    </row>
    <row r="59" spans="2:10" ht="21.75" customHeight="1" x14ac:dyDescent="0.25">
      <c r="B59" s="12"/>
      <c r="C59" s="15"/>
      <c r="D59" s="12"/>
      <c r="E59" s="10" t="str">
        <f>IF(D59="","",IFERROR(VLOOKUP(D59,Productos!$B$5:$J$504,2,FALSE()),"Revisar código"))</f>
        <v/>
      </c>
      <c r="F59" s="13"/>
      <c r="G59" s="12"/>
      <c r="H59" s="12"/>
      <c r="I59" s="12"/>
      <c r="J59" s="12"/>
    </row>
    <row r="60" spans="2:10" ht="21.75" customHeight="1" x14ac:dyDescent="0.25">
      <c r="B60" s="12"/>
      <c r="C60" s="15"/>
      <c r="D60" s="12"/>
      <c r="E60" s="10" t="str">
        <f>IF(D60="","",IFERROR(VLOOKUP(D60,Productos!$B$5:$J$504,2,FALSE()),"Revisar código"))</f>
        <v/>
      </c>
      <c r="F60" s="13"/>
      <c r="G60" s="12"/>
      <c r="H60" s="12"/>
      <c r="I60" s="12"/>
      <c r="J60" s="12"/>
    </row>
    <row r="61" spans="2:10" ht="21.75" customHeight="1" x14ac:dyDescent="0.25">
      <c r="B61" s="12"/>
      <c r="C61" s="15"/>
      <c r="D61" s="12"/>
      <c r="E61" s="10" t="str">
        <f>IF(D61="","",IFERROR(VLOOKUP(D61,Productos!$B$5:$J$504,2,FALSE()),"Revisar código"))</f>
        <v/>
      </c>
      <c r="F61" s="13"/>
      <c r="G61" s="12"/>
      <c r="H61" s="12"/>
      <c r="I61" s="12"/>
      <c r="J61" s="12"/>
    </row>
    <row r="62" spans="2:10" ht="21.75" customHeight="1" x14ac:dyDescent="0.25">
      <c r="B62" s="12"/>
      <c r="C62" s="15"/>
      <c r="D62" s="12"/>
      <c r="E62" s="10" t="str">
        <f>IF(D62="","",IFERROR(VLOOKUP(D62,Productos!$B$5:$J$504,2,FALSE()),"Revisar código"))</f>
        <v/>
      </c>
      <c r="F62" s="13"/>
      <c r="G62" s="12"/>
      <c r="H62" s="12"/>
      <c r="I62" s="12"/>
      <c r="J62" s="12"/>
    </row>
    <row r="63" spans="2:10" ht="21.75" customHeight="1" x14ac:dyDescent="0.25">
      <c r="B63" s="12"/>
      <c r="C63" s="15"/>
      <c r="D63" s="12"/>
      <c r="E63" s="10" t="str">
        <f>IF(D63="","",IFERROR(VLOOKUP(D63,Productos!$B$5:$J$504,2,FALSE()),"Revisar código"))</f>
        <v/>
      </c>
      <c r="F63" s="13"/>
      <c r="G63" s="12"/>
      <c r="H63" s="12"/>
      <c r="I63" s="12"/>
      <c r="J63" s="12"/>
    </row>
    <row r="64" spans="2:10" ht="21.75" customHeight="1" x14ac:dyDescent="0.25">
      <c r="B64" s="12"/>
      <c r="C64" s="15"/>
      <c r="D64" s="12"/>
      <c r="E64" s="10" t="str">
        <f>IF(D64="","",IFERROR(VLOOKUP(D64,Productos!$B$5:$J$504,2,FALSE()),"Revisar código"))</f>
        <v/>
      </c>
      <c r="F64" s="13"/>
      <c r="G64" s="12"/>
      <c r="H64" s="12"/>
      <c r="I64" s="12"/>
      <c r="J64" s="12"/>
    </row>
    <row r="65" spans="2:10" ht="21.75" customHeight="1" x14ac:dyDescent="0.25">
      <c r="B65" s="12"/>
      <c r="C65" s="15"/>
      <c r="D65" s="12"/>
      <c r="E65" s="10" t="str">
        <f>IF(D65="","",IFERROR(VLOOKUP(D65,Productos!$B$5:$J$504,2,FALSE()),"Revisar código"))</f>
        <v/>
      </c>
      <c r="F65" s="13"/>
      <c r="G65" s="12"/>
      <c r="H65" s="12"/>
      <c r="I65" s="12"/>
      <c r="J65" s="12"/>
    </row>
    <row r="66" spans="2:10" ht="21.75" customHeight="1" x14ac:dyDescent="0.25">
      <c r="B66" s="12"/>
      <c r="C66" s="15"/>
      <c r="D66" s="12"/>
      <c r="E66" s="10" t="str">
        <f>IF(D66="","",IFERROR(VLOOKUP(D66,Productos!$B$5:$J$504,2,FALSE()),"Revisar código"))</f>
        <v/>
      </c>
      <c r="F66" s="13"/>
      <c r="G66" s="12"/>
      <c r="H66" s="12"/>
      <c r="I66" s="12"/>
      <c r="J66" s="12"/>
    </row>
    <row r="67" spans="2:10" ht="21.75" customHeight="1" x14ac:dyDescent="0.25">
      <c r="B67" s="12"/>
      <c r="C67" s="15"/>
      <c r="D67" s="12"/>
      <c r="E67" s="10" t="str">
        <f>IF(D67="","",IFERROR(VLOOKUP(D67,Productos!$B$5:$J$504,2,FALSE()),"Revisar código"))</f>
        <v/>
      </c>
      <c r="F67" s="13"/>
      <c r="G67" s="12"/>
      <c r="H67" s="12"/>
      <c r="I67" s="12"/>
      <c r="J67" s="12"/>
    </row>
    <row r="68" spans="2:10" ht="21.75" customHeight="1" x14ac:dyDescent="0.25">
      <c r="B68" s="12"/>
      <c r="C68" s="15"/>
      <c r="D68" s="12"/>
      <c r="E68" s="10" t="str">
        <f>IF(D68="","",IFERROR(VLOOKUP(D68,Productos!$B$5:$J$504,2,FALSE()),"Revisar código"))</f>
        <v/>
      </c>
      <c r="F68" s="13"/>
      <c r="G68" s="12"/>
      <c r="H68" s="12"/>
      <c r="I68" s="12"/>
      <c r="J68" s="12"/>
    </row>
    <row r="69" spans="2:10" ht="21.75" customHeight="1" x14ac:dyDescent="0.25">
      <c r="B69" s="12"/>
      <c r="C69" s="15"/>
      <c r="D69" s="12"/>
      <c r="E69" s="10" t="str">
        <f>IF(D69="","",IFERROR(VLOOKUP(D69,Productos!$B$5:$J$504,2,FALSE()),"Revisar código"))</f>
        <v/>
      </c>
      <c r="F69" s="13"/>
      <c r="G69" s="12"/>
      <c r="H69" s="12"/>
      <c r="I69" s="12"/>
      <c r="J69" s="12"/>
    </row>
    <row r="70" spans="2:10" ht="21.75" customHeight="1" x14ac:dyDescent="0.25">
      <c r="B70" s="12"/>
      <c r="C70" s="15"/>
      <c r="D70" s="12"/>
      <c r="E70" s="10" t="str">
        <f>IF(D70="","",IFERROR(VLOOKUP(D70,Productos!$B$5:$J$504,2,FALSE()),"Revisar código"))</f>
        <v/>
      </c>
      <c r="F70" s="13"/>
      <c r="G70" s="12"/>
      <c r="H70" s="12"/>
      <c r="I70" s="12"/>
      <c r="J70" s="12"/>
    </row>
    <row r="71" spans="2:10" ht="21.75" customHeight="1" x14ac:dyDescent="0.25">
      <c r="B71" s="12"/>
      <c r="C71" s="15"/>
      <c r="D71" s="12"/>
      <c r="E71" s="10" t="str">
        <f>IF(D71="","",IFERROR(VLOOKUP(D71,Productos!$B$5:$J$504,2,FALSE()),"Revisar código"))</f>
        <v/>
      </c>
      <c r="F71" s="13"/>
      <c r="G71" s="12"/>
      <c r="H71" s="12"/>
      <c r="I71" s="12"/>
      <c r="J71" s="12"/>
    </row>
    <row r="72" spans="2:10" ht="21.75" customHeight="1" x14ac:dyDescent="0.25">
      <c r="B72" s="12"/>
      <c r="C72" s="15"/>
      <c r="D72" s="12"/>
      <c r="E72" s="10" t="str">
        <f>IF(D72="","",IFERROR(VLOOKUP(D72,Productos!$B$5:$J$504,2,FALSE()),"Revisar código"))</f>
        <v/>
      </c>
      <c r="F72" s="13"/>
      <c r="G72" s="12"/>
      <c r="H72" s="12"/>
      <c r="I72" s="12"/>
      <c r="J72" s="12"/>
    </row>
    <row r="73" spans="2:10" ht="21.75" customHeight="1" x14ac:dyDescent="0.25">
      <c r="B73" s="12"/>
      <c r="C73" s="15"/>
      <c r="D73" s="12"/>
      <c r="E73" s="10" t="str">
        <f>IF(D73="","",IFERROR(VLOOKUP(D73,Productos!$B$5:$J$504,2,FALSE()),"Revisar código"))</f>
        <v/>
      </c>
      <c r="F73" s="13"/>
      <c r="G73" s="12"/>
      <c r="H73" s="12"/>
      <c r="I73" s="12"/>
      <c r="J73" s="12"/>
    </row>
    <row r="74" spans="2:10" ht="21.75" customHeight="1" x14ac:dyDescent="0.25">
      <c r="B74" s="12"/>
      <c r="C74" s="15"/>
      <c r="D74" s="12"/>
      <c r="E74" s="10" t="str">
        <f>IF(D74="","",IFERROR(VLOOKUP(D74,Productos!$B$5:$J$504,2,FALSE()),"Revisar código"))</f>
        <v/>
      </c>
      <c r="F74" s="13"/>
      <c r="G74" s="12"/>
      <c r="H74" s="12"/>
      <c r="I74" s="12"/>
      <c r="J74" s="12"/>
    </row>
    <row r="75" spans="2:10" ht="21.75" customHeight="1" x14ac:dyDescent="0.25">
      <c r="B75" s="12"/>
      <c r="C75" s="15"/>
      <c r="D75" s="12"/>
      <c r="E75" s="10" t="str">
        <f>IF(D75="","",IFERROR(VLOOKUP(D75,Productos!$B$5:$J$504,2,FALSE()),"Revisar código"))</f>
        <v/>
      </c>
      <c r="F75" s="13"/>
      <c r="G75" s="12"/>
      <c r="H75" s="12"/>
      <c r="I75" s="12"/>
      <c r="J75" s="12"/>
    </row>
    <row r="76" spans="2:10" ht="21.75" customHeight="1" x14ac:dyDescent="0.25">
      <c r="B76" s="12"/>
      <c r="C76" s="15"/>
      <c r="D76" s="12"/>
      <c r="E76" s="10" t="str">
        <f>IF(D76="","",IFERROR(VLOOKUP(D76,Productos!$B$5:$J$504,2,FALSE()),"Revisar código"))</f>
        <v/>
      </c>
      <c r="F76" s="13"/>
      <c r="G76" s="12"/>
      <c r="H76" s="12"/>
      <c r="I76" s="12"/>
      <c r="J76" s="12"/>
    </row>
    <row r="77" spans="2:10" ht="21.75" customHeight="1" x14ac:dyDescent="0.25">
      <c r="B77" s="12"/>
      <c r="C77" s="15"/>
      <c r="D77" s="12"/>
      <c r="E77" s="10" t="str">
        <f>IF(D77="","",IFERROR(VLOOKUP(D77,Productos!$B$5:$J$504,2,FALSE()),"Revisar código"))</f>
        <v/>
      </c>
      <c r="F77" s="13"/>
      <c r="G77" s="12"/>
      <c r="H77" s="12"/>
      <c r="I77" s="12"/>
      <c r="J77" s="12"/>
    </row>
    <row r="78" spans="2:10" ht="21.75" customHeight="1" x14ac:dyDescent="0.25">
      <c r="B78" s="12"/>
      <c r="C78" s="15"/>
      <c r="D78" s="12"/>
      <c r="E78" s="10" t="str">
        <f>IF(D78="","",IFERROR(VLOOKUP(D78,Productos!$B$5:$J$504,2,FALSE()),"Revisar código"))</f>
        <v/>
      </c>
      <c r="F78" s="13"/>
      <c r="G78" s="12"/>
      <c r="H78" s="12"/>
      <c r="I78" s="12"/>
      <c r="J78" s="12"/>
    </row>
    <row r="79" spans="2:10" ht="21.75" customHeight="1" x14ac:dyDescent="0.25">
      <c r="B79" s="12"/>
      <c r="C79" s="15"/>
      <c r="D79" s="12"/>
      <c r="E79" s="10" t="str">
        <f>IF(D79="","",IFERROR(VLOOKUP(D79,Productos!$B$5:$J$504,2,FALSE()),"Revisar código"))</f>
        <v/>
      </c>
      <c r="F79" s="13"/>
      <c r="G79" s="12"/>
      <c r="H79" s="12"/>
      <c r="I79" s="12"/>
      <c r="J79" s="12"/>
    </row>
    <row r="80" spans="2:10" ht="21.75" customHeight="1" x14ac:dyDescent="0.25">
      <c r="B80" s="12"/>
      <c r="C80" s="15"/>
      <c r="D80" s="12"/>
      <c r="E80" s="10" t="str">
        <f>IF(D80="","",IFERROR(VLOOKUP(D80,Productos!$B$5:$J$504,2,FALSE()),"Revisar código"))</f>
        <v/>
      </c>
      <c r="F80" s="13"/>
      <c r="G80" s="12"/>
      <c r="H80" s="12"/>
      <c r="I80" s="12"/>
      <c r="J80" s="12"/>
    </row>
    <row r="81" spans="2:10" ht="21.75" customHeight="1" x14ac:dyDescent="0.25">
      <c r="B81" s="12"/>
      <c r="C81" s="15"/>
      <c r="D81" s="12"/>
      <c r="E81" s="10" t="str">
        <f>IF(D81="","",IFERROR(VLOOKUP(D81,Productos!$B$5:$J$504,2,FALSE()),"Revisar código"))</f>
        <v/>
      </c>
      <c r="F81" s="13"/>
      <c r="G81" s="12"/>
      <c r="H81" s="12"/>
      <c r="I81" s="12"/>
      <c r="J81" s="12"/>
    </row>
    <row r="82" spans="2:10" ht="21.75" customHeight="1" x14ac:dyDescent="0.25">
      <c r="B82" s="12"/>
      <c r="C82" s="15"/>
      <c r="D82" s="12"/>
      <c r="E82" s="10" t="str">
        <f>IF(D82="","",IFERROR(VLOOKUP(D82,Productos!$B$5:$J$504,2,FALSE()),"Revisar código"))</f>
        <v/>
      </c>
      <c r="F82" s="13"/>
      <c r="G82" s="12"/>
      <c r="H82" s="12"/>
      <c r="I82" s="12"/>
      <c r="J82" s="12"/>
    </row>
    <row r="83" spans="2:10" ht="21.75" customHeight="1" x14ac:dyDescent="0.25">
      <c r="B83" s="12"/>
      <c r="C83" s="15"/>
      <c r="D83" s="12"/>
      <c r="E83" s="10" t="str">
        <f>IF(D83="","",IFERROR(VLOOKUP(D83,Productos!$B$5:$J$504,2,FALSE()),"Revisar código"))</f>
        <v/>
      </c>
      <c r="F83" s="13"/>
      <c r="G83" s="12"/>
      <c r="H83" s="12"/>
      <c r="I83" s="12"/>
      <c r="J83" s="12"/>
    </row>
    <row r="84" spans="2:10" ht="21.75" customHeight="1" x14ac:dyDescent="0.25">
      <c r="B84" s="12"/>
      <c r="C84" s="15"/>
      <c r="D84" s="12"/>
      <c r="E84" s="10" t="str">
        <f>IF(D84="","",IFERROR(VLOOKUP(D84,Productos!$B$5:$J$504,2,FALSE()),"Revisar código"))</f>
        <v/>
      </c>
      <c r="F84" s="13"/>
      <c r="G84" s="12"/>
      <c r="H84" s="12"/>
      <c r="I84" s="12"/>
      <c r="J84" s="12"/>
    </row>
    <row r="85" spans="2:10" ht="21.75" customHeight="1" x14ac:dyDescent="0.25">
      <c r="B85" s="12"/>
      <c r="C85" s="15"/>
      <c r="D85" s="12"/>
      <c r="E85" s="10" t="str">
        <f>IF(D85="","",IFERROR(VLOOKUP(D85,Productos!$B$5:$J$504,2,FALSE()),"Revisar código"))</f>
        <v/>
      </c>
      <c r="F85" s="13"/>
      <c r="G85" s="12"/>
      <c r="H85" s="12"/>
      <c r="I85" s="12"/>
      <c r="J85" s="12"/>
    </row>
    <row r="86" spans="2:10" ht="21.75" customHeight="1" x14ac:dyDescent="0.25">
      <c r="B86" s="12"/>
      <c r="C86" s="15"/>
      <c r="D86" s="12"/>
      <c r="E86" s="10" t="str">
        <f>IF(D86="","",IFERROR(VLOOKUP(D86,Productos!$B$5:$J$504,2,FALSE()),"Revisar código"))</f>
        <v/>
      </c>
      <c r="F86" s="13"/>
      <c r="G86" s="12"/>
      <c r="H86" s="12"/>
      <c r="I86" s="12"/>
      <c r="J86" s="12"/>
    </row>
    <row r="87" spans="2:10" ht="21.75" customHeight="1" x14ac:dyDescent="0.25">
      <c r="B87" s="12"/>
      <c r="C87" s="15"/>
      <c r="D87" s="12"/>
      <c r="E87" s="10" t="str">
        <f>IF(D87="","",IFERROR(VLOOKUP(D87,Productos!$B$5:$J$504,2,FALSE()),"Revisar código"))</f>
        <v/>
      </c>
      <c r="F87" s="13"/>
      <c r="G87" s="12"/>
      <c r="H87" s="12"/>
      <c r="I87" s="12"/>
      <c r="J87" s="12"/>
    </row>
    <row r="88" spans="2:10" ht="21.75" customHeight="1" x14ac:dyDescent="0.25">
      <c r="B88" s="12"/>
      <c r="C88" s="15"/>
      <c r="D88" s="12"/>
      <c r="E88" s="10" t="str">
        <f>IF(D88="","",IFERROR(VLOOKUP(D88,Productos!$B$5:$J$504,2,FALSE()),"Revisar código"))</f>
        <v/>
      </c>
      <c r="F88" s="13"/>
      <c r="G88" s="12"/>
      <c r="H88" s="12"/>
      <c r="I88" s="12"/>
      <c r="J88" s="12"/>
    </row>
    <row r="89" spans="2:10" ht="21.75" customHeight="1" x14ac:dyDescent="0.25">
      <c r="B89" s="12"/>
      <c r="C89" s="15"/>
      <c r="D89" s="12"/>
      <c r="E89" s="10" t="str">
        <f>IF(D89="","",IFERROR(VLOOKUP(D89,Productos!$B$5:$J$504,2,FALSE()),"Revisar código"))</f>
        <v/>
      </c>
      <c r="F89" s="13"/>
      <c r="G89" s="12"/>
      <c r="H89" s="12"/>
      <c r="I89" s="12"/>
      <c r="J89" s="12"/>
    </row>
    <row r="90" spans="2:10" ht="21.75" customHeight="1" x14ac:dyDescent="0.25">
      <c r="B90" s="12"/>
      <c r="C90" s="15"/>
      <c r="D90" s="12"/>
      <c r="E90" s="10" t="str">
        <f>IF(D90="","",IFERROR(VLOOKUP(D90,Productos!$B$5:$J$504,2,FALSE()),"Revisar código"))</f>
        <v/>
      </c>
      <c r="F90" s="13"/>
      <c r="G90" s="12"/>
      <c r="H90" s="12"/>
      <c r="I90" s="12"/>
      <c r="J90" s="12"/>
    </row>
    <row r="91" spans="2:10" ht="21.75" customHeight="1" x14ac:dyDescent="0.25">
      <c r="B91" s="12"/>
      <c r="C91" s="15"/>
      <c r="D91" s="12"/>
      <c r="E91" s="10" t="str">
        <f>IF(D91="","",IFERROR(VLOOKUP(D91,Productos!$B$5:$J$504,2,FALSE()),"Revisar código"))</f>
        <v/>
      </c>
      <c r="F91" s="13"/>
      <c r="G91" s="12"/>
      <c r="H91" s="12"/>
      <c r="I91" s="12"/>
      <c r="J91" s="12"/>
    </row>
    <row r="92" spans="2:10" ht="21.75" customHeight="1" x14ac:dyDescent="0.25">
      <c r="B92" s="12"/>
      <c r="C92" s="15"/>
      <c r="D92" s="12"/>
      <c r="E92" s="10" t="str">
        <f>IF(D92="","",IFERROR(VLOOKUP(D92,Productos!$B$5:$J$504,2,FALSE()),"Revisar código"))</f>
        <v/>
      </c>
      <c r="F92" s="13"/>
      <c r="G92" s="12"/>
      <c r="H92" s="12"/>
      <c r="I92" s="12"/>
      <c r="J92" s="12"/>
    </row>
    <row r="93" spans="2:10" ht="21.75" customHeight="1" x14ac:dyDescent="0.25">
      <c r="B93" s="12"/>
      <c r="C93" s="15"/>
      <c r="D93" s="12"/>
      <c r="E93" s="10" t="str">
        <f>IF(D93="","",IFERROR(VLOOKUP(D93,Productos!$B$5:$J$504,2,FALSE()),"Revisar código"))</f>
        <v/>
      </c>
      <c r="F93" s="13"/>
      <c r="G93" s="12"/>
      <c r="H93" s="12"/>
      <c r="I93" s="12"/>
      <c r="J93" s="12"/>
    </row>
    <row r="94" spans="2:10" ht="21.75" customHeight="1" x14ac:dyDescent="0.25">
      <c r="B94" s="12"/>
      <c r="C94" s="15"/>
      <c r="D94" s="12"/>
      <c r="E94" s="10" t="str">
        <f>IF(D94="","",IFERROR(VLOOKUP(D94,Productos!$B$5:$J$504,2,FALSE()),"Revisar código"))</f>
        <v/>
      </c>
      <c r="F94" s="13"/>
      <c r="G94" s="12"/>
      <c r="H94" s="12"/>
      <c r="I94" s="12"/>
      <c r="J94" s="12"/>
    </row>
    <row r="95" spans="2:10" ht="21.75" customHeight="1" x14ac:dyDescent="0.25">
      <c r="B95" s="12"/>
      <c r="C95" s="15"/>
      <c r="D95" s="12"/>
      <c r="E95" s="10" t="str">
        <f>IF(D95="","",IFERROR(VLOOKUP(D95,Productos!$B$5:$J$504,2,FALSE()),"Revisar código"))</f>
        <v/>
      </c>
      <c r="F95" s="13"/>
      <c r="G95" s="12"/>
      <c r="H95" s="12"/>
      <c r="I95" s="12"/>
      <c r="J95" s="12"/>
    </row>
    <row r="96" spans="2:10" ht="21.75" customHeight="1" x14ac:dyDescent="0.25">
      <c r="B96" s="12"/>
      <c r="C96" s="15"/>
      <c r="D96" s="12"/>
      <c r="E96" s="10" t="str">
        <f>IF(D96="","",IFERROR(VLOOKUP(D96,Productos!$B$5:$J$504,2,FALSE()),"Revisar código"))</f>
        <v/>
      </c>
      <c r="F96" s="13"/>
      <c r="G96" s="12"/>
      <c r="H96" s="12"/>
      <c r="I96" s="12"/>
      <c r="J96" s="12"/>
    </row>
    <row r="97" spans="2:10" ht="21.75" customHeight="1" x14ac:dyDescent="0.25">
      <c r="B97" s="12"/>
      <c r="C97" s="15"/>
      <c r="D97" s="12"/>
      <c r="E97" s="10" t="str">
        <f>IF(D97="","",IFERROR(VLOOKUP(D97,Productos!$B$5:$J$504,2,FALSE()),"Revisar código"))</f>
        <v/>
      </c>
      <c r="F97" s="13"/>
      <c r="G97" s="12"/>
      <c r="H97" s="12"/>
      <c r="I97" s="12"/>
      <c r="J97" s="12"/>
    </row>
    <row r="98" spans="2:10" ht="21.75" customHeight="1" x14ac:dyDescent="0.25">
      <c r="B98" s="12"/>
      <c r="C98" s="15"/>
      <c r="D98" s="12"/>
      <c r="E98" s="10" t="str">
        <f>IF(D98="","",IFERROR(VLOOKUP(D98,Productos!$B$5:$J$504,2,FALSE()),"Revisar código"))</f>
        <v/>
      </c>
      <c r="F98" s="13"/>
      <c r="G98" s="12"/>
      <c r="H98" s="12"/>
      <c r="I98" s="12"/>
      <c r="J98" s="12"/>
    </row>
    <row r="99" spans="2:10" ht="21.75" customHeight="1" x14ac:dyDescent="0.25">
      <c r="B99" s="12"/>
      <c r="C99" s="15"/>
      <c r="D99" s="12"/>
      <c r="E99" s="10" t="str">
        <f>IF(D99="","",IFERROR(VLOOKUP(D99,Productos!$B$5:$J$504,2,FALSE()),"Revisar código"))</f>
        <v/>
      </c>
      <c r="F99" s="13"/>
      <c r="G99" s="12"/>
      <c r="H99" s="12"/>
      <c r="I99" s="12"/>
      <c r="J99" s="12"/>
    </row>
    <row r="100" spans="2:10" ht="21.75" customHeight="1" x14ac:dyDescent="0.25">
      <c r="B100" s="12"/>
      <c r="C100" s="15"/>
      <c r="D100" s="12"/>
      <c r="E100" s="10" t="str">
        <f>IF(D100="","",IFERROR(VLOOKUP(D100,Productos!$B$5:$J$504,2,FALSE()),"Revisar código"))</f>
        <v/>
      </c>
      <c r="F100" s="13"/>
      <c r="G100" s="12"/>
      <c r="H100" s="12"/>
      <c r="I100" s="12"/>
      <c r="J100" s="12"/>
    </row>
    <row r="101" spans="2:10" ht="21.75" customHeight="1" x14ac:dyDescent="0.25">
      <c r="B101" s="12"/>
      <c r="C101" s="15"/>
      <c r="D101" s="12"/>
      <c r="E101" s="10" t="str">
        <f>IF(D101="","",IFERROR(VLOOKUP(D101,Productos!$B$5:$J$504,2,FALSE()),"Revisar código"))</f>
        <v/>
      </c>
      <c r="F101" s="13"/>
      <c r="G101" s="12"/>
      <c r="H101" s="12"/>
      <c r="I101" s="12"/>
      <c r="J101" s="12"/>
    </row>
    <row r="102" spans="2:10" ht="21.75" customHeight="1" x14ac:dyDescent="0.25">
      <c r="B102" s="12"/>
      <c r="C102" s="15"/>
      <c r="D102" s="12"/>
      <c r="E102" s="10" t="str">
        <f>IF(D102="","",IFERROR(VLOOKUP(D102,Productos!$B$5:$J$504,2,FALSE()),"Revisar código"))</f>
        <v/>
      </c>
      <c r="F102" s="13"/>
      <c r="G102" s="12"/>
      <c r="H102" s="12"/>
      <c r="I102" s="12"/>
      <c r="J102" s="12"/>
    </row>
    <row r="103" spans="2:10" ht="21.75" customHeight="1" x14ac:dyDescent="0.25">
      <c r="B103" s="12"/>
      <c r="C103" s="15"/>
      <c r="D103" s="12"/>
      <c r="E103" s="10" t="str">
        <f>IF(D103="","",IFERROR(VLOOKUP(D103,Productos!$B$5:$J$504,2,FALSE()),"Revisar código"))</f>
        <v/>
      </c>
      <c r="F103" s="13"/>
      <c r="G103" s="12"/>
      <c r="H103" s="12"/>
      <c r="I103" s="12"/>
      <c r="J103" s="12"/>
    </row>
    <row r="104" spans="2:10" ht="21.75" customHeight="1" x14ac:dyDescent="0.25">
      <c r="B104" s="12"/>
      <c r="C104" s="15"/>
      <c r="D104" s="12"/>
      <c r="E104" s="10" t="str">
        <f>IF(D104="","",IFERROR(VLOOKUP(D104,Productos!$B$5:$J$504,2,FALSE()),"Revisar código"))</f>
        <v/>
      </c>
      <c r="F104" s="13"/>
      <c r="G104" s="12"/>
      <c r="H104" s="12"/>
      <c r="I104" s="12"/>
      <c r="J104" s="12"/>
    </row>
    <row r="105" spans="2:10" ht="21.75" customHeight="1" x14ac:dyDescent="0.25">
      <c r="B105" s="12"/>
      <c r="C105" s="15"/>
      <c r="D105" s="12"/>
      <c r="E105" s="10" t="str">
        <f>IF(D105="","",IFERROR(VLOOKUP(D105,Productos!$B$5:$J$504,2,FALSE()),"Revisar código"))</f>
        <v/>
      </c>
      <c r="F105" s="13"/>
      <c r="G105" s="12"/>
      <c r="H105" s="12"/>
      <c r="I105" s="12"/>
      <c r="J105" s="12"/>
    </row>
    <row r="106" spans="2:10" ht="21.75" customHeight="1" x14ac:dyDescent="0.25">
      <c r="B106" s="12"/>
      <c r="C106" s="15"/>
      <c r="D106" s="12"/>
      <c r="E106" s="10" t="str">
        <f>IF(D106="","",IFERROR(VLOOKUP(D106,Productos!$B$5:$J$504,2,FALSE()),"Revisar código"))</f>
        <v/>
      </c>
      <c r="F106" s="13"/>
      <c r="G106" s="12"/>
      <c r="H106" s="12"/>
      <c r="I106" s="12"/>
      <c r="J106" s="12"/>
    </row>
    <row r="107" spans="2:10" ht="21.75" customHeight="1" x14ac:dyDescent="0.25">
      <c r="B107" s="12"/>
      <c r="C107" s="15"/>
      <c r="D107" s="12"/>
      <c r="E107" s="10" t="str">
        <f>IF(D107="","",IFERROR(VLOOKUP(D107,Productos!$B$5:$J$504,2,FALSE()),"Revisar código"))</f>
        <v/>
      </c>
      <c r="F107" s="13"/>
      <c r="G107" s="12"/>
      <c r="H107" s="12"/>
      <c r="I107" s="12"/>
      <c r="J107" s="12"/>
    </row>
    <row r="108" spans="2:10" ht="21.75" customHeight="1" x14ac:dyDescent="0.25">
      <c r="B108" s="12"/>
      <c r="C108" s="15"/>
      <c r="D108" s="12"/>
      <c r="E108" s="10" t="str">
        <f>IF(D108="","",IFERROR(VLOOKUP(D108,Productos!$B$5:$J$504,2,FALSE()),"Revisar código"))</f>
        <v/>
      </c>
      <c r="F108" s="13"/>
      <c r="G108" s="12"/>
      <c r="H108" s="12"/>
      <c r="I108" s="12"/>
      <c r="J108" s="12"/>
    </row>
    <row r="109" spans="2:10" ht="21.75" customHeight="1" x14ac:dyDescent="0.25">
      <c r="B109" s="12"/>
      <c r="C109" s="15"/>
      <c r="D109" s="12"/>
      <c r="E109" s="10" t="str">
        <f>IF(D109="","",IFERROR(VLOOKUP(D109,Productos!$B$5:$J$504,2,FALSE()),"Revisar código"))</f>
        <v/>
      </c>
      <c r="F109" s="13"/>
      <c r="G109" s="12"/>
      <c r="H109" s="12"/>
      <c r="I109" s="12"/>
      <c r="J109" s="12"/>
    </row>
    <row r="110" spans="2:10" ht="21.75" customHeight="1" x14ac:dyDescent="0.25">
      <c r="B110" s="12"/>
      <c r="C110" s="15"/>
      <c r="D110" s="12"/>
      <c r="E110" s="10" t="str">
        <f>IF(D110="","",IFERROR(VLOOKUP(D110,Productos!$B$5:$J$504,2,FALSE()),"Revisar código"))</f>
        <v/>
      </c>
      <c r="F110" s="13"/>
      <c r="G110" s="12"/>
      <c r="H110" s="12"/>
      <c r="I110" s="12"/>
      <c r="J110" s="12"/>
    </row>
    <row r="111" spans="2:10" ht="21.75" customHeight="1" x14ac:dyDescent="0.25">
      <c r="B111" s="12"/>
      <c r="C111" s="15"/>
      <c r="D111" s="12"/>
      <c r="E111" s="10" t="str">
        <f>IF(D111="","",IFERROR(VLOOKUP(D111,Productos!$B$5:$J$504,2,FALSE()),"Revisar código"))</f>
        <v/>
      </c>
      <c r="F111" s="13"/>
      <c r="G111" s="12"/>
      <c r="H111" s="12"/>
      <c r="I111" s="12"/>
      <c r="J111" s="12"/>
    </row>
    <row r="112" spans="2:10" ht="21.75" customHeight="1" x14ac:dyDescent="0.25">
      <c r="B112" s="12"/>
      <c r="C112" s="15"/>
      <c r="D112" s="12"/>
      <c r="E112" s="10" t="str">
        <f>IF(D112="","",IFERROR(VLOOKUP(D112,Productos!$B$5:$J$504,2,FALSE()),"Revisar código"))</f>
        <v/>
      </c>
      <c r="F112" s="13"/>
      <c r="G112" s="12"/>
      <c r="H112" s="12"/>
      <c r="I112" s="12"/>
      <c r="J112" s="12"/>
    </row>
    <row r="113" spans="2:10" ht="21.75" customHeight="1" x14ac:dyDescent="0.25">
      <c r="B113" s="12"/>
      <c r="C113" s="15"/>
      <c r="D113" s="12"/>
      <c r="E113" s="10" t="str">
        <f>IF(D113="","",IFERROR(VLOOKUP(D113,Productos!$B$5:$J$504,2,FALSE()),"Revisar código"))</f>
        <v/>
      </c>
      <c r="F113" s="13"/>
      <c r="G113" s="12"/>
      <c r="H113" s="12"/>
      <c r="I113" s="12"/>
      <c r="J113" s="12"/>
    </row>
    <row r="114" spans="2:10" ht="21.75" customHeight="1" x14ac:dyDescent="0.25">
      <c r="B114" s="12"/>
      <c r="C114" s="15"/>
      <c r="D114" s="12"/>
      <c r="E114" s="10" t="str">
        <f>IF(D114="","",IFERROR(VLOOKUP(D114,Productos!$B$5:$J$504,2,FALSE()),"Revisar código"))</f>
        <v/>
      </c>
      <c r="F114" s="13"/>
      <c r="G114" s="12"/>
      <c r="H114" s="12"/>
      <c r="I114" s="12"/>
      <c r="J114" s="12"/>
    </row>
    <row r="115" spans="2:10" ht="21.75" customHeight="1" x14ac:dyDescent="0.25">
      <c r="B115" s="12"/>
      <c r="C115" s="15"/>
      <c r="D115" s="12"/>
      <c r="E115" s="10" t="str">
        <f>IF(D115="","",IFERROR(VLOOKUP(D115,Productos!$B$5:$J$504,2,FALSE()),"Revisar código"))</f>
        <v/>
      </c>
      <c r="F115" s="13"/>
      <c r="G115" s="12"/>
      <c r="H115" s="12"/>
      <c r="I115" s="12"/>
      <c r="J115" s="12"/>
    </row>
    <row r="116" spans="2:10" ht="21.75" customHeight="1" x14ac:dyDescent="0.25">
      <c r="B116" s="12"/>
      <c r="C116" s="15"/>
      <c r="D116" s="12"/>
      <c r="E116" s="10" t="str">
        <f>IF(D116="","",IFERROR(VLOOKUP(D116,Productos!$B$5:$J$504,2,FALSE()),"Revisar código"))</f>
        <v/>
      </c>
      <c r="F116" s="13"/>
      <c r="G116" s="12"/>
      <c r="H116" s="12"/>
      <c r="I116" s="12"/>
      <c r="J116" s="12"/>
    </row>
    <row r="117" spans="2:10" ht="21.75" customHeight="1" x14ac:dyDescent="0.25">
      <c r="B117" s="12"/>
      <c r="C117" s="15"/>
      <c r="D117" s="12"/>
      <c r="E117" s="10" t="str">
        <f>IF(D117="","",IFERROR(VLOOKUP(D117,Productos!$B$5:$J$504,2,FALSE()),"Revisar código"))</f>
        <v/>
      </c>
      <c r="F117" s="13"/>
      <c r="G117" s="12"/>
      <c r="H117" s="12"/>
      <c r="I117" s="12"/>
      <c r="J117" s="12"/>
    </row>
    <row r="118" spans="2:10" ht="21.75" customHeight="1" x14ac:dyDescent="0.25">
      <c r="B118" s="12"/>
      <c r="C118" s="15"/>
      <c r="D118" s="12"/>
      <c r="E118" s="10" t="str">
        <f>IF(D118="","",IFERROR(VLOOKUP(D118,Productos!$B$5:$J$504,2,FALSE()),"Revisar código"))</f>
        <v/>
      </c>
      <c r="F118" s="13"/>
      <c r="G118" s="12"/>
      <c r="H118" s="12"/>
      <c r="I118" s="12"/>
      <c r="J118" s="12"/>
    </row>
    <row r="119" spans="2:10" ht="21.75" customHeight="1" x14ac:dyDescent="0.25">
      <c r="B119" s="12"/>
      <c r="C119" s="15"/>
      <c r="D119" s="12"/>
      <c r="E119" s="10" t="str">
        <f>IF(D119="","",IFERROR(VLOOKUP(D119,Productos!$B$5:$J$504,2,FALSE()),"Revisar código"))</f>
        <v/>
      </c>
      <c r="F119" s="13"/>
      <c r="G119" s="12"/>
      <c r="H119" s="12"/>
      <c r="I119" s="12"/>
      <c r="J119" s="12"/>
    </row>
    <row r="120" spans="2:10" ht="21.75" customHeight="1" x14ac:dyDescent="0.25">
      <c r="B120" s="12"/>
      <c r="C120" s="15"/>
      <c r="D120" s="12"/>
      <c r="E120" s="10" t="str">
        <f>IF(D120="","",IFERROR(VLOOKUP(D120,Productos!$B$5:$J$504,2,FALSE()),"Revisar código"))</f>
        <v/>
      </c>
      <c r="F120" s="13"/>
      <c r="G120" s="12"/>
      <c r="H120" s="12"/>
      <c r="I120" s="12"/>
      <c r="J120" s="12"/>
    </row>
    <row r="121" spans="2:10" ht="21.75" customHeight="1" x14ac:dyDescent="0.25">
      <c r="B121" s="12"/>
      <c r="C121" s="15"/>
      <c r="D121" s="12"/>
      <c r="E121" s="10" t="str">
        <f>IF(D121="","",IFERROR(VLOOKUP(D121,Productos!$B$5:$J$504,2,FALSE()),"Revisar código"))</f>
        <v/>
      </c>
      <c r="F121" s="13"/>
      <c r="G121" s="12"/>
      <c r="H121" s="12"/>
      <c r="I121" s="12"/>
      <c r="J121" s="12"/>
    </row>
    <row r="122" spans="2:10" ht="21.75" customHeight="1" x14ac:dyDescent="0.25">
      <c r="B122" s="12"/>
      <c r="C122" s="15"/>
      <c r="D122" s="12"/>
      <c r="E122" s="10" t="str">
        <f>IF(D122="","",IFERROR(VLOOKUP(D122,Productos!$B$5:$J$504,2,FALSE()),"Revisar código"))</f>
        <v/>
      </c>
      <c r="F122" s="13"/>
      <c r="G122" s="12"/>
      <c r="H122" s="12"/>
      <c r="I122" s="12"/>
      <c r="J122" s="12"/>
    </row>
    <row r="123" spans="2:10" ht="21.75" customHeight="1" x14ac:dyDescent="0.25">
      <c r="B123" s="12"/>
      <c r="C123" s="15"/>
      <c r="D123" s="12"/>
      <c r="E123" s="10" t="str">
        <f>IF(D123="","",IFERROR(VLOOKUP(D123,Productos!$B$5:$J$504,2,FALSE()),"Revisar código"))</f>
        <v/>
      </c>
      <c r="F123" s="13"/>
      <c r="G123" s="12"/>
      <c r="H123" s="12"/>
      <c r="I123" s="12"/>
      <c r="J123" s="12"/>
    </row>
    <row r="124" spans="2:10" ht="21.75" customHeight="1" x14ac:dyDescent="0.25">
      <c r="B124" s="12"/>
      <c r="C124" s="15"/>
      <c r="D124" s="12"/>
      <c r="E124" s="10" t="str">
        <f>IF(D124="","",IFERROR(VLOOKUP(D124,Productos!$B$5:$J$504,2,FALSE()),"Revisar código"))</f>
        <v/>
      </c>
      <c r="F124" s="13"/>
      <c r="G124" s="12"/>
      <c r="H124" s="12"/>
      <c r="I124" s="12"/>
      <c r="J124" s="12"/>
    </row>
    <row r="125" spans="2:10" ht="21.75" customHeight="1" x14ac:dyDescent="0.25">
      <c r="B125" s="12"/>
      <c r="C125" s="15"/>
      <c r="D125" s="12"/>
      <c r="E125" s="10" t="str">
        <f>IF(D125="","",IFERROR(VLOOKUP(D125,Productos!$B$5:$J$504,2,FALSE()),"Revisar código"))</f>
        <v/>
      </c>
      <c r="F125" s="13"/>
      <c r="G125" s="12"/>
      <c r="H125" s="12"/>
      <c r="I125" s="12"/>
      <c r="J125" s="12"/>
    </row>
    <row r="126" spans="2:10" ht="21.75" customHeight="1" x14ac:dyDescent="0.25">
      <c r="B126" s="12"/>
      <c r="C126" s="15"/>
      <c r="D126" s="12"/>
      <c r="E126" s="10" t="str">
        <f>IF(D126="","",IFERROR(VLOOKUP(D126,Productos!$B$5:$J$504,2,FALSE()),"Revisar código"))</f>
        <v/>
      </c>
      <c r="F126" s="13"/>
      <c r="G126" s="12"/>
      <c r="H126" s="12"/>
      <c r="I126" s="12"/>
      <c r="J126" s="12"/>
    </row>
    <row r="127" spans="2:10" ht="21.75" customHeight="1" x14ac:dyDescent="0.25">
      <c r="B127" s="12"/>
      <c r="C127" s="15"/>
      <c r="D127" s="12"/>
      <c r="E127" s="10" t="str">
        <f>IF(D127="","",IFERROR(VLOOKUP(D127,Productos!$B$5:$J$504,2,FALSE()),"Revisar código"))</f>
        <v/>
      </c>
      <c r="F127" s="13"/>
      <c r="G127" s="12"/>
      <c r="H127" s="12"/>
      <c r="I127" s="12"/>
      <c r="J127" s="12"/>
    </row>
    <row r="128" spans="2:10" ht="21.75" customHeight="1" x14ac:dyDescent="0.25">
      <c r="B128" s="12"/>
      <c r="C128" s="15"/>
      <c r="D128" s="12"/>
      <c r="E128" s="10" t="str">
        <f>IF(D128="","",IFERROR(VLOOKUP(D128,Productos!$B$5:$J$504,2,FALSE()),"Revisar código"))</f>
        <v/>
      </c>
      <c r="F128" s="13"/>
      <c r="G128" s="12"/>
      <c r="H128" s="12"/>
      <c r="I128" s="12"/>
      <c r="J128" s="12"/>
    </row>
    <row r="129" spans="2:10" ht="21.75" customHeight="1" x14ac:dyDescent="0.25">
      <c r="B129" s="12"/>
      <c r="C129" s="15"/>
      <c r="D129" s="12"/>
      <c r="E129" s="10" t="str">
        <f>IF(D129="","",IFERROR(VLOOKUP(D129,Productos!$B$5:$J$504,2,FALSE()),"Revisar código"))</f>
        <v/>
      </c>
      <c r="F129" s="13"/>
      <c r="G129" s="12"/>
      <c r="H129" s="12"/>
      <c r="I129" s="12"/>
      <c r="J129" s="12"/>
    </row>
    <row r="130" spans="2:10" ht="21.75" customHeight="1" x14ac:dyDescent="0.25">
      <c r="B130" s="12"/>
      <c r="C130" s="15"/>
      <c r="D130" s="12"/>
      <c r="E130" s="10" t="str">
        <f>IF(D130="","",IFERROR(VLOOKUP(D130,Productos!$B$5:$J$504,2,FALSE()),"Revisar código"))</f>
        <v/>
      </c>
      <c r="F130" s="13"/>
      <c r="G130" s="12"/>
      <c r="H130" s="12"/>
      <c r="I130" s="12"/>
      <c r="J130" s="12"/>
    </row>
    <row r="131" spans="2:10" ht="21.75" customHeight="1" x14ac:dyDescent="0.25">
      <c r="B131" s="12"/>
      <c r="C131" s="15"/>
      <c r="D131" s="12"/>
      <c r="E131" s="10" t="str">
        <f>IF(D131="","",IFERROR(VLOOKUP(D131,Productos!$B$5:$J$504,2,FALSE()),"Revisar código"))</f>
        <v/>
      </c>
      <c r="F131" s="13"/>
      <c r="G131" s="12"/>
      <c r="H131" s="12"/>
      <c r="I131" s="12"/>
      <c r="J131" s="12"/>
    </row>
    <row r="132" spans="2:10" ht="21.75" customHeight="1" x14ac:dyDescent="0.25">
      <c r="B132" s="12"/>
      <c r="C132" s="15"/>
      <c r="D132" s="12"/>
      <c r="E132" s="10" t="str">
        <f>IF(D132="","",IFERROR(VLOOKUP(D132,Productos!$B$5:$J$504,2,FALSE()),"Revisar código"))</f>
        <v/>
      </c>
      <c r="F132" s="13"/>
      <c r="G132" s="12"/>
      <c r="H132" s="12"/>
      <c r="I132" s="12"/>
      <c r="J132" s="12"/>
    </row>
    <row r="133" spans="2:10" ht="21.75" customHeight="1" x14ac:dyDescent="0.25">
      <c r="B133" s="12"/>
      <c r="C133" s="15"/>
      <c r="D133" s="12"/>
      <c r="E133" s="10" t="str">
        <f>IF(D133="","",IFERROR(VLOOKUP(D133,Productos!$B$5:$J$504,2,FALSE()),"Revisar código"))</f>
        <v/>
      </c>
      <c r="F133" s="13"/>
      <c r="G133" s="12"/>
      <c r="H133" s="12"/>
      <c r="I133" s="12"/>
      <c r="J133" s="12"/>
    </row>
    <row r="134" spans="2:10" ht="21.75" customHeight="1" x14ac:dyDescent="0.25">
      <c r="B134" s="12"/>
      <c r="C134" s="15"/>
      <c r="D134" s="12"/>
      <c r="E134" s="10" t="str">
        <f>IF(D134="","",IFERROR(VLOOKUP(D134,Productos!$B$5:$J$504,2,FALSE()),"Revisar código"))</f>
        <v/>
      </c>
      <c r="F134" s="13"/>
      <c r="G134" s="12"/>
      <c r="H134" s="12"/>
      <c r="I134" s="12"/>
      <c r="J134" s="12"/>
    </row>
    <row r="135" spans="2:10" ht="21.75" customHeight="1" x14ac:dyDescent="0.25">
      <c r="B135" s="12"/>
      <c r="C135" s="15"/>
      <c r="D135" s="12"/>
      <c r="E135" s="10" t="str">
        <f>IF(D135="","",IFERROR(VLOOKUP(D135,Productos!$B$5:$J$504,2,FALSE()),"Revisar código"))</f>
        <v/>
      </c>
      <c r="F135" s="13"/>
      <c r="G135" s="12"/>
      <c r="H135" s="12"/>
      <c r="I135" s="12"/>
      <c r="J135" s="12"/>
    </row>
    <row r="136" spans="2:10" ht="21.75" customHeight="1" x14ac:dyDescent="0.25">
      <c r="B136" s="12"/>
      <c r="C136" s="15"/>
      <c r="D136" s="12"/>
      <c r="E136" s="10" t="str">
        <f>IF(D136="","",IFERROR(VLOOKUP(D136,Productos!$B$5:$J$504,2,FALSE()),"Revisar código"))</f>
        <v/>
      </c>
      <c r="F136" s="13"/>
      <c r="G136" s="12"/>
      <c r="H136" s="12"/>
      <c r="I136" s="12"/>
      <c r="J136" s="12"/>
    </row>
    <row r="137" spans="2:10" ht="21.75" customHeight="1" x14ac:dyDescent="0.25">
      <c r="B137" s="12"/>
      <c r="C137" s="15"/>
      <c r="D137" s="12"/>
      <c r="E137" s="10" t="str">
        <f>IF(D137="","",IFERROR(VLOOKUP(D137,Productos!$B$5:$J$504,2,FALSE()),"Revisar código"))</f>
        <v/>
      </c>
      <c r="F137" s="13"/>
      <c r="G137" s="12"/>
      <c r="H137" s="12"/>
      <c r="I137" s="12"/>
      <c r="J137" s="12"/>
    </row>
    <row r="138" spans="2:10" ht="21.75" customHeight="1" x14ac:dyDescent="0.25">
      <c r="B138" s="12"/>
      <c r="C138" s="15"/>
      <c r="D138" s="12"/>
      <c r="E138" s="10" t="str">
        <f>IF(D138="","",IFERROR(VLOOKUP(D138,Productos!$B$5:$J$504,2,FALSE()),"Revisar código"))</f>
        <v/>
      </c>
      <c r="F138" s="13"/>
      <c r="G138" s="12"/>
      <c r="H138" s="12"/>
      <c r="I138" s="12"/>
      <c r="J138" s="12"/>
    </row>
    <row r="139" spans="2:10" ht="21.75" customHeight="1" x14ac:dyDescent="0.25">
      <c r="B139" s="12"/>
      <c r="C139" s="15"/>
      <c r="D139" s="12"/>
      <c r="E139" s="10" t="str">
        <f>IF(D139="","",IFERROR(VLOOKUP(D139,Productos!$B$5:$J$504,2,FALSE()),"Revisar código"))</f>
        <v/>
      </c>
      <c r="F139" s="13"/>
      <c r="G139" s="12"/>
      <c r="H139" s="12"/>
      <c r="I139" s="12"/>
      <c r="J139" s="12"/>
    </row>
    <row r="140" spans="2:10" ht="21.75" customHeight="1" x14ac:dyDescent="0.25">
      <c r="B140" s="12"/>
      <c r="C140" s="15"/>
      <c r="D140" s="12"/>
      <c r="E140" s="10" t="str">
        <f>IF(D140="","",IFERROR(VLOOKUP(D140,Productos!$B$5:$J$504,2,FALSE()),"Revisar código"))</f>
        <v/>
      </c>
      <c r="F140" s="13"/>
      <c r="G140" s="12"/>
      <c r="H140" s="12"/>
      <c r="I140" s="12"/>
      <c r="J140" s="12"/>
    </row>
    <row r="141" spans="2:10" ht="21.75" customHeight="1" x14ac:dyDescent="0.25">
      <c r="B141" s="12"/>
      <c r="C141" s="15"/>
      <c r="D141" s="12"/>
      <c r="E141" s="10" t="str">
        <f>IF(D141="","",IFERROR(VLOOKUP(D141,Productos!$B$5:$J$504,2,FALSE()),"Revisar código"))</f>
        <v/>
      </c>
      <c r="F141" s="13"/>
      <c r="G141" s="12"/>
      <c r="H141" s="12"/>
      <c r="I141" s="12"/>
      <c r="J141" s="12"/>
    </row>
    <row r="142" spans="2:10" ht="21.75" customHeight="1" x14ac:dyDescent="0.25">
      <c r="B142" s="12"/>
      <c r="C142" s="15"/>
      <c r="D142" s="12"/>
      <c r="E142" s="10" t="str">
        <f>IF(D142="","",IFERROR(VLOOKUP(D142,Productos!$B$5:$J$504,2,FALSE()),"Revisar código"))</f>
        <v/>
      </c>
      <c r="F142" s="13"/>
      <c r="G142" s="12"/>
      <c r="H142" s="12"/>
      <c r="I142" s="12"/>
      <c r="J142" s="12"/>
    </row>
    <row r="143" spans="2:10" ht="21.75" customHeight="1" x14ac:dyDescent="0.25">
      <c r="B143" s="12"/>
      <c r="C143" s="15"/>
      <c r="D143" s="12"/>
      <c r="E143" s="10" t="str">
        <f>IF(D143="","",IFERROR(VLOOKUP(D143,Productos!$B$5:$J$504,2,FALSE()),"Revisar código"))</f>
        <v/>
      </c>
      <c r="F143" s="13"/>
      <c r="G143" s="12"/>
      <c r="H143" s="12"/>
      <c r="I143" s="12"/>
      <c r="J143" s="12"/>
    </row>
    <row r="144" spans="2:10" ht="21.75" customHeight="1" x14ac:dyDescent="0.25">
      <c r="B144" s="12"/>
      <c r="C144" s="15"/>
      <c r="D144" s="12"/>
      <c r="E144" s="10" t="str">
        <f>IF(D144="","",IFERROR(VLOOKUP(D144,Productos!$B$5:$J$504,2,FALSE()),"Revisar código"))</f>
        <v/>
      </c>
      <c r="F144" s="13"/>
      <c r="G144" s="12"/>
      <c r="H144" s="12"/>
      <c r="I144" s="12"/>
      <c r="J144" s="12"/>
    </row>
    <row r="145" spans="2:10" ht="21.75" customHeight="1" x14ac:dyDescent="0.25">
      <c r="B145" s="12"/>
      <c r="C145" s="15"/>
      <c r="D145" s="12"/>
      <c r="E145" s="10" t="str">
        <f>IF(D145="","",IFERROR(VLOOKUP(D145,Productos!$B$5:$J$504,2,FALSE()),"Revisar código"))</f>
        <v/>
      </c>
      <c r="F145" s="13"/>
      <c r="G145" s="12"/>
      <c r="H145" s="12"/>
      <c r="I145" s="12"/>
      <c r="J145" s="12"/>
    </row>
    <row r="146" spans="2:10" ht="21.75" customHeight="1" x14ac:dyDescent="0.25">
      <c r="B146" s="12"/>
      <c r="C146" s="15"/>
      <c r="D146" s="12"/>
      <c r="E146" s="10" t="str">
        <f>IF(D146="","",IFERROR(VLOOKUP(D146,Productos!$B$5:$J$504,2,FALSE()),"Revisar código"))</f>
        <v/>
      </c>
      <c r="F146" s="13"/>
      <c r="G146" s="12"/>
      <c r="H146" s="12"/>
      <c r="I146" s="12"/>
      <c r="J146" s="12"/>
    </row>
    <row r="147" spans="2:10" ht="21.75" customHeight="1" x14ac:dyDescent="0.25">
      <c r="B147" s="12"/>
      <c r="C147" s="15"/>
      <c r="D147" s="12"/>
      <c r="E147" s="10" t="str">
        <f>IF(D147="","",IFERROR(VLOOKUP(D147,Productos!$B$5:$J$504,2,FALSE()),"Revisar código"))</f>
        <v/>
      </c>
      <c r="F147" s="13"/>
      <c r="G147" s="12"/>
      <c r="H147" s="12"/>
      <c r="I147" s="12"/>
      <c r="J147" s="12"/>
    </row>
    <row r="148" spans="2:10" ht="21.75" customHeight="1" x14ac:dyDescent="0.25">
      <c r="B148" s="12"/>
      <c r="C148" s="15"/>
      <c r="D148" s="12"/>
      <c r="E148" s="10" t="str">
        <f>IF(D148="","",IFERROR(VLOOKUP(D148,Productos!$B$5:$J$504,2,FALSE()),"Revisar código"))</f>
        <v/>
      </c>
      <c r="F148" s="13"/>
      <c r="G148" s="12"/>
      <c r="H148" s="12"/>
      <c r="I148" s="12"/>
      <c r="J148" s="12"/>
    </row>
    <row r="149" spans="2:10" ht="21.75" customHeight="1" x14ac:dyDescent="0.25">
      <c r="B149" s="12"/>
      <c r="C149" s="15"/>
      <c r="D149" s="12"/>
      <c r="E149" s="10" t="str">
        <f>IF(D149="","",IFERROR(VLOOKUP(D149,Productos!$B$5:$J$504,2,FALSE()),"Revisar código"))</f>
        <v/>
      </c>
      <c r="F149" s="13"/>
      <c r="G149" s="12"/>
      <c r="H149" s="12"/>
      <c r="I149" s="12"/>
      <c r="J149" s="12"/>
    </row>
    <row r="150" spans="2:10" ht="21.75" customHeight="1" x14ac:dyDescent="0.25">
      <c r="B150" s="12"/>
      <c r="C150" s="15"/>
      <c r="D150" s="12"/>
      <c r="E150" s="10" t="str">
        <f>IF(D150="","",IFERROR(VLOOKUP(D150,Productos!$B$5:$J$504,2,FALSE()),"Revisar código"))</f>
        <v/>
      </c>
      <c r="F150" s="13"/>
      <c r="G150" s="12"/>
      <c r="H150" s="12"/>
      <c r="I150" s="12"/>
      <c r="J150" s="12"/>
    </row>
    <row r="151" spans="2:10" ht="21.75" customHeight="1" x14ac:dyDescent="0.25">
      <c r="B151" s="12"/>
      <c r="C151" s="15"/>
      <c r="D151" s="12"/>
      <c r="E151" s="10" t="str">
        <f>IF(D151="","",IFERROR(VLOOKUP(D151,Productos!$B$5:$J$504,2,FALSE()),"Revisar código"))</f>
        <v/>
      </c>
      <c r="F151" s="13"/>
      <c r="G151" s="12"/>
      <c r="H151" s="12"/>
      <c r="I151" s="12"/>
      <c r="J151" s="12"/>
    </row>
    <row r="152" spans="2:10" ht="21.75" customHeight="1" x14ac:dyDescent="0.25">
      <c r="B152" s="12"/>
      <c r="C152" s="15"/>
      <c r="D152" s="12"/>
      <c r="E152" s="10" t="str">
        <f>IF(D152="","",IFERROR(VLOOKUP(D152,Productos!$B$5:$J$504,2,FALSE()),"Revisar código"))</f>
        <v/>
      </c>
      <c r="F152" s="13"/>
      <c r="G152" s="12"/>
      <c r="H152" s="12"/>
      <c r="I152" s="12"/>
      <c r="J152" s="12"/>
    </row>
    <row r="153" spans="2:10" ht="21.75" customHeight="1" x14ac:dyDescent="0.25">
      <c r="B153" s="12"/>
      <c r="C153" s="15"/>
      <c r="D153" s="12"/>
      <c r="E153" s="10" t="str">
        <f>IF(D153="","",IFERROR(VLOOKUP(D153,Productos!$B$5:$J$504,2,FALSE()),"Revisar código"))</f>
        <v/>
      </c>
      <c r="F153" s="13"/>
      <c r="G153" s="12"/>
      <c r="H153" s="12"/>
      <c r="I153" s="12"/>
      <c r="J153" s="12"/>
    </row>
    <row r="154" spans="2:10" ht="21.75" customHeight="1" x14ac:dyDescent="0.25">
      <c r="B154" s="12"/>
      <c r="C154" s="15"/>
      <c r="D154" s="12"/>
      <c r="E154" s="10" t="str">
        <f>IF(D154="","",IFERROR(VLOOKUP(D154,Productos!$B$5:$J$504,2,FALSE()),"Revisar código"))</f>
        <v/>
      </c>
      <c r="F154" s="13"/>
      <c r="G154" s="12"/>
      <c r="H154" s="12"/>
      <c r="I154" s="12"/>
      <c r="J154" s="12"/>
    </row>
    <row r="155" spans="2:10" ht="21.75" customHeight="1" x14ac:dyDescent="0.25">
      <c r="B155" s="12"/>
      <c r="C155" s="15"/>
      <c r="D155" s="12"/>
      <c r="E155" s="10" t="str">
        <f>IF(D155="","",IFERROR(VLOOKUP(D155,Productos!$B$5:$J$504,2,FALSE()),"Revisar código"))</f>
        <v/>
      </c>
      <c r="F155" s="13"/>
      <c r="G155" s="12"/>
      <c r="H155" s="12"/>
      <c r="I155" s="12"/>
      <c r="J155" s="12"/>
    </row>
    <row r="156" spans="2:10" ht="21.75" customHeight="1" x14ac:dyDescent="0.25">
      <c r="B156" s="12"/>
      <c r="C156" s="15"/>
      <c r="D156" s="12"/>
      <c r="E156" s="10" t="str">
        <f>IF(D156="","",IFERROR(VLOOKUP(D156,Productos!$B$5:$J$504,2,FALSE()),"Revisar código"))</f>
        <v/>
      </c>
      <c r="F156" s="13"/>
      <c r="G156" s="12"/>
      <c r="H156" s="12"/>
      <c r="I156" s="12"/>
      <c r="J156" s="12"/>
    </row>
    <row r="157" spans="2:10" ht="21.75" customHeight="1" x14ac:dyDescent="0.25">
      <c r="B157" s="12"/>
      <c r="C157" s="15"/>
      <c r="D157" s="12"/>
      <c r="E157" s="10" t="str">
        <f>IF(D157="","",IFERROR(VLOOKUP(D157,Productos!$B$5:$J$504,2,FALSE()),"Revisar código"))</f>
        <v/>
      </c>
      <c r="F157" s="13"/>
      <c r="G157" s="12"/>
      <c r="H157" s="12"/>
      <c r="I157" s="12"/>
      <c r="J157" s="12"/>
    </row>
    <row r="158" spans="2:10" ht="21.75" customHeight="1" x14ac:dyDescent="0.25">
      <c r="B158" s="12"/>
      <c r="C158" s="15"/>
      <c r="D158" s="12"/>
      <c r="E158" s="10" t="str">
        <f>IF(D158="","",IFERROR(VLOOKUP(D158,Productos!$B$5:$J$504,2,FALSE()),"Revisar código"))</f>
        <v/>
      </c>
      <c r="F158" s="13"/>
      <c r="G158" s="12"/>
      <c r="H158" s="12"/>
      <c r="I158" s="12"/>
      <c r="J158" s="12"/>
    </row>
    <row r="159" spans="2:10" ht="21.75" customHeight="1" x14ac:dyDescent="0.25">
      <c r="B159" s="12"/>
      <c r="C159" s="15"/>
      <c r="D159" s="12"/>
      <c r="E159" s="10" t="str">
        <f>IF(D159="","",IFERROR(VLOOKUP(D159,Productos!$B$5:$J$504,2,FALSE()),"Revisar código"))</f>
        <v/>
      </c>
      <c r="F159" s="13"/>
      <c r="G159" s="12"/>
      <c r="H159" s="12"/>
      <c r="I159" s="12"/>
      <c r="J159" s="12"/>
    </row>
    <row r="160" spans="2:10" ht="21.75" customHeight="1" x14ac:dyDescent="0.25">
      <c r="B160" s="12"/>
      <c r="C160" s="15"/>
      <c r="D160" s="12"/>
      <c r="E160" s="10" t="str">
        <f>IF(D160="","",IFERROR(VLOOKUP(D160,Productos!$B$5:$J$504,2,FALSE()),"Revisar código"))</f>
        <v/>
      </c>
      <c r="F160" s="13"/>
      <c r="G160" s="12"/>
      <c r="H160" s="12"/>
      <c r="I160" s="12"/>
      <c r="J160" s="12"/>
    </row>
    <row r="161" spans="2:10" ht="21.75" customHeight="1" x14ac:dyDescent="0.25">
      <c r="B161" s="12"/>
      <c r="C161" s="15"/>
      <c r="D161" s="12"/>
      <c r="E161" s="10" t="str">
        <f>IF(D161="","",IFERROR(VLOOKUP(D161,Productos!$B$5:$J$504,2,FALSE()),"Revisar código"))</f>
        <v/>
      </c>
      <c r="F161" s="13"/>
      <c r="G161" s="12"/>
      <c r="H161" s="12"/>
      <c r="I161" s="12"/>
      <c r="J161" s="12"/>
    </row>
    <row r="162" spans="2:10" ht="21.75" customHeight="1" x14ac:dyDescent="0.25">
      <c r="B162" s="12"/>
      <c r="C162" s="15"/>
      <c r="D162" s="12"/>
      <c r="E162" s="10" t="str">
        <f>IF(D162="","",IFERROR(VLOOKUP(D162,Productos!$B$5:$J$504,2,FALSE()),"Revisar código"))</f>
        <v/>
      </c>
      <c r="F162" s="13"/>
      <c r="G162" s="12"/>
      <c r="H162" s="12"/>
      <c r="I162" s="12"/>
      <c r="J162" s="12"/>
    </row>
    <row r="163" spans="2:10" ht="21.75" customHeight="1" x14ac:dyDescent="0.25">
      <c r="B163" s="12"/>
      <c r="C163" s="15"/>
      <c r="D163" s="12"/>
      <c r="E163" s="10" t="str">
        <f>IF(D163="","",IFERROR(VLOOKUP(D163,Productos!$B$5:$J$504,2,FALSE()),"Revisar código"))</f>
        <v/>
      </c>
      <c r="F163" s="13"/>
      <c r="G163" s="12"/>
      <c r="H163" s="12"/>
      <c r="I163" s="12"/>
      <c r="J163" s="12"/>
    </row>
    <row r="164" spans="2:10" ht="21.75" customHeight="1" x14ac:dyDescent="0.25">
      <c r="B164" s="12"/>
      <c r="C164" s="15"/>
      <c r="D164" s="12"/>
      <c r="E164" s="10" t="str">
        <f>IF(D164="","",IFERROR(VLOOKUP(D164,Productos!$B$5:$J$504,2,FALSE()),"Revisar código"))</f>
        <v/>
      </c>
      <c r="F164" s="13"/>
      <c r="G164" s="12"/>
      <c r="H164" s="12"/>
      <c r="I164" s="12"/>
      <c r="J164" s="12"/>
    </row>
    <row r="165" spans="2:10" ht="21.75" customHeight="1" x14ac:dyDescent="0.25">
      <c r="B165" s="12"/>
      <c r="C165" s="15"/>
      <c r="D165" s="12"/>
      <c r="E165" s="10" t="str">
        <f>IF(D165="","",IFERROR(VLOOKUP(D165,Productos!$B$5:$J$504,2,FALSE()),"Revisar código"))</f>
        <v/>
      </c>
      <c r="F165" s="13"/>
      <c r="G165" s="12"/>
      <c r="H165" s="12"/>
      <c r="I165" s="12"/>
      <c r="J165" s="12"/>
    </row>
    <row r="166" spans="2:10" ht="21.75" customHeight="1" x14ac:dyDescent="0.25">
      <c r="B166" s="12"/>
      <c r="C166" s="15"/>
      <c r="D166" s="12"/>
      <c r="E166" s="10" t="str">
        <f>IF(D166="","",IFERROR(VLOOKUP(D166,Productos!$B$5:$J$504,2,FALSE()),"Revisar código"))</f>
        <v/>
      </c>
      <c r="F166" s="13"/>
      <c r="G166" s="12"/>
      <c r="H166" s="12"/>
      <c r="I166" s="12"/>
      <c r="J166" s="12"/>
    </row>
    <row r="167" spans="2:10" ht="21.75" customHeight="1" x14ac:dyDescent="0.25">
      <c r="B167" s="12"/>
      <c r="C167" s="15"/>
      <c r="D167" s="12"/>
      <c r="E167" s="10" t="str">
        <f>IF(D167="","",IFERROR(VLOOKUP(D167,Productos!$B$5:$J$504,2,FALSE()),"Revisar código"))</f>
        <v/>
      </c>
      <c r="F167" s="13"/>
      <c r="G167" s="12"/>
      <c r="H167" s="12"/>
      <c r="I167" s="12"/>
      <c r="J167" s="12"/>
    </row>
    <row r="168" spans="2:10" ht="21.75" customHeight="1" x14ac:dyDescent="0.25">
      <c r="B168" s="12"/>
      <c r="C168" s="15"/>
      <c r="D168" s="12"/>
      <c r="E168" s="10" t="str">
        <f>IF(D168="","",IFERROR(VLOOKUP(D168,Productos!$B$5:$J$504,2,FALSE()),"Revisar código"))</f>
        <v/>
      </c>
      <c r="F168" s="13"/>
      <c r="G168" s="12"/>
      <c r="H168" s="12"/>
      <c r="I168" s="12"/>
      <c r="J168" s="12"/>
    </row>
    <row r="169" spans="2:10" ht="21.75" customHeight="1" x14ac:dyDescent="0.25">
      <c r="B169" s="12"/>
      <c r="C169" s="15"/>
      <c r="D169" s="12"/>
      <c r="E169" s="10" t="str">
        <f>IF(D169="","",IFERROR(VLOOKUP(D169,Productos!$B$5:$J$504,2,FALSE()),"Revisar código"))</f>
        <v/>
      </c>
      <c r="F169" s="13"/>
      <c r="G169" s="12"/>
      <c r="H169" s="12"/>
      <c r="I169" s="12"/>
      <c r="J169" s="12"/>
    </row>
    <row r="170" spans="2:10" ht="21.75" customHeight="1" x14ac:dyDescent="0.25">
      <c r="B170" s="12"/>
      <c r="C170" s="15"/>
      <c r="D170" s="12"/>
      <c r="E170" s="10" t="str">
        <f>IF(D170="","",IFERROR(VLOOKUP(D170,Productos!$B$5:$J$504,2,FALSE()),"Revisar código"))</f>
        <v/>
      </c>
      <c r="F170" s="13"/>
      <c r="G170" s="12"/>
      <c r="H170" s="12"/>
      <c r="I170" s="12"/>
      <c r="J170" s="12"/>
    </row>
    <row r="171" spans="2:10" ht="21.75" customHeight="1" x14ac:dyDescent="0.25">
      <c r="B171" s="12"/>
      <c r="C171" s="15"/>
      <c r="D171" s="12"/>
      <c r="E171" s="10" t="str">
        <f>IF(D171="","",IFERROR(VLOOKUP(D171,Productos!$B$5:$J$504,2,FALSE()),"Revisar código"))</f>
        <v/>
      </c>
      <c r="F171" s="13"/>
      <c r="G171" s="12"/>
      <c r="H171" s="12"/>
      <c r="I171" s="12"/>
      <c r="J171" s="12"/>
    </row>
    <row r="172" spans="2:10" ht="21.75" customHeight="1" x14ac:dyDescent="0.25">
      <c r="B172" s="12"/>
      <c r="C172" s="15"/>
      <c r="D172" s="12"/>
      <c r="E172" s="10" t="str">
        <f>IF(D172="","",IFERROR(VLOOKUP(D172,Productos!$B$5:$J$504,2,FALSE()),"Revisar código"))</f>
        <v/>
      </c>
      <c r="F172" s="13"/>
      <c r="G172" s="12"/>
      <c r="H172" s="12"/>
      <c r="I172" s="12"/>
      <c r="J172" s="12"/>
    </row>
    <row r="173" spans="2:10" ht="21.75" customHeight="1" x14ac:dyDescent="0.25">
      <c r="B173" s="12"/>
      <c r="C173" s="15"/>
      <c r="D173" s="12"/>
      <c r="E173" s="10" t="str">
        <f>IF(D173="","",IFERROR(VLOOKUP(D173,Productos!$B$5:$J$504,2,FALSE()),"Revisar código"))</f>
        <v/>
      </c>
      <c r="F173" s="13"/>
      <c r="G173" s="12"/>
      <c r="H173" s="12"/>
      <c r="I173" s="12"/>
      <c r="J173" s="12"/>
    </row>
    <row r="174" spans="2:10" ht="21.75" customHeight="1" x14ac:dyDescent="0.25">
      <c r="B174" s="12"/>
      <c r="C174" s="15"/>
      <c r="D174" s="12"/>
      <c r="E174" s="10" t="str">
        <f>IF(D174="","",IFERROR(VLOOKUP(D174,Productos!$B$5:$J$504,2,FALSE()),"Revisar código"))</f>
        <v/>
      </c>
      <c r="F174" s="13"/>
      <c r="G174" s="12"/>
      <c r="H174" s="12"/>
      <c r="I174" s="12"/>
      <c r="J174" s="12"/>
    </row>
    <row r="175" spans="2:10" ht="21.75" customHeight="1" x14ac:dyDescent="0.25">
      <c r="B175" s="12"/>
      <c r="C175" s="15"/>
      <c r="D175" s="12"/>
      <c r="E175" s="10" t="str">
        <f>IF(D175="","",IFERROR(VLOOKUP(D175,Productos!$B$5:$J$504,2,FALSE()),"Revisar código"))</f>
        <v/>
      </c>
      <c r="F175" s="13"/>
      <c r="G175" s="12"/>
      <c r="H175" s="12"/>
      <c r="I175" s="12"/>
      <c r="J175" s="12"/>
    </row>
    <row r="176" spans="2:10" ht="21.75" customHeight="1" x14ac:dyDescent="0.25">
      <c r="B176" s="12"/>
      <c r="C176" s="15"/>
      <c r="D176" s="12"/>
      <c r="E176" s="10" t="str">
        <f>IF(D176="","",IFERROR(VLOOKUP(D176,Productos!$B$5:$J$504,2,FALSE()),"Revisar código"))</f>
        <v/>
      </c>
      <c r="F176" s="13"/>
      <c r="G176" s="12"/>
      <c r="H176" s="12"/>
      <c r="I176" s="12"/>
      <c r="J176" s="12"/>
    </row>
    <row r="177" spans="2:10" ht="21.75" customHeight="1" x14ac:dyDescent="0.25">
      <c r="B177" s="12"/>
      <c r="C177" s="15"/>
      <c r="D177" s="12"/>
      <c r="E177" s="10" t="str">
        <f>IF(D177="","",IFERROR(VLOOKUP(D177,Productos!$B$5:$J$504,2,FALSE()),"Revisar código"))</f>
        <v/>
      </c>
      <c r="F177" s="13"/>
      <c r="G177" s="12"/>
      <c r="H177" s="12"/>
      <c r="I177" s="12"/>
      <c r="J177" s="12"/>
    </row>
    <row r="178" spans="2:10" ht="21.75" customHeight="1" x14ac:dyDescent="0.25">
      <c r="B178" s="12"/>
      <c r="C178" s="15"/>
      <c r="D178" s="12"/>
      <c r="E178" s="10" t="str">
        <f>IF(D178="","",IFERROR(VLOOKUP(D178,Productos!$B$5:$J$504,2,FALSE()),"Revisar código"))</f>
        <v/>
      </c>
      <c r="F178" s="13"/>
      <c r="G178" s="12"/>
      <c r="H178" s="12"/>
      <c r="I178" s="12"/>
      <c r="J178" s="12"/>
    </row>
    <row r="179" spans="2:10" ht="21.75" customHeight="1" x14ac:dyDescent="0.25">
      <c r="B179" s="12"/>
      <c r="C179" s="15"/>
      <c r="D179" s="12"/>
      <c r="E179" s="10" t="str">
        <f>IF(D179="","",IFERROR(VLOOKUP(D179,Productos!$B$5:$J$504,2,FALSE()),"Revisar código"))</f>
        <v/>
      </c>
      <c r="F179" s="13"/>
      <c r="G179" s="12"/>
      <c r="H179" s="12"/>
      <c r="I179" s="12"/>
      <c r="J179" s="12"/>
    </row>
    <row r="180" spans="2:10" ht="21.75" customHeight="1" x14ac:dyDescent="0.25">
      <c r="B180" s="12"/>
      <c r="C180" s="15"/>
      <c r="D180" s="12"/>
      <c r="E180" s="10" t="str">
        <f>IF(D180="","",IFERROR(VLOOKUP(D180,Productos!$B$5:$J$504,2,FALSE()),"Revisar código"))</f>
        <v/>
      </c>
      <c r="F180" s="13"/>
      <c r="G180" s="12"/>
      <c r="H180" s="12"/>
      <c r="I180" s="12"/>
      <c r="J180" s="12"/>
    </row>
    <row r="181" spans="2:10" ht="21.75" customHeight="1" x14ac:dyDescent="0.25">
      <c r="B181" s="12"/>
      <c r="C181" s="15"/>
      <c r="D181" s="12"/>
      <c r="E181" s="10" t="str">
        <f>IF(D181="","",IFERROR(VLOOKUP(D181,Productos!$B$5:$J$504,2,FALSE()),"Revisar código"))</f>
        <v/>
      </c>
      <c r="F181" s="13"/>
      <c r="G181" s="12"/>
      <c r="H181" s="12"/>
      <c r="I181" s="12"/>
      <c r="J181" s="12"/>
    </row>
    <row r="182" spans="2:10" ht="21.75" customHeight="1" x14ac:dyDescent="0.25">
      <c r="B182" s="12"/>
      <c r="C182" s="15"/>
      <c r="D182" s="12"/>
      <c r="E182" s="10" t="str">
        <f>IF(D182="","",IFERROR(VLOOKUP(D182,Productos!$B$5:$J$504,2,FALSE()),"Revisar código"))</f>
        <v/>
      </c>
      <c r="F182" s="13"/>
      <c r="G182" s="12"/>
      <c r="H182" s="12"/>
      <c r="I182" s="12"/>
      <c r="J182" s="12"/>
    </row>
    <row r="183" spans="2:10" ht="21.75" customHeight="1" x14ac:dyDescent="0.25">
      <c r="B183" s="12"/>
      <c r="C183" s="15"/>
      <c r="D183" s="12"/>
      <c r="E183" s="10" t="str">
        <f>IF(D183="","",IFERROR(VLOOKUP(D183,Productos!$B$5:$J$504,2,FALSE()),"Revisar código"))</f>
        <v/>
      </c>
      <c r="F183" s="13"/>
      <c r="G183" s="12"/>
      <c r="H183" s="12"/>
      <c r="I183" s="12"/>
      <c r="J183" s="12"/>
    </row>
    <row r="184" spans="2:10" ht="21.75" customHeight="1" x14ac:dyDescent="0.25">
      <c r="B184" s="12"/>
      <c r="C184" s="15"/>
      <c r="D184" s="12"/>
      <c r="E184" s="10" t="str">
        <f>IF(D184="","",IFERROR(VLOOKUP(D184,Productos!$B$5:$J$504,2,FALSE()),"Revisar código"))</f>
        <v/>
      </c>
      <c r="F184" s="13"/>
      <c r="G184" s="12"/>
      <c r="H184" s="12"/>
      <c r="I184" s="12"/>
      <c r="J184" s="12"/>
    </row>
    <row r="185" spans="2:10" ht="21.75" customHeight="1" x14ac:dyDescent="0.25">
      <c r="B185" s="12"/>
      <c r="C185" s="15"/>
      <c r="D185" s="12"/>
      <c r="E185" s="10" t="str">
        <f>IF(D185="","",IFERROR(VLOOKUP(D185,Productos!$B$5:$J$504,2,FALSE()),"Revisar código"))</f>
        <v/>
      </c>
      <c r="F185" s="13"/>
      <c r="G185" s="12"/>
      <c r="H185" s="12"/>
      <c r="I185" s="12"/>
      <c r="J185" s="12"/>
    </row>
    <row r="186" spans="2:10" ht="21.75" customHeight="1" x14ac:dyDescent="0.25">
      <c r="B186" s="12"/>
      <c r="C186" s="15"/>
      <c r="D186" s="12"/>
      <c r="E186" s="10" t="str">
        <f>IF(D186="","",IFERROR(VLOOKUP(D186,Productos!$B$5:$J$504,2,FALSE()),"Revisar código"))</f>
        <v/>
      </c>
      <c r="F186" s="13"/>
      <c r="G186" s="12"/>
      <c r="H186" s="12"/>
      <c r="I186" s="12"/>
      <c r="J186" s="12"/>
    </row>
    <row r="187" spans="2:10" ht="21.75" customHeight="1" x14ac:dyDescent="0.25">
      <c r="B187" s="12"/>
      <c r="C187" s="15"/>
      <c r="D187" s="12"/>
      <c r="E187" s="10" t="str">
        <f>IF(D187="","",IFERROR(VLOOKUP(D187,Productos!$B$5:$J$504,2,FALSE()),"Revisar código"))</f>
        <v/>
      </c>
      <c r="F187" s="13"/>
      <c r="G187" s="12"/>
      <c r="H187" s="12"/>
      <c r="I187" s="12"/>
      <c r="J187" s="12"/>
    </row>
    <row r="188" spans="2:10" ht="21.75" customHeight="1" x14ac:dyDescent="0.25">
      <c r="B188" s="12"/>
      <c r="C188" s="15"/>
      <c r="D188" s="12"/>
      <c r="E188" s="10" t="str">
        <f>IF(D188="","",IFERROR(VLOOKUP(D188,Productos!$B$5:$J$504,2,FALSE()),"Revisar código"))</f>
        <v/>
      </c>
      <c r="F188" s="13"/>
      <c r="G188" s="12"/>
      <c r="H188" s="12"/>
      <c r="I188" s="12"/>
      <c r="J188" s="12"/>
    </row>
    <row r="189" spans="2:10" ht="21.75" customHeight="1" x14ac:dyDescent="0.25">
      <c r="B189" s="12"/>
      <c r="C189" s="15"/>
      <c r="D189" s="12"/>
      <c r="E189" s="10" t="str">
        <f>IF(D189="","",IFERROR(VLOOKUP(D189,Productos!$B$5:$J$504,2,FALSE()),"Revisar código"))</f>
        <v/>
      </c>
      <c r="F189" s="13"/>
      <c r="G189" s="12"/>
      <c r="H189" s="12"/>
      <c r="I189" s="12"/>
      <c r="J189" s="12"/>
    </row>
    <row r="190" spans="2:10" ht="21.75" customHeight="1" x14ac:dyDescent="0.25">
      <c r="B190" s="12"/>
      <c r="C190" s="15"/>
      <c r="D190" s="12"/>
      <c r="E190" s="10" t="str">
        <f>IF(D190="","",IFERROR(VLOOKUP(D190,Productos!$B$5:$J$504,2,FALSE()),"Revisar código"))</f>
        <v/>
      </c>
      <c r="F190" s="13"/>
      <c r="G190" s="12"/>
      <c r="H190" s="12"/>
      <c r="I190" s="12"/>
      <c r="J190" s="12"/>
    </row>
    <row r="191" spans="2:10" ht="21.75" customHeight="1" x14ac:dyDescent="0.25">
      <c r="B191" s="12"/>
      <c r="C191" s="15"/>
      <c r="D191" s="12"/>
      <c r="E191" s="10" t="str">
        <f>IF(D191="","",IFERROR(VLOOKUP(D191,Productos!$B$5:$J$504,2,FALSE()),"Revisar código"))</f>
        <v/>
      </c>
      <c r="F191" s="13"/>
      <c r="G191" s="12"/>
      <c r="H191" s="12"/>
      <c r="I191" s="12"/>
      <c r="J191" s="12"/>
    </row>
    <row r="192" spans="2:10" ht="21.75" customHeight="1" x14ac:dyDescent="0.25">
      <c r="B192" s="12"/>
      <c r="C192" s="15"/>
      <c r="D192" s="12"/>
      <c r="E192" s="10" t="str">
        <f>IF(D192="","",IFERROR(VLOOKUP(D192,Productos!$B$5:$J$504,2,FALSE()),"Revisar código"))</f>
        <v/>
      </c>
      <c r="F192" s="13"/>
      <c r="G192" s="12"/>
      <c r="H192" s="12"/>
      <c r="I192" s="12"/>
      <c r="J192" s="12"/>
    </row>
    <row r="193" spans="2:10" ht="21.75" customHeight="1" x14ac:dyDescent="0.25">
      <c r="B193" s="12"/>
      <c r="C193" s="15"/>
      <c r="D193" s="12"/>
      <c r="E193" s="10" t="str">
        <f>IF(D193="","",IFERROR(VLOOKUP(D193,Productos!$B$5:$J$504,2,FALSE()),"Revisar código"))</f>
        <v/>
      </c>
      <c r="F193" s="13"/>
      <c r="G193" s="12"/>
      <c r="H193" s="12"/>
      <c r="I193" s="12"/>
      <c r="J193" s="12"/>
    </row>
    <row r="194" spans="2:10" ht="21.75" customHeight="1" x14ac:dyDescent="0.25">
      <c r="B194" s="12"/>
      <c r="C194" s="15"/>
      <c r="D194" s="12"/>
      <c r="E194" s="10" t="str">
        <f>IF(D194="","",IFERROR(VLOOKUP(D194,Productos!$B$5:$J$504,2,FALSE()),"Revisar código"))</f>
        <v/>
      </c>
      <c r="F194" s="13"/>
      <c r="G194" s="12"/>
      <c r="H194" s="12"/>
      <c r="I194" s="12"/>
      <c r="J194" s="12"/>
    </row>
    <row r="195" spans="2:10" ht="21.75" customHeight="1" x14ac:dyDescent="0.25">
      <c r="B195" s="12"/>
      <c r="C195" s="15"/>
      <c r="D195" s="12"/>
      <c r="E195" s="10" t="str">
        <f>IF(D195="","",IFERROR(VLOOKUP(D195,Productos!$B$5:$J$504,2,FALSE()),"Revisar código"))</f>
        <v/>
      </c>
      <c r="F195" s="13"/>
      <c r="G195" s="12"/>
      <c r="H195" s="12"/>
      <c r="I195" s="12"/>
      <c r="J195" s="12"/>
    </row>
    <row r="196" spans="2:10" ht="21.75" customHeight="1" x14ac:dyDescent="0.25">
      <c r="B196" s="12"/>
      <c r="C196" s="15"/>
      <c r="D196" s="12"/>
      <c r="E196" s="10" t="str">
        <f>IF(D196="","",IFERROR(VLOOKUP(D196,Productos!$B$5:$J$504,2,FALSE()),"Revisar código"))</f>
        <v/>
      </c>
      <c r="F196" s="13"/>
      <c r="G196" s="12"/>
      <c r="H196" s="12"/>
      <c r="I196" s="12"/>
      <c r="J196" s="12"/>
    </row>
    <row r="197" spans="2:10" ht="21.75" customHeight="1" x14ac:dyDescent="0.25">
      <c r="B197" s="12"/>
      <c r="C197" s="15"/>
      <c r="D197" s="12"/>
      <c r="E197" s="10" t="str">
        <f>IF(D197="","",IFERROR(VLOOKUP(D197,Productos!$B$5:$J$504,2,FALSE()),"Revisar código"))</f>
        <v/>
      </c>
      <c r="F197" s="13"/>
      <c r="G197" s="12"/>
      <c r="H197" s="12"/>
      <c r="I197" s="12"/>
      <c r="J197" s="12"/>
    </row>
    <row r="198" spans="2:10" ht="21.75" customHeight="1" x14ac:dyDescent="0.25">
      <c r="B198" s="12"/>
      <c r="C198" s="15"/>
      <c r="D198" s="12"/>
      <c r="E198" s="10" t="str">
        <f>IF(D198="","",IFERROR(VLOOKUP(D198,Productos!$B$5:$J$504,2,FALSE()),"Revisar código"))</f>
        <v/>
      </c>
      <c r="F198" s="13"/>
      <c r="G198" s="12"/>
      <c r="H198" s="12"/>
      <c r="I198" s="12"/>
      <c r="J198" s="12"/>
    </row>
    <row r="199" spans="2:10" ht="21.75" customHeight="1" x14ac:dyDescent="0.25">
      <c r="B199" s="12"/>
      <c r="C199" s="15"/>
      <c r="D199" s="12"/>
      <c r="E199" s="10" t="str">
        <f>IF(D199="","",IFERROR(VLOOKUP(D199,Productos!$B$5:$J$504,2,FALSE()),"Revisar código"))</f>
        <v/>
      </c>
      <c r="F199" s="13"/>
      <c r="G199" s="12"/>
      <c r="H199" s="12"/>
      <c r="I199" s="12"/>
      <c r="J199" s="12"/>
    </row>
    <row r="200" spans="2:10" ht="21.75" customHeight="1" x14ac:dyDescent="0.25">
      <c r="B200" s="12"/>
      <c r="C200" s="15"/>
      <c r="D200" s="12"/>
      <c r="E200" s="10" t="str">
        <f>IF(D200="","",IFERROR(VLOOKUP(D200,Productos!$B$5:$J$504,2,FALSE()),"Revisar código"))</f>
        <v/>
      </c>
      <c r="F200" s="13"/>
      <c r="G200" s="12"/>
      <c r="H200" s="12"/>
      <c r="I200" s="12"/>
      <c r="J200" s="12"/>
    </row>
    <row r="201" spans="2:10" ht="21.75" customHeight="1" x14ac:dyDescent="0.25">
      <c r="B201" s="12"/>
      <c r="C201" s="15"/>
      <c r="D201" s="12"/>
      <c r="E201" s="10" t="str">
        <f>IF(D201="","",IFERROR(VLOOKUP(D201,Productos!$B$5:$J$504,2,FALSE()),"Revisar código"))</f>
        <v/>
      </c>
      <c r="F201" s="13"/>
      <c r="G201" s="12"/>
      <c r="H201" s="12"/>
      <c r="I201" s="12"/>
      <c r="J201" s="12"/>
    </row>
    <row r="202" spans="2:10" ht="21.75" customHeight="1" x14ac:dyDescent="0.25">
      <c r="B202" s="12"/>
      <c r="C202" s="15"/>
      <c r="D202" s="12"/>
      <c r="E202" s="10" t="str">
        <f>IF(D202="","",IFERROR(VLOOKUP(D202,Productos!$B$5:$J$504,2,FALSE()),"Revisar código"))</f>
        <v/>
      </c>
      <c r="F202" s="13"/>
      <c r="G202" s="12"/>
      <c r="H202" s="12"/>
      <c r="I202" s="12"/>
      <c r="J202" s="12"/>
    </row>
    <row r="203" spans="2:10" ht="21.75" customHeight="1" x14ac:dyDescent="0.25">
      <c r="B203" s="12"/>
      <c r="C203" s="15"/>
      <c r="D203" s="12"/>
      <c r="E203" s="10" t="str">
        <f>IF(D203="","",IFERROR(VLOOKUP(D203,Productos!$B$5:$J$504,2,FALSE()),"Revisar código"))</f>
        <v/>
      </c>
      <c r="F203" s="13"/>
      <c r="G203" s="12"/>
      <c r="H203" s="12"/>
      <c r="I203" s="12"/>
      <c r="J203" s="12"/>
    </row>
    <row r="204" spans="2:10" ht="21.75" customHeight="1" x14ac:dyDescent="0.25">
      <c r="B204" s="12"/>
      <c r="C204" s="15"/>
      <c r="D204" s="12"/>
      <c r="E204" s="10" t="str">
        <f>IF(D204="","",IFERROR(VLOOKUP(D204,Productos!$B$5:$J$504,2,FALSE()),"Revisar código"))</f>
        <v/>
      </c>
      <c r="F204" s="13"/>
      <c r="G204" s="12"/>
      <c r="H204" s="12"/>
      <c r="I204" s="12"/>
      <c r="J204" s="12"/>
    </row>
    <row r="205" spans="2:10" ht="21.75" customHeight="1" x14ac:dyDescent="0.25">
      <c r="B205" s="12"/>
      <c r="C205" s="15"/>
      <c r="D205" s="12"/>
      <c r="E205" s="10" t="str">
        <f>IF(D205="","",IFERROR(VLOOKUP(D205,Productos!$B$5:$J$504,2,FALSE()),"Revisar código"))</f>
        <v/>
      </c>
      <c r="F205" s="13"/>
      <c r="G205" s="12"/>
      <c r="H205" s="12"/>
      <c r="I205" s="12"/>
      <c r="J205" s="12"/>
    </row>
    <row r="206" spans="2:10" ht="21.75" customHeight="1" x14ac:dyDescent="0.25">
      <c r="B206" s="12"/>
      <c r="C206" s="15"/>
      <c r="D206" s="12"/>
      <c r="E206" s="10" t="str">
        <f>IF(D206="","",IFERROR(VLOOKUP(D206,Productos!$B$5:$J$504,2,FALSE()),"Revisar código"))</f>
        <v/>
      </c>
      <c r="F206" s="13"/>
      <c r="G206" s="12"/>
      <c r="H206" s="12"/>
      <c r="I206" s="12"/>
      <c r="J206" s="12"/>
    </row>
    <row r="207" spans="2:10" ht="21.75" customHeight="1" x14ac:dyDescent="0.25">
      <c r="B207" s="12"/>
      <c r="C207" s="15"/>
      <c r="D207" s="12"/>
      <c r="E207" s="10" t="str">
        <f>IF(D207="","",IFERROR(VLOOKUP(D207,Productos!$B$5:$J$504,2,FALSE()),"Revisar código"))</f>
        <v/>
      </c>
      <c r="F207" s="13"/>
      <c r="G207" s="12"/>
      <c r="H207" s="12"/>
      <c r="I207" s="12"/>
      <c r="J207" s="12"/>
    </row>
    <row r="208" spans="2:10" ht="21.75" customHeight="1" x14ac:dyDescent="0.25">
      <c r="B208" s="12"/>
      <c r="C208" s="15"/>
      <c r="D208" s="12"/>
      <c r="E208" s="10" t="str">
        <f>IF(D208="","",IFERROR(VLOOKUP(D208,Productos!$B$5:$J$504,2,FALSE()),"Revisar código"))</f>
        <v/>
      </c>
      <c r="F208" s="13"/>
      <c r="G208" s="12"/>
      <c r="H208" s="12"/>
      <c r="I208" s="12"/>
      <c r="J208" s="12"/>
    </row>
    <row r="209" spans="2:10" ht="21.75" customHeight="1" x14ac:dyDescent="0.25">
      <c r="B209" s="12"/>
      <c r="C209" s="15"/>
      <c r="D209" s="12"/>
      <c r="E209" s="10" t="str">
        <f>IF(D209="","",IFERROR(VLOOKUP(D209,Productos!$B$5:$J$504,2,FALSE()),"Revisar código"))</f>
        <v/>
      </c>
      <c r="F209" s="13"/>
      <c r="G209" s="12"/>
      <c r="H209" s="12"/>
      <c r="I209" s="12"/>
      <c r="J209" s="12"/>
    </row>
    <row r="210" spans="2:10" ht="21.75" customHeight="1" x14ac:dyDescent="0.25">
      <c r="B210" s="12"/>
      <c r="C210" s="15"/>
      <c r="D210" s="12"/>
      <c r="E210" s="10" t="str">
        <f>IF(D210="","",IFERROR(VLOOKUP(D210,Productos!$B$5:$J$504,2,FALSE()),"Revisar código"))</f>
        <v/>
      </c>
      <c r="F210" s="13"/>
      <c r="G210" s="12"/>
      <c r="H210" s="12"/>
      <c r="I210" s="12"/>
      <c r="J210" s="12"/>
    </row>
    <row r="211" spans="2:10" ht="21.75" customHeight="1" x14ac:dyDescent="0.25">
      <c r="B211" s="12"/>
      <c r="C211" s="15"/>
      <c r="D211" s="12"/>
      <c r="E211" s="10" t="str">
        <f>IF(D211="","",IFERROR(VLOOKUP(D211,Productos!$B$5:$J$504,2,FALSE()),"Revisar código"))</f>
        <v/>
      </c>
      <c r="F211" s="13"/>
      <c r="G211" s="12"/>
      <c r="H211" s="12"/>
      <c r="I211" s="12"/>
      <c r="J211" s="12"/>
    </row>
    <row r="212" spans="2:10" ht="21.75" customHeight="1" x14ac:dyDescent="0.25">
      <c r="B212" s="12"/>
      <c r="C212" s="15"/>
      <c r="D212" s="12"/>
      <c r="E212" s="10" t="str">
        <f>IF(D212="","",IFERROR(VLOOKUP(D212,Productos!$B$5:$J$504,2,FALSE()),"Revisar código"))</f>
        <v/>
      </c>
      <c r="F212" s="13"/>
      <c r="G212" s="12"/>
      <c r="H212" s="12"/>
      <c r="I212" s="12"/>
      <c r="J212" s="12"/>
    </row>
    <row r="213" spans="2:10" ht="21.75" customHeight="1" x14ac:dyDescent="0.25">
      <c r="B213" s="12"/>
      <c r="C213" s="15"/>
      <c r="D213" s="12"/>
      <c r="E213" s="10" t="str">
        <f>IF(D213="","",IFERROR(VLOOKUP(D213,Productos!$B$5:$J$504,2,FALSE()),"Revisar código"))</f>
        <v/>
      </c>
      <c r="F213" s="13"/>
      <c r="G213" s="12"/>
      <c r="H213" s="12"/>
      <c r="I213" s="12"/>
      <c r="J213" s="12"/>
    </row>
    <row r="214" spans="2:10" ht="21.75" customHeight="1" x14ac:dyDescent="0.25">
      <c r="B214" s="12"/>
      <c r="C214" s="15"/>
      <c r="D214" s="12"/>
      <c r="E214" s="10" t="str">
        <f>IF(D214="","",IFERROR(VLOOKUP(D214,Productos!$B$5:$J$504,2,FALSE()),"Revisar código"))</f>
        <v/>
      </c>
      <c r="F214" s="13"/>
      <c r="G214" s="12"/>
      <c r="H214" s="12"/>
      <c r="I214" s="12"/>
      <c r="J214" s="12"/>
    </row>
    <row r="215" spans="2:10" ht="21.75" customHeight="1" x14ac:dyDescent="0.25">
      <c r="B215" s="12"/>
      <c r="C215" s="15"/>
      <c r="D215" s="12"/>
      <c r="E215" s="10" t="str">
        <f>IF(D215="","",IFERROR(VLOOKUP(D215,Productos!$B$5:$J$504,2,FALSE()),"Revisar código"))</f>
        <v/>
      </c>
      <c r="F215" s="13"/>
      <c r="G215" s="12"/>
      <c r="H215" s="12"/>
      <c r="I215" s="12"/>
      <c r="J215" s="12"/>
    </row>
    <row r="216" spans="2:10" ht="21.75" customHeight="1" x14ac:dyDescent="0.25">
      <c r="B216" s="12"/>
      <c r="C216" s="15"/>
      <c r="D216" s="12"/>
      <c r="E216" s="10" t="str">
        <f>IF(D216="","",IFERROR(VLOOKUP(D216,Productos!$B$5:$J$504,2,FALSE()),"Revisar código"))</f>
        <v/>
      </c>
      <c r="F216" s="13"/>
      <c r="G216" s="12"/>
      <c r="H216" s="12"/>
      <c r="I216" s="12"/>
      <c r="J216" s="12"/>
    </row>
    <row r="217" spans="2:10" ht="21.75" customHeight="1" x14ac:dyDescent="0.25">
      <c r="B217" s="12"/>
      <c r="C217" s="15"/>
      <c r="D217" s="12"/>
      <c r="E217" s="10" t="str">
        <f>IF(D217="","",IFERROR(VLOOKUP(D217,Productos!$B$5:$J$504,2,FALSE()),"Revisar código"))</f>
        <v/>
      </c>
      <c r="F217" s="13"/>
      <c r="G217" s="12"/>
      <c r="H217" s="12"/>
      <c r="I217" s="12"/>
      <c r="J217" s="12"/>
    </row>
    <row r="218" spans="2:10" ht="21.75" customHeight="1" x14ac:dyDescent="0.25">
      <c r="B218" s="12"/>
      <c r="C218" s="15"/>
      <c r="D218" s="12"/>
      <c r="E218" s="10" t="str">
        <f>IF(D218="","",IFERROR(VLOOKUP(D218,Productos!$B$5:$J$504,2,FALSE()),"Revisar código"))</f>
        <v/>
      </c>
      <c r="F218" s="13"/>
      <c r="G218" s="12"/>
      <c r="H218" s="12"/>
      <c r="I218" s="12"/>
      <c r="J218" s="12"/>
    </row>
    <row r="219" spans="2:10" ht="21.75" customHeight="1" x14ac:dyDescent="0.25">
      <c r="B219" s="12"/>
      <c r="C219" s="15"/>
      <c r="D219" s="12"/>
      <c r="E219" s="10" t="str">
        <f>IF(D219="","",IFERROR(VLOOKUP(D219,Productos!$B$5:$J$504,2,FALSE()),"Revisar código"))</f>
        <v/>
      </c>
      <c r="F219" s="13"/>
      <c r="G219" s="12"/>
      <c r="H219" s="12"/>
      <c r="I219" s="12"/>
      <c r="J219" s="12"/>
    </row>
    <row r="220" spans="2:10" ht="21.75" customHeight="1" x14ac:dyDescent="0.25">
      <c r="B220" s="12"/>
      <c r="C220" s="15"/>
      <c r="D220" s="12"/>
      <c r="E220" s="10" t="str">
        <f>IF(D220="","",IFERROR(VLOOKUP(D220,Productos!$B$5:$J$504,2,FALSE()),"Revisar código"))</f>
        <v/>
      </c>
      <c r="F220" s="13"/>
      <c r="G220" s="12"/>
      <c r="H220" s="12"/>
      <c r="I220" s="12"/>
      <c r="J220" s="12"/>
    </row>
    <row r="221" spans="2:10" ht="21.75" customHeight="1" x14ac:dyDescent="0.25">
      <c r="B221" s="12"/>
      <c r="C221" s="15"/>
      <c r="D221" s="12"/>
      <c r="E221" s="10" t="str">
        <f>IF(D221="","",IFERROR(VLOOKUP(D221,Productos!$B$5:$J$504,2,FALSE()),"Revisar código"))</f>
        <v/>
      </c>
      <c r="F221" s="13"/>
      <c r="G221" s="12"/>
      <c r="H221" s="12"/>
      <c r="I221" s="12"/>
      <c r="J221" s="12"/>
    </row>
    <row r="222" spans="2:10" ht="21.75" customHeight="1" x14ac:dyDescent="0.25">
      <c r="B222" s="12"/>
      <c r="C222" s="15"/>
      <c r="D222" s="12"/>
      <c r="E222" s="10" t="str">
        <f>IF(D222="","",IFERROR(VLOOKUP(D222,Productos!$B$5:$J$504,2,FALSE()),"Revisar código"))</f>
        <v/>
      </c>
      <c r="F222" s="13"/>
      <c r="G222" s="12"/>
      <c r="H222" s="12"/>
      <c r="I222" s="12"/>
      <c r="J222" s="12"/>
    </row>
    <row r="223" spans="2:10" ht="21.75" customHeight="1" x14ac:dyDescent="0.25">
      <c r="B223" s="12"/>
      <c r="C223" s="15"/>
      <c r="D223" s="12"/>
      <c r="E223" s="10" t="str">
        <f>IF(D223="","",IFERROR(VLOOKUP(D223,Productos!$B$5:$J$504,2,FALSE()),"Revisar código"))</f>
        <v/>
      </c>
      <c r="F223" s="13"/>
      <c r="G223" s="12"/>
      <c r="H223" s="12"/>
      <c r="I223" s="12"/>
      <c r="J223" s="12"/>
    </row>
    <row r="224" spans="2:10" ht="21.75" customHeight="1" x14ac:dyDescent="0.25">
      <c r="B224" s="12"/>
      <c r="C224" s="15"/>
      <c r="D224" s="12"/>
      <c r="E224" s="10" t="str">
        <f>IF(D224="","",IFERROR(VLOOKUP(D224,Productos!$B$5:$J$504,2,FALSE()),"Revisar código"))</f>
        <v/>
      </c>
      <c r="F224" s="13"/>
      <c r="G224" s="12"/>
      <c r="H224" s="12"/>
      <c r="I224" s="12"/>
      <c r="J224" s="12"/>
    </row>
    <row r="225" spans="2:10" ht="21.75" customHeight="1" x14ac:dyDescent="0.25">
      <c r="B225" s="12"/>
      <c r="C225" s="15"/>
      <c r="D225" s="12"/>
      <c r="E225" s="10" t="str">
        <f>IF(D225="","",IFERROR(VLOOKUP(D225,Productos!$B$5:$J$504,2,FALSE()),"Revisar código"))</f>
        <v/>
      </c>
      <c r="F225" s="13"/>
      <c r="G225" s="12"/>
      <c r="H225" s="12"/>
      <c r="I225" s="12"/>
      <c r="J225" s="12"/>
    </row>
    <row r="226" spans="2:10" ht="21.75" customHeight="1" x14ac:dyDescent="0.25">
      <c r="B226" s="12"/>
      <c r="C226" s="15"/>
      <c r="D226" s="12"/>
      <c r="E226" s="10" t="str">
        <f>IF(D226="","",IFERROR(VLOOKUP(D226,Productos!$B$5:$J$504,2,FALSE()),"Revisar código"))</f>
        <v/>
      </c>
      <c r="F226" s="13"/>
      <c r="G226" s="12"/>
      <c r="H226" s="12"/>
      <c r="I226" s="12"/>
      <c r="J226" s="12"/>
    </row>
    <row r="227" spans="2:10" ht="21.75" customHeight="1" x14ac:dyDescent="0.25">
      <c r="B227" s="12"/>
      <c r="C227" s="15"/>
      <c r="D227" s="12"/>
      <c r="E227" s="10" t="str">
        <f>IF(D227="","",IFERROR(VLOOKUP(D227,Productos!$B$5:$J$504,2,FALSE()),"Revisar código"))</f>
        <v/>
      </c>
      <c r="F227" s="13"/>
      <c r="G227" s="12"/>
      <c r="H227" s="12"/>
      <c r="I227" s="12"/>
      <c r="J227" s="12"/>
    </row>
    <row r="228" spans="2:10" ht="21.75" customHeight="1" x14ac:dyDescent="0.25">
      <c r="B228" s="12"/>
      <c r="C228" s="15"/>
      <c r="D228" s="12"/>
      <c r="E228" s="10" t="str">
        <f>IF(D228="","",IFERROR(VLOOKUP(D228,Productos!$B$5:$J$504,2,FALSE()),"Revisar código"))</f>
        <v/>
      </c>
      <c r="F228" s="13"/>
      <c r="G228" s="12"/>
      <c r="H228" s="12"/>
      <c r="I228" s="12"/>
      <c r="J228" s="12"/>
    </row>
    <row r="229" spans="2:10" ht="21.75" customHeight="1" x14ac:dyDescent="0.25">
      <c r="B229" s="12"/>
      <c r="C229" s="15"/>
      <c r="D229" s="12"/>
      <c r="E229" s="10" t="str">
        <f>IF(D229="","",IFERROR(VLOOKUP(D229,Productos!$B$5:$J$504,2,FALSE()),"Revisar código"))</f>
        <v/>
      </c>
      <c r="F229" s="13"/>
      <c r="G229" s="12"/>
      <c r="H229" s="12"/>
      <c r="I229" s="12"/>
      <c r="J229" s="12"/>
    </row>
    <row r="230" spans="2:10" ht="21.75" customHeight="1" x14ac:dyDescent="0.25">
      <c r="B230" s="12"/>
      <c r="C230" s="15"/>
      <c r="D230" s="12"/>
      <c r="E230" s="10" t="str">
        <f>IF(D230="","",IFERROR(VLOOKUP(D230,Productos!$B$5:$J$504,2,FALSE()),"Revisar código"))</f>
        <v/>
      </c>
      <c r="F230" s="13"/>
      <c r="G230" s="12"/>
      <c r="H230" s="12"/>
      <c r="I230" s="12"/>
      <c r="J230" s="12"/>
    </row>
    <row r="231" spans="2:10" ht="21.75" customHeight="1" x14ac:dyDescent="0.25">
      <c r="B231" s="12"/>
      <c r="C231" s="15"/>
      <c r="D231" s="12"/>
      <c r="E231" s="10" t="str">
        <f>IF(D231="","",IFERROR(VLOOKUP(D231,Productos!$B$5:$J$504,2,FALSE()),"Revisar código"))</f>
        <v/>
      </c>
      <c r="F231" s="13"/>
      <c r="G231" s="12"/>
      <c r="H231" s="12"/>
      <c r="I231" s="12"/>
      <c r="J231" s="12"/>
    </row>
    <row r="232" spans="2:10" ht="21.75" customHeight="1" x14ac:dyDescent="0.25">
      <c r="B232" s="12"/>
      <c r="C232" s="15"/>
      <c r="D232" s="12"/>
      <c r="E232" s="10" t="str">
        <f>IF(D232="","",IFERROR(VLOOKUP(D232,Productos!$B$5:$J$504,2,FALSE()),"Revisar código"))</f>
        <v/>
      </c>
      <c r="F232" s="13"/>
      <c r="G232" s="12"/>
      <c r="H232" s="12"/>
      <c r="I232" s="12"/>
      <c r="J232" s="12"/>
    </row>
    <row r="233" spans="2:10" ht="21.75" customHeight="1" x14ac:dyDescent="0.25">
      <c r="B233" s="12"/>
      <c r="C233" s="15"/>
      <c r="D233" s="12"/>
      <c r="E233" s="10" t="str">
        <f>IF(D233="","",IFERROR(VLOOKUP(D233,Productos!$B$5:$J$504,2,FALSE()),"Revisar código"))</f>
        <v/>
      </c>
      <c r="F233" s="13"/>
      <c r="G233" s="12"/>
      <c r="H233" s="12"/>
      <c r="I233" s="12"/>
      <c r="J233" s="12"/>
    </row>
    <row r="234" spans="2:10" ht="21.75" customHeight="1" x14ac:dyDescent="0.25">
      <c r="B234" s="12"/>
      <c r="C234" s="15"/>
      <c r="D234" s="12"/>
      <c r="E234" s="10" t="str">
        <f>IF(D234="","",IFERROR(VLOOKUP(D234,Productos!$B$5:$J$504,2,FALSE()),"Revisar código"))</f>
        <v/>
      </c>
      <c r="F234" s="13"/>
      <c r="G234" s="12"/>
      <c r="H234" s="12"/>
      <c r="I234" s="12"/>
      <c r="J234" s="12"/>
    </row>
    <row r="235" spans="2:10" ht="21.75" customHeight="1" x14ac:dyDescent="0.25">
      <c r="B235" s="12"/>
      <c r="C235" s="15"/>
      <c r="D235" s="12"/>
      <c r="E235" s="10" t="str">
        <f>IF(D235="","",IFERROR(VLOOKUP(D235,Productos!$B$5:$J$504,2,FALSE()),"Revisar código"))</f>
        <v/>
      </c>
      <c r="F235" s="13"/>
      <c r="G235" s="12"/>
      <c r="H235" s="12"/>
      <c r="I235" s="12"/>
      <c r="J235" s="12"/>
    </row>
    <row r="236" spans="2:10" ht="21.75" customHeight="1" x14ac:dyDescent="0.25">
      <c r="B236" s="12"/>
      <c r="C236" s="15"/>
      <c r="D236" s="12"/>
      <c r="E236" s="10" t="str">
        <f>IF(D236="","",IFERROR(VLOOKUP(D236,Productos!$B$5:$J$504,2,FALSE()),"Revisar código"))</f>
        <v/>
      </c>
      <c r="F236" s="13"/>
      <c r="G236" s="12"/>
      <c r="H236" s="12"/>
      <c r="I236" s="12"/>
      <c r="J236" s="12"/>
    </row>
    <row r="237" spans="2:10" ht="21.75" customHeight="1" x14ac:dyDescent="0.25">
      <c r="B237" s="12"/>
      <c r="C237" s="15"/>
      <c r="D237" s="12"/>
      <c r="E237" s="10" t="str">
        <f>IF(D237="","",IFERROR(VLOOKUP(D237,Productos!$B$5:$J$504,2,FALSE()),"Revisar código"))</f>
        <v/>
      </c>
      <c r="F237" s="13"/>
      <c r="G237" s="12"/>
      <c r="H237" s="12"/>
      <c r="I237" s="12"/>
      <c r="J237" s="12"/>
    </row>
    <row r="238" spans="2:10" ht="21.75" customHeight="1" x14ac:dyDescent="0.25">
      <c r="B238" s="12"/>
      <c r="C238" s="15"/>
      <c r="D238" s="12"/>
      <c r="E238" s="10" t="str">
        <f>IF(D238="","",IFERROR(VLOOKUP(D238,Productos!$B$5:$J$504,2,FALSE()),"Revisar código"))</f>
        <v/>
      </c>
      <c r="F238" s="13"/>
      <c r="G238" s="12"/>
      <c r="H238" s="12"/>
      <c r="I238" s="12"/>
      <c r="J238" s="12"/>
    </row>
    <row r="239" spans="2:10" ht="21.75" customHeight="1" x14ac:dyDescent="0.25">
      <c r="B239" s="12"/>
      <c r="C239" s="15"/>
      <c r="D239" s="12"/>
      <c r="E239" s="10" t="str">
        <f>IF(D239="","",IFERROR(VLOOKUP(D239,Productos!$B$5:$J$504,2,FALSE()),"Revisar código"))</f>
        <v/>
      </c>
      <c r="F239" s="13"/>
      <c r="G239" s="12"/>
      <c r="H239" s="12"/>
      <c r="I239" s="12"/>
      <c r="J239" s="12"/>
    </row>
    <row r="240" spans="2:10" ht="21.75" customHeight="1" x14ac:dyDescent="0.25">
      <c r="B240" s="12"/>
      <c r="C240" s="15"/>
      <c r="D240" s="12"/>
      <c r="E240" s="10" t="str">
        <f>IF(D240="","",IFERROR(VLOOKUP(D240,Productos!$B$5:$J$504,2,FALSE()),"Revisar código"))</f>
        <v/>
      </c>
      <c r="F240" s="13"/>
      <c r="G240" s="12"/>
      <c r="H240" s="12"/>
      <c r="I240" s="12"/>
      <c r="J240" s="12"/>
    </row>
    <row r="241" spans="2:10" ht="21.75" customHeight="1" x14ac:dyDescent="0.25">
      <c r="B241" s="12"/>
      <c r="C241" s="15"/>
      <c r="D241" s="12"/>
      <c r="E241" s="10" t="str">
        <f>IF(D241="","",IFERROR(VLOOKUP(D241,Productos!$B$5:$J$504,2,FALSE()),"Revisar código"))</f>
        <v/>
      </c>
      <c r="F241" s="13"/>
      <c r="G241" s="12"/>
      <c r="H241" s="12"/>
      <c r="I241" s="12"/>
      <c r="J241" s="12"/>
    </row>
    <row r="242" spans="2:10" ht="21.75" customHeight="1" x14ac:dyDescent="0.25">
      <c r="B242" s="12"/>
      <c r="C242" s="15"/>
      <c r="D242" s="12"/>
      <c r="E242" s="10" t="str">
        <f>IF(D242="","",IFERROR(VLOOKUP(D242,Productos!$B$5:$J$504,2,FALSE()),"Revisar código"))</f>
        <v/>
      </c>
      <c r="F242" s="13"/>
      <c r="G242" s="12"/>
      <c r="H242" s="12"/>
      <c r="I242" s="12"/>
      <c r="J242" s="12"/>
    </row>
    <row r="243" spans="2:10" ht="21.75" customHeight="1" x14ac:dyDescent="0.25">
      <c r="B243" s="12"/>
      <c r="C243" s="15"/>
      <c r="D243" s="12"/>
      <c r="E243" s="10" t="str">
        <f>IF(D243="","",IFERROR(VLOOKUP(D243,Productos!$B$5:$J$504,2,FALSE()),"Revisar código"))</f>
        <v/>
      </c>
      <c r="F243" s="13"/>
      <c r="G243" s="12"/>
      <c r="H243" s="12"/>
      <c r="I243" s="12"/>
      <c r="J243" s="12"/>
    </row>
    <row r="244" spans="2:10" ht="21.75" customHeight="1" x14ac:dyDescent="0.25">
      <c r="B244" s="12"/>
      <c r="C244" s="15"/>
      <c r="D244" s="12"/>
      <c r="E244" s="10" t="str">
        <f>IF(D244="","",IFERROR(VLOOKUP(D244,Productos!$B$5:$J$504,2,FALSE()),"Revisar código"))</f>
        <v/>
      </c>
      <c r="F244" s="13"/>
      <c r="G244" s="12"/>
      <c r="H244" s="12"/>
      <c r="I244" s="12"/>
      <c r="J244" s="12"/>
    </row>
    <row r="245" spans="2:10" ht="21.75" customHeight="1" x14ac:dyDescent="0.25">
      <c r="B245" s="12"/>
      <c r="C245" s="15"/>
      <c r="D245" s="12"/>
      <c r="E245" s="10" t="str">
        <f>IF(D245="","",IFERROR(VLOOKUP(D245,Productos!$B$5:$J$504,2,FALSE()),"Revisar código"))</f>
        <v/>
      </c>
      <c r="F245" s="13"/>
      <c r="G245" s="12"/>
      <c r="H245" s="12"/>
      <c r="I245" s="12"/>
      <c r="J245" s="12"/>
    </row>
    <row r="246" spans="2:10" ht="21.75" customHeight="1" x14ac:dyDescent="0.25">
      <c r="B246" s="12"/>
      <c r="C246" s="15"/>
      <c r="D246" s="12"/>
      <c r="E246" s="10" t="str">
        <f>IF(D246="","",IFERROR(VLOOKUP(D246,Productos!$B$5:$J$504,2,FALSE()),"Revisar código"))</f>
        <v/>
      </c>
      <c r="F246" s="13"/>
      <c r="G246" s="12"/>
      <c r="H246" s="12"/>
      <c r="I246" s="12"/>
      <c r="J246" s="12"/>
    </row>
    <row r="247" spans="2:10" ht="21.75" customHeight="1" x14ac:dyDescent="0.25">
      <c r="B247" s="12"/>
      <c r="C247" s="15"/>
      <c r="D247" s="12"/>
      <c r="E247" s="10" t="str">
        <f>IF(D247="","",IFERROR(VLOOKUP(D247,Productos!$B$5:$J$504,2,FALSE()),"Revisar código"))</f>
        <v/>
      </c>
      <c r="F247" s="13"/>
      <c r="G247" s="12"/>
      <c r="H247" s="12"/>
      <c r="I247" s="12"/>
      <c r="J247" s="12"/>
    </row>
    <row r="248" spans="2:10" ht="21.75" customHeight="1" x14ac:dyDescent="0.25">
      <c r="B248" s="12"/>
      <c r="C248" s="15"/>
      <c r="D248" s="12"/>
      <c r="E248" s="10" t="str">
        <f>IF(D248="","",IFERROR(VLOOKUP(D248,Productos!$B$5:$J$504,2,FALSE()),"Revisar código"))</f>
        <v/>
      </c>
      <c r="F248" s="13"/>
      <c r="G248" s="12"/>
      <c r="H248" s="12"/>
      <c r="I248" s="12"/>
      <c r="J248" s="12"/>
    </row>
    <row r="249" spans="2:10" ht="21.75" customHeight="1" x14ac:dyDescent="0.25">
      <c r="B249" s="12"/>
      <c r="C249" s="15"/>
      <c r="D249" s="12"/>
      <c r="E249" s="10" t="str">
        <f>IF(D249="","",IFERROR(VLOOKUP(D249,Productos!$B$5:$J$504,2,FALSE()),"Revisar código"))</f>
        <v/>
      </c>
      <c r="F249" s="13"/>
      <c r="G249" s="12"/>
      <c r="H249" s="12"/>
      <c r="I249" s="12"/>
      <c r="J249" s="12"/>
    </row>
    <row r="250" spans="2:10" ht="21.75" customHeight="1" x14ac:dyDescent="0.25">
      <c r="B250" s="12"/>
      <c r="C250" s="15"/>
      <c r="D250" s="12"/>
      <c r="E250" s="10" t="str">
        <f>IF(D250="","",IFERROR(VLOOKUP(D250,Productos!$B$5:$J$504,2,FALSE()),"Revisar código"))</f>
        <v/>
      </c>
      <c r="F250" s="13"/>
      <c r="G250" s="12"/>
      <c r="H250" s="12"/>
      <c r="I250" s="12"/>
      <c r="J250" s="12"/>
    </row>
    <row r="251" spans="2:10" ht="21.75" customHeight="1" x14ac:dyDescent="0.25">
      <c r="B251" s="12"/>
      <c r="C251" s="15"/>
      <c r="D251" s="12"/>
      <c r="E251" s="10" t="str">
        <f>IF(D251="","",IFERROR(VLOOKUP(D251,Productos!$B$5:$J$504,2,FALSE()),"Revisar código"))</f>
        <v/>
      </c>
      <c r="F251" s="13"/>
      <c r="G251" s="12"/>
      <c r="H251" s="12"/>
      <c r="I251" s="12"/>
      <c r="J251" s="12"/>
    </row>
    <row r="252" spans="2:10" ht="21.75" customHeight="1" x14ac:dyDescent="0.25">
      <c r="B252" s="12"/>
      <c r="C252" s="15"/>
      <c r="D252" s="12"/>
      <c r="E252" s="10" t="str">
        <f>IF(D252="","",IFERROR(VLOOKUP(D252,Productos!$B$5:$J$504,2,FALSE()),"Revisar código"))</f>
        <v/>
      </c>
      <c r="F252" s="13"/>
      <c r="G252" s="12"/>
      <c r="H252" s="12"/>
      <c r="I252" s="12"/>
      <c r="J252" s="12"/>
    </row>
    <row r="253" spans="2:10" ht="21.75" customHeight="1" x14ac:dyDescent="0.25">
      <c r="B253" s="12"/>
      <c r="C253" s="15"/>
      <c r="D253" s="12"/>
      <c r="E253" s="10" t="str">
        <f>IF(D253="","",IFERROR(VLOOKUP(D253,Productos!$B$5:$J$504,2,FALSE()),"Revisar código"))</f>
        <v/>
      </c>
      <c r="F253" s="13"/>
      <c r="G253" s="12"/>
      <c r="H253" s="12"/>
      <c r="I253" s="12"/>
      <c r="J253" s="12"/>
    </row>
    <row r="254" spans="2:10" ht="21.75" customHeight="1" x14ac:dyDescent="0.25">
      <c r="B254" s="12"/>
      <c r="C254" s="15"/>
      <c r="D254" s="12"/>
      <c r="E254" s="10" t="str">
        <f>IF(D254="","",IFERROR(VLOOKUP(D254,Productos!$B$5:$J$504,2,FALSE()),"Revisar código"))</f>
        <v/>
      </c>
      <c r="F254" s="13"/>
      <c r="G254" s="12"/>
      <c r="H254" s="12"/>
      <c r="I254" s="12"/>
      <c r="J254" s="12"/>
    </row>
    <row r="255" spans="2:10" ht="21.75" customHeight="1" x14ac:dyDescent="0.25">
      <c r="B255" s="12"/>
      <c r="C255" s="15"/>
      <c r="D255" s="12"/>
      <c r="E255" s="10" t="str">
        <f>IF(D255="","",IFERROR(VLOOKUP(D255,Productos!$B$5:$J$504,2,FALSE()),"Revisar código"))</f>
        <v/>
      </c>
      <c r="F255" s="13"/>
      <c r="G255" s="12"/>
      <c r="H255" s="12"/>
      <c r="I255" s="12"/>
      <c r="J255" s="12"/>
    </row>
    <row r="256" spans="2:10" ht="21.75" customHeight="1" x14ac:dyDescent="0.25">
      <c r="B256" s="12"/>
      <c r="C256" s="15"/>
      <c r="D256" s="12"/>
      <c r="E256" s="10" t="str">
        <f>IF(D256="","",IFERROR(VLOOKUP(D256,Productos!$B$5:$J$504,2,FALSE()),"Revisar código"))</f>
        <v/>
      </c>
      <c r="F256" s="13"/>
      <c r="G256" s="12"/>
      <c r="H256" s="12"/>
      <c r="I256" s="12"/>
      <c r="J256" s="12"/>
    </row>
    <row r="257" spans="2:10" ht="21.75" customHeight="1" x14ac:dyDescent="0.25">
      <c r="B257" s="12"/>
      <c r="C257" s="15"/>
      <c r="D257" s="12"/>
      <c r="E257" s="10" t="str">
        <f>IF(D257="","",IFERROR(VLOOKUP(D257,Productos!$B$5:$J$504,2,FALSE()),"Revisar código"))</f>
        <v/>
      </c>
      <c r="F257" s="13"/>
      <c r="G257" s="12"/>
      <c r="H257" s="12"/>
      <c r="I257" s="12"/>
      <c r="J257" s="12"/>
    </row>
    <row r="258" spans="2:10" ht="21.75" customHeight="1" x14ac:dyDescent="0.25">
      <c r="B258" s="12"/>
      <c r="C258" s="15"/>
      <c r="D258" s="12"/>
      <c r="E258" s="10" t="str">
        <f>IF(D258="","",IFERROR(VLOOKUP(D258,Productos!$B$5:$J$504,2,FALSE()),"Revisar código"))</f>
        <v/>
      </c>
      <c r="F258" s="13"/>
      <c r="G258" s="12"/>
      <c r="H258" s="12"/>
      <c r="I258" s="12"/>
      <c r="J258" s="12"/>
    </row>
    <row r="259" spans="2:10" ht="21.75" customHeight="1" x14ac:dyDescent="0.25">
      <c r="B259" s="12"/>
      <c r="C259" s="15"/>
      <c r="D259" s="12"/>
      <c r="E259" s="10" t="str">
        <f>IF(D259="","",IFERROR(VLOOKUP(D259,Productos!$B$5:$J$504,2,FALSE()),"Revisar código"))</f>
        <v/>
      </c>
      <c r="F259" s="13"/>
      <c r="G259" s="12"/>
      <c r="H259" s="12"/>
      <c r="I259" s="12"/>
      <c r="J259" s="12"/>
    </row>
    <row r="260" spans="2:10" ht="21.75" customHeight="1" x14ac:dyDescent="0.25">
      <c r="B260" s="12"/>
      <c r="C260" s="15"/>
      <c r="D260" s="12"/>
      <c r="E260" s="10" t="str">
        <f>IF(D260="","",IFERROR(VLOOKUP(D260,Productos!$B$5:$J$504,2,FALSE()),"Revisar código"))</f>
        <v/>
      </c>
      <c r="F260" s="13"/>
      <c r="G260" s="12"/>
      <c r="H260" s="12"/>
      <c r="I260" s="12"/>
      <c r="J260" s="12"/>
    </row>
    <row r="261" spans="2:10" ht="21.75" customHeight="1" x14ac:dyDescent="0.25">
      <c r="B261" s="12"/>
      <c r="C261" s="15"/>
      <c r="D261" s="12"/>
      <c r="E261" s="10" t="str">
        <f>IF(D261="","",IFERROR(VLOOKUP(D261,Productos!$B$5:$J$504,2,FALSE()),"Revisar código"))</f>
        <v/>
      </c>
      <c r="F261" s="13"/>
      <c r="G261" s="12"/>
      <c r="H261" s="12"/>
      <c r="I261" s="12"/>
      <c r="J261" s="12"/>
    </row>
    <row r="262" spans="2:10" ht="21.75" customHeight="1" x14ac:dyDescent="0.25">
      <c r="B262" s="12"/>
      <c r="C262" s="15"/>
      <c r="D262" s="12"/>
      <c r="E262" s="10" t="str">
        <f>IF(D262="","",IFERROR(VLOOKUP(D262,Productos!$B$5:$J$504,2,FALSE()),"Revisar código"))</f>
        <v/>
      </c>
      <c r="F262" s="13"/>
      <c r="G262" s="12"/>
      <c r="H262" s="12"/>
      <c r="I262" s="12"/>
      <c r="J262" s="12"/>
    </row>
    <row r="263" spans="2:10" ht="21.75" customHeight="1" x14ac:dyDescent="0.25">
      <c r="B263" s="12"/>
      <c r="C263" s="15"/>
      <c r="D263" s="12"/>
      <c r="E263" s="10" t="str">
        <f>IF(D263="","",IFERROR(VLOOKUP(D263,Productos!$B$5:$J$504,2,FALSE()),"Revisar código"))</f>
        <v/>
      </c>
      <c r="F263" s="13"/>
      <c r="G263" s="12"/>
      <c r="H263" s="12"/>
      <c r="I263" s="12"/>
      <c r="J263" s="12"/>
    </row>
    <row r="264" spans="2:10" ht="21.75" customHeight="1" x14ac:dyDescent="0.25">
      <c r="B264" s="12"/>
      <c r="C264" s="15"/>
      <c r="D264" s="12"/>
      <c r="E264" s="10" t="str">
        <f>IF(D264="","",IFERROR(VLOOKUP(D264,Productos!$B$5:$J$504,2,FALSE()),"Revisar código"))</f>
        <v/>
      </c>
      <c r="F264" s="13"/>
      <c r="G264" s="12"/>
      <c r="H264" s="12"/>
      <c r="I264" s="12"/>
      <c r="J264" s="12"/>
    </row>
    <row r="265" spans="2:10" ht="21.75" customHeight="1" x14ac:dyDescent="0.25">
      <c r="B265" s="12"/>
      <c r="C265" s="15"/>
      <c r="D265" s="12"/>
      <c r="E265" s="10" t="str">
        <f>IF(D265="","",IFERROR(VLOOKUP(D265,Productos!$B$5:$J$504,2,FALSE()),"Revisar código"))</f>
        <v/>
      </c>
      <c r="F265" s="13"/>
      <c r="G265" s="12"/>
      <c r="H265" s="12"/>
      <c r="I265" s="12"/>
      <c r="J265" s="12"/>
    </row>
    <row r="266" spans="2:10" ht="21.75" customHeight="1" x14ac:dyDescent="0.25">
      <c r="B266" s="12"/>
      <c r="C266" s="15"/>
      <c r="D266" s="12"/>
      <c r="E266" s="10" t="str">
        <f>IF(D266="","",IFERROR(VLOOKUP(D266,Productos!$B$5:$J$504,2,FALSE()),"Revisar código"))</f>
        <v/>
      </c>
      <c r="F266" s="13"/>
      <c r="G266" s="12"/>
      <c r="H266" s="12"/>
      <c r="I266" s="12"/>
      <c r="J266" s="12"/>
    </row>
    <row r="267" spans="2:10" ht="21.75" customHeight="1" x14ac:dyDescent="0.25">
      <c r="B267" s="12"/>
      <c r="C267" s="15"/>
      <c r="D267" s="12"/>
      <c r="E267" s="10" t="str">
        <f>IF(D267="","",IFERROR(VLOOKUP(D267,Productos!$B$5:$J$504,2,FALSE()),"Revisar código"))</f>
        <v/>
      </c>
      <c r="F267" s="13"/>
      <c r="G267" s="12"/>
      <c r="H267" s="12"/>
      <c r="I267" s="12"/>
      <c r="J267" s="12"/>
    </row>
    <row r="268" spans="2:10" ht="21.75" customHeight="1" x14ac:dyDescent="0.25">
      <c r="B268" s="12"/>
      <c r="C268" s="15"/>
      <c r="D268" s="12"/>
      <c r="E268" s="10" t="str">
        <f>IF(D268="","",IFERROR(VLOOKUP(D268,Productos!$B$5:$J$504,2,FALSE()),"Revisar código"))</f>
        <v/>
      </c>
      <c r="F268" s="13"/>
      <c r="G268" s="12"/>
      <c r="H268" s="12"/>
      <c r="I268" s="12"/>
      <c r="J268" s="12"/>
    </row>
    <row r="269" spans="2:10" ht="21.75" customHeight="1" x14ac:dyDescent="0.25">
      <c r="B269" s="12"/>
      <c r="C269" s="15"/>
      <c r="D269" s="12"/>
      <c r="E269" s="10" t="str">
        <f>IF(D269="","",IFERROR(VLOOKUP(D269,Productos!$B$5:$J$504,2,FALSE()),"Revisar código"))</f>
        <v/>
      </c>
      <c r="F269" s="13"/>
      <c r="G269" s="12"/>
      <c r="H269" s="12"/>
      <c r="I269" s="12"/>
      <c r="J269" s="12"/>
    </row>
    <row r="270" spans="2:10" ht="21.75" customHeight="1" x14ac:dyDescent="0.25">
      <c r="B270" s="12"/>
      <c r="C270" s="15"/>
      <c r="D270" s="12"/>
      <c r="E270" s="10" t="str">
        <f>IF(D270="","",IFERROR(VLOOKUP(D270,Productos!$B$5:$J$504,2,FALSE()),"Revisar código"))</f>
        <v/>
      </c>
      <c r="F270" s="13"/>
      <c r="G270" s="12"/>
      <c r="H270" s="12"/>
      <c r="I270" s="12"/>
      <c r="J270" s="12"/>
    </row>
    <row r="271" spans="2:10" ht="21.75" customHeight="1" x14ac:dyDescent="0.25">
      <c r="B271" s="12"/>
      <c r="C271" s="15"/>
      <c r="D271" s="12"/>
      <c r="E271" s="10" t="str">
        <f>IF(D271="","",IFERROR(VLOOKUP(D271,Productos!$B$5:$J$504,2,FALSE()),"Revisar código"))</f>
        <v/>
      </c>
      <c r="F271" s="13"/>
      <c r="G271" s="12"/>
      <c r="H271" s="12"/>
      <c r="I271" s="12"/>
      <c r="J271" s="12"/>
    </row>
    <row r="272" spans="2:10" ht="21.75" customHeight="1" x14ac:dyDescent="0.25">
      <c r="B272" s="12"/>
      <c r="C272" s="15"/>
      <c r="D272" s="12"/>
      <c r="E272" s="10" t="str">
        <f>IF(D272="","",IFERROR(VLOOKUP(D272,Productos!$B$5:$J$504,2,FALSE()),"Revisar código"))</f>
        <v/>
      </c>
      <c r="F272" s="13"/>
      <c r="G272" s="12"/>
      <c r="H272" s="12"/>
      <c r="I272" s="12"/>
      <c r="J272" s="12"/>
    </row>
    <row r="273" spans="2:10" ht="21.75" customHeight="1" x14ac:dyDescent="0.25">
      <c r="B273" s="12"/>
      <c r="C273" s="15"/>
      <c r="D273" s="12"/>
      <c r="E273" s="10" t="str">
        <f>IF(D273="","",IFERROR(VLOOKUP(D273,Productos!$B$5:$J$504,2,FALSE()),"Revisar código"))</f>
        <v/>
      </c>
      <c r="F273" s="13"/>
      <c r="G273" s="12"/>
      <c r="H273" s="12"/>
      <c r="I273" s="12"/>
      <c r="J273" s="12"/>
    </row>
    <row r="274" spans="2:10" ht="21.75" customHeight="1" x14ac:dyDescent="0.25">
      <c r="B274" s="12"/>
      <c r="C274" s="15"/>
      <c r="D274" s="12"/>
      <c r="E274" s="10" t="str">
        <f>IF(D274="","",IFERROR(VLOOKUP(D274,Productos!$B$5:$J$504,2,FALSE()),"Revisar código"))</f>
        <v/>
      </c>
      <c r="F274" s="13"/>
      <c r="G274" s="12"/>
      <c r="H274" s="12"/>
      <c r="I274" s="12"/>
      <c r="J274" s="12"/>
    </row>
    <row r="275" spans="2:10" ht="21.75" customHeight="1" x14ac:dyDescent="0.25">
      <c r="B275" s="12"/>
      <c r="C275" s="15"/>
      <c r="D275" s="12"/>
      <c r="E275" s="10" t="str">
        <f>IF(D275="","",IFERROR(VLOOKUP(D275,Productos!$B$5:$J$504,2,FALSE()),"Revisar código"))</f>
        <v/>
      </c>
      <c r="F275" s="13"/>
      <c r="G275" s="12"/>
      <c r="H275" s="12"/>
      <c r="I275" s="12"/>
      <c r="J275" s="12"/>
    </row>
    <row r="276" spans="2:10" ht="21.75" customHeight="1" x14ac:dyDescent="0.25">
      <c r="B276" s="12"/>
      <c r="C276" s="15"/>
      <c r="D276" s="12"/>
      <c r="E276" s="10" t="str">
        <f>IF(D276="","",IFERROR(VLOOKUP(D276,Productos!$B$5:$J$504,2,FALSE()),"Revisar código"))</f>
        <v/>
      </c>
      <c r="F276" s="13"/>
      <c r="G276" s="12"/>
      <c r="H276" s="12"/>
      <c r="I276" s="12"/>
      <c r="J276" s="12"/>
    </row>
    <row r="277" spans="2:10" ht="21.75" customHeight="1" x14ac:dyDescent="0.25">
      <c r="B277" s="12"/>
      <c r="C277" s="15"/>
      <c r="D277" s="12"/>
      <c r="E277" s="10" t="str">
        <f>IF(D277="","",IFERROR(VLOOKUP(D277,Productos!$B$5:$J$504,2,FALSE()),"Revisar código"))</f>
        <v/>
      </c>
      <c r="F277" s="13"/>
      <c r="G277" s="12"/>
      <c r="H277" s="12"/>
      <c r="I277" s="12"/>
      <c r="J277" s="12"/>
    </row>
    <row r="278" spans="2:10" ht="21.75" customHeight="1" x14ac:dyDescent="0.25">
      <c r="B278" s="12"/>
      <c r="C278" s="15"/>
      <c r="D278" s="12"/>
      <c r="E278" s="10" t="str">
        <f>IF(D278="","",IFERROR(VLOOKUP(D278,Productos!$B$5:$J$504,2,FALSE()),"Revisar código"))</f>
        <v/>
      </c>
      <c r="F278" s="13"/>
      <c r="G278" s="12"/>
      <c r="H278" s="12"/>
      <c r="I278" s="12"/>
      <c r="J278" s="12"/>
    </row>
    <row r="279" spans="2:10" ht="21.75" customHeight="1" x14ac:dyDescent="0.25">
      <c r="B279" s="12"/>
      <c r="C279" s="15"/>
      <c r="D279" s="12"/>
      <c r="E279" s="10" t="str">
        <f>IF(D279="","",IFERROR(VLOOKUP(D279,Productos!$B$5:$J$504,2,FALSE()),"Revisar código"))</f>
        <v/>
      </c>
      <c r="F279" s="13"/>
      <c r="G279" s="12"/>
      <c r="H279" s="12"/>
      <c r="I279" s="12"/>
      <c r="J279" s="12"/>
    </row>
    <row r="280" spans="2:10" ht="21.75" customHeight="1" x14ac:dyDescent="0.25">
      <c r="B280" s="12"/>
      <c r="C280" s="15"/>
      <c r="D280" s="12"/>
      <c r="E280" s="10" t="str">
        <f>IF(D280="","",IFERROR(VLOOKUP(D280,Productos!$B$5:$J$504,2,FALSE()),"Revisar código"))</f>
        <v/>
      </c>
      <c r="F280" s="13"/>
      <c r="G280" s="12"/>
      <c r="H280" s="12"/>
      <c r="I280" s="12"/>
      <c r="J280" s="12"/>
    </row>
    <row r="281" spans="2:10" ht="21.75" customHeight="1" x14ac:dyDescent="0.25">
      <c r="B281" s="12"/>
      <c r="C281" s="15"/>
      <c r="D281" s="12"/>
      <c r="E281" s="10" t="str">
        <f>IF(D281="","",IFERROR(VLOOKUP(D281,Productos!$B$5:$J$504,2,FALSE()),"Revisar código"))</f>
        <v/>
      </c>
      <c r="F281" s="13"/>
      <c r="G281" s="12"/>
      <c r="H281" s="12"/>
      <c r="I281" s="12"/>
      <c r="J281" s="12"/>
    </row>
    <row r="282" spans="2:10" ht="21.75" customHeight="1" x14ac:dyDescent="0.25">
      <c r="B282" s="12"/>
      <c r="C282" s="15"/>
      <c r="D282" s="12"/>
      <c r="E282" s="10" t="str">
        <f>IF(D282="","",IFERROR(VLOOKUP(D282,Productos!$B$5:$J$504,2,FALSE()),"Revisar código"))</f>
        <v/>
      </c>
      <c r="F282" s="13"/>
      <c r="G282" s="12"/>
      <c r="H282" s="12"/>
      <c r="I282" s="12"/>
      <c r="J282" s="12"/>
    </row>
    <row r="283" spans="2:10" ht="21.75" customHeight="1" x14ac:dyDescent="0.25">
      <c r="B283" s="12"/>
      <c r="C283" s="15"/>
      <c r="D283" s="12"/>
      <c r="E283" s="10" t="str">
        <f>IF(D283="","",IFERROR(VLOOKUP(D283,Productos!$B$5:$J$504,2,FALSE()),"Revisar código"))</f>
        <v/>
      </c>
      <c r="F283" s="13"/>
      <c r="G283" s="12"/>
      <c r="H283" s="12"/>
      <c r="I283" s="12"/>
      <c r="J283" s="12"/>
    </row>
    <row r="284" spans="2:10" ht="21.75" customHeight="1" x14ac:dyDescent="0.25">
      <c r="B284" s="12"/>
      <c r="C284" s="15"/>
      <c r="D284" s="12"/>
      <c r="E284" s="10" t="str">
        <f>IF(D284="","",IFERROR(VLOOKUP(D284,Productos!$B$5:$J$504,2,FALSE()),"Revisar código"))</f>
        <v/>
      </c>
      <c r="F284" s="13"/>
      <c r="G284" s="12"/>
      <c r="H284" s="12"/>
      <c r="I284" s="12"/>
      <c r="J284" s="12"/>
    </row>
    <row r="285" spans="2:10" ht="21.75" customHeight="1" x14ac:dyDescent="0.25">
      <c r="B285" s="12"/>
      <c r="C285" s="15"/>
      <c r="D285" s="12"/>
      <c r="E285" s="10" t="str">
        <f>IF(D285="","",IFERROR(VLOOKUP(D285,Productos!$B$5:$J$504,2,FALSE()),"Revisar código"))</f>
        <v/>
      </c>
      <c r="F285" s="13"/>
      <c r="G285" s="12"/>
      <c r="H285" s="12"/>
      <c r="I285" s="12"/>
      <c r="J285" s="12"/>
    </row>
    <row r="286" spans="2:10" ht="21.75" customHeight="1" x14ac:dyDescent="0.25">
      <c r="B286" s="12"/>
      <c r="C286" s="15"/>
      <c r="D286" s="12"/>
      <c r="E286" s="10" t="str">
        <f>IF(D286="","",IFERROR(VLOOKUP(D286,Productos!$B$5:$J$504,2,FALSE()),"Revisar código"))</f>
        <v/>
      </c>
      <c r="F286" s="13"/>
      <c r="G286" s="12"/>
      <c r="H286" s="12"/>
      <c r="I286" s="12"/>
      <c r="J286" s="12"/>
    </row>
    <row r="287" spans="2:10" ht="21.75" customHeight="1" x14ac:dyDescent="0.25">
      <c r="B287" s="12"/>
      <c r="C287" s="15"/>
      <c r="D287" s="12"/>
      <c r="E287" s="10" t="str">
        <f>IF(D287="","",IFERROR(VLOOKUP(D287,Productos!$B$5:$J$504,2,FALSE()),"Revisar código"))</f>
        <v/>
      </c>
      <c r="F287" s="13"/>
      <c r="G287" s="12"/>
      <c r="H287" s="12"/>
      <c r="I287" s="12"/>
      <c r="J287" s="12"/>
    </row>
    <row r="288" spans="2:10" ht="21.75" customHeight="1" x14ac:dyDescent="0.25">
      <c r="B288" s="12"/>
      <c r="C288" s="15"/>
      <c r="D288" s="12"/>
      <c r="E288" s="10" t="str">
        <f>IF(D288="","",IFERROR(VLOOKUP(D288,Productos!$B$5:$J$504,2,FALSE()),"Revisar código"))</f>
        <v/>
      </c>
      <c r="F288" s="13"/>
      <c r="G288" s="12"/>
      <c r="H288" s="12"/>
      <c r="I288" s="12"/>
      <c r="J288" s="12"/>
    </row>
    <row r="289" spans="2:10" ht="21.75" customHeight="1" x14ac:dyDescent="0.25">
      <c r="B289" s="12"/>
      <c r="C289" s="15"/>
      <c r="D289" s="12"/>
      <c r="E289" s="10" t="str">
        <f>IF(D289="","",IFERROR(VLOOKUP(D289,Productos!$B$5:$J$504,2,FALSE()),"Revisar código"))</f>
        <v/>
      </c>
      <c r="F289" s="13"/>
      <c r="G289" s="12"/>
      <c r="H289" s="12"/>
      <c r="I289" s="12"/>
      <c r="J289" s="12"/>
    </row>
    <row r="290" spans="2:10" ht="21.75" customHeight="1" x14ac:dyDescent="0.25">
      <c r="B290" s="12"/>
      <c r="C290" s="15"/>
      <c r="D290" s="12"/>
      <c r="E290" s="10" t="str">
        <f>IF(D290="","",IFERROR(VLOOKUP(D290,Productos!$B$5:$J$504,2,FALSE()),"Revisar código"))</f>
        <v/>
      </c>
      <c r="F290" s="13"/>
      <c r="G290" s="12"/>
      <c r="H290" s="12"/>
      <c r="I290" s="12"/>
      <c r="J290" s="12"/>
    </row>
    <row r="291" spans="2:10" ht="21.75" customHeight="1" x14ac:dyDescent="0.25">
      <c r="B291" s="12"/>
      <c r="C291" s="15"/>
      <c r="D291" s="12"/>
      <c r="E291" s="10" t="str">
        <f>IF(D291="","",IFERROR(VLOOKUP(D291,Productos!$B$5:$J$504,2,FALSE()),"Revisar código"))</f>
        <v/>
      </c>
      <c r="F291" s="13"/>
      <c r="G291" s="12"/>
      <c r="H291" s="12"/>
      <c r="I291" s="12"/>
      <c r="J291" s="12"/>
    </row>
    <row r="292" spans="2:10" ht="21.75" customHeight="1" x14ac:dyDescent="0.25">
      <c r="B292" s="12"/>
      <c r="C292" s="15"/>
      <c r="D292" s="12"/>
      <c r="E292" s="10" t="str">
        <f>IF(D292="","",IFERROR(VLOOKUP(D292,Productos!$B$5:$J$504,2,FALSE()),"Revisar código"))</f>
        <v/>
      </c>
      <c r="F292" s="13"/>
      <c r="G292" s="12"/>
      <c r="H292" s="12"/>
      <c r="I292" s="12"/>
      <c r="J292" s="12"/>
    </row>
    <row r="293" spans="2:10" ht="21.75" customHeight="1" x14ac:dyDescent="0.25">
      <c r="B293" s="12"/>
      <c r="C293" s="15"/>
      <c r="D293" s="12"/>
      <c r="E293" s="10" t="str">
        <f>IF(D293="","",IFERROR(VLOOKUP(D293,Productos!$B$5:$J$504,2,FALSE()),"Revisar código"))</f>
        <v/>
      </c>
      <c r="F293" s="13"/>
      <c r="G293" s="12"/>
      <c r="H293" s="12"/>
      <c r="I293" s="12"/>
      <c r="J293" s="12"/>
    </row>
    <row r="294" spans="2:10" ht="21.75" customHeight="1" x14ac:dyDescent="0.25">
      <c r="B294" s="12"/>
      <c r="C294" s="15"/>
      <c r="D294" s="12"/>
      <c r="E294" s="10" t="str">
        <f>IF(D294="","",IFERROR(VLOOKUP(D294,Productos!$B$5:$J$504,2,FALSE()),"Revisar código"))</f>
        <v/>
      </c>
      <c r="F294" s="13"/>
      <c r="G294" s="12"/>
      <c r="H294" s="12"/>
      <c r="I294" s="12"/>
      <c r="J294" s="12"/>
    </row>
    <row r="295" spans="2:10" ht="21.75" customHeight="1" x14ac:dyDescent="0.25">
      <c r="B295" s="12"/>
      <c r="C295" s="15"/>
      <c r="D295" s="12"/>
      <c r="E295" s="10" t="str">
        <f>IF(D295="","",IFERROR(VLOOKUP(D295,Productos!$B$5:$J$504,2,FALSE()),"Revisar código"))</f>
        <v/>
      </c>
      <c r="F295" s="13"/>
      <c r="G295" s="12"/>
      <c r="H295" s="12"/>
      <c r="I295" s="12"/>
      <c r="J295" s="12"/>
    </row>
    <row r="296" spans="2:10" ht="21.75" customHeight="1" x14ac:dyDescent="0.25">
      <c r="B296" s="12"/>
      <c r="C296" s="15"/>
      <c r="D296" s="12"/>
      <c r="E296" s="10" t="str">
        <f>IF(D296="","",IFERROR(VLOOKUP(D296,Productos!$B$5:$J$504,2,FALSE()),"Revisar código"))</f>
        <v/>
      </c>
      <c r="F296" s="13"/>
      <c r="G296" s="12"/>
      <c r="H296" s="12"/>
      <c r="I296" s="12"/>
      <c r="J296" s="12"/>
    </row>
    <row r="297" spans="2:10" ht="21.75" customHeight="1" x14ac:dyDescent="0.25">
      <c r="B297" s="12"/>
      <c r="C297" s="15"/>
      <c r="D297" s="12"/>
      <c r="E297" s="10" t="str">
        <f>IF(D297="","",IFERROR(VLOOKUP(D297,Productos!$B$5:$J$504,2,FALSE()),"Revisar código"))</f>
        <v/>
      </c>
      <c r="F297" s="13"/>
      <c r="G297" s="12"/>
      <c r="H297" s="12"/>
      <c r="I297" s="12"/>
      <c r="J297" s="12"/>
    </row>
    <row r="298" spans="2:10" ht="21.75" customHeight="1" x14ac:dyDescent="0.25">
      <c r="B298" s="12"/>
      <c r="C298" s="15"/>
      <c r="D298" s="12"/>
      <c r="E298" s="10" t="str">
        <f>IF(D298="","",IFERROR(VLOOKUP(D298,Productos!$B$5:$J$504,2,FALSE()),"Revisar código"))</f>
        <v/>
      </c>
      <c r="F298" s="13"/>
      <c r="G298" s="12"/>
      <c r="H298" s="12"/>
      <c r="I298" s="12"/>
      <c r="J298" s="12"/>
    </row>
    <row r="299" spans="2:10" ht="21.75" customHeight="1" x14ac:dyDescent="0.25">
      <c r="B299" s="12"/>
      <c r="C299" s="15"/>
      <c r="D299" s="12"/>
      <c r="E299" s="10" t="str">
        <f>IF(D299="","",IFERROR(VLOOKUP(D299,Productos!$B$5:$J$504,2,FALSE()),"Revisar código"))</f>
        <v/>
      </c>
      <c r="F299" s="13"/>
      <c r="G299" s="12"/>
      <c r="H299" s="12"/>
      <c r="I299" s="12"/>
      <c r="J299" s="12"/>
    </row>
    <row r="300" spans="2:10" ht="21.75" customHeight="1" x14ac:dyDescent="0.25">
      <c r="B300" s="12"/>
      <c r="C300" s="15"/>
      <c r="D300" s="12"/>
      <c r="E300" s="10" t="str">
        <f>IF(D300="","",IFERROR(VLOOKUP(D300,Productos!$B$5:$J$504,2,FALSE()),"Revisar código"))</f>
        <v/>
      </c>
      <c r="F300" s="13"/>
      <c r="G300" s="12"/>
      <c r="H300" s="12"/>
      <c r="I300" s="12"/>
      <c r="J300" s="12"/>
    </row>
    <row r="301" spans="2:10" ht="21.75" customHeight="1" x14ac:dyDescent="0.25">
      <c r="B301" s="12"/>
      <c r="C301" s="15"/>
      <c r="D301" s="12"/>
      <c r="E301" s="10" t="str">
        <f>IF(D301="","",IFERROR(VLOOKUP(D301,Productos!$B$5:$J$504,2,FALSE()),"Revisar código"))</f>
        <v/>
      </c>
      <c r="F301" s="13"/>
      <c r="G301" s="12"/>
      <c r="H301" s="12"/>
      <c r="I301" s="12"/>
      <c r="J301" s="12"/>
    </row>
    <row r="302" spans="2:10" ht="21.75" customHeight="1" x14ac:dyDescent="0.25">
      <c r="B302" s="12"/>
      <c r="C302" s="15"/>
      <c r="D302" s="12"/>
      <c r="E302" s="10" t="str">
        <f>IF(D302="","",IFERROR(VLOOKUP(D302,Productos!$B$5:$J$504,2,FALSE()),"Revisar código"))</f>
        <v/>
      </c>
      <c r="F302" s="13"/>
      <c r="G302" s="12"/>
      <c r="H302" s="12"/>
      <c r="I302" s="12"/>
      <c r="J302" s="12"/>
    </row>
    <row r="303" spans="2:10" ht="21.75" customHeight="1" x14ac:dyDescent="0.25">
      <c r="B303" s="12"/>
      <c r="C303" s="15"/>
      <c r="D303" s="12"/>
      <c r="E303" s="10" t="str">
        <f>IF(D303="","",IFERROR(VLOOKUP(D303,Productos!$B$5:$J$504,2,FALSE()),"Revisar código"))</f>
        <v/>
      </c>
      <c r="F303" s="13"/>
      <c r="G303" s="12"/>
      <c r="H303" s="12"/>
      <c r="I303" s="12"/>
      <c r="J303" s="12"/>
    </row>
    <row r="304" spans="2:10" ht="21.75" customHeight="1" x14ac:dyDescent="0.25">
      <c r="B304" s="12"/>
      <c r="C304" s="15"/>
      <c r="D304" s="12"/>
      <c r="E304" s="10" t="str">
        <f>IF(D304="","",IFERROR(VLOOKUP(D304,Productos!$B$5:$J$504,2,FALSE()),"Revisar código"))</f>
        <v/>
      </c>
      <c r="F304" s="13"/>
      <c r="G304" s="12"/>
      <c r="H304" s="12"/>
      <c r="I304" s="12"/>
      <c r="J304" s="12"/>
    </row>
    <row r="305" spans="2:10" ht="21.75" customHeight="1" x14ac:dyDescent="0.25">
      <c r="B305" s="12"/>
      <c r="C305" s="15"/>
      <c r="D305" s="12"/>
      <c r="E305" s="10" t="str">
        <f>IF(D305="","",IFERROR(VLOOKUP(D305,Productos!$B$5:$J$504,2,FALSE()),"Revisar código"))</f>
        <v/>
      </c>
      <c r="F305" s="13"/>
      <c r="G305" s="12"/>
      <c r="H305" s="12"/>
      <c r="I305" s="12"/>
      <c r="J305" s="12"/>
    </row>
    <row r="306" spans="2:10" ht="21.75" customHeight="1" x14ac:dyDescent="0.25">
      <c r="B306" s="12"/>
      <c r="C306" s="15"/>
      <c r="D306" s="12"/>
      <c r="E306" s="10" t="str">
        <f>IF(D306="","",IFERROR(VLOOKUP(D306,Productos!$B$5:$J$504,2,FALSE()),"Revisar código"))</f>
        <v/>
      </c>
      <c r="F306" s="13"/>
      <c r="G306" s="12"/>
      <c r="H306" s="12"/>
      <c r="I306" s="12"/>
      <c r="J306" s="12"/>
    </row>
    <row r="307" spans="2:10" ht="21.75" customHeight="1" x14ac:dyDescent="0.25">
      <c r="B307" s="12"/>
      <c r="C307" s="15"/>
      <c r="D307" s="12"/>
      <c r="E307" s="10" t="str">
        <f>IF(D307="","",IFERROR(VLOOKUP(D307,Productos!$B$5:$J$504,2,FALSE()),"Revisar código"))</f>
        <v/>
      </c>
      <c r="F307" s="13"/>
      <c r="G307" s="12"/>
      <c r="H307" s="12"/>
      <c r="I307" s="12"/>
      <c r="J307" s="12"/>
    </row>
    <row r="308" spans="2:10" ht="21.75" customHeight="1" x14ac:dyDescent="0.25">
      <c r="B308" s="12"/>
      <c r="C308" s="15"/>
      <c r="D308" s="12"/>
      <c r="E308" s="10" t="str">
        <f>IF(D308="","",IFERROR(VLOOKUP(D308,Productos!$B$5:$J$504,2,FALSE()),"Revisar código"))</f>
        <v/>
      </c>
      <c r="F308" s="13"/>
      <c r="G308" s="12"/>
      <c r="H308" s="12"/>
      <c r="I308" s="12"/>
      <c r="J308" s="12"/>
    </row>
    <row r="309" spans="2:10" ht="21.75" customHeight="1" x14ac:dyDescent="0.25">
      <c r="B309" s="12"/>
      <c r="C309" s="15"/>
      <c r="D309" s="12"/>
      <c r="E309" s="10" t="str">
        <f>IF(D309="","",IFERROR(VLOOKUP(D309,Productos!$B$5:$J$504,2,FALSE()),"Revisar código"))</f>
        <v/>
      </c>
      <c r="F309" s="13"/>
      <c r="G309" s="12"/>
      <c r="H309" s="12"/>
      <c r="I309" s="12"/>
      <c r="J309" s="12"/>
    </row>
    <row r="310" spans="2:10" ht="21.75" customHeight="1" x14ac:dyDescent="0.25">
      <c r="B310" s="12"/>
      <c r="C310" s="15"/>
      <c r="D310" s="12"/>
      <c r="E310" s="10" t="str">
        <f>IF(D310="","",IFERROR(VLOOKUP(D310,Productos!$B$5:$J$504,2,FALSE()),"Revisar código"))</f>
        <v/>
      </c>
      <c r="F310" s="13"/>
      <c r="G310" s="12"/>
      <c r="H310" s="12"/>
      <c r="I310" s="12"/>
      <c r="J310" s="12"/>
    </row>
    <row r="311" spans="2:10" ht="21.75" customHeight="1" x14ac:dyDescent="0.25">
      <c r="B311" s="12"/>
      <c r="C311" s="15"/>
      <c r="D311" s="12"/>
      <c r="E311" s="10" t="str">
        <f>IF(D311="","",IFERROR(VLOOKUP(D311,Productos!$B$5:$J$504,2,FALSE()),"Revisar código"))</f>
        <v/>
      </c>
      <c r="F311" s="13"/>
      <c r="G311" s="12"/>
      <c r="H311" s="12"/>
      <c r="I311" s="12"/>
      <c r="J311" s="12"/>
    </row>
    <row r="312" spans="2:10" ht="21.75" customHeight="1" x14ac:dyDescent="0.25">
      <c r="B312" s="12"/>
      <c r="C312" s="15"/>
      <c r="D312" s="12"/>
      <c r="E312" s="10" t="str">
        <f>IF(D312="","",IFERROR(VLOOKUP(D312,Productos!$B$5:$J$504,2,FALSE()),"Revisar código"))</f>
        <v/>
      </c>
      <c r="F312" s="13"/>
      <c r="G312" s="12"/>
      <c r="H312" s="12"/>
      <c r="I312" s="12"/>
      <c r="J312" s="12"/>
    </row>
    <row r="313" spans="2:10" ht="21.75" customHeight="1" x14ac:dyDescent="0.25">
      <c r="B313" s="12"/>
      <c r="C313" s="15"/>
      <c r="D313" s="12"/>
      <c r="E313" s="10" t="str">
        <f>IF(D313="","",IFERROR(VLOOKUP(D313,Productos!$B$5:$J$504,2,FALSE()),"Revisar código"))</f>
        <v/>
      </c>
      <c r="F313" s="13"/>
      <c r="G313" s="12"/>
      <c r="H313" s="12"/>
      <c r="I313" s="12"/>
      <c r="J313" s="12"/>
    </row>
    <row r="314" spans="2:10" ht="21.75" customHeight="1" x14ac:dyDescent="0.25">
      <c r="B314" s="12"/>
      <c r="C314" s="15"/>
      <c r="D314" s="12"/>
      <c r="E314" s="10" t="str">
        <f>IF(D314="","",IFERROR(VLOOKUP(D314,Productos!$B$5:$J$504,2,FALSE()),"Revisar código"))</f>
        <v/>
      </c>
      <c r="F314" s="13"/>
      <c r="G314" s="12"/>
      <c r="H314" s="12"/>
      <c r="I314" s="12"/>
      <c r="J314" s="12"/>
    </row>
    <row r="315" spans="2:10" ht="21.75" customHeight="1" x14ac:dyDescent="0.25">
      <c r="B315" s="12"/>
      <c r="C315" s="15"/>
      <c r="D315" s="12"/>
      <c r="E315" s="10" t="str">
        <f>IF(D315="","",IFERROR(VLOOKUP(D315,Productos!$B$5:$J$504,2,FALSE()),"Revisar código"))</f>
        <v/>
      </c>
      <c r="F315" s="13"/>
      <c r="G315" s="12"/>
      <c r="H315" s="12"/>
      <c r="I315" s="12"/>
      <c r="J315" s="12"/>
    </row>
    <row r="316" spans="2:10" ht="21.75" customHeight="1" x14ac:dyDescent="0.25">
      <c r="B316" s="12"/>
      <c r="C316" s="15"/>
      <c r="D316" s="12"/>
      <c r="E316" s="10" t="str">
        <f>IF(D316="","",IFERROR(VLOOKUP(D316,Productos!$B$5:$J$504,2,FALSE()),"Revisar código"))</f>
        <v/>
      </c>
      <c r="F316" s="13"/>
      <c r="G316" s="12"/>
      <c r="H316" s="12"/>
      <c r="I316" s="12"/>
      <c r="J316" s="12"/>
    </row>
    <row r="317" spans="2:10" ht="21.75" customHeight="1" x14ac:dyDescent="0.25">
      <c r="B317" s="12"/>
      <c r="C317" s="15"/>
      <c r="D317" s="12"/>
      <c r="E317" s="10" t="str">
        <f>IF(D317="","",IFERROR(VLOOKUP(D317,Productos!$B$5:$J$504,2,FALSE()),"Revisar código"))</f>
        <v/>
      </c>
      <c r="F317" s="13"/>
      <c r="G317" s="12"/>
      <c r="H317" s="12"/>
      <c r="I317" s="12"/>
      <c r="J317" s="12"/>
    </row>
    <row r="318" spans="2:10" ht="21.75" customHeight="1" x14ac:dyDescent="0.25">
      <c r="B318" s="12"/>
      <c r="C318" s="15"/>
      <c r="D318" s="12"/>
      <c r="E318" s="10" t="str">
        <f>IF(D318="","",IFERROR(VLOOKUP(D318,Productos!$B$5:$J$504,2,FALSE()),"Revisar código"))</f>
        <v/>
      </c>
      <c r="F318" s="13"/>
      <c r="G318" s="12"/>
      <c r="H318" s="12"/>
      <c r="I318" s="12"/>
      <c r="J318" s="12"/>
    </row>
    <row r="319" spans="2:10" ht="21.75" customHeight="1" x14ac:dyDescent="0.25">
      <c r="B319" s="12"/>
      <c r="C319" s="15"/>
      <c r="D319" s="12"/>
      <c r="E319" s="10" t="str">
        <f>IF(D319="","",IFERROR(VLOOKUP(D319,Productos!$B$5:$J$504,2,FALSE()),"Revisar código"))</f>
        <v/>
      </c>
      <c r="F319" s="13"/>
      <c r="G319" s="12"/>
      <c r="H319" s="12"/>
      <c r="I319" s="12"/>
      <c r="J319" s="12"/>
    </row>
    <row r="320" spans="2:10" ht="21.75" customHeight="1" x14ac:dyDescent="0.25">
      <c r="B320" s="12"/>
      <c r="C320" s="15"/>
      <c r="D320" s="12"/>
      <c r="E320" s="10" t="str">
        <f>IF(D320="","",IFERROR(VLOOKUP(D320,Productos!$B$5:$J$504,2,FALSE()),"Revisar código"))</f>
        <v/>
      </c>
      <c r="F320" s="13"/>
      <c r="G320" s="12"/>
      <c r="H320" s="12"/>
      <c r="I320" s="12"/>
      <c r="J320" s="12"/>
    </row>
    <row r="321" spans="2:10" ht="21.75" customHeight="1" x14ac:dyDescent="0.25">
      <c r="B321" s="12"/>
      <c r="C321" s="15"/>
      <c r="D321" s="12"/>
      <c r="E321" s="10" t="str">
        <f>IF(D321="","",IFERROR(VLOOKUP(D321,Productos!$B$5:$J$504,2,FALSE()),"Revisar código"))</f>
        <v/>
      </c>
      <c r="F321" s="13"/>
      <c r="G321" s="12"/>
      <c r="H321" s="12"/>
      <c r="I321" s="12"/>
      <c r="J321" s="12"/>
    </row>
    <row r="322" spans="2:10" ht="21.75" customHeight="1" x14ac:dyDescent="0.25">
      <c r="B322" s="12"/>
      <c r="C322" s="15"/>
      <c r="D322" s="12"/>
      <c r="E322" s="10" t="str">
        <f>IF(D322="","",IFERROR(VLOOKUP(D322,Productos!$B$5:$J$504,2,FALSE()),"Revisar código"))</f>
        <v/>
      </c>
      <c r="F322" s="13"/>
      <c r="G322" s="12"/>
      <c r="H322" s="12"/>
      <c r="I322" s="12"/>
      <c r="J322" s="12"/>
    </row>
    <row r="323" spans="2:10" ht="21.75" customHeight="1" x14ac:dyDescent="0.25">
      <c r="B323" s="12"/>
      <c r="C323" s="15"/>
      <c r="D323" s="12"/>
      <c r="E323" s="10" t="str">
        <f>IF(D323="","",IFERROR(VLOOKUP(D323,Productos!$B$5:$J$504,2,FALSE()),"Revisar código"))</f>
        <v/>
      </c>
      <c r="F323" s="13"/>
      <c r="G323" s="12"/>
      <c r="H323" s="12"/>
      <c r="I323" s="12"/>
      <c r="J323" s="12"/>
    </row>
    <row r="324" spans="2:10" ht="21.75" customHeight="1" x14ac:dyDescent="0.25">
      <c r="B324" s="12"/>
      <c r="C324" s="15"/>
      <c r="D324" s="12"/>
      <c r="E324" s="10" t="str">
        <f>IF(D324="","",IFERROR(VLOOKUP(D324,Productos!$B$5:$J$504,2,FALSE()),"Revisar código"))</f>
        <v/>
      </c>
      <c r="F324" s="13"/>
      <c r="G324" s="12"/>
      <c r="H324" s="12"/>
      <c r="I324" s="12"/>
      <c r="J324" s="12"/>
    </row>
    <row r="325" spans="2:10" ht="21.75" customHeight="1" x14ac:dyDescent="0.25">
      <c r="B325" s="12"/>
      <c r="C325" s="15"/>
      <c r="D325" s="12"/>
      <c r="E325" s="10" t="str">
        <f>IF(D325="","",IFERROR(VLOOKUP(D325,Productos!$B$5:$J$504,2,FALSE()),"Revisar código"))</f>
        <v/>
      </c>
      <c r="F325" s="13"/>
      <c r="G325" s="12"/>
      <c r="H325" s="12"/>
      <c r="I325" s="12"/>
      <c r="J325" s="12"/>
    </row>
    <row r="326" spans="2:10" ht="21.75" customHeight="1" x14ac:dyDescent="0.25">
      <c r="B326" s="12"/>
      <c r="C326" s="15"/>
      <c r="D326" s="12"/>
      <c r="E326" s="10" t="str">
        <f>IF(D326="","",IFERROR(VLOOKUP(D326,Productos!$B$5:$J$504,2,FALSE()),"Revisar código"))</f>
        <v/>
      </c>
      <c r="F326" s="13"/>
      <c r="G326" s="12"/>
      <c r="H326" s="12"/>
      <c r="I326" s="12"/>
      <c r="J326" s="12"/>
    </row>
    <row r="327" spans="2:10" ht="21.75" customHeight="1" x14ac:dyDescent="0.25">
      <c r="B327" s="12"/>
      <c r="C327" s="15"/>
      <c r="D327" s="12"/>
      <c r="E327" s="10" t="str">
        <f>IF(D327="","",IFERROR(VLOOKUP(D327,Productos!$B$5:$J$504,2,FALSE()),"Revisar código"))</f>
        <v/>
      </c>
      <c r="F327" s="13"/>
      <c r="G327" s="12"/>
      <c r="H327" s="12"/>
      <c r="I327" s="12"/>
      <c r="J327" s="12"/>
    </row>
    <row r="328" spans="2:10" ht="21.75" customHeight="1" x14ac:dyDescent="0.25">
      <c r="B328" s="12"/>
      <c r="C328" s="15"/>
      <c r="D328" s="12"/>
      <c r="E328" s="10" t="str">
        <f>IF(D328="","",IFERROR(VLOOKUP(D328,Productos!$B$5:$J$504,2,FALSE()),"Revisar código"))</f>
        <v/>
      </c>
      <c r="F328" s="13"/>
      <c r="G328" s="12"/>
      <c r="H328" s="12"/>
      <c r="I328" s="12"/>
      <c r="J328" s="12"/>
    </row>
    <row r="329" spans="2:10" ht="21.75" customHeight="1" x14ac:dyDescent="0.25">
      <c r="B329" s="12"/>
      <c r="C329" s="15"/>
      <c r="D329" s="12"/>
      <c r="E329" s="10" t="str">
        <f>IF(D329="","",IFERROR(VLOOKUP(D329,Productos!$B$5:$J$504,2,FALSE()),"Revisar código"))</f>
        <v/>
      </c>
      <c r="F329" s="13"/>
      <c r="G329" s="12"/>
      <c r="H329" s="12"/>
      <c r="I329" s="12"/>
      <c r="J329" s="12"/>
    </row>
    <row r="330" spans="2:10" ht="21.75" customHeight="1" x14ac:dyDescent="0.25">
      <c r="B330" s="12"/>
      <c r="C330" s="15"/>
      <c r="D330" s="12"/>
      <c r="E330" s="10" t="str">
        <f>IF(D330="","",IFERROR(VLOOKUP(D330,Productos!$B$5:$J$504,2,FALSE()),"Revisar código"))</f>
        <v/>
      </c>
      <c r="F330" s="13"/>
      <c r="G330" s="12"/>
      <c r="H330" s="12"/>
      <c r="I330" s="12"/>
      <c r="J330" s="12"/>
    </row>
    <row r="331" spans="2:10" ht="21.75" customHeight="1" x14ac:dyDescent="0.25">
      <c r="B331" s="12"/>
      <c r="C331" s="15"/>
      <c r="D331" s="12"/>
      <c r="E331" s="10" t="str">
        <f>IF(D331="","",IFERROR(VLOOKUP(D331,Productos!$B$5:$J$504,2,FALSE()),"Revisar código"))</f>
        <v/>
      </c>
      <c r="F331" s="13"/>
      <c r="G331" s="12"/>
      <c r="H331" s="12"/>
      <c r="I331" s="12"/>
      <c r="J331" s="12"/>
    </row>
    <row r="332" spans="2:10" ht="21.75" customHeight="1" x14ac:dyDescent="0.25">
      <c r="B332" s="12"/>
      <c r="C332" s="15"/>
      <c r="D332" s="12"/>
      <c r="E332" s="10" t="str">
        <f>IF(D332="","",IFERROR(VLOOKUP(D332,Productos!$B$5:$J$504,2,FALSE()),"Revisar código"))</f>
        <v/>
      </c>
      <c r="F332" s="13"/>
      <c r="G332" s="12"/>
      <c r="H332" s="12"/>
      <c r="I332" s="12"/>
      <c r="J332" s="12"/>
    </row>
    <row r="333" spans="2:10" ht="21.75" customHeight="1" x14ac:dyDescent="0.25">
      <c r="B333" s="12"/>
      <c r="C333" s="15"/>
      <c r="D333" s="12"/>
      <c r="E333" s="10" t="str">
        <f>IF(D333="","",IFERROR(VLOOKUP(D333,Productos!$B$5:$J$504,2,FALSE()),"Revisar código"))</f>
        <v/>
      </c>
      <c r="F333" s="13"/>
      <c r="G333" s="12"/>
      <c r="H333" s="12"/>
      <c r="I333" s="12"/>
      <c r="J333" s="12"/>
    </row>
    <row r="334" spans="2:10" ht="21.75" customHeight="1" x14ac:dyDescent="0.25">
      <c r="B334" s="12"/>
      <c r="C334" s="15"/>
      <c r="D334" s="12"/>
      <c r="E334" s="10" t="str">
        <f>IF(D334="","",IFERROR(VLOOKUP(D334,Productos!$B$5:$J$504,2,FALSE()),"Revisar código"))</f>
        <v/>
      </c>
      <c r="F334" s="13"/>
      <c r="G334" s="12"/>
      <c r="H334" s="12"/>
      <c r="I334" s="12"/>
      <c r="J334" s="12"/>
    </row>
    <row r="335" spans="2:10" ht="21.75" customHeight="1" x14ac:dyDescent="0.25">
      <c r="B335" s="12"/>
      <c r="C335" s="15"/>
      <c r="D335" s="12"/>
      <c r="E335" s="10" t="str">
        <f>IF(D335="","",IFERROR(VLOOKUP(D335,Productos!$B$5:$J$504,2,FALSE()),"Revisar código"))</f>
        <v/>
      </c>
      <c r="F335" s="13"/>
      <c r="G335" s="12"/>
      <c r="H335" s="12"/>
      <c r="I335" s="12"/>
      <c r="J335" s="12"/>
    </row>
    <row r="336" spans="2:10" ht="21.75" customHeight="1" x14ac:dyDescent="0.25">
      <c r="B336" s="12"/>
      <c r="C336" s="15"/>
      <c r="D336" s="12"/>
      <c r="E336" s="10" t="str">
        <f>IF(D336="","",IFERROR(VLOOKUP(D336,Productos!$B$5:$J$504,2,FALSE()),"Revisar código"))</f>
        <v/>
      </c>
      <c r="F336" s="13"/>
      <c r="G336" s="12"/>
      <c r="H336" s="12"/>
      <c r="I336" s="12"/>
      <c r="J336" s="12"/>
    </row>
    <row r="337" spans="2:10" ht="21.75" customHeight="1" x14ac:dyDescent="0.25">
      <c r="B337" s="12"/>
      <c r="C337" s="15"/>
      <c r="D337" s="12"/>
      <c r="E337" s="10" t="str">
        <f>IF(D337="","",IFERROR(VLOOKUP(D337,Productos!$B$5:$J$504,2,FALSE()),"Revisar código"))</f>
        <v/>
      </c>
      <c r="F337" s="13"/>
      <c r="G337" s="12"/>
      <c r="H337" s="12"/>
      <c r="I337" s="12"/>
      <c r="J337" s="12"/>
    </row>
    <row r="338" spans="2:10" ht="21.75" customHeight="1" x14ac:dyDescent="0.25">
      <c r="B338" s="12"/>
      <c r="C338" s="15"/>
      <c r="D338" s="12"/>
      <c r="E338" s="10" t="str">
        <f>IF(D338="","",IFERROR(VLOOKUP(D338,Productos!$B$5:$J$504,2,FALSE()),"Revisar código"))</f>
        <v/>
      </c>
      <c r="F338" s="13"/>
      <c r="G338" s="12"/>
      <c r="H338" s="12"/>
      <c r="I338" s="12"/>
      <c r="J338" s="12"/>
    </row>
    <row r="339" spans="2:10" ht="21.75" customHeight="1" x14ac:dyDescent="0.25">
      <c r="B339" s="12"/>
      <c r="C339" s="15"/>
      <c r="D339" s="12"/>
      <c r="E339" s="10" t="str">
        <f>IF(D339="","",IFERROR(VLOOKUP(D339,Productos!$B$5:$J$504,2,FALSE()),"Revisar código"))</f>
        <v/>
      </c>
      <c r="F339" s="13"/>
      <c r="G339" s="12"/>
      <c r="H339" s="12"/>
      <c r="I339" s="12"/>
      <c r="J339" s="12"/>
    </row>
    <row r="340" spans="2:10" ht="21.75" customHeight="1" x14ac:dyDescent="0.25">
      <c r="B340" s="12"/>
      <c r="C340" s="15"/>
      <c r="D340" s="12"/>
      <c r="E340" s="10" t="str">
        <f>IF(D340="","",IFERROR(VLOOKUP(D340,Productos!$B$5:$J$504,2,FALSE()),"Revisar código"))</f>
        <v/>
      </c>
      <c r="F340" s="13"/>
      <c r="G340" s="12"/>
      <c r="H340" s="12"/>
      <c r="I340" s="12"/>
      <c r="J340" s="12"/>
    </row>
    <row r="341" spans="2:10" ht="21.75" customHeight="1" x14ac:dyDescent="0.25">
      <c r="B341" s="12"/>
      <c r="C341" s="15"/>
      <c r="D341" s="12"/>
      <c r="E341" s="10" t="str">
        <f>IF(D341="","",IFERROR(VLOOKUP(D341,Productos!$B$5:$J$504,2,FALSE()),"Revisar código"))</f>
        <v/>
      </c>
      <c r="F341" s="13"/>
      <c r="G341" s="12"/>
      <c r="H341" s="12"/>
      <c r="I341" s="12"/>
      <c r="J341" s="12"/>
    </row>
    <row r="342" spans="2:10" ht="21.75" customHeight="1" x14ac:dyDescent="0.25">
      <c r="B342" s="12"/>
      <c r="C342" s="15"/>
      <c r="D342" s="12"/>
      <c r="E342" s="10" t="str">
        <f>IF(D342="","",IFERROR(VLOOKUP(D342,Productos!$B$5:$J$504,2,FALSE()),"Revisar código"))</f>
        <v/>
      </c>
      <c r="F342" s="13"/>
      <c r="G342" s="12"/>
      <c r="H342" s="12"/>
      <c r="I342" s="12"/>
      <c r="J342" s="12"/>
    </row>
    <row r="343" spans="2:10" ht="21.75" customHeight="1" x14ac:dyDescent="0.25">
      <c r="B343" s="12"/>
      <c r="C343" s="15"/>
      <c r="D343" s="12"/>
      <c r="E343" s="10" t="str">
        <f>IF(D343="","",IFERROR(VLOOKUP(D343,Productos!$B$5:$J$504,2,FALSE()),"Revisar código"))</f>
        <v/>
      </c>
      <c r="F343" s="13"/>
      <c r="G343" s="12"/>
      <c r="H343" s="12"/>
      <c r="I343" s="12"/>
      <c r="J343" s="12"/>
    </row>
    <row r="344" spans="2:10" ht="21.75" customHeight="1" x14ac:dyDescent="0.25">
      <c r="B344" s="12"/>
      <c r="C344" s="15"/>
      <c r="D344" s="12"/>
      <c r="E344" s="10" t="str">
        <f>IF(D344="","",IFERROR(VLOOKUP(D344,Productos!$B$5:$J$504,2,FALSE()),"Revisar código"))</f>
        <v/>
      </c>
      <c r="F344" s="13"/>
      <c r="G344" s="12"/>
      <c r="H344" s="12"/>
      <c r="I344" s="12"/>
      <c r="J344" s="12"/>
    </row>
    <row r="345" spans="2:10" ht="21.75" customHeight="1" x14ac:dyDescent="0.25">
      <c r="B345" s="12"/>
      <c r="C345" s="15"/>
      <c r="D345" s="12"/>
      <c r="E345" s="10" t="str">
        <f>IF(D345="","",IFERROR(VLOOKUP(D345,Productos!$B$5:$J$504,2,FALSE()),"Revisar código"))</f>
        <v/>
      </c>
      <c r="F345" s="13"/>
      <c r="G345" s="12"/>
      <c r="H345" s="12"/>
      <c r="I345" s="12"/>
      <c r="J345" s="12"/>
    </row>
    <row r="346" spans="2:10" ht="21.75" customHeight="1" x14ac:dyDescent="0.25">
      <c r="B346" s="12"/>
      <c r="C346" s="15"/>
      <c r="D346" s="12"/>
      <c r="E346" s="10" t="str">
        <f>IF(D346="","",IFERROR(VLOOKUP(D346,Productos!$B$5:$J$504,2,FALSE()),"Revisar código"))</f>
        <v/>
      </c>
      <c r="F346" s="13"/>
      <c r="G346" s="12"/>
      <c r="H346" s="12"/>
      <c r="I346" s="12"/>
      <c r="J346" s="12"/>
    </row>
    <row r="347" spans="2:10" ht="21.75" customHeight="1" x14ac:dyDescent="0.25">
      <c r="B347" s="12"/>
      <c r="C347" s="15"/>
      <c r="D347" s="12"/>
      <c r="E347" s="10" t="str">
        <f>IF(D347="","",IFERROR(VLOOKUP(D347,Productos!$B$5:$J$504,2,FALSE()),"Revisar código"))</f>
        <v/>
      </c>
      <c r="F347" s="13"/>
      <c r="G347" s="12"/>
      <c r="H347" s="12"/>
      <c r="I347" s="12"/>
      <c r="J347" s="12"/>
    </row>
    <row r="348" spans="2:10" ht="21.75" customHeight="1" x14ac:dyDescent="0.25">
      <c r="B348" s="12"/>
      <c r="C348" s="15"/>
      <c r="D348" s="12"/>
      <c r="E348" s="10" t="str">
        <f>IF(D348="","",IFERROR(VLOOKUP(D348,Productos!$B$5:$J$504,2,FALSE()),"Revisar código"))</f>
        <v/>
      </c>
      <c r="F348" s="13"/>
      <c r="G348" s="12"/>
      <c r="H348" s="12"/>
      <c r="I348" s="12"/>
      <c r="J348" s="12"/>
    </row>
    <row r="349" spans="2:10" ht="21.75" customHeight="1" x14ac:dyDescent="0.25">
      <c r="B349" s="12"/>
      <c r="C349" s="15"/>
      <c r="D349" s="12"/>
      <c r="E349" s="10" t="str">
        <f>IF(D349="","",IFERROR(VLOOKUP(D349,Productos!$B$5:$J$504,2,FALSE()),"Revisar código"))</f>
        <v/>
      </c>
      <c r="F349" s="13"/>
      <c r="G349" s="12"/>
      <c r="H349" s="12"/>
      <c r="I349" s="12"/>
      <c r="J349" s="12"/>
    </row>
    <row r="350" spans="2:10" ht="21.75" customHeight="1" x14ac:dyDescent="0.25">
      <c r="B350" s="12"/>
      <c r="C350" s="15"/>
      <c r="D350" s="12"/>
      <c r="E350" s="10" t="str">
        <f>IF(D350="","",IFERROR(VLOOKUP(D350,Productos!$B$5:$J$504,2,FALSE()),"Revisar código"))</f>
        <v/>
      </c>
      <c r="F350" s="13"/>
      <c r="G350" s="12"/>
      <c r="H350" s="12"/>
      <c r="I350" s="12"/>
      <c r="J350" s="12"/>
    </row>
    <row r="351" spans="2:10" ht="21.75" customHeight="1" x14ac:dyDescent="0.25">
      <c r="B351" s="12"/>
      <c r="C351" s="15"/>
      <c r="D351" s="12"/>
      <c r="E351" s="10" t="str">
        <f>IF(D351="","",IFERROR(VLOOKUP(D351,Productos!$B$5:$J$504,2,FALSE()),"Revisar código"))</f>
        <v/>
      </c>
      <c r="F351" s="13"/>
      <c r="G351" s="12"/>
      <c r="H351" s="12"/>
      <c r="I351" s="12"/>
      <c r="J351" s="12"/>
    </row>
    <row r="352" spans="2:10" ht="21.75" customHeight="1" x14ac:dyDescent="0.25">
      <c r="B352" s="12"/>
      <c r="C352" s="15"/>
      <c r="D352" s="12"/>
      <c r="E352" s="10" t="str">
        <f>IF(D352="","",IFERROR(VLOOKUP(D352,Productos!$B$5:$J$504,2,FALSE()),"Revisar código"))</f>
        <v/>
      </c>
      <c r="F352" s="13"/>
      <c r="G352" s="12"/>
      <c r="H352" s="12"/>
      <c r="I352" s="12"/>
      <c r="J352" s="12"/>
    </row>
    <row r="353" spans="2:10" ht="21.75" customHeight="1" x14ac:dyDescent="0.25">
      <c r="B353" s="12"/>
      <c r="C353" s="15"/>
      <c r="D353" s="12"/>
      <c r="E353" s="10" t="str">
        <f>IF(D353="","",IFERROR(VLOOKUP(D353,Productos!$B$5:$J$504,2,FALSE()),"Revisar código"))</f>
        <v/>
      </c>
      <c r="F353" s="13"/>
      <c r="G353" s="12"/>
      <c r="H353" s="12"/>
      <c r="I353" s="12"/>
      <c r="J353" s="12"/>
    </row>
    <row r="354" spans="2:10" ht="21.75" customHeight="1" x14ac:dyDescent="0.25">
      <c r="B354" s="12"/>
      <c r="C354" s="15"/>
      <c r="D354" s="12"/>
      <c r="E354" s="10" t="str">
        <f>IF(D354="","",IFERROR(VLOOKUP(D354,Productos!$B$5:$J$504,2,FALSE()),"Revisar código"))</f>
        <v/>
      </c>
      <c r="F354" s="13"/>
      <c r="G354" s="12"/>
      <c r="H354" s="12"/>
      <c r="I354" s="12"/>
      <c r="J354" s="12"/>
    </row>
    <row r="355" spans="2:10" ht="21.75" customHeight="1" x14ac:dyDescent="0.25">
      <c r="B355" s="12"/>
      <c r="C355" s="15"/>
      <c r="D355" s="12"/>
      <c r="E355" s="10" t="str">
        <f>IF(D355="","",IFERROR(VLOOKUP(D355,Productos!$B$5:$J$504,2,FALSE()),"Revisar código"))</f>
        <v/>
      </c>
      <c r="F355" s="13"/>
      <c r="G355" s="12"/>
      <c r="H355" s="12"/>
      <c r="I355" s="12"/>
      <c r="J355" s="12"/>
    </row>
    <row r="356" spans="2:10" ht="21.75" customHeight="1" x14ac:dyDescent="0.25">
      <c r="B356" s="12"/>
      <c r="C356" s="15"/>
      <c r="D356" s="12"/>
      <c r="E356" s="10" t="str">
        <f>IF(D356="","",IFERROR(VLOOKUP(D356,Productos!$B$5:$J$504,2,FALSE()),"Revisar código"))</f>
        <v/>
      </c>
      <c r="F356" s="13"/>
      <c r="G356" s="12"/>
      <c r="H356" s="12"/>
      <c r="I356" s="12"/>
      <c r="J356" s="12"/>
    </row>
    <row r="357" spans="2:10" ht="21.75" customHeight="1" x14ac:dyDescent="0.25">
      <c r="B357" s="12"/>
      <c r="C357" s="15"/>
      <c r="D357" s="12"/>
      <c r="E357" s="10" t="str">
        <f>IF(D357="","",IFERROR(VLOOKUP(D357,Productos!$B$5:$J$504,2,FALSE()),"Revisar código"))</f>
        <v/>
      </c>
      <c r="F357" s="13"/>
      <c r="G357" s="12"/>
      <c r="H357" s="12"/>
      <c r="I357" s="12"/>
      <c r="J357" s="12"/>
    </row>
    <row r="358" spans="2:10" ht="21.75" customHeight="1" x14ac:dyDescent="0.25">
      <c r="B358" s="12"/>
      <c r="C358" s="15"/>
      <c r="D358" s="12"/>
      <c r="E358" s="10" t="str">
        <f>IF(D358="","",IFERROR(VLOOKUP(D358,Productos!$B$5:$J$504,2,FALSE()),"Revisar código"))</f>
        <v/>
      </c>
      <c r="F358" s="13"/>
      <c r="G358" s="12"/>
      <c r="H358" s="12"/>
      <c r="I358" s="12"/>
      <c r="J358" s="12"/>
    </row>
    <row r="359" spans="2:10" ht="21.75" customHeight="1" x14ac:dyDescent="0.25">
      <c r="B359" s="12"/>
      <c r="C359" s="15"/>
      <c r="D359" s="12"/>
      <c r="E359" s="10" t="str">
        <f>IF(D359="","",IFERROR(VLOOKUP(D359,Productos!$B$5:$J$504,2,FALSE()),"Revisar código"))</f>
        <v/>
      </c>
      <c r="F359" s="13"/>
      <c r="G359" s="12"/>
      <c r="H359" s="12"/>
      <c r="I359" s="12"/>
      <c r="J359" s="12"/>
    </row>
    <row r="360" spans="2:10" ht="21.75" customHeight="1" x14ac:dyDescent="0.25">
      <c r="B360" s="12"/>
      <c r="C360" s="15"/>
      <c r="D360" s="12"/>
      <c r="E360" s="10" t="str">
        <f>IF(D360="","",IFERROR(VLOOKUP(D360,Productos!$B$5:$J$504,2,FALSE()),"Revisar código"))</f>
        <v/>
      </c>
      <c r="F360" s="13"/>
      <c r="G360" s="12"/>
      <c r="H360" s="12"/>
      <c r="I360" s="12"/>
      <c r="J360" s="12"/>
    </row>
    <row r="361" spans="2:10" ht="21.75" customHeight="1" x14ac:dyDescent="0.25">
      <c r="B361" s="12"/>
      <c r="C361" s="15"/>
      <c r="D361" s="12"/>
      <c r="E361" s="10" t="str">
        <f>IF(D361="","",IFERROR(VLOOKUP(D361,Productos!$B$5:$J$504,2,FALSE()),"Revisar código"))</f>
        <v/>
      </c>
      <c r="F361" s="13"/>
      <c r="G361" s="12"/>
      <c r="H361" s="12"/>
      <c r="I361" s="12"/>
      <c r="J361" s="12"/>
    </row>
    <row r="362" spans="2:10" ht="21.75" customHeight="1" x14ac:dyDescent="0.25">
      <c r="B362" s="12"/>
      <c r="C362" s="15"/>
      <c r="D362" s="12"/>
      <c r="E362" s="10" t="str">
        <f>IF(D362="","",IFERROR(VLOOKUP(D362,Productos!$B$5:$J$504,2,FALSE()),"Revisar código"))</f>
        <v/>
      </c>
      <c r="F362" s="13"/>
      <c r="G362" s="12"/>
      <c r="H362" s="12"/>
      <c r="I362" s="12"/>
      <c r="J362" s="12"/>
    </row>
    <row r="363" spans="2:10" ht="21.75" customHeight="1" x14ac:dyDescent="0.25">
      <c r="B363" s="12"/>
      <c r="C363" s="15"/>
      <c r="D363" s="12"/>
      <c r="E363" s="10" t="str">
        <f>IF(D363="","",IFERROR(VLOOKUP(D363,Productos!$B$5:$J$504,2,FALSE()),"Revisar código"))</f>
        <v/>
      </c>
      <c r="F363" s="13"/>
      <c r="G363" s="12"/>
      <c r="H363" s="12"/>
      <c r="I363" s="12"/>
      <c r="J363" s="12"/>
    </row>
    <row r="364" spans="2:10" ht="21.75" customHeight="1" x14ac:dyDescent="0.25">
      <c r="B364" s="12"/>
      <c r="C364" s="15"/>
      <c r="D364" s="12"/>
      <c r="E364" s="10" t="str">
        <f>IF(D364="","",IFERROR(VLOOKUP(D364,Productos!$B$5:$J$504,2,FALSE()),"Revisar código"))</f>
        <v/>
      </c>
      <c r="F364" s="13"/>
      <c r="G364" s="12"/>
      <c r="H364" s="12"/>
      <c r="I364" s="12"/>
      <c r="J364" s="12"/>
    </row>
    <row r="365" spans="2:10" ht="21.75" customHeight="1" x14ac:dyDescent="0.25">
      <c r="B365" s="12"/>
      <c r="C365" s="15"/>
      <c r="D365" s="12"/>
      <c r="E365" s="10" t="str">
        <f>IF(D365="","",IFERROR(VLOOKUP(D365,Productos!$B$5:$J$504,2,FALSE()),"Revisar código"))</f>
        <v/>
      </c>
      <c r="F365" s="13"/>
      <c r="G365" s="12"/>
      <c r="H365" s="12"/>
      <c r="I365" s="12"/>
      <c r="J365" s="12"/>
    </row>
    <row r="366" spans="2:10" ht="21.75" customHeight="1" x14ac:dyDescent="0.25">
      <c r="B366" s="12"/>
      <c r="C366" s="15"/>
      <c r="D366" s="12"/>
      <c r="E366" s="10" t="str">
        <f>IF(D366="","",IFERROR(VLOOKUP(D366,Productos!$B$5:$J$504,2,FALSE()),"Revisar código"))</f>
        <v/>
      </c>
      <c r="F366" s="13"/>
      <c r="G366" s="12"/>
      <c r="H366" s="12"/>
      <c r="I366" s="12"/>
      <c r="J366" s="12"/>
    </row>
    <row r="367" spans="2:10" ht="21.75" customHeight="1" x14ac:dyDescent="0.25">
      <c r="B367" s="12"/>
      <c r="C367" s="15"/>
      <c r="D367" s="12"/>
      <c r="E367" s="10" t="str">
        <f>IF(D367="","",IFERROR(VLOOKUP(D367,Productos!$B$5:$J$504,2,FALSE()),"Revisar código"))</f>
        <v/>
      </c>
      <c r="F367" s="13"/>
      <c r="G367" s="12"/>
      <c r="H367" s="12"/>
      <c r="I367" s="12"/>
      <c r="J367" s="12"/>
    </row>
    <row r="368" spans="2:10" ht="21.75" customHeight="1" x14ac:dyDescent="0.25">
      <c r="B368" s="12"/>
      <c r="C368" s="15"/>
      <c r="D368" s="12"/>
      <c r="E368" s="10" t="str">
        <f>IF(D368="","",IFERROR(VLOOKUP(D368,Productos!$B$5:$J$504,2,FALSE()),"Revisar código"))</f>
        <v/>
      </c>
      <c r="F368" s="13"/>
      <c r="G368" s="12"/>
      <c r="H368" s="12"/>
      <c r="I368" s="12"/>
      <c r="J368" s="12"/>
    </row>
    <row r="369" spans="2:10" ht="21.75" customHeight="1" x14ac:dyDescent="0.25">
      <c r="B369" s="12"/>
      <c r="C369" s="15"/>
      <c r="D369" s="12"/>
      <c r="E369" s="10" t="str">
        <f>IF(D369="","",IFERROR(VLOOKUP(D369,Productos!$B$5:$J$504,2,FALSE()),"Revisar código"))</f>
        <v/>
      </c>
      <c r="F369" s="13"/>
      <c r="G369" s="12"/>
      <c r="H369" s="12"/>
      <c r="I369" s="12"/>
      <c r="J369" s="12"/>
    </row>
    <row r="370" spans="2:10" ht="21.75" customHeight="1" x14ac:dyDescent="0.25">
      <c r="B370" s="12"/>
      <c r="C370" s="15"/>
      <c r="D370" s="12"/>
      <c r="E370" s="10" t="str">
        <f>IF(D370="","",IFERROR(VLOOKUP(D370,Productos!$B$5:$J$504,2,FALSE()),"Revisar código"))</f>
        <v/>
      </c>
      <c r="F370" s="13"/>
      <c r="G370" s="12"/>
      <c r="H370" s="12"/>
      <c r="I370" s="12"/>
      <c r="J370" s="12"/>
    </row>
    <row r="371" spans="2:10" ht="21.75" customHeight="1" x14ac:dyDescent="0.25">
      <c r="B371" s="12"/>
      <c r="C371" s="15"/>
      <c r="D371" s="12"/>
      <c r="E371" s="10" t="str">
        <f>IF(D371="","",IFERROR(VLOOKUP(D371,Productos!$B$5:$J$504,2,FALSE()),"Revisar código"))</f>
        <v/>
      </c>
      <c r="F371" s="13"/>
      <c r="G371" s="12"/>
      <c r="H371" s="12"/>
      <c r="I371" s="12"/>
      <c r="J371" s="12"/>
    </row>
    <row r="372" spans="2:10" ht="21.75" customHeight="1" x14ac:dyDescent="0.25">
      <c r="B372" s="12"/>
      <c r="C372" s="15"/>
      <c r="D372" s="12"/>
      <c r="E372" s="10" t="str">
        <f>IF(D372="","",IFERROR(VLOOKUP(D372,Productos!$B$5:$J$504,2,FALSE()),"Revisar código"))</f>
        <v/>
      </c>
      <c r="F372" s="13"/>
      <c r="G372" s="12"/>
      <c r="H372" s="12"/>
      <c r="I372" s="12"/>
      <c r="J372" s="12"/>
    </row>
    <row r="373" spans="2:10" ht="21.75" customHeight="1" x14ac:dyDescent="0.25">
      <c r="B373" s="12"/>
      <c r="C373" s="15"/>
      <c r="D373" s="12"/>
      <c r="E373" s="10" t="str">
        <f>IF(D373="","",IFERROR(VLOOKUP(D373,Productos!$B$5:$J$504,2,FALSE()),"Revisar código"))</f>
        <v/>
      </c>
      <c r="F373" s="13"/>
      <c r="G373" s="12"/>
      <c r="H373" s="12"/>
      <c r="I373" s="12"/>
      <c r="J373" s="12"/>
    </row>
    <row r="374" spans="2:10" ht="21.75" customHeight="1" x14ac:dyDescent="0.25">
      <c r="B374" s="12"/>
      <c r="C374" s="15"/>
      <c r="D374" s="12"/>
      <c r="E374" s="10" t="str">
        <f>IF(D374="","",IFERROR(VLOOKUP(D374,Productos!$B$5:$J$504,2,FALSE()),"Revisar código"))</f>
        <v/>
      </c>
      <c r="F374" s="13"/>
      <c r="G374" s="12"/>
      <c r="H374" s="12"/>
      <c r="I374" s="12"/>
      <c r="J374" s="12"/>
    </row>
    <row r="375" spans="2:10" ht="21.75" customHeight="1" x14ac:dyDescent="0.25">
      <c r="B375" s="12"/>
      <c r="C375" s="15"/>
      <c r="D375" s="12"/>
      <c r="E375" s="10" t="str">
        <f>IF(D375="","",IFERROR(VLOOKUP(D375,Productos!$B$5:$J$504,2,FALSE()),"Revisar código"))</f>
        <v/>
      </c>
      <c r="F375" s="13"/>
      <c r="G375" s="12"/>
      <c r="H375" s="12"/>
      <c r="I375" s="12"/>
      <c r="J375" s="12"/>
    </row>
    <row r="376" spans="2:10" ht="21.75" customHeight="1" x14ac:dyDescent="0.25">
      <c r="B376" s="12"/>
      <c r="C376" s="15"/>
      <c r="D376" s="12"/>
      <c r="E376" s="10" t="str">
        <f>IF(D376="","",IFERROR(VLOOKUP(D376,Productos!$B$5:$J$504,2,FALSE()),"Revisar código"))</f>
        <v/>
      </c>
      <c r="F376" s="13"/>
      <c r="G376" s="12"/>
      <c r="H376" s="12"/>
      <c r="I376" s="12"/>
      <c r="J376" s="12"/>
    </row>
    <row r="377" spans="2:10" ht="21.75" customHeight="1" x14ac:dyDescent="0.25">
      <c r="B377" s="12"/>
      <c r="C377" s="15"/>
      <c r="D377" s="12"/>
      <c r="E377" s="10" t="str">
        <f>IF(D377="","",IFERROR(VLOOKUP(D377,Productos!$B$5:$J$504,2,FALSE()),"Revisar código"))</f>
        <v/>
      </c>
      <c r="F377" s="13"/>
      <c r="G377" s="12"/>
      <c r="H377" s="12"/>
      <c r="I377" s="12"/>
      <c r="J377" s="12"/>
    </row>
    <row r="378" spans="2:10" ht="21.75" customHeight="1" x14ac:dyDescent="0.25">
      <c r="B378" s="12"/>
      <c r="C378" s="15"/>
      <c r="D378" s="12"/>
      <c r="E378" s="10" t="str">
        <f>IF(D378="","",IFERROR(VLOOKUP(D378,Productos!$B$5:$J$504,2,FALSE()),"Revisar código"))</f>
        <v/>
      </c>
      <c r="F378" s="13"/>
      <c r="G378" s="12"/>
      <c r="H378" s="12"/>
      <c r="I378" s="12"/>
      <c r="J378" s="12"/>
    </row>
    <row r="379" spans="2:10" ht="21.75" customHeight="1" x14ac:dyDescent="0.25">
      <c r="B379" s="12"/>
      <c r="C379" s="15"/>
      <c r="D379" s="12"/>
      <c r="E379" s="10" t="str">
        <f>IF(D379="","",IFERROR(VLOOKUP(D379,Productos!$B$5:$J$504,2,FALSE()),"Revisar código"))</f>
        <v/>
      </c>
      <c r="F379" s="13"/>
      <c r="G379" s="12"/>
      <c r="H379" s="12"/>
      <c r="I379" s="12"/>
      <c r="J379" s="12"/>
    </row>
    <row r="380" spans="2:10" ht="21.75" customHeight="1" x14ac:dyDescent="0.25">
      <c r="B380" s="12"/>
      <c r="C380" s="15"/>
      <c r="D380" s="12"/>
      <c r="E380" s="10" t="str">
        <f>IF(D380="","",IFERROR(VLOOKUP(D380,Productos!$B$5:$J$504,2,FALSE()),"Revisar código"))</f>
        <v/>
      </c>
      <c r="F380" s="13"/>
      <c r="G380" s="12"/>
      <c r="H380" s="12"/>
      <c r="I380" s="12"/>
      <c r="J380" s="12"/>
    </row>
    <row r="381" spans="2:10" ht="21.75" customHeight="1" x14ac:dyDescent="0.25">
      <c r="B381" s="12"/>
      <c r="C381" s="15"/>
      <c r="D381" s="12"/>
      <c r="E381" s="10" t="str">
        <f>IF(D381="","",IFERROR(VLOOKUP(D381,Productos!$B$5:$J$504,2,FALSE()),"Revisar código"))</f>
        <v/>
      </c>
      <c r="F381" s="13"/>
      <c r="G381" s="12"/>
      <c r="H381" s="12"/>
      <c r="I381" s="12"/>
      <c r="J381" s="12"/>
    </row>
    <row r="382" spans="2:10" ht="21.75" customHeight="1" x14ac:dyDescent="0.25">
      <c r="B382" s="12"/>
      <c r="C382" s="15"/>
      <c r="D382" s="12"/>
      <c r="E382" s="10" t="str">
        <f>IF(D382="","",IFERROR(VLOOKUP(D382,Productos!$B$5:$J$504,2,FALSE()),"Revisar código"))</f>
        <v/>
      </c>
      <c r="F382" s="13"/>
      <c r="G382" s="12"/>
      <c r="H382" s="12"/>
      <c r="I382" s="12"/>
      <c r="J382" s="12"/>
    </row>
    <row r="383" spans="2:10" ht="21.75" customHeight="1" x14ac:dyDescent="0.25">
      <c r="B383" s="12"/>
      <c r="C383" s="15"/>
      <c r="D383" s="12"/>
      <c r="E383" s="10" t="str">
        <f>IF(D383="","",IFERROR(VLOOKUP(D383,Productos!$B$5:$J$504,2,FALSE()),"Revisar código"))</f>
        <v/>
      </c>
      <c r="F383" s="13"/>
      <c r="G383" s="12"/>
      <c r="H383" s="12"/>
      <c r="I383" s="12"/>
      <c r="J383" s="12"/>
    </row>
    <row r="384" spans="2:10" ht="21.75" customHeight="1" x14ac:dyDescent="0.25">
      <c r="B384" s="12"/>
      <c r="C384" s="15"/>
      <c r="D384" s="12"/>
      <c r="E384" s="10" t="str">
        <f>IF(D384="","",IFERROR(VLOOKUP(D384,Productos!$B$5:$J$504,2,FALSE()),"Revisar código"))</f>
        <v/>
      </c>
      <c r="F384" s="13"/>
      <c r="G384" s="12"/>
      <c r="H384" s="12"/>
      <c r="I384" s="12"/>
      <c r="J384" s="12"/>
    </row>
    <row r="385" spans="2:10" ht="21.75" customHeight="1" x14ac:dyDescent="0.25">
      <c r="B385" s="12"/>
      <c r="C385" s="15"/>
      <c r="D385" s="12"/>
      <c r="E385" s="10" t="str">
        <f>IF(D385="","",IFERROR(VLOOKUP(D385,Productos!$B$5:$J$504,2,FALSE()),"Revisar código"))</f>
        <v/>
      </c>
      <c r="F385" s="13"/>
      <c r="G385" s="12"/>
      <c r="H385" s="12"/>
      <c r="I385" s="12"/>
      <c r="J385" s="12"/>
    </row>
    <row r="386" spans="2:10" ht="21.75" customHeight="1" x14ac:dyDescent="0.25">
      <c r="B386" s="12"/>
      <c r="C386" s="15"/>
      <c r="D386" s="12"/>
      <c r="E386" s="10" t="str">
        <f>IF(D386="","",IFERROR(VLOOKUP(D386,Productos!$B$5:$J$504,2,FALSE()),"Revisar código"))</f>
        <v/>
      </c>
      <c r="F386" s="13"/>
      <c r="G386" s="12"/>
      <c r="H386" s="12"/>
      <c r="I386" s="12"/>
      <c r="J386" s="12"/>
    </row>
    <row r="387" spans="2:10" ht="21.75" customHeight="1" x14ac:dyDescent="0.25">
      <c r="B387" s="12"/>
      <c r="C387" s="15"/>
      <c r="D387" s="12"/>
      <c r="E387" s="10" t="str">
        <f>IF(D387="","",IFERROR(VLOOKUP(D387,Productos!$B$5:$J$504,2,FALSE()),"Revisar código"))</f>
        <v/>
      </c>
      <c r="F387" s="13"/>
      <c r="G387" s="12"/>
      <c r="H387" s="12"/>
      <c r="I387" s="12"/>
      <c r="J387" s="12"/>
    </row>
    <row r="388" spans="2:10" ht="21.75" customHeight="1" x14ac:dyDescent="0.25">
      <c r="B388" s="12"/>
      <c r="C388" s="15"/>
      <c r="D388" s="12"/>
      <c r="E388" s="10" t="str">
        <f>IF(D388="","",IFERROR(VLOOKUP(D388,Productos!$B$5:$J$504,2,FALSE()),"Revisar código"))</f>
        <v/>
      </c>
      <c r="F388" s="13"/>
      <c r="G388" s="12"/>
      <c r="H388" s="12"/>
      <c r="I388" s="12"/>
      <c r="J388" s="12"/>
    </row>
    <row r="389" spans="2:10" ht="21.75" customHeight="1" x14ac:dyDescent="0.25">
      <c r="B389" s="12"/>
      <c r="C389" s="15"/>
      <c r="D389" s="12"/>
      <c r="E389" s="10" t="str">
        <f>IF(D389="","",IFERROR(VLOOKUP(D389,Productos!$B$5:$J$504,2,FALSE()),"Revisar código"))</f>
        <v/>
      </c>
      <c r="F389" s="13"/>
      <c r="G389" s="12"/>
      <c r="H389" s="12"/>
      <c r="I389" s="12"/>
      <c r="J389" s="12"/>
    </row>
    <row r="390" spans="2:10" ht="21.75" customHeight="1" x14ac:dyDescent="0.25">
      <c r="B390" s="12"/>
      <c r="C390" s="15"/>
      <c r="D390" s="12"/>
      <c r="E390" s="10" t="str">
        <f>IF(D390="","",IFERROR(VLOOKUP(D390,Productos!$B$5:$J$504,2,FALSE()),"Revisar código"))</f>
        <v/>
      </c>
      <c r="F390" s="13"/>
      <c r="G390" s="12"/>
      <c r="H390" s="12"/>
      <c r="I390" s="12"/>
      <c r="J390" s="12"/>
    </row>
    <row r="391" spans="2:10" ht="21.75" customHeight="1" x14ac:dyDescent="0.25">
      <c r="B391" s="12"/>
      <c r="C391" s="15"/>
      <c r="D391" s="12"/>
      <c r="E391" s="10" t="str">
        <f>IF(D391="","",IFERROR(VLOOKUP(D391,Productos!$B$5:$J$504,2,FALSE()),"Revisar código"))</f>
        <v/>
      </c>
      <c r="F391" s="13"/>
      <c r="G391" s="12"/>
      <c r="H391" s="12"/>
      <c r="I391" s="12"/>
      <c r="J391" s="12"/>
    </row>
    <row r="392" spans="2:10" ht="21.75" customHeight="1" x14ac:dyDescent="0.25">
      <c r="B392" s="12"/>
      <c r="C392" s="15"/>
      <c r="D392" s="12"/>
      <c r="E392" s="10" t="str">
        <f>IF(D392="","",IFERROR(VLOOKUP(D392,Productos!$B$5:$J$504,2,FALSE()),"Revisar código"))</f>
        <v/>
      </c>
      <c r="F392" s="13"/>
      <c r="G392" s="12"/>
      <c r="H392" s="12"/>
      <c r="I392" s="12"/>
      <c r="J392" s="12"/>
    </row>
    <row r="393" spans="2:10" ht="21.75" customHeight="1" x14ac:dyDescent="0.25">
      <c r="B393" s="12"/>
      <c r="C393" s="15"/>
      <c r="D393" s="12"/>
      <c r="E393" s="10" t="str">
        <f>IF(D393="","",IFERROR(VLOOKUP(D393,Productos!$B$5:$J$504,2,FALSE()),"Revisar código"))</f>
        <v/>
      </c>
      <c r="F393" s="13"/>
      <c r="G393" s="12"/>
      <c r="H393" s="12"/>
      <c r="I393" s="12"/>
      <c r="J393" s="12"/>
    </row>
    <row r="394" spans="2:10" ht="21.75" customHeight="1" x14ac:dyDescent="0.25">
      <c r="B394" s="12"/>
      <c r="C394" s="15"/>
      <c r="D394" s="12"/>
      <c r="E394" s="10" t="str">
        <f>IF(D394="","",IFERROR(VLOOKUP(D394,Productos!$B$5:$J$504,2,FALSE()),"Revisar código"))</f>
        <v/>
      </c>
      <c r="F394" s="13"/>
      <c r="G394" s="12"/>
      <c r="H394" s="12"/>
      <c r="I394" s="12"/>
      <c r="J394" s="12"/>
    </row>
    <row r="395" spans="2:10" ht="21.75" customHeight="1" x14ac:dyDescent="0.25">
      <c r="B395" s="12"/>
      <c r="C395" s="15"/>
      <c r="D395" s="12"/>
      <c r="E395" s="10" t="str">
        <f>IF(D395="","",IFERROR(VLOOKUP(D395,Productos!$B$5:$J$504,2,FALSE()),"Revisar código"))</f>
        <v/>
      </c>
      <c r="F395" s="13"/>
      <c r="G395" s="12"/>
      <c r="H395" s="12"/>
      <c r="I395" s="12"/>
      <c r="J395" s="12"/>
    </row>
    <row r="396" spans="2:10" ht="21.75" customHeight="1" x14ac:dyDescent="0.25">
      <c r="B396" s="12"/>
      <c r="C396" s="15"/>
      <c r="D396" s="12"/>
      <c r="E396" s="10" t="str">
        <f>IF(D396="","",IFERROR(VLOOKUP(D396,Productos!$B$5:$J$504,2,FALSE()),"Revisar código"))</f>
        <v/>
      </c>
      <c r="F396" s="13"/>
      <c r="G396" s="12"/>
      <c r="H396" s="12"/>
      <c r="I396" s="12"/>
      <c r="J396" s="12"/>
    </row>
    <row r="397" spans="2:10" ht="21.75" customHeight="1" x14ac:dyDescent="0.25">
      <c r="B397" s="12"/>
      <c r="C397" s="15"/>
      <c r="D397" s="12"/>
      <c r="E397" s="10" t="str">
        <f>IF(D397="","",IFERROR(VLOOKUP(D397,Productos!$B$5:$J$504,2,FALSE()),"Revisar código"))</f>
        <v/>
      </c>
      <c r="F397" s="13"/>
      <c r="G397" s="12"/>
      <c r="H397" s="12"/>
      <c r="I397" s="12"/>
      <c r="J397" s="12"/>
    </row>
    <row r="398" spans="2:10" ht="21.75" customHeight="1" x14ac:dyDescent="0.25">
      <c r="B398" s="12"/>
      <c r="C398" s="15"/>
      <c r="D398" s="12"/>
      <c r="E398" s="10" t="str">
        <f>IF(D398="","",IFERROR(VLOOKUP(D398,Productos!$B$5:$J$504,2,FALSE()),"Revisar código"))</f>
        <v/>
      </c>
      <c r="F398" s="13"/>
      <c r="G398" s="12"/>
      <c r="H398" s="12"/>
      <c r="I398" s="12"/>
      <c r="J398" s="12"/>
    </row>
    <row r="399" spans="2:10" ht="21.75" customHeight="1" x14ac:dyDescent="0.25">
      <c r="B399" s="12"/>
      <c r="C399" s="15"/>
      <c r="D399" s="12"/>
      <c r="E399" s="10" t="str">
        <f>IF(D399="","",IFERROR(VLOOKUP(D399,Productos!$B$5:$J$504,2,FALSE()),"Revisar código"))</f>
        <v/>
      </c>
      <c r="F399" s="13"/>
      <c r="G399" s="12"/>
      <c r="H399" s="12"/>
      <c r="I399" s="12"/>
      <c r="J399" s="12"/>
    </row>
    <row r="400" spans="2:10" ht="21.75" customHeight="1" x14ac:dyDescent="0.25">
      <c r="B400" s="12"/>
      <c r="C400" s="15"/>
      <c r="D400" s="12"/>
      <c r="E400" s="10" t="str">
        <f>IF(D400="","",IFERROR(VLOOKUP(D400,Productos!$B$5:$J$504,2,FALSE()),"Revisar código"))</f>
        <v/>
      </c>
      <c r="F400" s="13"/>
      <c r="G400" s="12"/>
      <c r="H400" s="12"/>
      <c r="I400" s="12"/>
      <c r="J400" s="12"/>
    </row>
    <row r="401" spans="2:10" ht="21.75" customHeight="1" x14ac:dyDescent="0.25">
      <c r="B401" s="12"/>
      <c r="C401" s="15"/>
      <c r="D401" s="12"/>
      <c r="E401" s="10" t="str">
        <f>IF(D401="","",IFERROR(VLOOKUP(D401,Productos!$B$5:$J$504,2,FALSE()),"Revisar código"))</f>
        <v/>
      </c>
      <c r="F401" s="13"/>
      <c r="G401" s="12"/>
      <c r="H401" s="12"/>
      <c r="I401" s="12"/>
      <c r="J401" s="12"/>
    </row>
    <row r="402" spans="2:10" ht="21.75" customHeight="1" x14ac:dyDescent="0.25">
      <c r="B402" s="12"/>
      <c r="C402" s="15"/>
      <c r="D402" s="12"/>
      <c r="E402" s="10" t="str">
        <f>IF(D402="","",IFERROR(VLOOKUP(D402,Productos!$B$5:$J$504,2,FALSE()),"Revisar código"))</f>
        <v/>
      </c>
      <c r="F402" s="13"/>
      <c r="G402" s="12"/>
      <c r="H402" s="12"/>
      <c r="I402" s="12"/>
      <c r="J402" s="12"/>
    </row>
    <row r="403" spans="2:10" ht="21.75" customHeight="1" x14ac:dyDescent="0.25">
      <c r="B403" s="12"/>
      <c r="C403" s="15"/>
      <c r="D403" s="12"/>
      <c r="E403" s="10" t="str">
        <f>IF(D403="","",IFERROR(VLOOKUP(D403,Productos!$B$5:$J$504,2,FALSE()),"Revisar código"))</f>
        <v/>
      </c>
      <c r="F403" s="13"/>
      <c r="G403" s="12"/>
      <c r="H403" s="12"/>
      <c r="I403" s="12"/>
      <c r="J403" s="12"/>
    </row>
    <row r="404" spans="2:10" ht="21.75" customHeight="1" x14ac:dyDescent="0.25">
      <c r="B404" s="12"/>
      <c r="C404" s="15"/>
      <c r="D404" s="12"/>
      <c r="E404" s="10" t="str">
        <f>IF(D404="","",IFERROR(VLOOKUP(D404,Productos!$B$5:$J$504,2,FALSE()),"Revisar código"))</f>
        <v/>
      </c>
      <c r="F404" s="13"/>
      <c r="G404" s="12"/>
      <c r="H404" s="12"/>
      <c r="I404" s="12"/>
      <c r="J404" s="12"/>
    </row>
    <row r="405" spans="2:10" ht="21.75" customHeight="1" x14ac:dyDescent="0.25">
      <c r="B405" s="12"/>
      <c r="C405" s="15"/>
      <c r="D405" s="12"/>
      <c r="E405" s="10" t="str">
        <f>IF(D405="","",IFERROR(VLOOKUP(D405,Productos!$B$5:$J$504,2,FALSE()),"Revisar código"))</f>
        <v/>
      </c>
      <c r="F405" s="13"/>
      <c r="G405" s="12"/>
      <c r="H405" s="12"/>
      <c r="I405" s="12"/>
      <c r="J405" s="12"/>
    </row>
    <row r="406" spans="2:10" ht="21.75" customHeight="1" x14ac:dyDescent="0.25">
      <c r="B406" s="12"/>
      <c r="C406" s="15"/>
      <c r="D406" s="12"/>
      <c r="E406" s="10" t="str">
        <f>IF(D406="","",IFERROR(VLOOKUP(D406,Productos!$B$5:$J$504,2,FALSE()),"Revisar código"))</f>
        <v/>
      </c>
      <c r="F406" s="13"/>
      <c r="G406" s="12"/>
      <c r="H406" s="12"/>
      <c r="I406" s="12"/>
      <c r="J406" s="12"/>
    </row>
    <row r="407" spans="2:10" ht="21.75" customHeight="1" x14ac:dyDescent="0.25">
      <c r="B407" s="12"/>
      <c r="C407" s="15"/>
      <c r="D407" s="12"/>
      <c r="E407" s="10" t="str">
        <f>IF(D407="","",IFERROR(VLOOKUP(D407,Productos!$B$5:$J$504,2,FALSE()),"Revisar código"))</f>
        <v/>
      </c>
      <c r="F407" s="13"/>
      <c r="G407" s="12"/>
      <c r="H407" s="12"/>
      <c r="I407" s="12"/>
      <c r="J407" s="12"/>
    </row>
    <row r="408" spans="2:10" ht="21.75" customHeight="1" x14ac:dyDescent="0.25">
      <c r="B408" s="12"/>
      <c r="C408" s="15"/>
      <c r="D408" s="12"/>
      <c r="E408" s="10" t="str">
        <f>IF(D408="","",IFERROR(VLOOKUP(D408,Productos!$B$5:$J$504,2,FALSE()),"Revisar código"))</f>
        <v/>
      </c>
      <c r="F408" s="13"/>
      <c r="G408" s="12"/>
      <c r="H408" s="12"/>
      <c r="I408" s="12"/>
      <c r="J408" s="12"/>
    </row>
    <row r="409" spans="2:10" ht="21.75" customHeight="1" x14ac:dyDescent="0.25">
      <c r="B409" s="12"/>
      <c r="C409" s="15"/>
      <c r="D409" s="12"/>
      <c r="E409" s="10" t="str">
        <f>IF(D409="","",IFERROR(VLOOKUP(D409,Productos!$B$5:$J$504,2,FALSE()),"Revisar código"))</f>
        <v/>
      </c>
      <c r="F409" s="13"/>
      <c r="G409" s="12"/>
      <c r="H409" s="12"/>
      <c r="I409" s="12"/>
      <c r="J409" s="12"/>
    </row>
    <row r="410" spans="2:10" ht="21.75" customHeight="1" x14ac:dyDescent="0.25">
      <c r="B410" s="12"/>
      <c r="C410" s="15"/>
      <c r="D410" s="12"/>
      <c r="E410" s="10" t="str">
        <f>IF(D410="","",IFERROR(VLOOKUP(D410,Productos!$B$5:$J$504,2,FALSE()),"Revisar código"))</f>
        <v/>
      </c>
      <c r="F410" s="13"/>
      <c r="G410" s="12"/>
      <c r="H410" s="12"/>
      <c r="I410" s="12"/>
      <c r="J410" s="12"/>
    </row>
    <row r="411" spans="2:10" ht="21.75" customHeight="1" x14ac:dyDescent="0.25">
      <c r="B411" s="12"/>
      <c r="C411" s="15"/>
      <c r="D411" s="12"/>
      <c r="E411" s="10" t="str">
        <f>IF(D411="","",IFERROR(VLOOKUP(D411,Productos!$B$5:$J$504,2,FALSE()),"Revisar código"))</f>
        <v/>
      </c>
      <c r="F411" s="13"/>
      <c r="G411" s="12"/>
      <c r="H411" s="12"/>
      <c r="I411" s="12"/>
      <c r="J411" s="12"/>
    </row>
    <row r="412" spans="2:10" ht="21.75" customHeight="1" x14ac:dyDescent="0.25">
      <c r="B412" s="12"/>
      <c r="C412" s="15"/>
      <c r="D412" s="12"/>
      <c r="E412" s="10" t="str">
        <f>IF(D412="","",IFERROR(VLOOKUP(D412,Productos!$B$5:$J$504,2,FALSE()),"Revisar código"))</f>
        <v/>
      </c>
      <c r="F412" s="13"/>
      <c r="G412" s="12"/>
      <c r="H412" s="12"/>
      <c r="I412" s="12"/>
      <c r="J412" s="12"/>
    </row>
    <row r="413" spans="2:10" ht="21.75" customHeight="1" x14ac:dyDescent="0.25">
      <c r="B413" s="12"/>
      <c r="C413" s="15"/>
      <c r="D413" s="12"/>
      <c r="E413" s="10" t="str">
        <f>IF(D413="","",IFERROR(VLOOKUP(D413,Productos!$B$5:$J$504,2,FALSE()),"Revisar código"))</f>
        <v/>
      </c>
      <c r="F413" s="13"/>
      <c r="G413" s="12"/>
      <c r="H413" s="12"/>
      <c r="I413" s="12"/>
      <c r="J413" s="12"/>
    </row>
    <row r="414" spans="2:10" ht="21.75" customHeight="1" x14ac:dyDescent="0.25">
      <c r="B414" s="12"/>
      <c r="C414" s="15"/>
      <c r="D414" s="12"/>
      <c r="E414" s="10" t="str">
        <f>IF(D414="","",IFERROR(VLOOKUP(D414,Productos!$B$5:$J$504,2,FALSE()),"Revisar código"))</f>
        <v/>
      </c>
      <c r="F414" s="13"/>
      <c r="G414" s="12"/>
      <c r="H414" s="12"/>
      <c r="I414" s="12"/>
      <c r="J414" s="12"/>
    </row>
    <row r="415" spans="2:10" ht="21.75" customHeight="1" x14ac:dyDescent="0.25">
      <c r="B415" s="12"/>
      <c r="C415" s="15"/>
      <c r="D415" s="12"/>
      <c r="E415" s="10" t="str">
        <f>IF(D415="","",IFERROR(VLOOKUP(D415,Productos!$B$5:$J$504,2,FALSE()),"Revisar código"))</f>
        <v/>
      </c>
      <c r="F415" s="13"/>
      <c r="G415" s="12"/>
      <c r="H415" s="12"/>
      <c r="I415" s="12"/>
      <c r="J415" s="12"/>
    </row>
    <row r="416" spans="2:10" ht="21.75" customHeight="1" x14ac:dyDescent="0.25">
      <c r="B416" s="12"/>
      <c r="C416" s="15"/>
      <c r="D416" s="12"/>
      <c r="E416" s="10" t="str">
        <f>IF(D416="","",IFERROR(VLOOKUP(D416,Productos!$B$5:$J$504,2,FALSE()),"Revisar código"))</f>
        <v/>
      </c>
      <c r="F416" s="13"/>
      <c r="G416" s="12"/>
      <c r="H416" s="12"/>
      <c r="I416" s="12"/>
      <c r="J416" s="12"/>
    </row>
    <row r="417" spans="2:10" ht="21.75" customHeight="1" x14ac:dyDescent="0.25">
      <c r="B417" s="12"/>
      <c r="C417" s="15"/>
      <c r="D417" s="12"/>
      <c r="E417" s="10" t="str">
        <f>IF(D417="","",IFERROR(VLOOKUP(D417,Productos!$B$5:$J$504,2,FALSE()),"Revisar código"))</f>
        <v/>
      </c>
      <c r="F417" s="13"/>
      <c r="G417" s="12"/>
      <c r="H417" s="12"/>
      <c r="I417" s="12"/>
      <c r="J417" s="12"/>
    </row>
    <row r="418" spans="2:10" ht="21.75" customHeight="1" x14ac:dyDescent="0.25">
      <c r="B418" s="12"/>
      <c r="C418" s="15"/>
      <c r="D418" s="12"/>
      <c r="E418" s="10" t="str">
        <f>IF(D418="","",IFERROR(VLOOKUP(D418,Productos!$B$5:$J$504,2,FALSE()),"Revisar código"))</f>
        <v/>
      </c>
      <c r="F418" s="13"/>
      <c r="G418" s="12"/>
      <c r="H418" s="12"/>
      <c r="I418" s="12"/>
      <c r="J418" s="12"/>
    </row>
    <row r="419" spans="2:10" ht="21.75" customHeight="1" x14ac:dyDescent="0.25">
      <c r="B419" s="12"/>
      <c r="C419" s="15"/>
      <c r="D419" s="12"/>
      <c r="E419" s="10" t="str">
        <f>IF(D419="","",IFERROR(VLOOKUP(D419,Productos!$B$5:$J$504,2,FALSE()),"Revisar código"))</f>
        <v/>
      </c>
      <c r="F419" s="13"/>
      <c r="G419" s="12"/>
      <c r="H419" s="12"/>
      <c r="I419" s="12"/>
      <c r="J419" s="12"/>
    </row>
    <row r="420" spans="2:10" ht="21.75" customHeight="1" x14ac:dyDescent="0.25">
      <c r="B420" s="12"/>
      <c r="C420" s="15"/>
      <c r="D420" s="12"/>
      <c r="E420" s="10" t="str">
        <f>IF(D420="","",IFERROR(VLOOKUP(D420,Productos!$B$5:$J$504,2,FALSE()),"Revisar código"))</f>
        <v/>
      </c>
      <c r="F420" s="13"/>
      <c r="G420" s="12"/>
      <c r="H420" s="12"/>
      <c r="I420" s="12"/>
      <c r="J420" s="12"/>
    </row>
    <row r="421" spans="2:10" ht="21.75" customHeight="1" x14ac:dyDescent="0.25">
      <c r="B421" s="12"/>
      <c r="C421" s="15"/>
      <c r="D421" s="12"/>
      <c r="E421" s="10" t="str">
        <f>IF(D421="","",IFERROR(VLOOKUP(D421,Productos!$B$5:$J$504,2,FALSE()),"Revisar código"))</f>
        <v/>
      </c>
      <c r="F421" s="13"/>
      <c r="G421" s="12"/>
      <c r="H421" s="12"/>
      <c r="I421" s="12"/>
      <c r="J421" s="12"/>
    </row>
    <row r="422" spans="2:10" ht="21.75" customHeight="1" x14ac:dyDescent="0.25">
      <c r="B422" s="12"/>
      <c r="C422" s="15"/>
      <c r="D422" s="12"/>
      <c r="E422" s="10" t="str">
        <f>IF(D422="","",IFERROR(VLOOKUP(D422,Productos!$B$5:$J$504,2,FALSE()),"Revisar código"))</f>
        <v/>
      </c>
      <c r="F422" s="13"/>
      <c r="G422" s="12"/>
      <c r="H422" s="12"/>
      <c r="I422" s="12"/>
      <c r="J422" s="12"/>
    </row>
    <row r="423" spans="2:10" ht="21.75" customHeight="1" x14ac:dyDescent="0.25">
      <c r="B423" s="12"/>
      <c r="C423" s="15"/>
      <c r="D423" s="12"/>
      <c r="E423" s="10" t="str">
        <f>IF(D423="","",IFERROR(VLOOKUP(D423,Productos!$B$5:$J$504,2,FALSE()),"Revisar código"))</f>
        <v/>
      </c>
      <c r="F423" s="13"/>
      <c r="G423" s="12"/>
      <c r="H423" s="12"/>
      <c r="I423" s="12"/>
      <c r="J423" s="12"/>
    </row>
    <row r="424" spans="2:10" ht="21.75" customHeight="1" x14ac:dyDescent="0.25">
      <c r="B424" s="12"/>
      <c r="C424" s="15"/>
      <c r="D424" s="12"/>
      <c r="E424" s="10" t="str">
        <f>IF(D424="","",IFERROR(VLOOKUP(D424,Productos!$B$5:$J$504,2,FALSE()),"Revisar código"))</f>
        <v/>
      </c>
      <c r="F424" s="13"/>
      <c r="G424" s="12"/>
      <c r="H424" s="12"/>
      <c r="I424" s="12"/>
      <c r="J424" s="12"/>
    </row>
    <row r="425" spans="2:10" ht="21.75" customHeight="1" x14ac:dyDescent="0.25">
      <c r="B425" s="12"/>
      <c r="C425" s="15"/>
      <c r="D425" s="12"/>
      <c r="E425" s="10" t="str">
        <f>IF(D425="","",IFERROR(VLOOKUP(D425,Productos!$B$5:$J$504,2,FALSE()),"Revisar código"))</f>
        <v/>
      </c>
      <c r="F425" s="13"/>
      <c r="G425" s="12"/>
      <c r="H425" s="12"/>
      <c r="I425" s="12"/>
      <c r="J425" s="12"/>
    </row>
    <row r="426" spans="2:10" ht="21.75" customHeight="1" x14ac:dyDescent="0.25">
      <c r="B426" s="12"/>
      <c r="C426" s="15"/>
      <c r="D426" s="12"/>
      <c r="E426" s="10" t="str">
        <f>IF(D426="","",IFERROR(VLOOKUP(D426,Productos!$B$5:$J$504,2,FALSE()),"Revisar código"))</f>
        <v/>
      </c>
      <c r="F426" s="13"/>
      <c r="G426" s="12"/>
      <c r="H426" s="12"/>
      <c r="I426" s="12"/>
      <c r="J426" s="12"/>
    </row>
    <row r="427" spans="2:10" ht="21.75" customHeight="1" x14ac:dyDescent="0.25">
      <c r="B427" s="12"/>
      <c r="C427" s="15"/>
      <c r="D427" s="12"/>
      <c r="E427" s="10" t="str">
        <f>IF(D427="","",IFERROR(VLOOKUP(D427,Productos!$B$5:$J$504,2,FALSE()),"Revisar código"))</f>
        <v/>
      </c>
      <c r="F427" s="13"/>
      <c r="G427" s="12"/>
      <c r="H427" s="12"/>
      <c r="I427" s="12"/>
      <c r="J427" s="12"/>
    </row>
    <row r="428" spans="2:10" ht="21.75" customHeight="1" x14ac:dyDescent="0.25">
      <c r="B428" s="12"/>
      <c r="C428" s="15"/>
      <c r="D428" s="12"/>
      <c r="E428" s="10" t="str">
        <f>IF(D428="","",IFERROR(VLOOKUP(D428,Productos!$B$5:$J$504,2,FALSE()),"Revisar código"))</f>
        <v/>
      </c>
      <c r="F428" s="13"/>
      <c r="G428" s="12"/>
      <c r="H428" s="12"/>
      <c r="I428" s="12"/>
      <c r="J428" s="12"/>
    </row>
    <row r="429" spans="2:10" ht="21.75" customHeight="1" x14ac:dyDescent="0.25">
      <c r="B429" s="12"/>
      <c r="C429" s="15"/>
      <c r="D429" s="12"/>
      <c r="E429" s="10" t="str">
        <f>IF(D429="","",IFERROR(VLOOKUP(D429,Productos!$B$5:$J$504,2,FALSE()),"Revisar código"))</f>
        <v/>
      </c>
      <c r="F429" s="13"/>
      <c r="G429" s="12"/>
      <c r="H429" s="12"/>
      <c r="I429" s="12"/>
      <c r="J429" s="12"/>
    </row>
    <row r="430" spans="2:10" ht="21.75" customHeight="1" x14ac:dyDescent="0.25">
      <c r="B430" s="12"/>
      <c r="C430" s="15"/>
      <c r="D430" s="12"/>
      <c r="E430" s="10" t="str">
        <f>IF(D430="","",IFERROR(VLOOKUP(D430,Productos!$B$5:$J$504,2,FALSE()),"Revisar código"))</f>
        <v/>
      </c>
      <c r="F430" s="13"/>
      <c r="G430" s="12"/>
      <c r="H430" s="12"/>
      <c r="I430" s="12"/>
      <c r="J430" s="12"/>
    </row>
    <row r="431" spans="2:10" ht="21.75" customHeight="1" x14ac:dyDescent="0.25">
      <c r="B431" s="12"/>
      <c r="C431" s="15"/>
      <c r="D431" s="12"/>
      <c r="E431" s="10" t="str">
        <f>IF(D431="","",IFERROR(VLOOKUP(D431,Productos!$B$5:$J$504,2,FALSE()),"Revisar código"))</f>
        <v/>
      </c>
      <c r="F431" s="13"/>
      <c r="G431" s="12"/>
      <c r="H431" s="12"/>
      <c r="I431" s="12"/>
      <c r="J431" s="12"/>
    </row>
    <row r="432" spans="2:10" ht="21.75" customHeight="1" x14ac:dyDescent="0.25">
      <c r="B432" s="12"/>
      <c r="C432" s="15"/>
      <c r="D432" s="12"/>
      <c r="E432" s="10" t="str">
        <f>IF(D432="","",IFERROR(VLOOKUP(D432,Productos!$B$5:$J$504,2,FALSE()),"Revisar código"))</f>
        <v/>
      </c>
      <c r="F432" s="13"/>
      <c r="G432" s="12"/>
      <c r="H432" s="12"/>
      <c r="I432" s="12"/>
      <c r="J432" s="12"/>
    </row>
    <row r="433" spans="2:10" ht="21.75" customHeight="1" x14ac:dyDescent="0.25">
      <c r="B433" s="12"/>
      <c r="C433" s="15"/>
      <c r="D433" s="12"/>
      <c r="E433" s="10" t="str">
        <f>IF(D433="","",IFERROR(VLOOKUP(D433,Productos!$B$5:$J$504,2,FALSE()),"Revisar código"))</f>
        <v/>
      </c>
      <c r="F433" s="13"/>
      <c r="G433" s="12"/>
      <c r="H433" s="12"/>
      <c r="I433" s="12"/>
      <c r="J433" s="12"/>
    </row>
    <row r="434" spans="2:10" ht="21.75" customHeight="1" x14ac:dyDescent="0.25">
      <c r="B434" s="12"/>
      <c r="C434" s="15"/>
      <c r="D434" s="12"/>
      <c r="E434" s="10" t="str">
        <f>IF(D434="","",IFERROR(VLOOKUP(D434,Productos!$B$5:$J$504,2,FALSE()),"Revisar código"))</f>
        <v/>
      </c>
      <c r="F434" s="13"/>
      <c r="G434" s="12"/>
      <c r="H434" s="12"/>
      <c r="I434" s="12"/>
      <c r="J434" s="12"/>
    </row>
    <row r="435" spans="2:10" ht="21.75" customHeight="1" x14ac:dyDescent="0.25">
      <c r="B435" s="12"/>
      <c r="C435" s="15"/>
      <c r="D435" s="12"/>
      <c r="E435" s="10" t="str">
        <f>IF(D435="","",IFERROR(VLOOKUP(D435,Productos!$B$5:$J$504,2,FALSE()),"Revisar código"))</f>
        <v/>
      </c>
      <c r="F435" s="13"/>
      <c r="G435" s="12"/>
      <c r="H435" s="12"/>
      <c r="I435" s="12"/>
      <c r="J435" s="12"/>
    </row>
    <row r="436" spans="2:10" ht="21.75" customHeight="1" x14ac:dyDescent="0.25">
      <c r="B436" s="12"/>
      <c r="C436" s="15"/>
      <c r="D436" s="12"/>
      <c r="E436" s="10" t="str">
        <f>IF(D436="","",IFERROR(VLOOKUP(D436,Productos!$B$5:$J$504,2,FALSE()),"Revisar código"))</f>
        <v/>
      </c>
      <c r="F436" s="13"/>
      <c r="G436" s="12"/>
      <c r="H436" s="12"/>
      <c r="I436" s="12"/>
      <c r="J436" s="12"/>
    </row>
    <row r="437" spans="2:10" ht="21.75" customHeight="1" x14ac:dyDescent="0.25">
      <c r="B437" s="12"/>
      <c r="C437" s="15"/>
      <c r="D437" s="12"/>
      <c r="E437" s="10" t="str">
        <f>IF(D437="","",IFERROR(VLOOKUP(D437,Productos!$B$5:$J$504,2,FALSE()),"Revisar código"))</f>
        <v/>
      </c>
      <c r="F437" s="13"/>
      <c r="G437" s="12"/>
      <c r="H437" s="12"/>
      <c r="I437" s="12"/>
      <c r="J437" s="12"/>
    </row>
    <row r="438" spans="2:10" ht="21.75" customHeight="1" x14ac:dyDescent="0.25">
      <c r="B438" s="12"/>
      <c r="C438" s="15"/>
      <c r="D438" s="12"/>
      <c r="E438" s="10" t="str">
        <f>IF(D438="","",IFERROR(VLOOKUP(D438,Productos!$B$5:$J$504,2,FALSE()),"Revisar código"))</f>
        <v/>
      </c>
      <c r="F438" s="13"/>
      <c r="G438" s="12"/>
      <c r="H438" s="12"/>
      <c r="I438" s="12"/>
      <c r="J438" s="12"/>
    </row>
    <row r="439" spans="2:10" ht="21.75" customHeight="1" x14ac:dyDescent="0.25">
      <c r="B439" s="12"/>
      <c r="C439" s="15"/>
      <c r="D439" s="12"/>
      <c r="E439" s="10" t="str">
        <f>IF(D439="","",IFERROR(VLOOKUP(D439,Productos!$B$5:$J$504,2,FALSE()),"Revisar código"))</f>
        <v/>
      </c>
      <c r="F439" s="13"/>
      <c r="G439" s="12"/>
      <c r="H439" s="12"/>
      <c r="I439" s="12"/>
      <c r="J439" s="12"/>
    </row>
    <row r="440" spans="2:10" ht="21.75" customHeight="1" x14ac:dyDescent="0.25">
      <c r="B440" s="12"/>
      <c r="C440" s="15"/>
      <c r="D440" s="12"/>
      <c r="E440" s="10" t="str">
        <f>IF(D440="","",IFERROR(VLOOKUP(D440,Productos!$B$5:$J$504,2,FALSE()),"Revisar código"))</f>
        <v/>
      </c>
      <c r="F440" s="13"/>
      <c r="G440" s="12"/>
      <c r="H440" s="12"/>
      <c r="I440" s="12"/>
      <c r="J440" s="12"/>
    </row>
    <row r="441" spans="2:10" ht="21.75" customHeight="1" x14ac:dyDescent="0.25">
      <c r="B441" s="12"/>
      <c r="C441" s="15"/>
      <c r="D441" s="12"/>
      <c r="E441" s="10" t="str">
        <f>IF(D441="","",IFERROR(VLOOKUP(D441,Productos!$B$5:$J$504,2,FALSE()),"Revisar código"))</f>
        <v/>
      </c>
      <c r="F441" s="13"/>
      <c r="G441" s="12"/>
      <c r="H441" s="12"/>
      <c r="I441" s="12"/>
      <c r="J441" s="12"/>
    </row>
    <row r="442" spans="2:10" ht="21.75" customHeight="1" x14ac:dyDescent="0.25">
      <c r="B442" s="12"/>
      <c r="C442" s="15"/>
      <c r="D442" s="12"/>
      <c r="E442" s="10" t="str">
        <f>IF(D442="","",IFERROR(VLOOKUP(D442,Productos!$B$5:$J$504,2,FALSE()),"Revisar código"))</f>
        <v/>
      </c>
      <c r="F442" s="13"/>
      <c r="G442" s="12"/>
      <c r="H442" s="12"/>
      <c r="I442" s="12"/>
      <c r="J442" s="12"/>
    </row>
    <row r="443" spans="2:10" ht="21.75" customHeight="1" x14ac:dyDescent="0.25">
      <c r="B443" s="12"/>
      <c r="C443" s="15"/>
      <c r="D443" s="12"/>
      <c r="E443" s="10" t="str">
        <f>IF(D443="","",IFERROR(VLOOKUP(D443,Productos!$B$5:$J$504,2,FALSE()),"Revisar código"))</f>
        <v/>
      </c>
      <c r="F443" s="13"/>
      <c r="G443" s="12"/>
      <c r="H443" s="12"/>
      <c r="I443" s="12"/>
      <c r="J443" s="12"/>
    </row>
    <row r="444" spans="2:10" ht="21.75" customHeight="1" x14ac:dyDescent="0.25">
      <c r="B444" s="12"/>
      <c r="C444" s="15"/>
      <c r="D444" s="12"/>
      <c r="E444" s="10" t="str">
        <f>IF(D444="","",IFERROR(VLOOKUP(D444,Productos!$B$5:$J$504,2,FALSE()),"Revisar código"))</f>
        <v/>
      </c>
      <c r="F444" s="13"/>
      <c r="G444" s="12"/>
      <c r="H444" s="12"/>
      <c r="I444" s="12"/>
      <c r="J444" s="12"/>
    </row>
    <row r="445" spans="2:10" ht="21.75" customHeight="1" x14ac:dyDescent="0.25">
      <c r="B445" s="12"/>
      <c r="C445" s="15"/>
      <c r="D445" s="12"/>
      <c r="E445" s="10" t="str">
        <f>IF(D445="","",IFERROR(VLOOKUP(D445,Productos!$B$5:$J$504,2,FALSE()),"Revisar código"))</f>
        <v/>
      </c>
      <c r="F445" s="13"/>
      <c r="G445" s="12"/>
      <c r="H445" s="12"/>
      <c r="I445" s="12"/>
      <c r="J445" s="12"/>
    </row>
    <row r="446" spans="2:10" ht="21.75" customHeight="1" x14ac:dyDescent="0.25">
      <c r="B446" s="12"/>
      <c r="C446" s="15"/>
      <c r="D446" s="12"/>
      <c r="E446" s="10" t="str">
        <f>IF(D446="","",IFERROR(VLOOKUP(D446,Productos!$B$5:$J$504,2,FALSE()),"Revisar código"))</f>
        <v/>
      </c>
      <c r="F446" s="13"/>
      <c r="G446" s="12"/>
      <c r="H446" s="12"/>
      <c r="I446" s="12"/>
      <c r="J446" s="12"/>
    </row>
    <row r="447" spans="2:10" ht="21.75" customHeight="1" x14ac:dyDescent="0.25">
      <c r="B447" s="12"/>
      <c r="C447" s="15"/>
      <c r="D447" s="12"/>
      <c r="E447" s="10" t="str">
        <f>IF(D447="","",IFERROR(VLOOKUP(D447,Productos!$B$5:$J$504,2,FALSE()),"Revisar código"))</f>
        <v/>
      </c>
      <c r="F447" s="13"/>
      <c r="G447" s="12"/>
      <c r="H447" s="12"/>
      <c r="I447" s="12"/>
      <c r="J447" s="12"/>
    </row>
    <row r="448" spans="2:10" ht="21.75" customHeight="1" x14ac:dyDescent="0.25">
      <c r="B448" s="12"/>
      <c r="C448" s="15"/>
      <c r="D448" s="12"/>
      <c r="E448" s="10" t="str">
        <f>IF(D448="","",IFERROR(VLOOKUP(D448,Productos!$B$5:$J$504,2,FALSE()),"Revisar código"))</f>
        <v/>
      </c>
      <c r="F448" s="13"/>
      <c r="G448" s="12"/>
      <c r="H448" s="12"/>
      <c r="I448" s="12"/>
      <c r="J448" s="12"/>
    </row>
    <row r="449" spans="2:10" ht="21.75" customHeight="1" x14ac:dyDescent="0.25">
      <c r="B449" s="12"/>
      <c r="C449" s="15"/>
      <c r="D449" s="12"/>
      <c r="E449" s="10" t="str">
        <f>IF(D449="","",IFERROR(VLOOKUP(D449,Productos!$B$5:$J$504,2,FALSE()),"Revisar código"))</f>
        <v/>
      </c>
      <c r="F449" s="13"/>
      <c r="G449" s="12"/>
      <c r="H449" s="12"/>
      <c r="I449" s="12"/>
      <c r="J449" s="12"/>
    </row>
    <row r="450" spans="2:10" ht="21.75" customHeight="1" x14ac:dyDescent="0.25">
      <c r="B450" s="12"/>
      <c r="C450" s="15"/>
      <c r="D450" s="12"/>
      <c r="E450" s="10" t="str">
        <f>IF(D450="","",IFERROR(VLOOKUP(D450,Productos!$B$5:$J$504,2,FALSE()),"Revisar código"))</f>
        <v/>
      </c>
      <c r="F450" s="13"/>
      <c r="G450" s="12"/>
      <c r="H450" s="12"/>
      <c r="I450" s="12"/>
      <c r="J450" s="12"/>
    </row>
    <row r="451" spans="2:10" ht="21.75" customHeight="1" x14ac:dyDescent="0.25">
      <c r="B451" s="12"/>
      <c r="C451" s="15"/>
      <c r="D451" s="12"/>
      <c r="E451" s="10" t="str">
        <f>IF(D451="","",IFERROR(VLOOKUP(D451,Productos!$B$5:$J$504,2,FALSE()),"Revisar código"))</f>
        <v/>
      </c>
      <c r="F451" s="13"/>
      <c r="G451" s="12"/>
      <c r="H451" s="12"/>
      <c r="I451" s="12"/>
      <c r="J451" s="12"/>
    </row>
    <row r="452" spans="2:10" ht="21.75" customHeight="1" x14ac:dyDescent="0.25">
      <c r="B452" s="12"/>
      <c r="C452" s="15"/>
      <c r="D452" s="12"/>
      <c r="E452" s="10" t="str">
        <f>IF(D452="","",IFERROR(VLOOKUP(D452,Productos!$B$5:$J$504,2,FALSE()),"Revisar código"))</f>
        <v/>
      </c>
      <c r="F452" s="13"/>
      <c r="G452" s="12"/>
      <c r="H452" s="12"/>
      <c r="I452" s="12"/>
      <c r="J452" s="12"/>
    </row>
    <row r="453" spans="2:10" ht="21.75" customHeight="1" x14ac:dyDescent="0.25">
      <c r="B453" s="12"/>
      <c r="C453" s="15"/>
      <c r="D453" s="12"/>
      <c r="E453" s="10" t="str">
        <f>IF(D453="","",IFERROR(VLOOKUP(D453,Productos!$B$5:$J$504,2,FALSE()),"Revisar código"))</f>
        <v/>
      </c>
      <c r="F453" s="13"/>
      <c r="G453" s="12"/>
      <c r="H453" s="12"/>
      <c r="I453" s="12"/>
      <c r="J453" s="12"/>
    </row>
    <row r="454" spans="2:10" ht="21.75" customHeight="1" x14ac:dyDescent="0.25">
      <c r="B454" s="12"/>
      <c r="C454" s="15"/>
      <c r="D454" s="12"/>
      <c r="E454" s="10" t="str">
        <f>IF(D454="","",IFERROR(VLOOKUP(D454,Productos!$B$5:$J$504,2,FALSE()),"Revisar código"))</f>
        <v/>
      </c>
      <c r="F454" s="13"/>
      <c r="G454" s="12"/>
      <c r="H454" s="12"/>
      <c r="I454" s="12"/>
      <c r="J454" s="12"/>
    </row>
    <row r="455" spans="2:10" ht="21.75" customHeight="1" x14ac:dyDescent="0.25">
      <c r="B455" s="12"/>
      <c r="C455" s="15"/>
      <c r="D455" s="12"/>
      <c r="E455" s="10" t="str">
        <f>IF(D455="","",IFERROR(VLOOKUP(D455,Productos!$B$5:$J$504,2,FALSE()),"Revisar código"))</f>
        <v/>
      </c>
      <c r="F455" s="13"/>
      <c r="G455" s="12"/>
      <c r="H455" s="12"/>
      <c r="I455" s="12"/>
      <c r="J455" s="12"/>
    </row>
    <row r="456" spans="2:10" ht="21.75" customHeight="1" x14ac:dyDescent="0.25">
      <c r="B456" s="12"/>
      <c r="C456" s="15"/>
      <c r="D456" s="12"/>
      <c r="E456" s="10" t="str">
        <f>IF(D456="","",IFERROR(VLOOKUP(D456,Productos!$B$5:$J$504,2,FALSE()),"Revisar código"))</f>
        <v/>
      </c>
      <c r="F456" s="13"/>
      <c r="G456" s="12"/>
      <c r="H456" s="12"/>
      <c r="I456" s="12"/>
      <c r="J456" s="12"/>
    </row>
    <row r="457" spans="2:10" ht="21.75" customHeight="1" x14ac:dyDescent="0.25">
      <c r="B457" s="12"/>
      <c r="C457" s="15"/>
      <c r="D457" s="12"/>
      <c r="E457" s="10" t="str">
        <f>IF(D457="","",IFERROR(VLOOKUP(D457,Productos!$B$5:$J$504,2,FALSE()),"Revisar código"))</f>
        <v/>
      </c>
      <c r="F457" s="13"/>
      <c r="G457" s="12"/>
      <c r="H457" s="12"/>
      <c r="I457" s="12"/>
      <c r="J457" s="12"/>
    </row>
    <row r="458" spans="2:10" ht="21.75" customHeight="1" x14ac:dyDescent="0.25">
      <c r="B458" s="12"/>
      <c r="C458" s="15"/>
      <c r="D458" s="12"/>
      <c r="E458" s="10" t="str">
        <f>IF(D458="","",IFERROR(VLOOKUP(D458,Productos!$B$5:$J$504,2,FALSE()),"Revisar código"))</f>
        <v/>
      </c>
      <c r="F458" s="13"/>
      <c r="G458" s="12"/>
      <c r="H458" s="12"/>
      <c r="I458" s="12"/>
      <c r="J458" s="12"/>
    </row>
    <row r="459" spans="2:10" ht="21.75" customHeight="1" x14ac:dyDescent="0.25">
      <c r="B459" s="12"/>
      <c r="C459" s="15"/>
      <c r="D459" s="12"/>
      <c r="E459" s="10" t="str">
        <f>IF(D459="","",IFERROR(VLOOKUP(D459,Productos!$B$5:$J$504,2,FALSE()),"Revisar código"))</f>
        <v/>
      </c>
      <c r="F459" s="13"/>
      <c r="G459" s="12"/>
      <c r="H459" s="12"/>
      <c r="I459" s="12"/>
      <c r="J459" s="12"/>
    </row>
    <row r="460" spans="2:10" ht="21.75" customHeight="1" x14ac:dyDescent="0.25">
      <c r="B460" s="12"/>
      <c r="C460" s="15"/>
      <c r="D460" s="12"/>
      <c r="E460" s="10" t="str">
        <f>IF(D460="","",IFERROR(VLOOKUP(D460,Productos!$B$5:$J$504,2,FALSE()),"Revisar código"))</f>
        <v/>
      </c>
      <c r="F460" s="13"/>
      <c r="G460" s="12"/>
      <c r="H460" s="12"/>
      <c r="I460" s="12"/>
      <c r="J460" s="12"/>
    </row>
    <row r="461" spans="2:10" ht="21.75" customHeight="1" x14ac:dyDescent="0.25">
      <c r="B461" s="12"/>
      <c r="C461" s="15"/>
      <c r="D461" s="12"/>
      <c r="E461" s="10" t="str">
        <f>IF(D461="","",IFERROR(VLOOKUP(D461,Productos!$B$5:$J$504,2,FALSE()),"Revisar código"))</f>
        <v/>
      </c>
      <c r="F461" s="13"/>
      <c r="G461" s="12"/>
      <c r="H461" s="12"/>
      <c r="I461" s="12"/>
      <c r="J461" s="12"/>
    </row>
    <row r="462" spans="2:10" ht="21.75" customHeight="1" x14ac:dyDescent="0.25">
      <c r="B462" s="12"/>
      <c r="C462" s="15"/>
      <c r="D462" s="12"/>
      <c r="E462" s="10" t="str">
        <f>IF(D462="","",IFERROR(VLOOKUP(D462,Productos!$B$5:$J$504,2,FALSE()),"Revisar código"))</f>
        <v/>
      </c>
      <c r="F462" s="13"/>
      <c r="G462" s="12"/>
      <c r="H462" s="12"/>
      <c r="I462" s="12"/>
      <c r="J462" s="12"/>
    </row>
    <row r="463" spans="2:10" ht="21.75" customHeight="1" x14ac:dyDescent="0.25">
      <c r="B463" s="12"/>
      <c r="C463" s="15"/>
      <c r="D463" s="12"/>
      <c r="E463" s="10" t="str">
        <f>IF(D463="","",IFERROR(VLOOKUP(D463,Productos!$B$5:$J$504,2,FALSE()),"Revisar código"))</f>
        <v/>
      </c>
      <c r="F463" s="13"/>
      <c r="G463" s="12"/>
      <c r="H463" s="12"/>
      <c r="I463" s="12"/>
      <c r="J463" s="12"/>
    </row>
    <row r="464" spans="2:10" ht="21.75" customHeight="1" x14ac:dyDescent="0.25">
      <c r="B464" s="12"/>
      <c r="C464" s="15"/>
      <c r="D464" s="12"/>
      <c r="E464" s="10" t="str">
        <f>IF(D464="","",IFERROR(VLOOKUP(D464,Productos!$B$5:$J$504,2,FALSE()),"Revisar código"))</f>
        <v/>
      </c>
      <c r="F464" s="13"/>
      <c r="G464" s="12"/>
      <c r="H464" s="12"/>
      <c r="I464" s="12"/>
      <c r="J464" s="12"/>
    </row>
    <row r="465" spans="2:10" ht="21.75" customHeight="1" x14ac:dyDescent="0.25">
      <c r="B465" s="12"/>
      <c r="C465" s="15"/>
      <c r="D465" s="12"/>
      <c r="E465" s="10" t="str">
        <f>IF(D465="","",IFERROR(VLOOKUP(D465,Productos!$B$5:$J$504,2,FALSE()),"Revisar código"))</f>
        <v/>
      </c>
      <c r="F465" s="13"/>
      <c r="G465" s="12"/>
      <c r="H465" s="12"/>
      <c r="I465" s="12"/>
      <c r="J465" s="12"/>
    </row>
    <row r="466" spans="2:10" ht="21.75" customHeight="1" x14ac:dyDescent="0.25">
      <c r="B466" s="12"/>
      <c r="C466" s="15"/>
      <c r="D466" s="12"/>
      <c r="E466" s="10" t="str">
        <f>IF(D466="","",IFERROR(VLOOKUP(D466,Productos!$B$5:$J$504,2,FALSE()),"Revisar código"))</f>
        <v/>
      </c>
      <c r="F466" s="13"/>
      <c r="G466" s="12"/>
      <c r="H466" s="12"/>
      <c r="I466" s="12"/>
      <c r="J466" s="12"/>
    </row>
    <row r="467" spans="2:10" ht="21.75" customHeight="1" x14ac:dyDescent="0.25">
      <c r="B467" s="12"/>
      <c r="C467" s="15"/>
      <c r="D467" s="12"/>
      <c r="E467" s="10" t="str">
        <f>IF(D467="","",IFERROR(VLOOKUP(D467,Productos!$B$5:$J$504,2,FALSE()),"Revisar código"))</f>
        <v/>
      </c>
      <c r="F467" s="13"/>
      <c r="G467" s="12"/>
      <c r="H467" s="12"/>
      <c r="I467" s="12"/>
      <c r="J467" s="12"/>
    </row>
    <row r="468" spans="2:10" ht="21.75" customHeight="1" x14ac:dyDescent="0.25">
      <c r="B468" s="12"/>
      <c r="C468" s="15"/>
      <c r="D468" s="12"/>
      <c r="E468" s="10" t="str">
        <f>IF(D468="","",IFERROR(VLOOKUP(D468,Productos!$B$5:$J$504,2,FALSE()),"Revisar código"))</f>
        <v/>
      </c>
      <c r="F468" s="13"/>
      <c r="G468" s="12"/>
      <c r="H468" s="12"/>
      <c r="I468" s="12"/>
      <c r="J468" s="12"/>
    </row>
    <row r="469" spans="2:10" ht="21.75" customHeight="1" x14ac:dyDescent="0.25">
      <c r="B469" s="12"/>
      <c r="C469" s="15"/>
      <c r="D469" s="12"/>
      <c r="E469" s="10" t="str">
        <f>IF(D469="","",IFERROR(VLOOKUP(D469,Productos!$B$5:$J$504,2,FALSE()),"Revisar código"))</f>
        <v/>
      </c>
      <c r="F469" s="13"/>
      <c r="G469" s="12"/>
      <c r="H469" s="12"/>
      <c r="I469" s="12"/>
      <c r="J469" s="12"/>
    </row>
    <row r="470" spans="2:10" ht="21.75" customHeight="1" x14ac:dyDescent="0.25">
      <c r="B470" s="12"/>
      <c r="C470" s="15"/>
      <c r="D470" s="12"/>
      <c r="E470" s="10" t="str">
        <f>IF(D470="","",IFERROR(VLOOKUP(D470,Productos!$B$5:$J$504,2,FALSE()),"Revisar código"))</f>
        <v/>
      </c>
      <c r="F470" s="13"/>
      <c r="G470" s="12"/>
      <c r="H470" s="12"/>
      <c r="I470" s="12"/>
      <c r="J470" s="12"/>
    </row>
    <row r="471" spans="2:10" ht="21.75" customHeight="1" x14ac:dyDescent="0.25">
      <c r="B471" s="12"/>
      <c r="C471" s="15"/>
      <c r="D471" s="12"/>
      <c r="E471" s="10" t="str">
        <f>IF(D471="","",IFERROR(VLOOKUP(D471,Productos!$B$5:$J$504,2,FALSE()),"Revisar código"))</f>
        <v/>
      </c>
      <c r="F471" s="13"/>
      <c r="G471" s="12"/>
      <c r="H471" s="12"/>
      <c r="I471" s="12"/>
      <c r="J471" s="12"/>
    </row>
    <row r="472" spans="2:10" ht="21.75" customHeight="1" x14ac:dyDescent="0.25">
      <c r="B472" s="12"/>
      <c r="C472" s="15"/>
      <c r="D472" s="12"/>
      <c r="E472" s="10" t="str">
        <f>IF(D472="","",IFERROR(VLOOKUP(D472,Productos!$B$5:$J$504,2,FALSE()),"Revisar código"))</f>
        <v/>
      </c>
      <c r="F472" s="13"/>
      <c r="G472" s="12"/>
      <c r="H472" s="12"/>
      <c r="I472" s="12"/>
      <c r="J472" s="12"/>
    </row>
    <row r="473" spans="2:10" ht="21.75" customHeight="1" x14ac:dyDescent="0.25">
      <c r="B473" s="12"/>
      <c r="C473" s="15"/>
      <c r="D473" s="12"/>
      <c r="E473" s="10" t="str">
        <f>IF(D473="","",IFERROR(VLOOKUP(D473,Productos!$B$5:$J$504,2,FALSE()),"Revisar código"))</f>
        <v/>
      </c>
      <c r="F473" s="13"/>
      <c r="G473" s="12"/>
      <c r="H473" s="12"/>
      <c r="I473" s="12"/>
      <c r="J473" s="12"/>
    </row>
    <row r="474" spans="2:10" ht="21.75" customHeight="1" x14ac:dyDescent="0.25">
      <c r="B474" s="12"/>
      <c r="C474" s="15"/>
      <c r="D474" s="12"/>
      <c r="E474" s="10" t="str">
        <f>IF(D474="","",IFERROR(VLOOKUP(D474,Productos!$B$5:$J$504,2,FALSE()),"Revisar código"))</f>
        <v/>
      </c>
      <c r="F474" s="13"/>
      <c r="G474" s="12"/>
      <c r="H474" s="12"/>
      <c r="I474" s="12"/>
      <c r="J474" s="12"/>
    </row>
    <row r="475" spans="2:10" ht="21.75" customHeight="1" x14ac:dyDescent="0.25">
      <c r="B475" s="12"/>
      <c r="C475" s="15"/>
      <c r="D475" s="12"/>
      <c r="E475" s="10" t="str">
        <f>IF(D475="","",IFERROR(VLOOKUP(D475,Productos!$B$5:$J$504,2,FALSE()),"Revisar código"))</f>
        <v/>
      </c>
      <c r="F475" s="13"/>
      <c r="G475" s="12"/>
      <c r="H475" s="12"/>
      <c r="I475" s="12"/>
      <c r="J475" s="12"/>
    </row>
    <row r="476" spans="2:10" ht="21.75" customHeight="1" x14ac:dyDescent="0.25">
      <c r="B476" s="12"/>
      <c r="C476" s="15"/>
      <c r="D476" s="12"/>
      <c r="E476" s="10" t="str">
        <f>IF(D476="","",IFERROR(VLOOKUP(D476,Productos!$B$5:$J$504,2,FALSE()),"Revisar código"))</f>
        <v/>
      </c>
      <c r="F476" s="13"/>
      <c r="G476" s="12"/>
      <c r="H476" s="12"/>
      <c r="I476" s="12"/>
      <c r="J476" s="12"/>
    </row>
    <row r="477" spans="2:10" ht="21.75" customHeight="1" x14ac:dyDescent="0.25">
      <c r="B477" s="12"/>
      <c r="C477" s="15"/>
      <c r="D477" s="12"/>
      <c r="E477" s="10" t="str">
        <f>IF(D477="","",IFERROR(VLOOKUP(D477,Productos!$B$5:$J$504,2,FALSE()),"Revisar código"))</f>
        <v/>
      </c>
      <c r="F477" s="13"/>
      <c r="G477" s="12"/>
      <c r="H477" s="12"/>
      <c r="I477" s="12"/>
      <c r="J477" s="12"/>
    </row>
    <row r="478" spans="2:10" ht="21.75" customHeight="1" x14ac:dyDescent="0.25">
      <c r="B478" s="12"/>
      <c r="C478" s="15"/>
      <c r="D478" s="12"/>
      <c r="E478" s="10" t="str">
        <f>IF(D478="","",IFERROR(VLOOKUP(D478,Productos!$B$5:$J$504,2,FALSE()),"Revisar código"))</f>
        <v/>
      </c>
      <c r="F478" s="13"/>
      <c r="G478" s="12"/>
      <c r="H478" s="12"/>
      <c r="I478" s="12"/>
      <c r="J478" s="12"/>
    </row>
    <row r="479" spans="2:10" ht="21.75" customHeight="1" x14ac:dyDescent="0.25">
      <c r="B479" s="12"/>
      <c r="C479" s="15"/>
      <c r="D479" s="12"/>
      <c r="E479" s="10" t="str">
        <f>IF(D479="","",IFERROR(VLOOKUP(D479,Productos!$B$5:$J$504,2,FALSE()),"Revisar código"))</f>
        <v/>
      </c>
      <c r="F479" s="13"/>
      <c r="G479" s="12"/>
      <c r="H479" s="12"/>
      <c r="I479" s="12"/>
      <c r="J479" s="12"/>
    </row>
    <row r="480" spans="2:10" ht="21.75" customHeight="1" x14ac:dyDescent="0.25">
      <c r="B480" s="12"/>
      <c r="C480" s="15"/>
      <c r="D480" s="12"/>
      <c r="E480" s="10" t="str">
        <f>IF(D480="","",IFERROR(VLOOKUP(D480,Productos!$B$5:$J$504,2,FALSE()),"Revisar código"))</f>
        <v/>
      </c>
      <c r="F480" s="13"/>
      <c r="G480" s="12"/>
      <c r="H480" s="12"/>
      <c r="I480" s="12"/>
      <c r="J480" s="12"/>
    </row>
    <row r="481" spans="2:10" ht="21.75" customHeight="1" x14ac:dyDescent="0.25">
      <c r="B481" s="12"/>
      <c r="C481" s="15"/>
      <c r="D481" s="12"/>
      <c r="E481" s="10" t="str">
        <f>IF(D481="","",IFERROR(VLOOKUP(D481,Productos!$B$5:$J$504,2,FALSE()),"Revisar código"))</f>
        <v/>
      </c>
      <c r="F481" s="13"/>
      <c r="G481" s="12"/>
      <c r="H481" s="12"/>
      <c r="I481" s="12"/>
      <c r="J481" s="12"/>
    </row>
    <row r="482" spans="2:10" ht="21.75" customHeight="1" x14ac:dyDescent="0.25">
      <c r="B482" s="12"/>
      <c r="C482" s="15"/>
      <c r="D482" s="12"/>
      <c r="E482" s="10" t="str">
        <f>IF(D482="","",IFERROR(VLOOKUP(D482,Productos!$B$5:$J$504,2,FALSE()),"Revisar código"))</f>
        <v/>
      </c>
      <c r="F482" s="13"/>
      <c r="G482" s="12"/>
      <c r="H482" s="12"/>
      <c r="I482" s="12"/>
      <c r="J482" s="12"/>
    </row>
    <row r="483" spans="2:10" ht="21.75" customHeight="1" x14ac:dyDescent="0.25">
      <c r="B483" s="12"/>
      <c r="C483" s="15"/>
      <c r="D483" s="12"/>
      <c r="E483" s="10" t="str">
        <f>IF(D483="","",IFERROR(VLOOKUP(D483,Productos!$B$5:$J$504,2,FALSE()),"Revisar código"))</f>
        <v/>
      </c>
      <c r="F483" s="13"/>
      <c r="G483" s="12"/>
      <c r="H483" s="12"/>
      <c r="I483" s="12"/>
      <c r="J483" s="12"/>
    </row>
    <row r="484" spans="2:10" ht="21.75" customHeight="1" x14ac:dyDescent="0.25">
      <c r="B484" s="12"/>
      <c r="C484" s="15"/>
      <c r="D484" s="12"/>
      <c r="E484" s="10" t="str">
        <f>IF(D484="","",IFERROR(VLOOKUP(D484,Productos!$B$5:$J$504,2,FALSE()),"Revisar código"))</f>
        <v/>
      </c>
      <c r="F484" s="13"/>
      <c r="G484" s="12"/>
      <c r="H484" s="12"/>
      <c r="I484" s="12"/>
      <c r="J484" s="12"/>
    </row>
    <row r="485" spans="2:10" ht="21.75" customHeight="1" x14ac:dyDescent="0.25">
      <c r="B485" s="12"/>
      <c r="C485" s="15"/>
      <c r="D485" s="12"/>
      <c r="E485" s="10" t="str">
        <f>IF(D485="","",IFERROR(VLOOKUP(D485,Productos!$B$5:$J$504,2,FALSE()),"Revisar código"))</f>
        <v/>
      </c>
      <c r="F485" s="13"/>
      <c r="G485" s="12"/>
      <c r="H485" s="12"/>
      <c r="I485" s="12"/>
      <c r="J485" s="12"/>
    </row>
    <row r="486" spans="2:10" ht="21.75" customHeight="1" x14ac:dyDescent="0.25">
      <c r="B486" s="12"/>
      <c r="C486" s="15"/>
      <c r="D486" s="12"/>
      <c r="E486" s="10" t="str">
        <f>IF(D486="","",IFERROR(VLOOKUP(D486,Productos!$B$5:$J$504,2,FALSE()),"Revisar código"))</f>
        <v/>
      </c>
      <c r="F486" s="13"/>
      <c r="G486" s="12"/>
      <c r="H486" s="12"/>
      <c r="I486" s="12"/>
      <c r="J486" s="12"/>
    </row>
    <row r="487" spans="2:10" ht="21.75" customHeight="1" x14ac:dyDescent="0.25">
      <c r="B487" s="12"/>
      <c r="C487" s="15"/>
      <c r="D487" s="12"/>
      <c r="E487" s="10" t="str">
        <f>IF(D487="","",IFERROR(VLOOKUP(D487,Productos!$B$5:$J$504,2,FALSE()),"Revisar código"))</f>
        <v/>
      </c>
      <c r="F487" s="13"/>
      <c r="G487" s="12"/>
      <c r="H487" s="12"/>
      <c r="I487" s="12"/>
      <c r="J487" s="12"/>
    </row>
    <row r="488" spans="2:10" ht="21.75" customHeight="1" x14ac:dyDescent="0.25">
      <c r="B488" s="12"/>
      <c r="C488" s="15"/>
      <c r="D488" s="12"/>
      <c r="E488" s="10" t="str">
        <f>IF(D488="","",IFERROR(VLOOKUP(D488,Productos!$B$5:$J$504,2,FALSE()),"Revisar código"))</f>
        <v/>
      </c>
      <c r="F488" s="13"/>
      <c r="G488" s="12"/>
      <c r="H488" s="12"/>
      <c r="I488" s="12"/>
      <c r="J488" s="12"/>
    </row>
    <row r="489" spans="2:10" ht="21.75" customHeight="1" x14ac:dyDescent="0.25">
      <c r="B489" s="12"/>
      <c r="C489" s="15"/>
      <c r="D489" s="12"/>
      <c r="E489" s="10" t="str">
        <f>IF(D489="","",IFERROR(VLOOKUP(D489,Productos!$B$5:$J$504,2,FALSE()),"Revisar código"))</f>
        <v/>
      </c>
      <c r="F489" s="13"/>
      <c r="G489" s="12"/>
      <c r="H489" s="12"/>
      <c r="I489" s="12"/>
      <c r="J489" s="12"/>
    </row>
    <row r="490" spans="2:10" ht="21.75" customHeight="1" x14ac:dyDescent="0.25">
      <c r="B490" s="12"/>
      <c r="C490" s="15"/>
      <c r="D490" s="12"/>
      <c r="E490" s="10" t="str">
        <f>IF(D490="","",IFERROR(VLOOKUP(D490,Productos!$B$5:$J$504,2,FALSE()),"Revisar código"))</f>
        <v/>
      </c>
      <c r="F490" s="13"/>
      <c r="G490" s="12"/>
      <c r="H490" s="12"/>
      <c r="I490" s="12"/>
      <c r="J490" s="12"/>
    </row>
    <row r="491" spans="2:10" ht="21.75" customHeight="1" x14ac:dyDescent="0.25">
      <c r="B491" s="12"/>
      <c r="C491" s="15"/>
      <c r="D491" s="12"/>
      <c r="E491" s="10" t="str">
        <f>IF(D491="","",IFERROR(VLOOKUP(D491,Productos!$B$5:$J$504,2,FALSE()),"Revisar código"))</f>
        <v/>
      </c>
      <c r="F491" s="13"/>
      <c r="G491" s="12"/>
      <c r="H491" s="12"/>
      <c r="I491" s="12"/>
      <c r="J491" s="12"/>
    </row>
    <row r="492" spans="2:10" ht="21.75" customHeight="1" x14ac:dyDescent="0.25">
      <c r="B492" s="12"/>
      <c r="C492" s="15"/>
      <c r="D492" s="12"/>
      <c r="E492" s="10" t="str">
        <f>IF(D492="","",IFERROR(VLOOKUP(D492,Productos!$B$5:$J$504,2,FALSE()),"Revisar código"))</f>
        <v/>
      </c>
      <c r="F492" s="13"/>
      <c r="G492" s="12"/>
      <c r="H492" s="12"/>
      <c r="I492" s="12"/>
      <c r="J492" s="12"/>
    </row>
    <row r="493" spans="2:10" ht="21.75" customHeight="1" x14ac:dyDescent="0.25">
      <c r="B493" s="12"/>
      <c r="C493" s="15"/>
      <c r="D493" s="12"/>
      <c r="E493" s="10" t="str">
        <f>IF(D493="","",IFERROR(VLOOKUP(D493,Productos!$B$5:$J$504,2,FALSE()),"Revisar código"))</f>
        <v/>
      </c>
      <c r="F493" s="13"/>
      <c r="G493" s="12"/>
      <c r="H493" s="12"/>
      <c r="I493" s="12"/>
      <c r="J493" s="12"/>
    </row>
    <row r="494" spans="2:10" ht="21.75" customHeight="1" x14ac:dyDescent="0.25">
      <c r="B494" s="12"/>
      <c r="C494" s="15"/>
      <c r="D494" s="12"/>
      <c r="E494" s="10" t="str">
        <f>IF(D494="","",IFERROR(VLOOKUP(D494,Productos!$B$5:$J$504,2,FALSE()),"Revisar código"))</f>
        <v/>
      </c>
      <c r="F494" s="13"/>
      <c r="G494" s="12"/>
      <c r="H494" s="12"/>
      <c r="I494" s="12"/>
      <c r="J494" s="12"/>
    </row>
    <row r="495" spans="2:10" ht="21.75" customHeight="1" x14ac:dyDescent="0.25">
      <c r="B495" s="12"/>
      <c r="C495" s="15"/>
      <c r="D495" s="12"/>
      <c r="E495" s="10" t="str">
        <f>IF(D495="","",IFERROR(VLOOKUP(D495,Productos!$B$5:$J$504,2,FALSE()),"Revisar código"))</f>
        <v/>
      </c>
      <c r="F495" s="13"/>
      <c r="G495" s="12"/>
      <c r="H495" s="12"/>
      <c r="I495" s="12"/>
      <c r="J495" s="12"/>
    </row>
    <row r="496" spans="2:10" ht="21.75" customHeight="1" x14ac:dyDescent="0.25">
      <c r="B496" s="12"/>
      <c r="C496" s="15"/>
      <c r="D496" s="12"/>
      <c r="E496" s="10" t="str">
        <f>IF(D496="","",IFERROR(VLOOKUP(D496,Productos!$B$5:$J$504,2,FALSE()),"Revisar código"))</f>
        <v/>
      </c>
      <c r="F496" s="13"/>
      <c r="G496" s="12"/>
      <c r="H496" s="12"/>
      <c r="I496" s="12"/>
      <c r="J496" s="12"/>
    </row>
    <row r="497" spans="2:10" ht="21.75" customHeight="1" x14ac:dyDescent="0.25">
      <c r="B497" s="12"/>
      <c r="C497" s="15"/>
      <c r="D497" s="12"/>
      <c r="E497" s="10" t="str">
        <f>IF(D497="","",IFERROR(VLOOKUP(D497,Productos!$B$5:$J$504,2,FALSE()),"Revisar código"))</f>
        <v/>
      </c>
      <c r="F497" s="13"/>
      <c r="G497" s="12"/>
      <c r="H497" s="12"/>
      <c r="I497" s="12"/>
      <c r="J497" s="12"/>
    </row>
    <row r="498" spans="2:10" ht="21.75" customHeight="1" x14ac:dyDescent="0.25">
      <c r="B498" s="12"/>
      <c r="C498" s="15"/>
      <c r="D498" s="12"/>
      <c r="E498" s="10" t="str">
        <f>IF(D498="","",IFERROR(VLOOKUP(D498,Productos!$B$5:$J$504,2,FALSE()),"Revisar código"))</f>
        <v/>
      </c>
      <c r="F498" s="13"/>
      <c r="G498" s="12"/>
      <c r="H498" s="12"/>
      <c r="I498" s="12"/>
      <c r="J498" s="12"/>
    </row>
    <row r="499" spans="2:10" ht="21.75" customHeight="1" x14ac:dyDescent="0.25">
      <c r="B499" s="12"/>
      <c r="C499" s="15"/>
      <c r="D499" s="12"/>
      <c r="E499" s="10" t="str">
        <f>IF(D499="","",IFERROR(VLOOKUP(D499,Productos!$B$5:$J$504,2,FALSE()),"Revisar código"))</f>
        <v/>
      </c>
      <c r="F499" s="13"/>
      <c r="G499" s="12"/>
      <c r="H499" s="12"/>
      <c r="I499" s="12"/>
      <c r="J499" s="12"/>
    </row>
    <row r="500" spans="2:10" ht="21.75" customHeight="1" x14ac:dyDescent="0.25">
      <c r="B500" s="12"/>
      <c r="C500" s="15"/>
      <c r="D500" s="12"/>
      <c r="E500" s="10" t="str">
        <f>IF(D500="","",IFERROR(VLOOKUP(D500,Productos!$B$5:$J$504,2,FALSE()),"Revisar código"))</f>
        <v/>
      </c>
      <c r="F500" s="13"/>
      <c r="G500" s="12"/>
      <c r="H500" s="12"/>
      <c r="I500" s="12"/>
      <c r="J500" s="12"/>
    </row>
    <row r="501" spans="2:10" ht="21.75" customHeight="1" x14ac:dyDescent="0.25">
      <c r="B501" s="12"/>
      <c r="C501" s="15"/>
      <c r="D501" s="12"/>
      <c r="E501" s="10" t="str">
        <f>IF(D501="","",IFERROR(VLOOKUP(D501,Productos!$B$5:$J$504,2,FALSE()),"Revisar código"))</f>
        <v/>
      </c>
      <c r="F501" s="13"/>
      <c r="G501" s="12"/>
      <c r="H501" s="12"/>
      <c r="I501" s="12"/>
      <c r="J501" s="12"/>
    </row>
    <row r="502" spans="2:10" ht="21.75" customHeight="1" x14ac:dyDescent="0.25">
      <c r="B502" s="12"/>
      <c r="C502" s="15"/>
      <c r="D502" s="12"/>
      <c r="E502" s="10" t="str">
        <f>IF(D502="","",IFERROR(VLOOKUP(D502,Productos!$B$5:$J$504,2,FALSE()),"Revisar código"))</f>
        <v/>
      </c>
      <c r="F502" s="13"/>
      <c r="G502" s="12"/>
      <c r="H502" s="12"/>
      <c r="I502" s="12"/>
      <c r="J502" s="12"/>
    </row>
    <row r="503" spans="2:10" ht="21.75" customHeight="1" x14ac:dyDescent="0.25">
      <c r="B503" s="12"/>
      <c r="C503" s="15"/>
      <c r="D503" s="12"/>
      <c r="E503" s="10" t="str">
        <f>IF(D503="","",IFERROR(VLOOKUP(D503,Productos!$B$5:$J$504,2,FALSE()),"Revisar código"))</f>
        <v/>
      </c>
      <c r="F503" s="13"/>
      <c r="G503" s="12"/>
      <c r="H503" s="12"/>
      <c r="I503" s="12"/>
      <c r="J503" s="12"/>
    </row>
    <row r="504" spans="2:10" ht="21.75" customHeight="1" x14ac:dyDescent="0.25">
      <c r="B504" s="12"/>
      <c r="C504" s="15"/>
      <c r="D504" s="12"/>
      <c r="E504" s="10" t="str">
        <f>IF(D504="","",IFERROR(VLOOKUP(D504,Productos!$B$5:$J$504,2,FALSE()),"Revisar código"))</f>
        <v/>
      </c>
      <c r="F504" s="13"/>
      <c r="G504" s="12"/>
      <c r="H504" s="12"/>
      <c r="I504" s="12"/>
      <c r="J504" s="12"/>
    </row>
    <row r="505" spans="2:10" ht="21.75" customHeight="1" x14ac:dyDescent="0.25">
      <c r="B505" s="12"/>
      <c r="C505" s="15"/>
      <c r="D505" s="12"/>
      <c r="E505" s="10" t="str">
        <f>IF(D505="","",IFERROR(VLOOKUP(D505,Productos!$B$5:$J$204,2,FALSE()),"Revisar código"))</f>
        <v/>
      </c>
      <c r="F505" s="13"/>
      <c r="G505" s="12"/>
      <c r="H505" s="12"/>
      <c r="I505" s="12"/>
      <c r="J505" s="12"/>
    </row>
    <row r="506" spans="2:10" ht="21.75" customHeight="1" x14ac:dyDescent="0.25">
      <c r="B506" s="12"/>
      <c r="C506" s="15"/>
      <c r="D506" s="12"/>
      <c r="E506" s="10" t="str">
        <f>IF(D506="","",IFERROR(VLOOKUP(D506,Productos!$B$5:$J$204,2,FALSE()),"Revisar código"))</f>
        <v/>
      </c>
      <c r="F506" s="13"/>
      <c r="G506" s="12"/>
      <c r="H506" s="12"/>
      <c r="I506" s="12"/>
      <c r="J506" s="12"/>
    </row>
    <row r="507" spans="2:10" ht="21.75" customHeight="1" x14ac:dyDescent="0.25">
      <c r="B507" s="12"/>
      <c r="C507" s="15"/>
      <c r="D507" s="12"/>
      <c r="E507" s="10" t="str">
        <f>IF(D507="","",IFERROR(VLOOKUP(D507,Productos!$B$5:$J$204,2,FALSE()),"Revisar código"))</f>
        <v/>
      </c>
      <c r="F507" s="13"/>
      <c r="G507" s="12"/>
      <c r="H507" s="12"/>
      <c r="I507" s="12"/>
      <c r="J507" s="12"/>
    </row>
    <row r="508" spans="2:10" ht="21.75" customHeight="1" x14ac:dyDescent="0.25">
      <c r="B508" s="12"/>
      <c r="C508" s="15"/>
      <c r="D508" s="12"/>
      <c r="E508" s="10" t="str">
        <f>IF(D508="","",IFERROR(VLOOKUP(D508,Productos!$B$5:$J$204,2,FALSE()),"Revisar código"))</f>
        <v/>
      </c>
      <c r="F508" s="13"/>
      <c r="G508" s="12"/>
      <c r="H508" s="12"/>
      <c r="I508" s="12"/>
      <c r="J508" s="12"/>
    </row>
    <row r="509" spans="2:10" ht="21.75" customHeight="1" x14ac:dyDescent="0.25">
      <c r="B509" s="12"/>
      <c r="C509" s="15"/>
      <c r="D509" s="12"/>
      <c r="E509" s="10" t="str">
        <f>IF(D509="","",IFERROR(VLOOKUP(D509,Productos!$B$5:$J$204,2,FALSE()),"Revisar código"))</f>
        <v/>
      </c>
      <c r="F509" s="13"/>
      <c r="G509" s="12"/>
      <c r="H509" s="12"/>
      <c r="I509" s="12"/>
      <c r="J509" s="12"/>
    </row>
    <row r="510" spans="2:10" ht="21.75" customHeight="1" x14ac:dyDescent="0.25">
      <c r="B510" s="12"/>
      <c r="C510" s="15"/>
      <c r="D510" s="12"/>
      <c r="E510" s="10" t="str">
        <f>IF(D510="","",IFERROR(VLOOKUP(D510,Productos!$B$5:$J$204,2,FALSE()),"Revisar código"))</f>
        <v/>
      </c>
      <c r="F510" s="13"/>
      <c r="G510" s="12"/>
      <c r="H510" s="12"/>
      <c r="I510" s="12"/>
      <c r="J510" s="12"/>
    </row>
    <row r="511" spans="2:10" ht="21.75" customHeight="1" x14ac:dyDescent="0.25">
      <c r="B511" s="12"/>
      <c r="C511" s="15"/>
      <c r="D511" s="12"/>
      <c r="E511" s="10" t="str">
        <f>IF(D511="","",IFERROR(VLOOKUP(D511,Productos!$B$5:$J$204,2,FALSE()),"Revisar código"))</f>
        <v/>
      </c>
      <c r="F511" s="13"/>
      <c r="G511" s="12"/>
      <c r="H511" s="12"/>
      <c r="I511" s="12"/>
      <c r="J511" s="12"/>
    </row>
    <row r="512" spans="2:10" ht="21.75" customHeight="1" x14ac:dyDescent="0.25">
      <c r="B512" s="12"/>
      <c r="C512" s="15"/>
      <c r="D512" s="12"/>
      <c r="E512" s="10" t="str">
        <f>IF(D512="","",IFERROR(VLOOKUP(D512,Productos!$B$5:$J$204,2,FALSE()),"Revisar código"))</f>
        <v/>
      </c>
      <c r="F512" s="13"/>
      <c r="G512" s="12"/>
      <c r="H512" s="12"/>
      <c r="I512" s="12"/>
      <c r="J512" s="12"/>
    </row>
    <row r="513" spans="2:10" ht="21.75" customHeight="1" x14ac:dyDescent="0.25">
      <c r="B513" s="12"/>
      <c r="C513" s="15"/>
      <c r="D513" s="12"/>
      <c r="E513" s="10" t="str">
        <f>IF(D513="","",IFERROR(VLOOKUP(D513,Productos!$B$5:$J$204,2,FALSE()),"Revisar código"))</f>
        <v/>
      </c>
      <c r="F513" s="13"/>
      <c r="G513" s="12"/>
      <c r="H513" s="12"/>
      <c r="I513" s="12"/>
      <c r="J513" s="12"/>
    </row>
    <row r="514" spans="2:10" ht="21.75" customHeight="1" x14ac:dyDescent="0.25">
      <c r="B514" s="12"/>
      <c r="C514" s="15"/>
      <c r="D514" s="12"/>
      <c r="E514" s="10" t="str">
        <f>IF(D514="","",IFERROR(VLOOKUP(D514,Productos!$B$5:$J$204,2,FALSE()),"Revisar código"))</f>
        <v/>
      </c>
      <c r="F514" s="13"/>
      <c r="G514" s="12"/>
      <c r="H514" s="12"/>
      <c r="I514" s="12"/>
      <c r="J514" s="12"/>
    </row>
    <row r="515" spans="2:10" ht="21.75" customHeight="1" x14ac:dyDescent="0.25">
      <c r="B515" s="12"/>
      <c r="C515" s="15"/>
      <c r="D515" s="12"/>
      <c r="E515" s="10" t="str">
        <f>IF(D515="","",IFERROR(VLOOKUP(D515,Productos!$B$5:$J$204,2,FALSE()),"Revisar código"))</f>
        <v/>
      </c>
      <c r="F515" s="13"/>
      <c r="G515" s="12"/>
      <c r="H515" s="12"/>
      <c r="I515" s="12"/>
      <c r="J515" s="12"/>
    </row>
    <row r="516" spans="2:10" ht="21.75" customHeight="1" x14ac:dyDescent="0.25">
      <c r="B516" s="12"/>
      <c r="C516" s="15"/>
      <c r="D516" s="12"/>
      <c r="E516" s="10" t="str">
        <f>IF(D516="","",IFERROR(VLOOKUP(D516,Productos!$B$5:$J$204,2,FALSE()),"Revisar código"))</f>
        <v/>
      </c>
      <c r="F516" s="13"/>
      <c r="G516" s="12"/>
      <c r="H516" s="12"/>
      <c r="I516" s="12"/>
      <c r="J516" s="12"/>
    </row>
    <row r="517" spans="2:10" ht="21.75" customHeight="1" x14ac:dyDescent="0.25">
      <c r="B517" s="12"/>
      <c r="C517" s="15"/>
      <c r="D517" s="12"/>
      <c r="E517" s="10" t="str">
        <f>IF(D517="","",IFERROR(VLOOKUP(D517,Productos!$B$5:$J$204,2,FALSE()),"Revisar código"))</f>
        <v/>
      </c>
      <c r="F517" s="13"/>
      <c r="G517" s="12"/>
      <c r="H517" s="12"/>
      <c r="I517" s="12"/>
      <c r="J517" s="12"/>
    </row>
    <row r="518" spans="2:10" ht="21.75" customHeight="1" x14ac:dyDescent="0.25">
      <c r="B518" s="12"/>
      <c r="C518" s="15"/>
      <c r="D518" s="12"/>
      <c r="E518" s="10" t="str">
        <f>IF(D518="","",IFERROR(VLOOKUP(D518,Productos!$B$5:$J$204,2,FALSE()),"Revisar código"))</f>
        <v/>
      </c>
      <c r="F518" s="13"/>
      <c r="G518" s="12"/>
      <c r="H518" s="12"/>
      <c r="I518" s="12"/>
      <c r="J518" s="12"/>
    </row>
    <row r="519" spans="2:10" ht="21.75" customHeight="1" x14ac:dyDescent="0.25">
      <c r="B519" s="12"/>
      <c r="C519" s="15"/>
      <c r="D519" s="12"/>
      <c r="E519" s="10" t="str">
        <f>IF(D519="","",IFERROR(VLOOKUP(D519,Productos!$B$5:$J$204,2,FALSE()),"Revisar código"))</f>
        <v/>
      </c>
      <c r="F519" s="13"/>
      <c r="G519" s="12"/>
      <c r="H519" s="12"/>
      <c r="I519" s="12"/>
      <c r="J519" s="12"/>
    </row>
    <row r="520" spans="2:10" ht="21.75" customHeight="1" x14ac:dyDescent="0.25">
      <c r="B520" s="12"/>
      <c r="C520" s="15"/>
      <c r="D520" s="12"/>
      <c r="E520" s="10" t="str">
        <f>IF(D520="","",IFERROR(VLOOKUP(D520,Productos!$B$5:$J$204,2,FALSE()),"Revisar código"))</f>
        <v/>
      </c>
      <c r="F520" s="13"/>
      <c r="G520" s="12"/>
      <c r="H520" s="12"/>
      <c r="I520" s="12"/>
      <c r="J520" s="12"/>
    </row>
    <row r="521" spans="2:10" ht="21.75" customHeight="1" x14ac:dyDescent="0.25">
      <c r="B521" s="12"/>
      <c r="C521" s="15"/>
      <c r="D521" s="12"/>
      <c r="E521" s="10" t="str">
        <f>IF(D521="","",IFERROR(VLOOKUP(D521,Productos!$B$5:$J$204,2,FALSE()),"Revisar código"))</f>
        <v/>
      </c>
      <c r="F521" s="13"/>
      <c r="G521" s="12"/>
      <c r="H521" s="12"/>
      <c r="I521" s="12"/>
      <c r="J521" s="12"/>
    </row>
    <row r="522" spans="2:10" ht="21.75" customHeight="1" x14ac:dyDescent="0.25">
      <c r="B522" s="12"/>
      <c r="C522" s="15"/>
      <c r="D522" s="12"/>
      <c r="E522" s="10" t="str">
        <f>IF(D522="","",IFERROR(VLOOKUP(D522,Productos!$B$5:$J$204,2,FALSE()),"Revisar código"))</f>
        <v/>
      </c>
      <c r="F522" s="13"/>
      <c r="G522" s="12"/>
      <c r="H522" s="12"/>
      <c r="I522" s="12"/>
      <c r="J522" s="12"/>
    </row>
    <row r="523" spans="2:10" ht="21.75" customHeight="1" x14ac:dyDescent="0.25">
      <c r="B523" s="12"/>
      <c r="C523" s="15"/>
      <c r="D523" s="12"/>
      <c r="E523" s="10" t="str">
        <f>IF(D523="","",IFERROR(VLOOKUP(D523,Productos!$B$5:$J$204,2,FALSE()),"Revisar código"))</f>
        <v/>
      </c>
      <c r="F523" s="13"/>
      <c r="G523" s="12"/>
      <c r="H523" s="12"/>
      <c r="I523" s="12"/>
      <c r="J523" s="12"/>
    </row>
    <row r="524" spans="2:10" ht="21.75" customHeight="1" x14ac:dyDescent="0.25">
      <c r="B524" s="12"/>
      <c r="C524" s="15"/>
      <c r="D524" s="12"/>
      <c r="E524" s="10" t="str">
        <f>IF(D524="","",IFERROR(VLOOKUP(D524,Productos!$B$5:$J$204,2,FALSE()),"Revisar código"))</f>
        <v/>
      </c>
      <c r="F524" s="13"/>
      <c r="G524" s="12"/>
      <c r="H524" s="12"/>
      <c r="I524" s="12"/>
      <c r="J524" s="12"/>
    </row>
    <row r="525" spans="2:10" ht="21.75" customHeight="1" x14ac:dyDescent="0.25">
      <c r="B525" s="12"/>
      <c r="C525" s="15"/>
      <c r="D525" s="12"/>
      <c r="E525" s="10" t="str">
        <f>IF(D525="","",IFERROR(VLOOKUP(D525,Productos!$B$5:$J$204,2,FALSE()),"Revisar código"))</f>
        <v/>
      </c>
      <c r="F525" s="13"/>
      <c r="G525" s="12"/>
      <c r="H525" s="12"/>
      <c r="I525" s="12"/>
      <c r="J525" s="12"/>
    </row>
    <row r="526" spans="2:10" ht="21.75" customHeight="1" x14ac:dyDescent="0.25">
      <c r="B526" s="12"/>
      <c r="C526" s="15"/>
      <c r="D526" s="12"/>
      <c r="E526" s="10" t="str">
        <f>IF(D526="","",IFERROR(VLOOKUP(D526,Productos!$B$5:$J$204,2,FALSE()),"Revisar código"))</f>
        <v/>
      </c>
      <c r="F526" s="13"/>
      <c r="G526" s="12"/>
      <c r="H526" s="12"/>
      <c r="I526" s="12"/>
      <c r="J526" s="12"/>
    </row>
    <row r="527" spans="2:10" ht="21.75" customHeight="1" x14ac:dyDescent="0.25">
      <c r="B527" s="12"/>
      <c r="C527" s="15"/>
      <c r="D527" s="12"/>
      <c r="E527" s="10" t="str">
        <f>IF(D527="","",IFERROR(VLOOKUP(D527,Productos!$B$5:$J$204,2,FALSE()),"Revisar código"))</f>
        <v/>
      </c>
      <c r="F527" s="13"/>
      <c r="G527" s="12"/>
      <c r="H527" s="12"/>
      <c r="I527" s="12"/>
      <c r="J527" s="12"/>
    </row>
    <row r="528" spans="2:10" ht="21.75" customHeight="1" x14ac:dyDescent="0.25">
      <c r="B528" s="12"/>
      <c r="C528" s="15"/>
      <c r="D528" s="12"/>
      <c r="E528" s="10" t="str">
        <f>IF(D528="","",IFERROR(VLOOKUP(D528,Productos!$B$5:$J$204,2,FALSE()),"Revisar código"))</f>
        <v/>
      </c>
      <c r="F528" s="13"/>
      <c r="G528" s="12"/>
      <c r="H528" s="12"/>
      <c r="I528" s="12"/>
      <c r="J528" s="12"/>
    </row>
    <row r="529" spans="2:10" ht="21.75" customHeight="1" x14ac:dyDescent="0.25">
      <c r="B529" s="12"/>
      <c r="C529" s="15"/>
      <c r="D529" s="12"/>
      <c r="E529" s="10" t="str">
        <f>IF(D529="","",IFERROR(VLOOKUP(D529,Productos!$B$5:$J$204,2,FALSE()),"Revisar código"))</f>
        <v/>
      </c>
      <c r="F529" s="13"/>
      <c r="G529" s="12"/>
      <c r="H529" s="12"/>
      <c r="I529" s="12"/>
      <c r="J529" s="12"/>
    </row>
    <row r="530" spans="2:10" ht="21.75" customHeight="1" x14ac:dyDescent="0.25">
      <c r="B530" s="12"/>
      <c r="C530" s="15"/>
      <c r="D530" s="12"/>
      <c r="E530" s="10" t="str">
        <f>IF(D530="","",IFERROR(VLOOKUP(D530,Productos!$B$5:$J$204,2,FALSE()),"Revisar código"))</f>
        <v/>
      </c>
      <c r="F530" s="13"/>
      <c r="G530" s="12"/>
      <c r="H530" s="12"/>
      <c r="I530" s="12"/>
      <c r="J530" s="12"/>
    </row>
    <row r="531" spans="2:10" ht="21.75" customHeight="1" x14ac:dyDescent="0.25">
      <c r="B531" s="12"/>
      <c r="C531" s="15"/>
      <c r="D531" s="12"/>
      <c r="E531" s="10" t="str">
        <f>IF(D531="","",IFERROR(VLOOKUP(D531,Productos!$B$5:$J$204,2,FALSE()),"Revisar código"))</f>
        <v/>
      </c>
      <c r="F531" s="13"/>
      <c r="G531" s="12"/>
      <c r="H531" s="12"/>
      <c r="I531" s="12"/>
      <c r="J531" s="12"/>
    </row>
    <row r="532" spans="2:10" ht="21.75" customHeight="1" x14ac:dyDescent="0.25">
      <c r="B532" s="12"/>
      <c r="C532" s="15"/>
      <c r="D532" s="12"/>
      <c r="E532" s="10" t="str">
        <f>IF(D532="","",IFERROR(VLOOKUP(D532,Productos!$B$5:$J$204,2,FALSE()),"Revisar código"))</f>
        <v/>
      </c>
      <c r="F532" s="13"/>
      <c r="G532" s="12"/>
      <c r="H532" s="12"/>
      <c r="I532" s="12"/>
      <c r="J532" s="12"/>
    </row>
    <row r="533" spans="2:10" ht="21.75" customHeight="1" x14ac:dyDescent="0.25">
      <c r="B533" s="12"/>
      <c r="C533" s="15"/>
      <c r="D533" s="12"/>
      <c r="E533" s="10" t="str">
        <f>IF(D533="","",IFERROR(VLOOKUP(D533,Productos!$B$5:$J$204,2,FALSE()),"Revisar código"))</f>
        <v/>
      </c>
      <c r="F533" s="13"/>
      <c r="G533" s="12"/>
      <c r="H533" s="12"/>
      <c r="I533" s="12"/>
      <c r="J533" s="12"/>
    </row>
    <row r="534" spans="2:10" ht="21.75" customHeight="1" x14ac:dyDescent="0.25">
      <c r="B534" s="12"/>
      <c r="C534" s="15"/>
      <c r="D534" s="12"/>
      <c r="E534" s="10" t="str">
        <f>IF(D534="","",IFERROR(VLOOKUP(D534,Productos!$B$5:$J$204,2,FALSE()),"Revisar código"))</f>
        <v/>
      </c>
      <c r="F534" s="13"/>
      <c r="G534" s="12"/>
      <c r="H534" s="12"/>
      <c r="I534" s="12"/>
      <c r="J534" s="12"/>
    </row>
    <row r="535" spans="2:10" ht="21.75" customHeight="1" x14ac:dyDescent="0.25">
      <c r="B535" s="12"/>
      <c r="C535" s="15"/>
      <c r="D535" s="12"/>
      <c r="E535" s="10" t="str">
        <f>IF(D535="","",IFERROR(VLOOKUP(D535,Productos!$B$5:$J$204,2,FALSE()),"Revisar código"))</f>
        <v/>
      </c>
      <c r="F535" s="13"/>
      <c r="G535" s="12"/>
      <c r="H535" s="12"/>
      <c r="I535" s="12"/>
      <c r="J535" s="12"/>
    </row>
    <row r="536" spans="2:10" ht="21.75" customHeight="1" x14ac:dyDescent="0.25">
      <c r="B536" s="12"/>
      <c r="C536" s="15"/>
      <c r="D536" s="12"/>
      <c r="E536" s="10" t="str">
        <f>IF(D536="","",IFERROR(VLOOKUP(D536,Productos!$B$5:$J$204,2,FALSE()),"Revisar código"))</f>
        <v/>
      </c>
      <c r="F536" s="13"/>
      <c r="G536" s="12"/>
      <c r="H536" s="12"/>
      <c r="I536" s="12"/>
      <c r="J536" s="12"/>
    </row>
    <row r="537" spans="2:10" ht="21.75" customHeight="1" x14ac:dyDescent="0.25">
      <c r="B537" s="12"/>
      <c r="C537" s="15"/>
      <c r="D537" s="12"/>
      <c r="E537" s="10" t="str">
        <f>IF(D537="","",IFERROR(VLOOKUP(D537,Productos!$B$5:$J$204,2,FALSE()),"Revisar código"))</f>
        <v/>
      </c>
      <c r="F537" s="13"/>
      <c r="G537" s="12"/>
      <c r="H537" s="12"/>
      <c r="I537" s="12"/>
      <c r="J537" s="12"/>
    </row>
    <row r="538" spans="2:10" ht="21.75" customHeight="1" x14ac:dyDescent="0.25">
      <c r="B538" s="12"/>
      <c r="C538" s="15"/>
      <c r="D538" s="12"/>
      <c r="E538" s="10" t="str">
        <f>IF(D538="","",IFERROR(VLOOKUP(D538,Productos!$B$5:$J$204,2,FALSE()),"Revisar código"))</f>
        <v/>
      </c>
      <c r="F538" s="13"/>
      <c r="G538" s="12"/>
      <c r="H538" s="12"/>
      <c r="I538" s="12"/>
      <c r="J538" s="12"/>
    </row>
    <row r="539" spans="2:10" ht="21.75" customHeight="1" x14ac:dyDescent="0.25">
      <c r="B539" s="12"/>
      <c r="C539" s="15"/>
      <c r="D539" s="12"/>
      <c r="E539" s="10" t="str">
        <f>IF(D539="","",IFERROR(VLOOKUP(D539,Productos!$B$5:$J$204,2,FALSE()),"Revisar código"))</f>
        <v/>
      </c>
      <c r="F539" s="13"/>
      <c r="G539" s="12"/>
      <c r="H539" s="12"/>
      <c r="I539" s="12"/>
      <c r="J539" s="12"/>
    </row>
    <row r="540" spans="2:10" ht="21.75" customHeight="1" x14ac:dyDescent="0.25">
      <c r="B540" s="12"/>
      <c r="C540" s="15"/>
      <c r="D540" s="12"/>
      <c r="E540" s="10" t="str">
        <f>IF(D540="","",IFERROR(VLOOKUP(D540,Productos!$B$5:$J$204,2,FALSE()),"Revisar código"))</f>
        <v/>
      </c>
      <c r="F540" s="13"/>
      <c r="G540" s="12"/>
      <c r="H540" s="12"/>
      <c r="I540" s="12"/>
      <c r="J540" s="12"/>
    </row>
    <row r="541" spans="2:10" ht="21.75" customHeight="1" x14ac:dyDescent="0.25">
      <c r="B541" s="12"/>
      <c r="C541" s="15"/>
      <c r="D541" s="12"/>
      <c r="E541" s="10" t="str">
        <f>IF(D541="","",IFERROR(VLOOKUP(D541,Productos!$B$5:$J$204,2,FALSE()),"Revisar código"))</f>
        <v/>
      </c>
      <c r="F541" s="13"/>
      <c r="G541" s="12"/>
      <c r="H541" s="12"/>
      <c r="I541" s="12"/>
      <c r="J541" s="12"/>
    </row>
    <row r="542" spans="2:10" ht="21.75" customHeight="1" x14ac:dyDescent="0.25">
      <c r="B542" s="12"/>
      <c r="C542" s="15"/>
      <c r="D542" s="12"/>
      <c r="E542" s="10" t="str">
        <f>IF(D542="","",IFERROR(VLOOKUP(D542,Productos!$B$5:$J$204,2,FALSE()),"Revisar código"))</f>
        <v/>
      </c>
      <c r="F542" s="13"/>
      <c r="G542" s="12"/>
      <c r="H542" s="12"/>
      <c r="I542" s="12"/>
      <c r="J542" s="12"/>
    </row>
    <row r="543" spans="2:10" ht="21.75" customHeight="1" x14ac:dyDescent="0.25">
      <c r="B543" s="12"/>
      <c r="C543" s="15"/>
      <c r="D543" s="12"/>
      <c r="E543" s="10" t="str">
        <f>IF(D543="","",IFERROR(VLOOKUP(D543,Productos!$B$5:$J$204,2,FALSE()),"Revisar código"))</f>
        <v/>
      </c>
      <c r="F543" s="13"/>
      <c r="G543" s="12"/>
      <c r="H543" s="12"/>
      <c r="I543" s="12"/>
      <c r="J543" s="12"/>
    </row>
    <row r="544" spans="2:10" ht="21.75" customHeight="1" x14ac:dyDescent="0.25">
      <c r="B544" s="12"/>
      <c r="C544" s="15"/>
      <c r="D544" s="12"/>
      <c r="E544" s="10" t="str">
        <f>IF(D544="","",IFERROR(VLOOKUP(D544,Productos!$B$5:$J$204,2,FALSE()),"Revisar código"))</f>
        <v/>
      </c>
      <c r="F544" s="13"/>
      <c r="G544" s="12"/>
      <c r="H544" s="12"/>
      <c r="I544" s="12"/>
      <c r="J544" s="12"/>
    </row>
    <row r="545" spans="2:10" ht="21.75" customHeight="1" x14ac:dyDescent="0.25">
      <c r="B545" s="12"/>
      <c r="C545" s="15"/>
      <c r="D545" s="12"/>
      <c r="E545" s="10" t="str">
        <f>IF(D545="","",IFERROR(VLOOKUP(D545,Productos!$B$5:$J$204,2,FALSE()),"Revisar código"))</f>
        <v/>
      </c>
      <c r="F545" s="13"/>
      <c r="G545" s="12"/>
      <c r="H545" s="12"/>
      <c r="I545" s="12"/>
      <c r="J545" s="12"/>
    </row>
    <row r="546" spans="2:10" ht="21.75" customHeight="1" x14ac:dyDescent="0.25">
      <c r="B546" s="12"/>
      <c r="C546" s="15"/>
      <c r="D546" s="12"/>
      <c r="E546" s="10" t="str">
        <f>IF(D546="","",IFERROR(VLOOKUP(D546,Productos!$B$5:$J$204,2,FALSE()),"Revisar código"))</f>
        <v/>
      </c>
      <c r="F546" s="13"/>
      <c r="G546" s="12"/>
      <c r="H546" s="12"/>
      <c r="I546" s="12"/>
      <c r="J546" s="12"/>
    </row>
    <row r="547" spans="2:10" ht="21.75" customHeight="1" x14ac:dyDescent="0.25">
      <c r="B547" s="12"/>
      <c r="C547" s="15"/>
      <c r="D547" s="12"/>
      <c r="E547" s="10" t="str">
        <f>IF(D547="","",IFERROR(VLOOKUP(D547,Productos!$B$5:$J$204,2,FALSE()),"Revisar código"))</f>
        <v/>
      </c>
      <c r="F547" s="13"/>
      <c r="G547" s="12"/>
      <c r="H547" s="12"/>
      <c r="I547" s="12"/>
      <c r="J547" s="12"/>
    </row>
    <row r="548" spans="2:10" ht="21.75" customHeight="1" x14ac:dyDescent="0.25">
      <c r="B548" s="12"/>
      <c r="C548" s="15"/>
      <c r="D548" s="12"/>
      <c r="E548" s="10" t="str">
        <f>IF(D548="","",IFERROR(VLOOKUP(D548,Productos!$B$5:$J$204,2,FALSE()),"Revisar código"))</f>
        <v/>
      </c>
      <c r="F548" s="13"/>
      <c r="G548" s="12"/>
      <c r="H548" s="12"/>
      <c r="I548" s="12"/>
      <c r="J548" s="12"/>
    </row>
    <row r="549" spans="2:10" ht="21.75" customHeight="1" x14ac:dyDescent="0.25">
      <c r="B549" s="12"/>
      <c r="C549" s="15"/>
      <c r="D549" s="12"/>
      <c r="E549" s="10" t="str">
        <f>IF(D549="","",IFERROR(VLOOKUP(D549,Productos!$B$5:$J$204,2,FALSE()),"Revisar código"))</f>
        <v/>
      </c>
      <c r="F549" s="13"/>
      <c r="G549" s="12"/>
      <c r="H549" s="12"/>
      <c r="I549" s="12"/>
      <c r="J549" s="12"/>
    </row>
    <row r="550" spans="2:10" ht="21.75" customHeight="1" x14ac:dyDescent="0.25">
      <c r="B550" s="12"/>
      <c r="C550" s="15"/>
      <c r="D550" s="12"/>
      <c r="E550" s="10" t="str">
        <f>IF(D550="","",IFERROR(VLOOKUP(D550,Productos!$B$5:$J$204,2,FALSE()),"Revisar código"))</f>
        <v/>
      </c>
      <c r="F550" s="13"/>
      <c r="G550" s="12"/>
      <c r="H550" s="12"/>
      <c r="I550" s="12"/>
      <c r="J550" s="12"/>
    </row>
    <row r="551" spans="2:10" ht="21.75" customHeight="1" x14ac:dyDescent="0.25">
      <c r="B551" s="12"/>
      <c r="C551" s="15"/>
      <c r="D551" s="12"/>
      <c r="E551" s="10" t="str">
        <f>IF(D551="","",IFERROR(VLOOKUP(D551,Productos!$B$5:$J$204,2,FALSE()),"Revisar código"))</f>
        <v/>
      </c>
      <c r="F551" s="13"/>
      <c r="G551" s="12"/>
      <c r="H551" s="12"/>
      <c r="I551" s="12"/>
      <c r="J551" s="12"/>
    </row>
    <row r="552" spans="2:10" ht="21.75" customHeight="1" x14ac:dyDescent="0.25">
      <c r="B552" s="12"/>
      <c r="C552" s="15"/>
      <c r="D552" s="12"/>
      <c r="E552" s="10" t="str">
        <f>IF(D552="","",IFERROR(VLOOKUP(D552,Productos!$B$5:$J$204,2,FALSE()),"Revisar código"))</f>
        <v/>
      </c>
      <c r="F552" s="13"/>
      <c r="G552" s="12"/>
      <c r="H552" s="12"/>
      <c r="I552" s="12"/>
      <c r="J552" s="12"/>
    </row>
    <row r="553" spans="2:10" ht="21.75" customHeight="1" x14ac:dyDescent="0.25">
      <c r="B553" s="12"/>
      <c r="C553" s="15"/>
      <c r="D553" s="12"/>
      <c r="E553" s="10" t="str">
        <f>IF(D553="","",IFERROR(VLOOKUP(D553,Productos!$B$5:$J$204,2,FALSE()),"Revisar código"))</f>
        <v/>
      </c>
      <c r="F553" s="13"/>
      <c r="G553" s="12"/>
      <c r="H553" s="12"/>
      <c r="I553" s="12"/>
      <c r="J553" s="12"/>
    </row>
    <row r="554" spans="2:10" ht="21.75" customHeight="1" x14ac:dyDescent="0.25">
      <c r="B554" s="12"/>
      <c r="C554" s="15"/>
      <c r="D554" s="12"/>
      <c r="E554" s="10" t="str">
        <f>IF(D554="","",IFERROR(VLOOKUP(D554,Productos!$B$5:$J$204,2,FALSE()),"Revisar código"))</f>
        <v/>
      </c>
      <c r="F554" s="13"/>
      <c r="G554" s="12"/>
      <c r="H554" s="12"/>
      <c r="I554" s="12"/>
      <c r="J554" s="12"/>
    </row>
    <row r="555" spans="2:10" ht="21.75" customHeight="1" x14ac:dyDescent="0.25">
      <c r="B555" s="12"/>
      <c r="C555" s="15"/>
      <c r="D555" s="12"/>
      <c r="E555" s="10" t="str">
        <f>IF(D555="","",IFERROR(VLOOKUP(D555,Productos!$B$5:$J$204,2,FALSE()),"Revisar código"))</f>
        <v/>
      </c>
      <c r="F555" s="13"/>
      <c r="G555" s="12"/>
      <c r="H555" s="12"/>
      <c r="I555" s="12"/>
      <c r="J555" s="12"/>
    </row>
    <row r="556" spans="2:10" ht="21.75" customHeight="1" x14ac:dyDescent="0.25">
      <c r="B556" s="12"/>
      <c r="C556" s="15"/>
      <c r="D556" s="12"/>
      <c r="E556" s="10" t="str">
        <f>IF(D556="","",IFERROR(VLOOKUP(D556,Productos!$B$5:$J$204,2,FALSE()),"Revisar código"))</f>
        <v/>
      </c>
      <c r="F556" s="13"/>
      <c r="G556" s="12"/>
      <c r="H556" s="12"/>
      <c r="I556" s="12"/>
      <c r="J556" s="12"/>
    </row>
    <row r="557" spans="2:10" ht="21.75" customHeight="1" x14ac:dyDescent="0.25">
      <c r="B557" s="12"/>
      <c r="C557" s="15"/>
      <c r="D557" s="12"/>
      <c r="E557" s="10" t="str">
        <f>IF(D557="","",IFERROR(VLOOKUP(D557,Productos!$B$5:$J$204,2,FALSE()),"Revisar código"))</f>
        <v/>
      </c>
      <c r="F557" s="13"/>
      <c r="G557" s="12"/>
      <c r="H557" s="12"/>
      <c r="I557" s="12"/>
      <c r="J557" s="12"/>
    </row>
    <row r="558" spans="2:10" ht="21.75" customHeight="1" x14ac:dyDescent="0.25">
      <c r="B558" s="12"/>
      <c r="C558" s="15"/>
      <c r="D558" s="12"/>
      <c r="E558" s="10" t="str">
        <f>IF(D558="","",IFERROR(VLOOKUP(D558,Productos!$B$5:$J$204,2,FALSE()),"Revisar código"))</f>
        <v/>
      </c>
      <c r="F558" s="13"/>
      <c r="G558" s="12"/>
      <c r="H558" s="12"/>
      <c r="I558" s="12"/>
      <c r="J558" s="12"/>
    </row>
    <row r="559" spans="2:10" ht="21.75" customHeight="1" x14ac:dyDescent="0.25">
      <c r="B559" s="12"/>
      <c r="C559" s="15"/>
      <c r="D559" s="12"/>
      <c r="E559" s="10" t="str">
        <f>IF(D559="","",IFERROR(VLOOKUP(D559,Productos!$B$5:$J$204,2,FALSE()),"Revisar código"))</f>
        <v/>
      </c>
      <c r="F559" s="13"/>
      <c r="G559" s="12"/>
      <c r="H559" s="12"/>
      <c r="I559" s="12"/>
      <c r="J559" s="12"/>
    </row>
    <row r="560" spans="2:10" ht="21.75" customHeight="1" x14ac:dyDescent="0.25">
      <c r="B560" s="12"/>
      <c r="C560" s="15"/>
      <c r="D560" s="12"/>
      <c r="E560" s="10" t="str">
        <f>IF(D560="","",IFERROR(VLOOKUP(D560,Productos!$B$5:$J$204,2,FALSE()),"Revisar código"))</f>
        <v/>
      </c>
      <c r="F560" s="13"/>
      <c r="G560" s="12"/>
      <c r="H560" s="12"/>
      <c r="I560" s="12"/>
      <c r="J560" s="12"/>
    </row>
    <row r="561" spans="2:10" ht="21.75" customHeight="1" x14ac:dyDescent="0.25">
      <c r="B561" s="12"/>
      <c r="C561" s="15"/>
      <c r="D561" s="12"/>
      <c r="E561" s="10" t="str">
        <f>IF(D561="","",IFERROR(VLOOKUP(D561,Productos!$B$5:$J$204,2,FALSE()),"Revisar código"))</f>
        <v/>
      </c>
      <c r="F561" s="13"/>
      <c r="G561" s="12"/>
      <c r="H561" s="12"/>
      <c r="I561" s="12"/>
      <c r="J561" s="12"/>
    </row>
    <row r="562" spans="2:10" ht="21.75" customHeight="1" x14ac:dyDescent="0.25">
      <c r="B562" s="12"/>
      <c r="C562" s="15"/>
      <c r="D562" s="12"/>
      <c r="E562" s="10" t="str">
        <f>IF(D562="","",IFERROR(VLOOKUP(D562,Productos!$B$5:$J$204,2,FALSE()),"Revisar código"))</f>
        <v/>
      </c>
      <c r="F562" s="13"/>
      <c r="G562" s="12"/>
      <c r="H562" s="12"/>
      <c r="I562" s="12"/>
      <c r="J562" s="12"/>
    </row>
    <row r="563" spans="2:10" ht="21.75" customHeight="1" x14ac:dyDescent="0.25">
      <c r="B563" s="12"/>
      <c r="C563" s="15"/>
      <c r="D563" s="12"/>
      <c r="E563" s="10" t="str">
        <f>IF(D563="","",IFERROR(VLOOKUP(D563,Productos!$B$5:$J$204,2,FALSE()),"Revisar código"))</f>
        <v/>
      </c>
      <c r="F563" s="13"/>
      <c r="G563" s="12"/>
      <c r="H563" s="12"/>
      <c r="I563" s="12"/>
      <c r="J563" s="12"/>
    </row>
    <row r="564" spans="2:10" ht="21.75" customHeight="1" x14ac:dyDescent="0.25">
      <c r="B564" s="12"/>
      <c r="C564" s="15"/>
      <c r="D564" s="12"/>
      <c r="E564" s="10" t="str">
        <f>IF(D564="","",IFERROR(VLOOKUP(D564,Productos!$B$5:$J$204,2,FALSE()),"Revisar código"))</f>
        <v/>
      </c>
      <c r="F564" s="13"/>
      <c r="G564" s="12"/>
      <c r="H564" s="12"/>
      <c r="I564" s="12"/>
      <c r="J564" s="12"/>
    </row>
    <row r="565" spans="2:10" ht="21.75" customHeight="1" x14ac:dyDescent="0.25">
      <c r="B565" s="12"/>
      <c r="C565" s="15"/>
      <c r="D565" s="12"/>
      <c r="E565" s="10" t="str">
        <f>IF(D565="","",IFERROR(VLOOKUP(D565,Productos!$B$5:$J$204,2,FALSE()),"Revisar código"))</f>
        <v/>
      </c>
      <c r="F565" s="13"/>
      <c r="G565" s="12"/>
      <c r="H565" s="12"/>
      <c r="I565" s="12"/>
      <c r="J565" s="12"/>
    </row>
    <row r="566" spans="2:10" ht="21.75" customHeight="1" x14ac:dyDescent="0.25">
      <c r="B566" s="12"/>
      <c r="C566" s="15"/>
      <c r="D566" s="12"/>
      <c r="E566" s="10" t="str">
        <f>IF(D566="","",IFERROR(VLOOKUP(D566,Productos!$B$5:$J$204,2,FALSE()),"Revisar código"))</f>
        <v/>
      </c>
      <c r="F566" s="13"/>
      <c r="G566" s="12"/>
      <c r="H566" s="12"/>
      <c r="I566" s="12"/>
      <c r="J566" s="12"/>
    </row>
    <row r="567" spans="2:10" ht="21.75" customHeight="1" x14ac:dyDescent="0.25">
      <c r="B567" s="12"/>
      <c r="C567" s="15"/>
      <c r="D567" s="12"/>
      <c r="E567" s="10" t="str">
        <f>IF(D567="","",IFERROR(VLOOKUP(D567,Productos!$B$5:$J$204,2,FALSE()),"Revisar código"))</f>
        <v/>
      </c>
      <c r="F567" s="13"/>
      <c r="G567" s="12"/>
      <c r="H567" s="12"/>
      <c r="I567" s="12"/>
      <c r="J567" s="12"/>
    </row>
    <row r="568" spans="2:10" ht="21.75" customHeight="1" x14ac:dyDescent="0.25">
      <c r="B568" s="12"/>
      <c r="C568" s="15"/>
      <c r="D568" s="12"/>
      <c r="E568" s="10" t="str">
        <f>IF(D568="","",IFERROR(VLOOKUP(D568,Productos!$B$5:$J$204,2,FALSE()),"Revisar código"))</f>
        <v/>
      </c>
      <c r="F568" s="13"/>
      <c r="G568" s="12"/>
      <c r="H568" s="12"/>
      <c r="I568" s="12"/>
      <c r="J568" s="12"/>
    </row>
    <row r="569" spans="2:10" ht="21.75" customHeight="1" x14ac:dyDescent="0.25">
      <c r="B569" s="12"/>
      <c r="C569" s="15"/>
      <c r="D569" s="12"/>
      <c r="E569" s="10" t="str">
        <f>IF(D569="","",IFERROR(VLOOKUP(D569,Productos!$B$5:$J$204,2,FALSE()),"Revisar código"))</f>
        <v/>
      </c>
      <c r="F569" s="13"/>
      <c r="G569" s="12"/>
      <c r="H569" s="12"/>
      <c r="I569" s="12"/>
      <c r="J569" s="12"/>
    </row>
    <row r="570" spans="2:10" ht="21.75" customHeight="1" x14ac:dyDescent="0.25">
      <c r="B570" s="12"/>
      <c r="C570" s="15"/>
      <c r="D570" s="12"/>
      <c r="E570" s="10" t="str">
        <f>IF(D570="","",IFERROR(VLOOKUP(D570,Productos!$B$5:$J$204,2,FALSE()),"Revisar código"))</f>
        <v/>
      </c>
      <c r="F570" s="13"/>
      <c r="G570" s="12"/>
      <c r="H570" s="12"/>
      <c r="I570" s="12"/>
      <c r="J570" s="12"/>
    </row>
    <row r="571" spans="2:10" ht="21.75" customHeight="1" x14ac:dyDescent="0.25">
      <c r="B571" s="12"/>
      <c r="C571" s="15"/>
      <c r="D571" s="12"/>
      <c r="E571" s="10" t="str">
        <f>IF(D571="","",IFERROR(VLOOKUP(D571,Productos!$B$5:$J$204,2,FALSE()),"Revisar código"))</f>
        <v/>
      </c>
      <c r="F571" s="13"/>
      <c r="G571" s="12"/>
      <c r="H571" s="12"/>
      <c r="I571" s="12"/>
      <c r="J571" s="12"/>
    </row>
    <row r="572" spans="2:10" ht="21.75" customHeight="1" x14ac:dyDescent="0.25">
      <c r="B572" s="12"/>
      <c r="C572" s="15"/>
      <c r="D572" s="12"/>
      <c r="E572" s="10" t="str">
        <f>IF(D572="","",IFERROR(VLOOKUP(D572,Productos!$B$5:$J$204,2,FALSE()),"Revisar código"))</f>
        <v/>
      </c>
      <c r="F572" s="13"/>
      <c r="G572" s="12"/>
      <c r="H572" s="12"/>
      <c r="I572" s="12"/>
      <c r="J572" s="12"/>
    </row>
    <row r="573" spans="2:10" ht="21.75" customHeight="1" x14ac:dyDescent="0.25">
      <c r="B573" s="12"/>
      <c r="C573" s="15"/>
      <c r="D573" s="12"/>
      <c r="E573" s="10" t="str">
        <f>IF(D573="","",IFERROR(VLOOKUP(D573,Productos!$B$5:$J$204,2,FALSE()),"Revisar código"))</f>
        <v/>
      </c>
      <c r="F573" s="13"/>
      <c r="G573" s="12"/>
      <c r="H573" s="12"/>
      <c r="I573" s="12"/>
      <c r="J573" s="12"/>
    </row>
    <row r="574" spans="2:10" ht="21.75" customHeight="1" x14ac:dyDescent="0.25">
      <c r="B574" s="12"/>
      <c r="C574" s="15"/>
      <c r="D574" s="12"/>
      <c r="E574" s="10" t="str">
        <f>IF(D574="","",IFERROR(VLOOKUP(D574,Productos!$B$5:$J$204,2,FALSE()),"Revisar código"))</f>
        <v/>
      </c>
      <c r="F574" s="13"/>
      <c r="G574" s="12"/>
      <c r="H574" s="12"/>
      <c r="I574" s="12"/>
      <c r="J574" s="12"/>
    </row>
    <row r="575" spans="2:10" ht="21.75" customHeight="1" x14ac:dyDescent="0.25">
      <c r="B575" s="12"/>
      <c r="C575" s="15"/>
      <c r="D575" s="12"/>
      <c r="E575" s="10" t="str">
        <f>IF(D575="","",IFERROR(VLOOKUP(D575,Productos!$B$5:$J$204,2,FALSE()),"Revisar código"))</f>
        <v/>
      </c>
      <c r="F575" s="13"/>
      <c r="G575" s="12"/>
      <c r="H575" s="12"/>
      <c r="I575" s="12"/>
      <c r="J575" s="12"/>
    </row>
    <row r="576" spans="2:10" ht="21.75" customHeight="1" x14ac:dyDescent="0.25">
      <c r="B576" s="12"/>
      <c r="C576" s="15"/>
      <c r="D576" s="12"/>
      <c r="E576" s="10" t="str">
        <f>IF(D576="","",IFERROR(VLOOKUP(D576,Productos!$B$5:$J$204,2,FALSE()),"Revisar código"))</f>
        <v/>
      </c>
      <c r="F576" s="13"/>
      <c r="G576" s="12"/>
      <c r="H576" s="12"/>
      <c r="I576" s="12"/>
      <c r="J576" s="12"/>
    </row>
    <row r="577" spans="2:10" ht="21.75" customHeight="1" x14ac:dyDescent="0.25">
      <c r="B577" s="12"/>
      <c r="C577" s="15"/>
      <c r="D577" s="12"/>
      <c r="E577" s="10" t="str">
        <f>IF(D577="","",IFERROR(VLOOKUP(D577,Productos!$B$5:$J$204,2,FALSE()),"Revisar código"))</f>
        <v/>
      </c>
      <c r="F577" s="13"/>
      <c r="G577" s="12"/>
      <c r="H577" s="12"/>
      <c r="I577" s="12"/>
      <c r="J577" s="12"/>
    </row>
    <row r="578" spans="2:10" ht="21.75" customHeight="1" x14ac:dyDescent="0.25">
      <c r="B578" s="12"/>
      <c r="C578" s="15"/>
      <c r="D578" s="12"/>
      <c r="E578" s="10" t="str">
        <f>IF(D578="","",IFERROR(VLOOKUP(D578,Productos!$B$5:$J$204,2,FALSE()),"Revisar código"))</f>
        <v/>
      </c>
      <c r="F578" s="13"/>
      <c r="G578" s="12"/>
      <c r="H578" s="12"/>
      <c r="I578" s="12"/>
      <c r="J578" s="12"/>
    </row>
    <row r="579" spans="2:10" ht="21.75" customHeight="1" x14ac:dyDescent="0.25">
      <c r="B579" s="12"/>
      <c r="C579" s="15"/>
      <c r="D579" s="12"/>
      <c r="E579" s="10" t="str">
        <f>IF(D579="","",IFERROR(VLOOKUP(D579,Productos!$B$5:$J$204,2,FALSE()),"Revisar código"))</f>
        <v/>
      </c>
      <c r="F579" s="13"/>
      <c r="G579" s="12"/>
      <c r="H579" s="12"/>
      <c r="I579" s="12"/>
      <c r="J579" s="12"/>
    </row>
    <row r="580" spans="2:10" ht="21.75" customHeight="1" x14ac:dyDescent="0.25">
      <c r="B580" s="12"/>
      <c r="C580" s="15"/>
      <c r="D580" s="12"/>
      <c r="E580" s="10" t="str">
        <f>IF(D580="","",IFERROR(VLOOKUP(D580,Productos!$B$5:$J$204,2,FALSE()),"Revisar código"))</f>
        <v/>
      </c>
      <c r="F580" s="13"/>
      <c r="G580" s="12"/>
      <c r="H580" s="12"/>
      <c r="I580" s="12"/>
      <c r="J580" s="12"/>
    </row>
    <row r="581" spans="2:10" ht="21.75" customHeight="1" x14ac:dyDescent="0.25">
      <c r="B581" s="12"/>
      <c r="C581" s="15"/>
      <c r="D581" s="12"/>
      <c r="E581" s="10" t="str">
        <f>IF(D581="","",IFERROR(VLOOKUP(D581,Productos!$B$5:$J$204,2,FALSE()),"Revisar código"))</f>
        <v/>
      </c>
      <c r="F581" s="13"/>
      <c r="G581" s="12"/>
      <c r="H581" s="12"/>
      <c r="I581" s="12"/>
      <c r="J581" s="12"/>
    </row>
    <row r="582" spans="2:10" ht="21.75" customHeight="1" x14ac:dyDescent="0.25">
      <c r="B582" s="12"/>
      <c r="C582" s="15"/>
      <c r="D582" s="12"/>
      <c r="E582" s="10" t="str">
        <f>IF(D582="","",IFERROR(VLOOKUP(D582,Productos!$B$5:$J$204,2,FALSE()),"Revisar código"))</f>
        <v/>
      </c>
      <c r="F582" s="13"/>
      <c r="G582" s="12"/>
      <c r="H582" s="12"/>
      <c r="I582" s="12"/>
      <c r="J582" s="12"/>
    </row>
    <row r="583" spans="2:10" ht="21.75" customHeight="1" x14ac:dyDescent="0.25">
      <c r="B583" s="12"/>
      <c r="C583" s="15"/>
      <c r="D583" s="12"/>
      <c r="E583" s="10" t="str">
        <f>IF(D583="","",IFERROR(VLOOKUP(D583,Productos!$B$5:$J$204,2,FALSE()),"Revisar código"))</f>
        <v/>
      </c>
      <c r="F583" s="13"/>
      <c r="G583" s="12"/>
      <c r="H583" s="12"/>
      <c r="I583" s="12"/>
      <c r="J583" s="12"/>
    </row>
    <row r="584" spans="2:10" ht="21.75" customHeight="1" x14ac:dyDescent="0.25">
      <c r="B584" s="12"/>
      <c r="C584" s="15"/>
      <c r="D584" s="12"/>
      <c r="E584" s="10" t="str">
        <f>IF(D584="","",IFERROR(VLOOKUP(D584,Productos!$B$5:$J$204,2,FALSE()),"Revisar código"))</f>
        <v/>
      </c>
      <c r="F584" s="13"/>
      <c r="G584" s="12"/>
      <c r="H584" s="12"/>
      <c r="I584" s="12"/>
      <c r="J584" s="12"/>
    </row>
    <row r="585" spans="2:10" ht="21.75" customHeight="1" x14ac:dyDescent="0.25">
      <c r="B585" s="12"/>
      <c r="C585" s="15"/>
      <c r="D585" s="12"/>
      <c r="E585" s="10" t="str">
        <f>IF(D585="","",IFERROR(VLOOKUP(D585,Productos!$B$5:$J$204,2,FALSE()),"Revisar código"))</f>
        <v/>
      </c>
      <c r="F585" s="13"/>
      <c r="G585" s="12"/>
      <c r="H585" s="12"/>
      <c r="I585" s="12"/>
      <c r="J585" s="12"/>
    </row>
    <row r="586" spans="2:10" ht="21.75" customHeight="1" x14ac:dyDescent="0.25">
      <c r="B586" s="12"/>
      <c r="C586" s="15"/>
      <c r="D586" s="12"/>
      <c r="E586" s="10" t="str">
        <f>IF(D586="","",IFERROR(VLOOKUP(D586,Productos!$B$5:$J$204,2,FALSE()),"Revisar código"))</f>
        <v/>
      </c>
      <c r="F586" s="13"/>
      <c r="G586" s="12"/>
      <c r="H586" s="12"/>
      <c r="I586" s="12"/>
      <c r="J586" s="12"/>
    </row>
    <row r="587" spans="2:10" ht="21.75" customHeight="1" x14ac:dyDescent="0.25">
      <c r="B587" s="12"/>
      <c r="C587" s="15"/>
      <c r="D587" s="12"/>
      <c r="E587" s="10" t="str">
        <f>IF(D587="","",IFERROR(VLOOKUP(D587,Productos!$B$5:$J$204,2,FALSE()),"Revisar código"))</f>
        <v/>
      </c>
      <c r="F587" s="13"/>
      <c r="G587" s="12"/>
      <c r="H587" s="12"/>
      <c r="I587" s="12"/>
      <c r="J587" s="12"/>
    </row>
    <row r="588" spans="2:10" ht="21.75" customHeight="1" x14ac:dyDescent="0.25">
      <c r="B588" s="12"/>
      <c r="C588" s="15"/>
      <c r="D588" s="12"/>
      <c r="E588" s="10" t="str">
        <f>IF(D588="","",IFERROR(VLOOKUP(D588,Productos!$B$5:$J$204,2,FALSE()),"Revisar código"))</f>
        <v/>
      </c>
      <c r="F588" s="13"/>
      <c r="G588" s="12"/>
      <c r="H588" s="12"/>
      <c r="I588" s="12"/>
      <c r="J588" s="12"/>
    </row>
    <row r="589" spans="2:10" ht="21.75" customHeight="1" x14ac:dyDescent="0.25">
      <c r="B589" s="12"/>
      <c r="C589" s="15"/>
      <c r="D589" s="12"/>
      <c r="E589" s="10" t="str">
        <f>IF(D589="","",IFERROR(VLOOKUP(D589,Productos!$B$5:$J$204,2,FALSE()),"Revisar código"))</f>
        <v/>
      </c>
      <c r="F589" s="13"/>
      <c r="G589" s="12"/>
      <c r="H589" s="12"/>
      <c r="I589" s="12"/>
      <c r="J589" s="12"/>
    </row>
    <row r="590" spans="2:10" ht="21.75" customHeight="1" x14ac:dyDescent="0.25">
      <c r="B590" s="12"/>
      <c r="C590" s="15"/>
      <c r="D590" s="12"/>
      <c r="E590" s="10" t="str">
        <f>IF(D590="","",IFERROR(VLOOKUP(D590,Productos!$B$5:$J$204,2,FALSE()),"Revisar código"))</f>
        <v/>
      </c>
      <c r="F590" s="13"/>
      <c r="G590" s="12"/>
      <c r="H590" s="12"/>
      <c r="I590" s="12"/>
      <c r="J590" s="12"/>
    </row>
    <row r="591" spans="2:10" ht="21.75" customHeight="1" x14ac:dyDescent="0.25">
      <c r="B591" s="12"/>
      <c r="C591" s="15"/>
      <c r="D591" s="12"/>
      <c r="E591" s="10" t="str">
        <f>IF(D591="","",IFERROR(VLOOKUP(D591,Productos!$B$5:$J$204,2,FALSE()),"Revisar código"))</f>
        <v/>
      </c>
      <c r="F591" s="13"/>
      <c r="G591" s="12"/>
      <c r="H591" s="12"/>
      <c r="I591" s="12"/>
      <c r="J591" s="12"/>
    </row>
    <row r="592" spans="2:10" ht="21.75" customHeight="1" x14ac:dyDescent="0.25">
      <c r="B592" s="12"/>
      <c r="C592" s="15"/>
      <c r="D592" s="12"/>
      <c r="E592" s="10" t="str">
        <f>IF(D592="","",IFERROR(VLOOKUP(D592,Productos!$B$5:$J$204,2,FALSE()),"Revisar código"))</f>
        <v/>
      </c>
      <c r="F592" s="13"/>
      <c r="G592" s="12"/>
      <c r="H592" s="12"/>
      <c r="I592" s="12"/>
      <c r="J592" s="12"/>
    </row>
    <row r="593" spans="2:10" ht="21.75" customHeight="1" x14ac:dyDescent="0.25">
      <c r="B593" s="12"/>
      <c r="C593" s="15"/>
      <c r="D593" s="12"/>
      <c r="E593" s="10" t="str">
        <f>IF(D593="","",IFERROR(VLOOKUP(D593,Productos!$B$5:$J$204,2,FALSE()),"Revisar código"))</f>
        <v/>
      </c>
      <c r="F593" s="13"/>
      <c r="G593" s="12"/>
      <c r="H593" s="12"/>
      <c r="I593" s="12"/>
      <c r="J593" s="12"/>
    </row>
    <row r="594" spans="2:10" ht="21.75" customHeight="1" x14ac:dyDescent="0.25">
      <c r="B594" s="12"/>
      <c r="C594" s="15"/>
      <c r="D594" s="12"/>
      <c r="E594" s="10" t="str">
        <f>IF(D594="","",IFERROR(VLOOKUP(D594,Productos!$B$5:$J$204,2,FALSE()),"Revisar código"))</f>
        <v/>
      </c>
      <c r="F594" s="13"/>
      <c r="G594" s="12"/>
      <c r="H594" s="12"/>
      <c r="I594" s="12"/>
      <c r="J594" s="12"/>
    </row>
    <row r="595" spans="2:10" ht="21.75" customHeight="1" x14ac:dyDescent="0.25">
      <c r="B595" s="12"/>
      <c r="C595" s="15"/>
      <c r="D595" s="12"/>
      <c r="E595" s="10" t="str">
        <f>IF(D595="","",IFERROR(VLOOKUP(D595,Productos!$B$5:$J$204,2,FALSE()),"Revisar código"))</f>
        <v/>
      </c>
      <c r="F595" s="13"/>
      <c r="G595" s="12"/>
      <c r="H595" s="12"/>
      <c r="I595" s="12"/>
      <c r="J595" s="12"/>
    </row>
    <row r="596" spans="2:10" ht="21.75" customHeight="1" x14ac:dyDescent="0.25">
      <c r="B596" s="12"/>
      <c r="C596" s="15"/>
      <c r="D596" s="12"/>
      <c r="E596" s="10" t="str">
        <f>IF(D596="","",IFERROR(VLOOKUP(D596,Productos!$B$5:$J$204,2,FALSE()),"Revisar código"))</f>
        <v/>
      </c>
      <c r="F596" s="13"/>
      <c r="G596" s="12"/>
      <c r="H596" s="12"/>
      <c r="I596" s="12"/>
      <c r="J596" s="12"/>
    </row>
    <row r="597" spans="2:10" ht="21.75" customHeight="1" x14ac:dyDescent="0.25">
      <c r="B597" s="12"/>
      <c r="C597" s="15"/>
      <c r="D597" s="12"/>
      <c r="E597" s="10" t="str">
        <f>IF(D597="","",IFERROR(VLOOKUP(D597,Productos!$B$5:$J$204,2,FALSE()),"Revisar código"))</f>
        <v/>
      </c>
      <c r="F597" s="13"/>
      <c r="G597" s="12"/>
      <c r="H597" s="12"/>
      <c r="I597" s="12"/>
      <c r="J597" s="12"/>
    </row>
    <row r="598" spans="2:10" ht="21.75" customHeight="1" x14ac:dyDescent="0.25">
      <c r="B598" s="12"/>
      <c r="C598" s="15"/>
      <c r="D598" s="12"/>
      <c r="E598" s="10" t="str">
        <f>IF(D598="","",IFERROR(VLOOKUP(D598,Productos!$B$5:$J$204,2,FALSE()),"Revisar código"))</f>
        <v/>
      </c>
      <c r="F598" s="13"/>
      <c r="G598" s="12"/>
      <c r="H598" s="12"/>
      <c r="I598" s="12"/>
      <c r="J598" s="12"/>
    </row>
    <row r="599" spans="2:10" ht="21.75" customHeight="1" x14ac:dyDescent="0.25">
      <c r="B599" s="12"/>
      <c r="C599" s="15"/>
      <c r="D599" s="12"/>
      <c r="E599" s="10" t="str">
        <f>IF(D599="","",IFERROR(VLOOKUP(D599,Productos!$B$5:$J$204,2,FALSE()),"Revisar código"))</f>
        <v/>
      </c>
      <c r="F599" s="13"/>
      <c r="G599" s="12"/>
      <c r="H599" s="12"/>
      <c r="I599" s="12"/>
      <c r="J599" s="12"/>
    </row>
    <row r="600" spans="2:10" ht="21.75" customHeight="1" x14ac:dyDescent="0.25">
      <c r="B600" s="12"/>
      <c r="C600" s="15"/>
      <c r="D600" s="12"/>
      <c r="E600" s="10" t="str">
        <f>IF(D600="","",IFERROR(VLOOKUP(D600,Productos!$B$5:$J$204,2,FALSE()),"Revisar código"))</f>
        <v/>
      </c>
      <c r="F600" s="13"/>
      <c r="G600" s="12"/>
      <c r="H600" s="12"/>
      <c r="I600" s="12"/>
      <c r="J600" s="12"/>
    </row>
    <row r="601" spans="2:10" ht="21.75" customHeight="1" x14ac:dyDescent="0.25">
      <c r="B601" s="12"/>
      <c r="C601" s="15"/>
      <c r="D601" s="12"/>
      <c r="E601" s="10" t="str">
        <f>IF(D601="","",IFERROR(VLOOKUP(D601,Productos!$B$5:$J$204,2,FALSE()),"Revisar código"))</f>
        <v/>
      </c>
      <c r="F601" s="13"/>
      <c r="G601" s="12"/>
      <c r="H601" s="12"/>
      <c r="I601" s="12"/>
      <c r="J601" s="12"/>
    </row>
    <row r="602" spans="2:10" ht="21.75" customHeight="1" x14ac:dyDescent="0.25">
      <c r="B602" s="12"/>
      <c r="C602" s="15"/>
      <c r="D602" s="12"/>
      <c r="E602" s="10" t="str">
        <f>IF(D602="","",IFERROR(VLOOKUP(D602,Productos!$B$5:$J$204,2,FALSE()),"Revisar código"))</f>
        <v/>
      </c>
      <c r="F602" s="13"/>
      <c r="G602" s="12"/>
      <c r="H602" s="12"/>
      <c r="I602" s="12"/>
      <c r="J602" s="12"/>
    </row>
    <row r="603" spans="2:10" ht="21.75" customHeight="1" x14ac:dyDescent="0.25">
      <c r="B603" s="12"/>
      <c r="C603" s="15"/>
      <c r="D603" s="12"/>
      <c r="E603" s="10" t="str">
        <f>IF(D603="","",IFERROR(VLOOKUP(D603,Productos!$B$5:$J$204,2,FALSE()),"Revisar código"))</f>
        <v/>
      </c>
      <c r="F603" s="13"/>
      <c r="G603" s="12"/>
      <c r="H603" s="12"/>
      <c r="I603" s="12"/>
      <c r="J603" s="12"/>
    </row>
    <row r="604" spans="2:10" ht="21.75" customHeight="1" x14ac:dyDescent="0.25">
      <c r="B604" s="12"/>
      <c r="C604" s="15"/>
      <c r="D604" s="12"/>
      <c r="E604" s="10" t="str">
        <f>IF(D604="","",IFERROR(VLOOKUP(D604,Productos!$B$5:$J$204,2,FALSE()),"Revisar código"))</f>
        <v/>
      </c>
      <c r="F604" s="13"/>
      <c r="G604" s="12"/>
      <c r="H604" s="12"/>
      <c r="I604" s="12"/>
      <c r="J604" s="12"/>
    </row>
    <row r="605" spans="2:10" s="5" customFormat="1" ht="21.75" customHeight="1" x14ac:dyDescent="0.25">
      <c r="B605" s="4"/>
      <c r="C605" s="4"/>
      <c r="D605" s="4"/>
      <c r="E605" s="4"/>
      <c r="F605" s="4"/>
      <c r="G605" s="4"/>
      <c r="H605" s="4"/>
      <c r="I605" s="4"/>
      <c r="J605" s="4"/>
    </row>
    <row r="606" spans="2:10" s="5" customFormat="1" ht="21.75" customHeight="1" x14ac:dyDescent="0.25">
      <c r="B606" s="4"/>
      <c r="C606" s="4"/>
      <c r="D606" s="4"/>
      <c r="E606" s="4"/>
      <c r="F606" s="4"/>
      <c r="G606" s="4"/>
      <c r="H606" s="4"/>
      <c r="I606" s="4"/>
      <c r="J606" s="4"/>
    </row>
    <row r="607" spans="2:10" s="5" customFormat="1" ht="21.75" customHeight="1" x14ac:dyDescent="0.25">
      <c r="B607" s="4"/>
      <c r="C607" s="4"/>
      <c r="D607" s="4"/>
      <c r="E607" s="4"/>
      <c r="F607" s="4"/>
      <c r="G607" s="4"/>
      <c r="H607" s="4"/>
      <c r="I607" s="4"/>
      <c r="J607" s="4"/>
    </row>
    <row r="608" spans="2:10" s="5" customFormat="1" ht="21.75" customHeight="1" x14ac:dyDescent="0.25">
      <c r="B608" s="4"/>
      <c r="C608" s="4"/>
      <c r="D608" s="4"/>
      <c r="E608" s="4"/>
      <c r="F608" s="4"/>
      <c r="G608" s="4"/>
      <c r="H608" s="4"/>
      <c r="I608" s="4"/>
      <c r="J608" s="4"/>
    </row>
    <row r="609" spans="2:10" s="5" customFormat="1" ht="21.75" customHeight="1" x14ac:dyDescent="0.25">
      <c r="B609" s="4"/>
      <c r="C609" s="4"/>
      <c r="D609" s="4"/>
      <c r="E609" s="4"/>
      <c r="F609" s="4"/>
      <c r="G609" s="4"/>
      <c r="H609" s="4"/>
      <c r="I609" s="4"/>
      <c r="J609" s="4"/>
    </row>
    <row r="610" spans="2:10" s="5" customFormat="1" ht="21.75" customHeight="1" x14ac:dyDescent="0.25">
      <c r="B610" s="4"/>
      <c r="C610" s="4"/>
      <c r="D610" s="4"/>
      <c r="E610" s="4"/>
      <c r="F610" s="4"/>
      <c r="G610" s="4"/>
      <c r="H610" s="4"/>
      <c r="I610" s="4"/>
      <c r="J610" s="4"/>
    </row>
    <row r="611" spans="2:10" s="5" customFormat="1" ht="21.75" customHeight="1" x14ac:dyDescent="0.25">
      <c r="B611" s="4"/>
      <c r="C611" s="4"/>
      <c r="D611" s="4"/>
      <c r="E611" s="4"/>
      <c r="F611" s="4"/>
      <c r="G611" s="4"/>
      <c r="H611" s="4"/>
      <c r="I611" s="4"/>
      <c r="J611" s="4"/>
    </row>
    <row r="612" spans="2:10" s="5" customFormat="1" ht="21.75" customHeight="1" x14ac:dyDescent="0.25">
      <c r="B612" s="4"/>
      <c r="C612" s="4"/>
      <c r="D612" s="4"/>
      <c r="E612" s="4"/>
      <c r="F612" s="4"/>
      <c r="G612" s="4"/>
      <c r="H612" s="4"/>
      <c r="I612" s="4"/>
      <c r="J612" s="4"/>
    </row>
    <row r="613" spans="2:10" s="5" customFormat="1" ht="21.75" customHeight="1" x14ac:dyDescent="0.25">
      <c r="B613" s="4"/>
      <c r="C613" s="4"/>
      <c r="D613" s="4"/>
      <c r="E613" s="4"/>
      <c r="F613" s="4"/>
      <c r="G613" s="4"/>
      <c r="H613" s="4"/>
      <c r="I613" s="4"/>
      <c r="J613" s="4"/>
    </row>
    <row r="614" spans="2:10" s="5" customFormat="1" ht="21.75" customHeight="1" x14ac:dyDescent="0.25">
      <c r="B614" s="4"/>
      <c r="C614" s="4"/>
      <c r="D614" s="4"/>
      <c r="E614" s="4"/>
      <c r="F614" s="4"/>
      <c r="G614" s="4"/>
      <c r="H614" s="4"/>
      <c r="I614" s="4"/>
      <c r="J614" s="4"/>
    </row>
    <row r="615" spans="2:10" s="5" customFormat="1" ht="21.75" customHeight="1" x14ac:dyDescent="0.25">
      <c r="B615" s="4"/>
      <c r="C615" s="4"/>
      <c r="D615" s="4"/>
      <c r="E615" s="4"/>
      <c r="F615" s="4"/>
      <c r="G615" s="4"/>
      <c r="H615" s="4"/>
      <c r="I615" s="4"/>
      <c r="J615" s="4"/>
    </row>
    <row r="616" spans="2:10" s="5" customFormat="1" ht="21.75" customHeight="1" x14ac:dyDescent="0.25">
      <c r="B616" s="4"/>
      <c r="C616" s="4"/>
      <c r="D616" s="4"/>
      <c r="E616" s="4"/>
      <c r="F616" s="4"/>
      <c r="G616" s="4"/>
      <c r="H616" s="4"/>
      <c r="I616" s="4"/>
      <c r="J616" s="4"/>
    </row>
    <row r="617" spans="2:10" s="5" customFormat="1" ht="21.75" customHeight="1" x14ac:dyDescent="0.25">
      <c r="B617" s="4"/>
      <c r="C617" s="4"/>
      <c r="D617" s="4"/>
      <c r="E617" s="4"/>
      <c r="F617" s="4"/>
      <c r="G617" s="4"/>
      <c r="H617" s="4"/>
      <c r="I617" s="4"/>
      <c r="J617" s="4"/>
    </row>
    <row r="618" spans="2:10" s="5" customFormat="1" ht="21.75" customHeight="1" x14ac:dyDescent="0.25">
      <c r="B618" s="4"/>
      <c r="C618" s="4"/>
      <c r="D618" s="4"/>
      <c r="E618" s="4"/>
      <c r="F618" s="4"/>
      <c r="G618" s="4"/>
      <c r="H618" s="4"/>
      <c r="I618" s="4"/>
      <c r="J618" s="4"/>
    </row>
    <row r="619" spans="2:10" s="5" customFormat="1" ht="21.75" customHeight="1" x14ac:dyDescent="0.25">
      <c r="B619" s="4"/>
      <c r="C619" s="4"/>
      <c r="D619" s="4"/>
      <c r="E619" s="4"/>
      <c r="F619" s="4"/>
      <c r="G619" s="4"/>
      <c r="H619" s="4"/>
      <c r="I619" s="4"/>
      <c r="J619" s="4"/>
    </row>
    <row r="620" spans="2:10" s="5" customFormat="1" ht="21.75" customHeight="1" x14ac:dyDescent="0.25">
      <c r="B620" s="4"/>
      <c r="C620" s="4"/>
      <c r="D620" s="4"/>
      <c r="E620" s="4"/>
      <c r="F620" s="4"/>
      <c r="G620" s="4"/>
      <c r="H620" s="4"/>
      <c r="I620" s="4"/>
      <c r="J620" s="4"/>
    </row>
    <row r="621" spans="2:10" s="5" customFormat="1" ht="21.75" customHeight="1" x14ac:dyDescent="0.25">
      <c r="B621" s="4"/>
      <c r="C621" s="4"/>
      <c r="D621" s="4"/>
      <c r="E621" s="4"/>
      <c r="F621" s="4"/>
      <c r="G621" s="4"/>
      <c r="H621" s="4"/>
      <c r="I621" s="4"/>
      <c r="J621" s="4"/>
    </row>
    <row r="622" spans="2:10" s="5" customFormat="1" ht="21.75" customHeight="1" x14ac:dyDescent="0.25">
      <c r="B622" s="4"/>
      <c r="C622" s="4"/>
      <c r="D622" s="4"/>
      <c r="E622" s="4"/>
      <c r="F622" s="4"/>
      <c r="G622" s="4"/>
      <c r="H622" s="4"/>
      <c r="I622" s="4"/>
      <c r="J622" s="4"/>
    </row>
    <row r="623" spans="2:10" s="5" customFormat="1" ht="21.75" customHeight="1" x14ac:dyDescent="0.25">
      <c r="B623" s="4"/>
      <c r="C623" s="4"/>
      <c r="D623" s="4"/>
      <c r="E623" s="4"/>
      <c r="F623" s="4"/>
      <c r="G623" s="4"/>
      <c r="H623" s="4"/>
      <c r="I623" s="4"/>
      <c r="J623" s="4"/>
    </row>
    <row r="624" spans="2:10" s="5" customFormat="1" ht="21.75" customHeight="1" x14ac:dyDescent="0.25">
      <c r="B624" s="4"/>
      <c r="C624" s="4"/>
      <c r="D624" s="4"/>
      <c r="E624" s="4"/>
      <c r="F624" s="4"/>
      <c r="G624" s="4"/>
      <c r="H624" s="4"/>
      <c r="I624" s="4"/>
      <c r="J624" s="4"/>
    </row>
    <row r="625" spans="2:10" s="5" customFormat="1" ht="21.75" customHeight="1" x14ac:dyDescent="0.25">
      <c r="B625" s="4"/>
      <c r="C625" s="4"/>
      <c r="D625" s="4"/>
      <c r="E625" s="4"/>
      <c r="F625" s="4"/>
      <c r="G625" s="4"/>
      <c r="H625" s="4"/>
      <c r="I625" s="4"/>
      <c r="J625" s="4"/>
    </row>
    <row r="626" spans="2:10" s="5" customFormat="1" ht="21.75" customHeight="1" x14ac:dyDescent="0.25">
      <c r="B626" s="4"/>
      <c r="C626" s="4"/>
      <c r="D626" s="4"/>
      <c r="E626" s="4"/>
      <c r="F626" s="4"/>
      <c r="G626" s="4"/>
      <c r="H626" s="4"/>
      <c r="I626" s="4"/>
      <c r="J626" s="4"/>
    </row>
    <row r="627" spans="2:10" s="5" customFormat="1" ht="21.75" customHeight="1" x14ac:dyDescent="0.25">
      <c r="B627" s="4"/>
      <c r="C627" s="4"/>
      <c r="D627" s="4"/>
      <c r="E627" s="4"/>
      <c r="F627" s="4"/>
      <c r="G627" s="4"/>
      <c r="H627" s="4"/>
      <c r="I627" s="4"/>
      <c r="J627" s="4"/>
    </row>
    <row r="628" spans="2:10" s="5" customFormat="1" ht="21.75" customHeight="1" x14ac:dyDescent="0.25">
      <c r="B628" s="4"/>
      <c r="C628" s="4"/>
      <c r="D628" s="4"/>
      <c r="E628" s="4"/>
      <c r="F628" s="4"/>
      <c r="G628" s="4"/>
      <c r="H628" s="4"/>
      <c r="I628" s="4"/>
      <c r="J628" s="4"/>
    </row>
    <row r="629" spans="2:10" s="5" customFormat="1" ht="21.75" customHeight="1" x14ac:dyDescent="0.25">
      <c r="B629" s="4"/>
      <c r="C629" s="4"/>
      <c r="D629" s="4"/>
      <c r="E629" s="4"/>
      <c r="F629" s="4"/>
      <c r="G629" s="4"/>
      <c r="H629" s="4"/>
      <c r="I629" s="4"/>
      <c r="J629" s="4"/>
    </row>
    <row r="630" spans="2:10" s="5" customFormat="1" ht="21.75" customHeight="1" x14ac:dyDescent="0.25">
      <c r="B630" s="4"/>
      <c r="C630" s="4"/>
      <c r="D630" s="4"/>
      <c r="E630" s="4"/>
      <c r="F630" s="4"/>
      <c r="G630" s="4"/>
      <c r="H630" s="4"/>
      <c r="I630" s="4"/>
      <c r="J630" s="4"/>
    </row>
    <row r="631" spans="2:10" s="5" customFormat="1" ht="21.75" customHeight="1" x14ac:dyDescent="0.25">
      <c r="B631" s="4"/>
      <c r="C631" s="4"/>
      <c r="D631" s="4"/>
      <c r="E631" s="4"/>
      <c r="F631" s="4"/>
      <c r="G631" s="4"/>
      <c r="H631" s="4"/>
      <c r="I631" s="4"/>
      <c r="J631" s="4"/>
    </row>
    <row r="632" spans="2:10" s="5" customFormat="1" ht="21.75" customHeight="1" x14ac:dyDescent="0.25">
      <c r="B632" s="4"/>
      <c r="C632" s="4"/>
      <c r="D632" s="4"/>
      <c r="E632" s="4"/>
      <c r="F632" s="4"/>
      <c r="G632" s="4"/>
      <c r="H632" s="4"/>
      <c r="I632" s="4"/>
      <c r="J632" s="4"/>
    </row>
    <row r="633" spans="2:10" s="5" customFormat="1" ht="21.75" customHeight="1" x14ac:dyDescent="0.25">
      <c r="B633" s="4"/>
      <c r="C633" s="4"/>
      <c r="D633" s="4"/>
      <c r="E633" s="4"/>
      <c r="F633" s="4"/>
      <c r="G633" s="4"/>
      <c r="H633" s="4"/>
      <c r="I633" s="4"/>
      <c r="J633" s="4"/>
    </row>
    <row r="634" spans="2:10" s="5" customFormat="1" ht="21.75" customHeight="1" x14ac:dyDescent="0.25">
      <c r="B634" s="4"/>
      <c r="C634" s="4"/>
      <c r="D634" s="4"/>
      <c r="E634" s="4"/>
      <c r="F634" s="4"/>
      <c r="G634" s="4"/>
      <c r="H634" s="4"/>
      <c r="I634" s="4"/>
      <c r="J634" s="4"/>
    </row>
    <row r="635" spans="2:10" s="5" customFormat="1" ht="21.75" customHeight="1" x14ac:dyDescent="0.25">
      <c r="B635" s="4"/>
      <c r="C635" s="4"/>
      <c r="D635" s="4"/>
      <c r="E635" s="4"/>
      <c r="F635" s="4"/>
      <c r="G635" s="4"/>
      <c r="H635" s="4"/>
      <c r="I635" s="4"/>
      <c r="J635" s="4"/>
    </row>
    <row r="636" spans="2:10" s="5" customFormat="1" ht="21.75" customHeight="1" x14ac:dyDescent="0.25">
      <c r="B636" s="4"/>
      <c r="C636" s="4"/>
      <c r="D636" s="4"/>
      <c r="E636" s="4"/>
      <c r="F636" s="4"/>
      <c r="G636" s="4"/>
      <c r="H636" s="4"/>
      <c r="I636" s="4"/>
      <c r="J636" s="4"/>
    </row>
    <row r="637" spans="2:10" s="5" customFormat="1" ht="21.75" customHeight="1" x14ac:dyDescent="0.25">
      <c r="B637" s="4"/>
      <c r="C637" s="4"/>
      <c r="D637" s="4"/>
      <c r="E637" s="4"/>
      <c r="F637" s="4"/>
      <c r="G637" s="4"/>
      <c r="H637" s="4"/>
      <c r="I637" s="4"/>
      <c r="J637" s="4"/>
    </row>
    <row r="638" spans="2:10" s="5" customFormat="1" ht="21.75" customHeight="1" x14ac:dyDescent="0.25">
      <c r="B638" s="4"/>
      <c r="C638" s="4"/>
      <c r="D638" s="4"/>
      <c r="E638" s="4"/>
      <c r="F638" s="4"/>
      <c r="G638" s="4"/>
      <c r="H638" s="4"/>
      <c r="I638" s="4"/>
      <c r="J638" s="4"/>
    </row>
    <row r="639" spans="2:10" s="5" customFormat="1" ht="21.75" customHeight="1" x14ac:dyDescent="0.25">
      <c r="B639" s="4"/>
      <c r="C639" s="4"/>
      <c r="D639" s="4"/>
      <c r="E639" s="4"/>
      <c r="F639" s="4"/>
      <c r="G639" s="4"/>
      <c r="H639" s="4"/>
      <c r="I639" s="4"/>
      <c r="J639" s="4"/>
    </row>
    <row r="640" spans="2:10" s="5" customFormat="1" ht="21.75" customHeight="1" x14ac:dyDescent="0.25">
      <c r="B640" s="4"/>
      <c r="C640" s="4"/>
      <c r="D640" s="4"/>
      <c r="E640" s="4"/>
      <c r="F640" s="4"/>
      <c r="G640" s="4"/>
      <c r="H640" s="4"/>
      <c r="I640" s="4"/>
      <c r="J640" s="4"/>
    </row>
    <row r="641" s="5" customFormat="1" ht="21.75" customHeight="1" x14ac:dyDescent="0.25"/>
    <row r="642" s="5" customFormat="1" ht="21.75" customHeight="1" x14ac:dyDescent="0.25"/>
    <row r="643" s="5" customFormat="1" ht="21.75" customHeight="1" x14ac:dyDescent="0.25"/>
    <row r="644" ht="21.75" customHeight="1" x14ac:dyDescent="0.25"/>
  </sheetData>
  <mergeCells count="2">
    <mergeCell ref="B1:J1"/>
    <mergeCell ref="B2:J2"/>
  </mergeCells>
  <dataValidations count="1">
    <dataValidation type="list" allowBlank="1" sqref="G5:G604" xr:uid="{00000000-0002-0000-0400-000000000000}">
      <formula1>"Venta,Merma,Muestra,Ajuste inventario,Devolución proveedor,Uso interno"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4AF37"/>
  </sheetPr>
  <dimension ref="B1:AD644"/>
  <sheetViews>
    <sheetView showGridLines="0" zoomScaleNormal="100" workbookViewId="0">
      <pane ySplit="4" topLeftCell="A5" activePane="bottomLeft" state="frozen"/>
      <selection pane="bottomLeft" activeCell="B14" sqref="B14"/>
    </sheetView>
  </sheetViews>
  <sheetFormatPr baseColWidth="10" defaultColWidth="9.140625" defaultRowHeight="15" x14ac:dyDescent="0.25"/>
  <cols>
    <col min="2" max="2" width="18" customWidth="1"/>
    <col min="3" max="3" width="34" customWidth="1"/>
    <col min="4" max="4" width="20" customWidth="1"/>
    <col min="5" max="5" width="18" customWidth="1"/>
    <col min="6" max="9" width="16" customWidth="1"/>
    <col min="10" max="11" width="18" customWidth="1"/>
    <col min="12" max="12" width="26" customWidth="1"/>
    <col min="13" max="13" width="9.140625" style="5"/>
    <col min="14" max="14" width="13" style="5" hidden="1" customWidth="1"/>
    <col min="15" max="30" width="9.140625" style="5"/>
  </cols>
  <sheetData>
    <row r="1" spans="2:30" ht="21.75" customHeight="1" x14ac:dyDescent="0.25">
      <c r="B1" s="32" t="s">
        <v>120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2:30" ht="21.75" customHeight="1" x14ac:dyDescent="0.25">
      <c r="B2" s="33" t="s">
        <v>121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2:30" s="5" customFormat="1" ht="12" customHeight="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2:30" ht="21.75" customHeight="1" x14ac:dyDescent="0.25">
      <c r="B4" s="1" t="s">
        <v>52</v>
      </c>
      <c r="C4" s="1" t="s">
        <v>46</v>
      </c>
      <c r="D4" s="1" t="s">
        <v>33</v>
      </c>
      <c r="E4" s="1" t="s">
        <v>53</v>
      </c>
      <c r="F4" s="1" t="s">
        <v>54</v>
      </c>
      <c r="G4" s="1" t="s">
        <v>55</v>
      </c>
      <c r="H4" s="1" t="s">
        <v>38</v>
      </c>
      <c r="I4" s="1" t="s">
        <v>40</v>
      </c>
      <c r="J4" s="1" t="s">
        <v>42</v>
      </c>
      <c r="K4" s="1" t="s">
        <v>48</v>
      </c>
      <c r="L4" s="1" t="s">
        <v>122</v>
      </c>
      <c r="M4" s="8"/>
      <c r="N4" s="8" t="s">
        <v>123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2:30" ht="21.75" customHeight="1" x14ac:dyDescent="0.25">
      <c r="B5" s="10" t="str">
        <f>IF(Productos!B5="","",Productos!B5)</f>
        <v>AN001</v>
      </c>
      <c r="C5" s="10" t="str">
        <f>IF(Productos!B5="","",Productos!C5)</f>
        <v>Anillo luna plata</v>
      </c>
      <c r="D5" s="10" t="str">
        <f>IF(Productos!B5="","",Productos!D5)</f>
        <v>Anillos</v>
      </c>
      <c r="E5" s="10" t="str">
        <f>IF(Productos!B5="","",Productos!E5)</f>
        <v>Proveedor A</v>
      </c>
      <c r="F5" s="11">
        <f>IF(Productos!B5="","",Productos!F5)</f>
        <v>5</v>
      </c>
      <c r="G5" s="11">
        <f>IF(Productos!B5="","",Productos!G5)</f>
        <v>20</v>
      </c>
      <c r="H5" s="11">
        <f>IF(B5="","",SUMIF('Compras Entradas'!$D$5:$D$504,B5,'Compras Entradas'!$F$5:$F$504))</f>
        <v>15</v>
      </c>
      <c r="I5" s="11">
        <f>IF(B5="","",SUMIF('Ventas Salidas'!$D$5:$D$504,B5,'Ventas Salidas'!$F$5:$F$504))</f>
        <v>5</v>
      </c>
      <c r="J5" s="11">
        <f t="shared" ref="J5:J68" si="0">IF(B5="","",G5+H5-I5)</f>
        <v>30</v>
      </c>
      <c r="K5" s="10" t="str">
        <f t="shared" ref="K5:K68" si="1">IF(B5="","",IF(J5&lt;=0,"Sin stock",IF(J5&lt;F5,"Bajo stock","OK")))</f>
        <v>OK</v>
      </c>
      <c r="L5" s="10" t="str">
        <f t="shared" ref="L5:L68" si="2">IF(B5="","",IF(J5&lt;=0,"Comprar urgente",IF(J5&lt;F5,"Reponer pronto","Stock suficiente")))</f>
        <v>Stock suficiente</v>
      </c>
      <c r="M5" s="8"/>
      <c r="N5" s="8" t="str">
        <f>IF(B5="","",IF(OR(K5="Bajo stock",K5="Sin stock"),COUNTIFS($K$5:$K5,"Bajo stock")+COUNTIFS($K$5:$K5,"Sin stock"),""))</f>
        <v/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2:30" ht="21.75" customHeight="1" x14ac:dyDescent="0.25">
      <c r="B6" s="10" t="str">
        <f>IF(Productos!B6="","",Productos!B6)</f>
        <v>AN002</v>
      </c>
      <c r="C6" s="10" t="str">
        <f>IF(Productos!B6="","",Productos!C6)</f>
        <v>Anillo venus plata</v>
      </c>
      <c r="D6" s="10" t="str">
        <f>IF(Productos!B6="","",Productos!D6)</f>
        <v>Anillos</v>
      </c>
      <c r="E6" s="10" t="str">
        <f>IF(Productos!B6="","",Productos!E6)</f>
        <v>Proveedor A</v>
      </c>
      <c r="F6" s="11">
        <f>IF(Productos!B6="","",Productos!F6)</f>
        <v>5</v>
      </c>
      <c r="G6" s="11">
        <f>IF(Productos!B6="","",Productos!G6)</f>
        <v>15</v>
      </c>
      <c r="H6" s="11">
        <f>IF(B6="","",SUMIF('Compras Entradas'!$D$5:$D$504,B6,'Compras Entradas'!$F$5:$F$504))</f>
        <v>0</v>
      </c>
      <c r="I6" s="11">
        <f>IF(B6="","",SUMIF('Ventas Salidas'!$D$5:$D$504,B6,'Ventas Salidas'!$F$5:$F$504))</f>
        <v>15</v>
      </c>
      <c r="J6" s="11">
        <f t="shared" si="0"/>
        <v>0</v>
      </c>
      <c r="K6" s="10" t="str">
        <f t="shared" si="1"/>
        <v>Sin stock</v>
      </c>
      <c r="L6" s="10" t="str">
        <f t="shared" si="2"/>
        <v>Comprar urgente</v>
      </c>
      <c r="M6" s="8"/>
      <c r="N6" s="8">
        <f>IF(B6="","",IF(OR(K6="Bajo stock",K6="Sin stock"),COUNTIFS($K$5:$K6,"Bajo stock")+COUNTIFS($K$5:$K6,"Sin stock"),""))</f>
        <v>1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2:30" ht="21.75" customHeight="1" x14ac:dyDescent="0.25">
      <c r="B7" s="10" t="str">
        <f>IF(Productos!B7="","",Productos!B7)</f>
        <v>AN003</v>
      </c>
      <c r="C7" s="10" t="str">
        <f>IF(Productos!B7="","",Productos!C7)</f>
        <v>Anillo marte oro</v>
      </c>
      <c r="D7" s="10" t="str">
        <f>IF(Productos!B7="","",Productos!D7)</f>
        <v>Anillos</v>
      </c>
      <c r="E7" s="10" t="str">
        <f>IF(Productos!B7="","",Productos!E7)</f>
        <v>Proveedor B</v>
      </c>
      <c r="F7" s="11">
        <f>IF(Productos!B7="","",Productos!F7)</f>
        <v>4</v>
      </c>
      <c r="G7" s="11">
        <f>IF(Productos!B7="","",Productos!G7)</f>
        <v>12</v>
      </c>
      <c r="H7" s="11">
        <f>IF(B7="","",SUMIF('Compras Entradas'!$D$5:$D$504,B7,'Compras Entradas'!$F$5:$F$504))</f>
        <v>0</v>
      </c>
      <c r="I7" s="11">
        <f>IF(B7="","",SUMIF('Ventas Salidas'!$D$5:$D$504,B7,'Ventas Salidas'!$F$5:$F$504))</f>
        <v>0</v>
      </c>
      <c r="J7" s="11">
        <f t="shared" si="0"/>
        <v>12</v>
      </c>
      <c r="K7" s="10" t="str">
        <f t="shared" si="1"/>
        <v>OK</v>
      </c>
      <c r="L7" s="10" t="str">
        <f t="shared" si="2"/>
        <v>Stock suficiente</v>
      </c>
      <c r="M7" s="8"/>
      <c r="N7" s="8" t="str">
        <f>IF(B7="","",IF(OR(K7="Bajo stock",K7="Sin stock"),COUNTIFS($K$5:$K7,"Bajo stock")+COUNTIFS($K$5:$K7,"Sin stock"),""))</f>
        <v/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2:30" ht="21.75" customHeight="1" x14ac:dyDescent="0.25">
      <c r="B8" s="10" t="str">
        <f>IF(Productos!B8="","",Productos!B8)</f>
        <v>PU001</v>
      </c>
      <c r="C8" s="10" t="str">
        <f>IF(Productos!B8="","",Productos!C8)</f>
        <v>Pulsera rubí plata</v>
      </c>
      <c r="D8" s="10" t="str">
        <f>IF(Productos!B8="","",Productos!D8)</f>
        <v>Pulseras</v>
      </c>
      <c r="E8" s="10" t="str">
        <f>IF(Productos!B8="","",Productos!E8)</f>
        <v>Proveedor B</v>
      </c>
      <c r="F8" s="11">
        <f>IF(Productos!B8="","",Productos!F8)</f>
        <v>3</v>
      </c>
      <c r="G8" s="11">
        <f>IF(Productos!B8="","",Productos!G8)</f>
        <v>10</v>
      </c>
      <c r="H8" s="11">
        <f>IF(B8="","",SUMIF('Compras Entradas'!$D$5:$D$504,B8,'Compras Entradas'!$F$5:$F$504))</f>
        <v>10</v>
      </c>
      <c r="I8" s="11">
        <f>IF(B8="","",SUMIF('Ventas Salidas'!$D$5:$D$504,B8,'Ventas Salidas'!$F$5:$F$504))</f>
        <v>3</v>
      </c>
      <c r="J8" s="11">
        <f t="shared" si="0"/>
        <v>17</v>
      </c>
      <c r="K8" s="10" t="str">
        <f t="shared" si="1"/>
        <v>OK</v>
      </c>
      <c r="L8" s="10" t="str">
        <f t="shared" si="2"/>
        <v>Stock suficiente</v>
      </c>
      <c r="M8" s="8"/>
      <c r="N8" s="8" t="str">
        <f>IF(B8="","",IF(OR(K8="Bajo stock",K8="Sin stock"),COUNTIFS($K$5:$K8,"Bajo stock")+COUNTIFS($K$5:$K8,"Sin stock"),""))</f>
        <v/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2:30" ht="21.75" customHeight="1" x14ac:dyDescent="0.25">
      <c r="B9" s="10" t="str">
        <f>IF(Productos!B9="","",Productos!B9)</f>
        <v>PU002</v>
      </c>
      <c r="C9" s="10" t="str">
        <f>IF(Productos!B9="","",Productos!C9)</f>
        <v>Pulsera rubí oro</v>
      </c>
      <c r="D9" s="10" t="str">
        <f>IF(Productos!B9="","",Productos!D9)</f>
        <v>Pulseras</v>
      </c>
      <c r="E9" s="10" t="str">
        <f>IF(Productos!B9="","",Productos!E9)</f>
        <v>Proveedor B</v>
      </c>
      <c r="F9" s="11">
        <f>IF(Productos!B9="","",Productos!F9)</f>
        <v>3</v>
      </c>
      <c r="G9" s="11">
        <f>IF(Productos!B9="","",Productos!G9)</f>
        <v>8</v>
      </c>
      <c r="H9" s="11">
        <f>IF(B9="","",SUMIF('Compras Entradas'!$D$5:$D$504,B9,'Compras Entradas'!$F$5:$F$504))</f>
        <v>0</v>
      </c>
      <c r="I9" s="11">
        <f>IF(B9="","",SUMIF('Ventas Salidas'!$D$5:$D$504,B9,'Ventas Salidas'!$F$5:$F$504))</f>
        <v>0</v>
      </c>
      <c r="J9" s="11">
        <f t="shared" si="0"/>
        <v>8</v>
      </c>
      <c r="K9" s="10" t="str">
        <f t="shared" si="1"/>
        <v>OK</v>
      </c>
      <c r="L9" s="10" t="str">
        <f t="shared" si="2"/>
        <v>Stock suficiente</v>
      </c>
      <c r="M9" s="8"/>
      <c r="N9" s="8" t="str">
        <f>IF(B9="","",IF(OR(K9="Bajo stock",K9="Sin stock"),COUNTIFS($K$5:$K9,"Bajo stock")+COUNTIFS($K$5:$K9,"Sin stock"),""))</f>
        <v/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2:30" ht="21.75" customHeight="1" x14ac:dyDescent="0.25">
      <c r="B10" s="10" t="str">
        <f>IF(Productos!B10="","",Productos!B10)</f>
        <v>PE001</v>
      </c>
      <c r="C10" s="10" t="str">
        <f>IF(Productos!B10="","",Productos!C10)</f>
        <v>Pendientes rubí plata</v>
      </c>
      <c r="D10" s="10" t="str">
        <f>IF(Productos!B10="","",Productos!D10)</f>
        <v>Pendientes</v>
      </c>
      <c r="E10" s="10" t="str">
        <f>IF(Productos!B10="","",Productos!E10)</f>
        <v>Proveedor C</v>
      </c>
      <c r="F10" s="11">
        <f>IF(Productos!B10="","",Productos!F10)</f>
        <v>4</v>
      </c>
      <c r="G10" s="11">
        <f>IF(Productos!B10="","",Productos!G10)</f>
        <v>18</v>
      </c>
      <c r="H10" s="11">
        <f>IF(B10="","",SUMIF('Compras Entradas'!$D$5:$D$504,B10,'Compras Entradas'!$F$5:$F$504))</f>
        <v>0</v>
      </c>
      <c r="I10" s="11">
        <f>IF(B10="","",SUMIF('Ventas Salidas'!$D$5:$D$504,B10,'Ventas Salidas'!$F$5:$F$504))</f>
        <v>0</v>
      </c>
      <c r="J10" s="11">
        <f t="shared" si="0"/>
        <v>18</v>
      </c>
      <c r="K10" s="10" t="str">
        <f t="shared" si="1"/>
        <v>OK</v>
      </c>
      <c r="L10" s="10" t="str">
        <f t="shared" si="2"/>
        <v>Stock suficiente</v>
      </c>
      <c r="M10" s="8"/>
      <c r="N10" s="8" t="str">
        <f>IF(B10="","",IF(OR(K10="Bajo stock",K10="Sin stock"),COUNTIFS($K$5:$K10,"Bajo stock")+COUNTIFS($K$5:$K10,"Sin stock"),""))</f>
        <v/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2:30" ht="21.75" customHeight="1" x14ac:dyDescent="0.25">
      <c r="B11" s="10" t="str">
        <f>IF(Productos!B11="","",Productos!B11)</f>
        <v>PE002</v>
      </c>
      <c r="C11" s="10" t="str">
        <f>IF(Productos!B11="","",Productos!C11)</f>
        <v>Pendientes camee vermeil</v>
      </c>
      <c r="D11" s="10" t="str">
        <f>IF(Productos!B11="","",Productos!D11)</f>
        <v>Pendientes</v>
      </c>
      <c r="E11" s="10" t="str">
        <f>IF(Productos!B11="","",Productos!E11)</f>
        <v>Proveedor C</v>
      </c>
      <c r="F11" s="11">
        <f>IF(Productos!B11="","",Productos!F11)</f>
        <v>4</v>
      </c>
      <c r="G11" s="11">
        <f>IF(Productos!B11="","",Productos!G11)</f>
        <v>11</v>
      </c>
      <c r="H11" s="11">
        <f>IF(B11="","",SUMIF('Compras Entradas'!$D$5:$D$504,B11,'Compras Entradas'!$F$5:$F$504))</f>
        <v>0</v>
      </c>
      <c r="I11" s="11">
        <f>IF(B11="","",SUMIF('Ventas Salidas'!$D$5:$D$504,B11,'Ventas Salidas'!$F$5:$F$504))</f>
        <v>0</v>
      </c>
      <c r="J11" s="11">
        <f t="shared" si="0"/>
        <v>11</v>
      </c>
      <c r="K11" s="10" t="str">
        <f t="shared" si="1"/>
        <v>OK</v>
      </c>
      <c r="L11" s="10" t="str">
        <f t="shared" si="2"/>
        <v>Stock suficiente</v>
      </c>
      <c r="M11" s="8"/>
      <c r="N11" s="8" t="str">
        <f>IF(B11="","",IF(OR(K11="Bajo stock",K11="Sin stock"),COUNTIFS($K$5:$K11,"Bajo stock")+COUNTIFS($K$5:$K11,"Sin stock"),""))</f>
        <v/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2:30" ht="21.75" customHeight="1" x14ac:dyDescent="0.25">
      <c r="B12" s="10" t="str">
        <f>IF(Productos!B12="","",Productos!B12)</f>
        <v>PE003</v>
      </c>
      <c r="C12" s="10" t="str">
        <f>IF(Productos!B12="","",Productos!C12)</f>
        <v>Pendientes ídolo oro rosa</v>
      </c>
      <c r="D12" s="10" t="str">
        <f>IF(Productos!B12="","",Productos!D12)</f>
        <v>Pendientes</v>
      </c>
      <c r="E12" s="10" t="str">
        <f>IF(Productos!B12="","",Productos!E12)</f>
        <v>Proveedor C</v>
      </c>
      <c r="F12" s="11">
        <f>IF(Productos!B12="","",Productos!F12)</f>
        <v>4</v>
      </c>
      <c r="G12" s="11">
        <f>IF(Productos!B12="","",Productos!G12)</f>
        <v>0</v>
      </c>
      <c r="H12" s="11">
        <f>IF(B12="","",SUMIF('Compras Entradas'!$D$5:$D$504,B12,'Compras Entradas'!$F$5:$F$504))</f>
        <v>20</v>
      </c>
      <c r="I12" s="11">
        <f>IF(B12="","",SUMIF('Ventas Salidas'!$D$5:$D$504,B12,'Ventas Salidas'!$F$5:$F$504))</f>
        <v>2</v>
      </c>
      <c r="J12" s="11">
        <f t="shared" si="0"/>
        <v>18</v>
      </c>
      <c r="K12" s="10" t="str">
        <f t="shared" si="1"/>
        <v>OK</v>
      </c>
      <c r="L12" s="10" t="str">
        <f t="shared" si="2"/>
        <v>Stock suficiente</v>
      </c>
      <c r="M12" s="8"/>
      <c r="N12" s="8" t="str">
        <f>IF(B12="","",IF(OR(K12="Bajo stock",K12="Sin stock"),COUNTIFS($K$5:$K12,"Bajo stock")+COUNTIFS($K$5:$K12,"Sin stock"),""))</f>
        <v/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2:30" ht="21.75" customHeight="1" x14ac:dyDescent="0.25">
      <c r="B13" s="10" t="str">
        <f>IF(Productos!B13="","",Productos!B13)</f>
        <v>AN004</v>
      </c>
      <c r="C13" s="10" t="str">
        <f>IF(Productos!B13="","",Productos!C13)</f>
        <v>Anillo tierra plata</v>
      </c>
      <c r="D13" s="10" t="str">
        <f>IF(Productos!B13="","",Productos!D13)</f>
        <v>Anillos</v>
      </c>
      <c r="E13" s="10" t="str">
        <f>IF(Productos!B13="","",Productos!E13)</f>
        <v>Proveedor A</v>
      </c>
      <c r="F13" s="11">
        <f>IF(Productos!B13="","",Productos!F13)</f>
        <v>5</v>
      </c>
      <c r="G13" s="11">
        <f>IF(Productos!B13="","",Productos!G13)</f>
        <v>14</v>
      </c>
      <c r="H13" s="11">
        <f>IF(B13="","",SUMIF('Compras Entradas'!$D$5:$D$504,B13,'Compras Entradas'!$F$5:$F$504))</f>
        <v>0</v>
      </c>
      <c r="I13" s="11">
        <f>IF(B13="","",SUMIF('Ventas Salidas'!$D$5:$D$504,B13,'Ventas Salidas'!$F$5:$F$504))</f>
        <v>0</v>
      </c>
      <c r="J13" s="11">
        <f t="shared" si="0"/>
        <v>14</v>
      </c>
      <c r="K13" s="10" t="str">
        <f t="shared" si="1"/>
        <v>OK</v>
      </c>
      <c r="L13" s="10" t="str">
        <f t="shared" si="2"/>
        <v>Stock suficiente</v>
      </c>
      <c r="M13" s="8"/>
      <c r="N13" s="8" t="str">
        <f>IF(B13="","",IF(OR(K13="Bajo stock",K13="Sin stock"),COUNTIFS($K$5:$K13,"Bajo stock")+COUNTIFS($K$5:$K13,"Sin stock"),""))</f>
        <v/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2:30" ht="21.75" customHeight="1" x14ac:dyDescent="0.25">
      <c r="B14" s="10" t="str">
        <f>IF(Productos!B14="","",Productos!B14)</f>
        <v>AN005</v>
      </c>
      <c r="C14" s="10" t="str">
        <f>IF(Productos!B14="","",Productos!C14)</f>
        <v>Anillo cielo plata</v>
      </c>
      <c r="D14" s="10" t="str">
        <f>IF(Productos!B14="","",Productos!D14)</f>
        <v>Anillos</v>
      </c>
      <c r="E14" s="10" t="str">
        <f>IF(Productos!B14="","",Productos!E14)</f>
        <v>Proveedor A</v>
      </c>
      <c r="F14" s="11">
        <f>IF(Productos!B14="","",Productos!F14)</f>
        <v>5</v>
      </c>
      <c r="G14" s="11">
        <f>IF(Productos!B14="","",Productos!G14)</f>
        <v>9</v>
      </c>
      <c r="H14" s="11">
        <f>IF(B14="","",SUMIF('Compras Entradas'!$D$5:$D$504,B14,'Compras Entradas'!$F$5:$F$504))</f>
        <v>8</v>
      </c>
      <c r="I14" s="11">
        <f>IF(B14="","",SUMIF('Ventas Salidas'!$D$5:$D$504,B14,'Ventas Salidas'!$F$5:$F$504))</f>
        <v>10</v>
      </c>
      <c r="J14" s="11">
        <f t="shared" si="0"/>
        <v>7</v>
      </c>
      <c r="K14" s="10" t="str">
        <f t="shared" si="1"/>
        <v>OK</v>
      </c>
      <c r="L14" s="10" t="str">
        <f t="shared" si="2"/>
        <v>Stock suficiente</v>
      </c>
      <c r="M14" s="8"/>
      <c r="N14" s="8" t="str">
        <f>IF(B14="","",IF(OR(K14="Bajo stock",K14="Sin stock"),COUNTIFS($K$5:$K14,"Bajo stock")+COUNTIFS($K$5:$K14,"Sin stock"),""))</f>
        <v/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2:30" ht="21.75" customHeight="1" x14ac:dyDescent="0.25">
      <c r="B15" s="10" t="str">
        <f>IF(Productos!B15="","",Productos!B15)</f>
        <v/>
      </c>
      <c r="C15" s="10" t="str">
        <f>IF(Productos!B15="","",Productos!C15)</f>
        <v/>
      </c>
      <c r="D15" s="10" t="str">
        <f>IF(Productos!B15="","",Productos!D15)</f>
        <v/>
      </c>
      <c r="E15" s="10" t="str">
        <f>IF(Productos!B15="","",Productos!E15)</f>
        <v/>
      </c>
      <c r="F15" s="11" t="str">
        <f>IF(Productos!B15="","",Productos!F15)</f>
        <v/>
      </c>
      <c r="G15" s="11" t="str">
        <f>IF(Productos!B15="","",Productos!G15)</f>
        <v/>
      </c>
      <c r="H15" s="11" t="str">
        <f>IF(B15="","",SUMIF('Compras Entradas'!$D$5:$D$504,B15,'Compras Entradas'!$F$5:$F$504))</f>
        <v/>
      </c>
      <c r="I15" s="11" t="str">
        <f>IF(B15="","",SUMIF('Ventas Salidas'!$D$5:$D$504,B15,'Ventas Salidas'!$F$5:$F$504))</f>
        <v/>
      </c>
      <c r="J15" s="11" t="str">
        <f t="shared" si="0"/>
        <v/>
      </c>
      <c r="K15" s="10" t="str">
        <f t="shared" si="1"/>
        <v/>
      </c>
      <c r="L15" s="10" t="str">
        <f t="shared" si="2"/>
        <v/>
      </c>
      <c r="M15" s="8"/>
      <c r="N15" s="8" t="str">
        <f>IF(B15="","",IF(OR(K15="Bajo stock",K15="Sin stock"),COUNTIFS($K$5:$K15,"Bajo stock")+COUNTIFS($K$5:$K15,"Sin stock"),""))</f>
        <v/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2:30" ht="21.75" customHeight="1" x14ac:dyDescent="0.25">
      <c r="B16" s="10" t="str">
        <f>IF(Productos!B16="","",Productos!B16)</f>
        <v/>
      </c>
      <c r="C16" s="10" t="str">
        <f>IF(Productos!B16="","",Productos!C16)</f>
        <v/>
      </c>
      <c r="D16" s="10" t="str">
        <f>IF(Productos!B16="","",Productos!D16)</f>
        <v/>
      </c>
      <c r="E16" s="10" t="str">
        <f>IF(Productos!B16="","",Productos!E16)</f>
        <v/>
      </c>
      <c r="F16" s="11" t="str">
        <f>IF(Productos!B16="","",Productos!F16)</f>
        <v/>
      </c>
      <c r="G16" s="11" t="str">
        <f>IF(Productos!B16="","",Productos!G16)</f>
        <v/>
      </c>
      <c r="H16" s="11" t="str">
        <f>IF(B16="","",SUMIF('Compras Entradas'!$D$5:$D$504,B16,'Compras Entradas'!$F$5:$F$504))</f>
        <v/>
      </c>
      <c r="I16" s="11" t="str">
        <f>IF(B16="","",SUMIF('Ventas Salidas'!$D$5:$D$504,B16,'Ventas Salidas'!$F$5:$F$504))</f>
        <v/>
      </c>
      <c r="J16" s="11" t="str">
        <f t="shared" si="0"/>
        <v/>
      </c>
      <c r="K16" s="10" t="str">
        <f t="shared" si="1"/>
        <v/>
      </c>
      <c r="L16" s="10" t="str">
        <f t="shared" si="2"/>
        <v/>
      </c>
      <c r="M16" s="8"/>
      <c r="N16" s="8" t="str">
        <f>IF(B16="","",IF(OR(K16="Bajo stock",K16="Sin stock"),COUNTIFS($K$5:$K16,"Bajo stock")+COUNTIFS($K$5:$K16,"Sin stock"),""))</f>
        <v/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2:30" ht="21.75" customHeight="1" x14ac:dyDescent="0.25">
      <c r="B17" s="10" t="str">
        <f>IF(Productos!B17="","",Productos!B17)</f>
        <v/>
      </c>
      <c r="C17" s="10" t="str">
        <f>IF(Productos!B17="","",Productos!C17)</f>
        <v/>
      </c>
      <c r="D17" s="10" t="str">
        <f>IF(Productos!B17="","",Productos!D17)</f>
        <v/>
      </c>
      <c r="E17" s="10" t="str">
        <f>IF(Productos!B17="","",Productos!E17)</f>
        <v/>
      </c>
      <c r="F17" s="11" t="str">
        <f>IF(Productos!B17="","",Productos!F17)</f>
        <v/>
      </c>
      <c r="G17" s="11" t="str">
        <f>IF(Productos!B17="","",Productos!G17)</f>
        <v/>
      </c>
      <c r="H17" s="11" t="str">
        <f>IF(B17="","",SUMIF('Compras Entradas'!$D$5:$D$504,B17,'Compras Entradas'!$F$5:$F$504))</f>
        <v/>
      </c>
      <c r="I17" s="11" t="str">
        <f>IF(B17="","",SUMIF('Ventas Salidas'!$D$5:$D$504,B17,'Ventas Salidas'!$F$5:$F$504))</f>
        <v/>
      </c>
      <c r="J17" s="11" t="str">
        <f t="shared" si="0"/>
        <v/>
      </c>
      <c r="K17" s="10" t="str">
        <f t="shared" si="1"/>
        <v/>
      </c>
      <c r="L17" s="10" t="str">
        <f t="shared" si="2"/>
        <v/>
      </c>
      <c r="M17" s="8"/>
      <c r="N17" s="8" t="str">
        <f>IF(B17="","",IF(OR(K17="Bajo stock",K17="Sin stock"),COUNTIFS($K$5:$K17,"Bajo stock")+COUNTIFS($K$5:$K17,"Sin stock"),""))</f>
        <v/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2:30" ht="21.75" customHeight="1" x14ac:dyDescent="0.25">
      <c r="B18" s="10" t="str">
        <f>IF(Productos!B18="","",Productos!B18)</f>
        <v/>
      </c>
      <c r="C18" s="10" t="str">
        <f>IF(Productos!B18="","",Productos!C18)</f>
        <v/>
      </c>
      <c r="D18" s="10" t="str">
        <f>IF(Productos!B18="","",Productos!D18)</f>
        <v/>
      </c>
      <c r="E18" s="10" t="str">
        <f>IF(Productos!B18="","",Productos!E18)</f>
        <v/>
      </c>
      <c r="F18" s="11" t="str">
        <f>IF(Productos!B18="","",Productos!F18)</f>
        <v/>
      </c>
      <c r="G18" s="11" t="str">
        <f>IF(Productos!B18="","",Productos!G18)</f>
        <v/>
      </c>
      <c r="H18" s="11" t="str">
        <f>IF(B18="","",SUMIF('Compras Entradas'!$D$5:$D$504,B18,'Compras Entradas'!$F$5:$F$504))</f>
        <v/>
      </c>
      <c r="I18" s="11" t="str">
        <f>IF(B18="","",SUMIF('Ventas Salidas'!$D$5:$D$504,B18,'Ventas Salidas'!$F$5:$F$504))</f>
        <v/>
      </c>
      <c r="J18" s="11" t="str">
        <f t="shared" si="0"/>
        <v/>
      </c>
      <c r="K18" s="10" t="str">
        <f t="shared" si="1"/>
        <v/>
      </c>
      <c r="L18" s="10" t="str">
        <f t="shared" si="2"/>
        <v/>
      </c>
      <c r="M18" s="8"/>
      <c r="N18" s="8" t="str">
        <f>IF(B18="","",IF(OR(K18="Bajo stock",K18="Sin stock"),COUNTIFS($K$5:$K18,"Bajo stock")+COUNTIFS($K$5:$K18,"Sin stock"),""))</f>
        <v/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2:30" ht="21.75" customHeight="1" x14ac:dyDescent="0.25">
      <c r="B19" s="10" t="str">
        <f>IF(Productos!B19="","",Productos!B19)</f>
        <v/>
      </c>
      <c r="C19" s="10" t="str">
        <f>IF(Productos!B19="","",Productos!C19)</f>
        <v/>
      </c>
      <c r="D19" s="10" t="str">
        <f>IF(Productos!B19="","",Productos!D19)</f>
        <v/>
      </c>
      <c r="E19" s="10" t="str">
        <f>IF(Productos!B19="","",Productos!E19)</f>
        <v/>
      </c>
      <c r="F19" s="11" t="str">
        <f>IF(Productos!B19="","",Productos!F19)</f>
        <v/>
      </c>
      <c r="G19" s="11" t="str">
        <f>IF(Productos!B19="","",Productos!G19)</f>
        <v/>
      </c>
      <c r="H19" s="11" t="str">
        <f>IF(B19="","",SUMIF('Compras Entradas'!$D$5:$D$504,B19,'Compras Entradas'!$F$5:$F$504))</f>
        <v/>
      </c>
      <c r="I19" s="11" t="str">
        <f>IF(B19="","",SUMIF('Ventas Salidas'!$D$5:$D$504,B19,'Ventas Salidas'!$F$5:$F$504))</f>
        <v/>
      </c>
      <c r="J19" s="11" t="str">
        <f t="shared" si="0"/>
        <v/>
      </c>
      <c r="K19" s="10" t="str">
        <f t="shared" si="1"/>
        <v/>
      </c>
      <c r="L19" s="10" t="str">
        <f t="shared" si="2"/>
        <v/>
      </c>
      <c r="M19" s="8"/>
      <c r="N19" s="8" t="str">
        <f>IF(B19="","",IF(OR(K19="Bajo stock",K19="Sin stock"),COUNTIFS($K$5:$K19,"Bajo stock")+COUNTIFS($K$5:$K19,"Sin stock"),""))</f>
        <v/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2:30" ht="21.75" customHeight="1" x14ac:dyDescent="0.25">
      <c r="B20" s="10" t="str">
        <f>IF(Productos!B20="","",Productos!B20)</f>
        <v/>
      </c>
      <c r="C20" s="10" t="str">
        <f>IF(Productos!B20="","",Productos!C20)</f>
        <v/>
      </c>
      <c r="D20" s="10" t="str">
        <f>IF(Productos!B20="","",Productos!D20)</f>
        <v/>
      </c>
      <c r="E20" s="10" t="str">
        <f>IF(Productos!B20="","",Productos!E20)</f>
        <v/>
      </c>
      <c r="F20" s="11" t="str">
        <f>IF(Productos!B20="","",Productos!F20)</f>
        <v/>
      </c>
      <c r="G20" s="11" t="str">
        <f>IF(Productos!B20="","",Productos!G20)</f>
        <v/>
      </c>
      <c r="H20" s="11" t="str">
        <f>IF(B20="","",SUMIF('Compras Entradas'!$D$5:$D$504,B20,'Compras Entradas'!$F$5:$F$504))</f>
        <v/>
      </c>
      <c r="I20" s="11" t="str">
        <f>IF(B20="","",SUMIF('Ventas Salidas'!$D$5:$D$504,B20,'Ventas Salidas'!$F$5:$F$504))</f>
        <v/>
      </c>
      <c r="J20" s="11" t="str">
        <f t="shared" si="0"/>
        <v/>
      </c>
      <c r="K20" s="10" t="str">
        <f t="shared" si="1"/>
        <v/>
      </c>
      <c r="L20" s="10" t="str">
        <f t="shared" si="2"/>
        <v/>
      </c>
      <c r="M20" s="8"/>
      <c r="N20" s="8" t="str">
        <f>IF(B20="","",IF(OR(K20="Bajo stock",K20="Sin stock"),COUNTIFS($K$5:$K20,"Bajo stock")+COUNTIFS($K$5:$K20,"Sin stock"),""))</f>
        <v/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2:30" ht="21.75" customHeight="1" x14ac:dyDescent="0.25">
      <c r="B21" s="10" t="str">
        <f>IF(Productos!B21="","",Productos!B21)</f>
        <v/>
      </c>
      <c r="C21" s="10" t="str">
        <f>IF(Productos!B21="","",Productos!C21)</f>
        <v/>
      </c>
      <c r="D21" s="10" t="str">
        <f>IF(Productos!B21="","",Productos!D21)</f>
        <v/>
      </c>
      <c r="E21" s="10" t="str">
        <f>IF(Productos!B21="","",Productos!E21)</f>
        <v/>
      </c>
      <c r="F21" s="11" t="str">
        <f>IF(Productos!B21="","",Productos!F21)</f>
        <v/>
      </c>
      <c r="G21" s="11" t="str">
        <f>IF(Productos!B21="","",Productos!G21)</f>
        <v/>
      </c>
      <c r="H21" s="11" t="str">
        <f>IF(B21="","",SUMIF('Compras Entradas'!$D$5:$D$504,B21,'Compras Entradas'!$F$5:$F$504))</f>
        <v/>
      </c>
      <c r="I21" s="11" t="str">
        <f>IF(B21="","",SUMIF('Ventas Salidas'!$D$5:$D$504,B21,'Ventas Salidas'!$F$5:$F$504))</f>
        <v/>
      </c>
      <c r="J21" s="11" t="str">
        <f t="shared" si="0"/>
        <v/>
      </c>
      <c r="K21" s="10" t="str">
        <f t="shared" si="1"/>
        <v/>
      </c>
      <c r="L21" s="10" t="str">
        <f t="shared" si="2"/>
        <v/>
      </c>
      <c r="M21" s="8"/>
      <c r="N21" s="8" t="str">
        <f>IF(B21="","",IF(OR(K21="Bajo stock",K21="Sin stock"),COUNTIFS($K$5:$K21,"Bajo stock")+COUNTIFS($K$5:$K21,"Sin stock"),""))</f>
        <v/>
      </c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2:30" ht="21.75" customHeight="1" x14ac:dyDescent="0.25">
      <c r="B22" s="10" t="str">
        <f>IF(Productos!B22="","",Productos!B22)</f>
        <v/>
      </c>
      <c r="C22" s="10" t="str">
        <f>IF(Productos!B22="","",Productos!C22)</f>
        <v/>
      </c>
      <c r="D22" s="10" t="str">
        <f>IF(Productos!B22="","",Productos!D22)</f>
        <v/>
      </c>
      <c r="E22" s="10" t="str">
        <f>IF(Productos!B22="","",Productos!E22)</f>
        <v/>
      </c>
      <c r="F22" s="11" t="str">
        <f>IF(Productos!B22="","",Productos!F22)</f>
        <v/>
      </c>
      <c r="G22" s="11" t="str">
        <f>IF(Productos!B22="","",Productos!G22)</f>
        <v/>
      </c>
      <c r="H22" s="11" t="str">
        <f>IF(B22="","",SUMIF('Compras Entradas'!$D$5:$D$504,B22,'Compras Entradas'!$F$5:$F$504))</f>
        <v/>
      </c>
      <c r="I22" s="11" t="str">
        <f>IF(B22="","",SUMIF('Ventas Salidas'!$D$5:$D$504,B22,'Ventas Salidas'!$F$5:$F$504))</f>
        <v/>
      </c>
      <c r="J22" s="11" t="str">
        <f t="shared" si="0"/>
        <v/>
      </c>
      <c r="K22" s="10" t="str">
        <f t="shared" si="1"/>
        <v/>
      </c>
      <c r="L22" s="10" t="str">
        <f t="shared" si="2"/>
        <v/>
      </c>
      <c r="M22" s="8"/>
      <c r="N22" s="8" t="str">
        <f>IF(B22="","",IF(OR(K22="Bajo stock",K22="Sin stock"),COUNTIFS($K$5:$K22,"Bajo stock")+COUNTIFS($K$5:$K22,"Sin stock"),""))</f>
        <v/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2:30" ht="21.75" customHeight="1" x14ac:dyDescent="0.25">
      <c r="B23" s="10" t="str">
        <f>IF(Productos!B23="","",Productos!B23)</f>
        <v/>
      </c>
      <c r="C23" s="10" t="str">
        <f>IF(Productos!B23="","",Productos!C23)</f>
        <v/>
      </c>
      <c r="D23" s="10" t="str">
        <f>IF(Productos!B23="","",Productos!D23)</f>
        <v/>
      </c>
      <c r="E23" s="10" t="str">
        <f>IF(Productos!B23="","",Productos!E23)</f>
        <v/>
      </c>
      <c r="F23" s="11" t="str">
        <f>IF(Productos!B23="","",Productos!F23)</f>
        <v/>
      </c>
      <c r="G23" s="11" t="str">
        <f>IF(Productos!B23="","",Productos!G23)</f>
        <v/>
      </c>
      <c r="H23" s="11" t="str">
        <f>IF(B23="","",SUMIF('Compras Entradas'!$D$5:$D$504,B23,'Compras Entradas'!$F$5:$F$504))</f>
        <v/>
      </c>
      <c r="I23" s="11" t="str">
        <f>IF(B23="","",SUMIF('Ventas Salidas'!$D$5:$D$504,B23,'Ventas Salidas'!$F$5:$F$504))</f>
        <v/>
      </c>
      <c r="J23" s="11" t="str">
        <f t="shared" si="0"/>
        <v/>
      </c>
      <c r="K23" s="10" t="str">
        <f t="shared" si="1"/>
        <v/>
      </c>
      <c r="L23" s="10" t="str">
        <f t="shared" si="2"/>
        <v/>
      </c>
      <c r="M23" s="8"/>
      <c r="N23" s="8" t="str">
        <f>IF(B23="","",IF(OR(K23="Bajo stock",K23="Sin stock"),COUNTIFS($K$5:$K23,"Bajo stock")+COUNTIFS($K$5:$K23,"Sin stock"),""))</f>
        <v/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2:30" ht="21.75" customHeight="1" x14ac:dyDescent="0.25">
      <c r="B24" s="10" t="str">
        <f>IF(Productos!B24="","",Productos!B24)</f>
        <v/>
      </c>
      <c r="C24" s="10" t="str">
        <f>IF(Productos!B24="","",Productos!C24)</f>
        <v/>
      </c>
      <c r="D24" s="10" t="str">
        <f>IF(Productos!B24="","",Productos!D24)</f>
        <v/>
      </c>
      <c r="E24" s="10" t="str">
        <f>IF(Productos!B24="","",Productos!E24)</f>
        <v/>
      </c>
      <c r="F24" s="11" t="str">
        <f>IF(Productos!B24="","",Productos!F24)</f>
        <v/>
      </c>
      <c r="G24" s="11" t="str">
        <f>IF(Productos!B24="","",Productos!G24)</f>
        <v/>
      </c>
      <c r="H24" s="11" t="str">
        <f>IF(B24="","",SUMIF('Compras Entradas'!$D$5:$D$504,B24,'Compras Entradas'!$F$5:$F$504))</f>
        <v/>
      </c>
      <c r="I24" s="11" t="str">
        <f>IF(B24="","",SUMIF('Ventas Salidas'!$D$5:$D$504,B24,'Ventas Salidas'!$F$5:$F$504))</f>
        <v/>
      </c>
      <c r="J24" s="11" t="str">
        <f t="shared" si="0"/>
        <v/>
      </c>
      <c r="K24" s="10" t="str">
        <f t="shared" si="1"/>
        <v/>
      </c>
      <c r="L24" s="10" t="str">
        <f t="shared" si="2"/>
        <v/>
      </c>
      <c r="M24" s="8"/>
      <c r="N24" s="8" t="str">
        <f>IF(B24="","",IF(OR(K24="Bajo stock",K24="Sin stock"),COUNTIFS($K$5:$K24,"Bajo stock")+COUNTIFS($K$5:$K24,"Sin stock"),""))</f>
        <v/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2:30" ht="21.75" customHeight="1" x14ac:dyDescent="0.25">
      <c r="B25" s="10" t="str">
        <f>IF(Productos!B25="","",Productos!B25)</f>
        <v/>
      </c>
      <c r="C25" s="10" t="str">
        <f>IF(Productos!B25="","",Productos!C25)</f>
        <v/>
      </c>
      <c r="D25" s="10" t="str">
        <f>IF(Productos!B25="","",Productos!D25)</f>
        <v/>
      </c>
      <c r="E25" s="10" t="str">
        <f>IF(Productos!B25="","",Productos!E25)</f>
        <v/>
      </c>
      <c r="F25" s="11" t="str">
        <f>IF(Productos!B25="","",Productos!F25)</f>
        <v/>
      </c>
      <c r="G25" s="11" t="str">
        <f>IF(Productos!B25="","",Productos!G25)</f>
        <v/>
      </c>
      <c r="H25" s="11" t="str">
        <f>IF(B25="","",SUMIF('Compras Entradas'!$D$5:$D$504,B25,'Compras Entradas'!$F$5:$F$504))</f>
        <v/>
      </c>
      <c r="I25" s="11" t="str">
        <f>IF(B25="","",SUMIF('Ventas Salidas'!$D$5:$D$504,B25,'Ventas Salidas'!$F$5:$F$504))</f>
        <v/>
      </c>
      <c r="J25" s="11" t="str">
        <f t="shared" si="0"/>
        <v/>
      </c>
      <c r="K25" s="10" t="str">
        <f t="shared" si="1"/>
        <v/>
      </c>
      <c r="L25" s="10" t="str">
        <f t="shared" si="2"/>
        <v/>
      </c>
      <c r="M25" s="8"/>
      <c r="N25" s="8" t="str">
        <f>IF(B25="","",IF(OR(K25="Bajo stock",K25="Sin stock"),COUNTIFS($K$5:$K25,"Bajo stock")+COUNTIFS($K$5:$K25,"Sin stock"),""))</f>
        <v/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2:30" ht="21.75" customHeight="1" x14ac:dyDescent="0.25">
      <c r="B26" s="10" t="str">
        <f>IF(Productos!B26="","",Productos!B26)</f>
        <v/>
      </c>
      <c r="C26" s="10" t="str">
        <f>IF(Productos!B26="","",Productos!C26)</f>
        <v/>
      </c>
      <c r="D26" s="10" t="str">
        <f>IF(Productos!B26="","",Productos!D26)</f>
        <v/>
      </c>
      <c r="E26" s="10" t="str">
        <f>IF(Productos!B26="","",Productos!E26)</f>
        <v/>
      </c>
      <c r="F26" s="11" t="str">
        <f>IF(Productos!B26="","",Productos!F26)</f>
        <v/>
      </c>
      <c r="G26" s="11" t="str">
        <f>IF(Productos!B26="","",Productos!G26)</f>
        <v/>
      </c>
      <c r="H26" s="11" t="str">
        <f>IF(B26="","",SUMIF('Compras Entradas'!$D$5:$D$504,B26,'Compras Entradas'!$F$5:$F$504))</f>
        <v/>
      </c>
      <c r="I26" s="11" t="str">
        <f>IF(B26="","",SUMIF('Ventas Salidas'!$D$5:$D$504,B26,'Ventas Salidas'!$F$5:$F$504))</f>
        <v/>
      </c>
      <c r="J26" s="11" t="str">
        <f t="shared" si="0"/>
        <v/>
      </c>
      <c r="K26" s="10" t="str">
        <f t="shared" si="1"/>
        <v/>
      </c>
      <c r="L26" s="10" t="str">
        <f t="shared" si="2"/>
        <v/>
      </c>
      <c r="M26" s="8"/>
      <c r="N26" s="8" t="str">
        <f>IF(B26="","",IF(OR(K26="Bajo stock",K26="Sin stock"),COUNTIFS($K$5:$K26,"Bajo stock")+COUNTIFS($K$5:$K26,"Sin stock"),""))</f>
        <v/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2:30" ht="21.75" customHeight="1" x14ac:dyDescent="0.25">
      <c r="B27" s="10" t="str">
        <f>IF(Productos!B27="","",Productos!B27)</f>
        <v/>
      </c>
      <c r="C27" s="10" t="str">
        <f>IF(Productos!B27="","",Productos!C27)</f>
        <v/>
      </c>
      <c r="D27" s="10" t="str">
        <f>IF(Productos!B27="","",Productos!D27)</f>
        <v/>
      </c>
      <c r="E27" s="10" t="str">
        <f>IF(Productos!B27="","",Productos!E27)</f>
        <v/>
      </c>
      <c r="F27" s="11" t="str">
        <f>IF(Productos!B27="","",Productos!F27)</f>
        <v/>
      </c>
      <c r="G27" s="11" t="str">
        <f>IF(Productos!B27="","",Productos!G27)</f>
        <v/>
      </c>
      <c r="H27" s="11" t="str">
        <f>IF(B27="","",SUMIF('Compras Entradas'!$D$5:$D$504,B27,'Compras Entradas'!$F$5:$F$504))</f>
        <v/>
      </c>
      <c r="I27" s="11" t="str">
        <f>IF(B27="","",SUMIF('Ventas Salidas'!$D$5:$D$504,B27,'Ventas Salidas'!$F$5:$F$504))</f>
        <v/>
      </c>
      <c r="J27" s="11" t="str">
        <f t="shared" si="0"/>
        <v/>
      </c>
      <c r="K27" s="10" t="str">
        <f t="shared" si="1"/>
        <v/>
      </c>
      <c r="L27" s="10" t="str">
        <f t="shared" si="2"/>
        <v/>
      </c>
      <c r="M27" s="8"/>
      <c r="N27" s="8" t="str">
        <f>IF(B27="","",IF(OR(K27="Bajo stock",K27="Sin stock"),COUNTIFS($K$5:$K27,"Bajo stock")+COUNTIFS($K$5:$K27,"Sin stock"),""))</f>
        <v/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2:30" ht="21.75" customHeight="1" x14ac:dyDescent="0.25">
      <c r="B28" s="10" t="str">
        <f>IF(Productos!B28="","",Productos!B28)</f>
        <v/>
      </c>
      <c r="C28" s="10" t="str">
        <f>IF(Productos!B28="","",Productos!C28)</f>
        <v/>
      </c>
      <c r="D28" s="10" t="str">
        <f>IF(Productos!B28="","",Productos!D28)</f>
        <v/>
      </c>
      <c r="E28" s="10" t="str">
        <f>IF(Productos!B28="","",Productos!E28)</f>
        <v/>
      </c>
      <c r="F28" s="11" t="str">
        <f>IF(Productos!B28="","",Productos!F28)</f>
        <v/>
      </c>
      <c r="G28" s="11" t="str">
        <f>IF(Productos!B28="","",Productos!G28)</f>
        <v/>
      </c>
      <c r="H28" s="11" t="str">
        <f>IF(B28="","",SUMIF('Compras Entradas'!$D$5:$D$504,B28,'Compras Entradas'!$F$5:$F$504))</f>
        <v/>
      </c>
      <c r="I28" s="11" t="str">
        <f>IF(B28="","",SUMIF('Ventas Salidas'!$D$5:$D$504,B28,'Ventas Salidas'!$F$5:$F$504))</f>
        <v/>
      </c>
      <c r="J28" s="11" t="str">
        <f t="shared" si="0"/>
        <v/>
      </c>
      <c r="K28" s="10" t="str">
        <f t="shared" si="1"/>
        <v/>
      </c>
      <c r="L28" s="10" t="str">
        <f t="shared" si="2"/>
        <v/>
      </c>
      <c r="M28" s="8"/>
      <c r="N28" s="8" t="str">
        <f>IF(B28="","",IF(OR(K28="Bajo stock",K28="Sin stock"),COUNTIFS($K$5:$K28,"Bajo stock")+COUNTIFS($K$5:$K28,"Sin stock"),""))</f>
        <v/>
      </c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2:30" ht="21.75" customHeight="1" x14ac:dyDescent="0.25">
      <c r="B29" s="10" t="str">
        <f>IF(Productos!B29="","",Productos!B29)</f>
        <v/>
      </c>
      <c r="C29" s="10" t="str">
        <f>IF(Productos!B29="","",Productos!C29)</f>
        <v/>
      </c>
      <c r="D29" s="10" t="str">
        <f>IF(Productos!B29="","",Productos!D29)</f>
        <v/>
      </c>
      <c r="E29" s="10" t="str">
        <f>IF(Productos!B29="","",Productos!E29)</f>
        <v/>
      </c>
      <c r="F29" s="11" t="str">
        <f>IF(Productos!B29="","",Productos!F29)</f>
        <v/>
      </c>
      <c r="G29" s="11" t="str">
        <f>IF(Productos!B29="","",Productos!G29)</f>
        <v/>
      </c>
      <c r="H29" s="11" t="str">
        <f>IF(B29="","",SUMIF('Compras Entradas'!$D$5:$D$504,B29,'Compras Entradas'!$F$5:$F$504))</f>
        <v/>
      </c>
      <c r="I29" s="11" t="str">
        <f>IF(B29="","",SUMIF('Ventas Salidas'!$D$5:$D$504,B29,'Ventas Salidas'!$F$5:$F$504))</f>
        <v/>
      </c>
      <c r="J29" s="11" t="str">
        <f t="shared" si="0"/>
        <v/>
      </c>
      <c r="K29" s="10" t="str">
        <f t="shared" si="1"/>
        <v/>
      </c>
      <c r="L29" s="10" t="str">
        <f t="shared" si="2"/>
        <v/>
      </c>
      <c r="M29" s="8"/>
      <c r="N29" s="8" t="str">
        <f>IF(B29="","",IF(OR(K29="Bajo stock",K29="Sin stock"),COUNTIFS($K$5:$K29,"Bajo stock")+COUNTIFS($K$5:$K29,"Sin stock"),""))</f>
        <v/>
      </c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2:30" ht="21.75" customHeight="1" x14ac:dyDescent="0.25">
      <c r="B30" s="10" t="str">
        <f>IF(Productos!B30="","",Productos!B30)</f>
        <v/>
      </c>
      <c r="C30" s="10" t="str">
        <f>IF(Productos!B30="","",Productos!C30)</f>
        <v/>
      </c>
      <c r="D30" s="10" t="str">
        <f>IF(Productos!B30="","",Productos!D30)</f>
        <v/>
      </c>
      <c r="E30" s="10" t="str">
        <f>IF(Productos!B30="","",Productos!E30)</f>
        <v/>
      </c>
      <c r="F30" s="11" t="str">
        <f>IF(Productos!B30="","",Productos!F30)</f>
        <v/>
      </c>
      <c r="G30" s="11" t="str">
        <f>IF(Productos!B30="","",Productos!G30)</f>
        <v/>
      </c>
      <c r="H30" s="11" t="str">
        <f>IF(B30="","",SUMIF('Compras Entradas'!$D$5:$D$504,B30,'Compras Entradas'!$F$5:$F$504))</f>
        <v/>
      </c>
      <c r="I30" s="11" t="str">
        <f>IF(B30="","",SUMIF('Ventas Salidas'!$D$5:$D$504,B30,'Ventas Salidas'!$F$5:$F$504))</f>
        <v/>
      </c>
      <c r="J30" s="11" t="str">
        <f t="shared" si="0"/>
        <v/>
      </c>
      <c r="K30" s="10" t="str">
        <f t="shared" si="1"/>
        <v/>
      </c>
      <c r="L30" s="10" t="str">
        <f t="shared" si="2"/>
        <v/>
      </c>
      <c r="M30" s="8"/>
      <c r="N30" s="8" t="str">
        <f>IF(B30="","",IF(OR(K30="Bajo stock",K30="Sin stock"),COUNTIFS($K$5:$K30,"Bajo stock")+COUNTIFS($K$5:$K30,"Sin stock"),""))</f>
        <v/>
      </c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2:30" ht="21.75" customHeight="1" x14ac:dyDescent="0.25">
      <c r="B31" s="10" t="str">
        <f>IF(Productos!B31="","",Productos!B31)</f>
        <v/>
      </c>
      <c r="C31" s="10" t="str">
        <f>IF(Productos!B31="","",Productos!C31)</f>
        <v/>
      </c>
      <c r="D31" s="10" t="str">
        <f>IF(Productos!B31="","",Productos!D31)</f>
        <v/>
      </c>
      <c r="E31" s="10" t="str">
        <f>IF(Productos!B31="","",Productos!E31)</f>
        <v/>
      </c>
      <c r="F31" s="11" t="str">
        <f>IF(Productos!B31="","",Productos!F31)</f>
        <v/>
      </c>
      <c r="G31" s="11" t="str">
        <f>IF(Productos!B31="","",Productos!G31)</f>
        <v/>
      </c>
      <c r="H31" s="11" t="str">
        <f>IF(B31="","",SUMIF('Compras Entradas'!$D$5:$D$504,B31,'Compras Entradas'!$F$5:$F$504))</f>
        <v/>
      </c>
      <c r="I31" s="11" t="str">
        <f>IF(B31="","",SUMIF('Ventas Salidas'!$D$5:$D$504,B31,'Ventas Salidas'!$F$5:$F$504))</f>
        <v/>
      </c>
      <c r="J31" s="11" t="str">
        <f t="shared" si="0"/>
        <v/>
      </c>
      <c r="K31" s="10" t="str">
        <f t="shared" si="1"/>
        <v/>
      </c>
      <c r="L31" s="10" t="str">
        <f t="shared" si="2"/>
        <v/>
      </c>
      <c r="M31" s="8"/>
      <c r="N31" s="8" t="str">
        <f>IF(B31="","",IF(OR(K31="Bajo stock",K31="Sin stock"),COUNTIFS($K$5:$K31,"Bajo stock")+COUNTIFS($K$5:$K31,"Sin stock"),""))</f>
        <v/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2:30" ht="21.75" customHeight="1" x14ac:dyDescent="0.25">
      <c r="B32" s="10" t="str">
        <f>IF(Productos!B32="","",Productos!B32)</f>
        <v/>
      </c>
      <c r="C32" s="10" t="str">
        <f>IF(Productos!B32="","",Productos!C32)</f>
        <v/>
      </c>
      <c r="D32" s="10" t="str">
        <f>IF(Productos!B32="","",Productos!D32)</f>
        <v/>
      </c>
      <c r="E32" s="10" t="str">
        <f>IF(Productos!B32="","",Productos!E32)</f>
        <v/>
      </c>
      <c r="F32" s="11" t="str">
        <f>IF(Productos!B32="","",Productos!F32)</f>
        <v/>
      </c>
      <c r="G32" s="11" t="str">
        <f>IF(Productos!B32="","",Productos!G32)</f>
        <v/>
      </c>
      <c r="H32" s="11" t="str">
        <f>IF(B32="","",SUMIF('Compras Entradas'!$D$5:$D$504,B32,'Compras Entradas'!$F$5:$F$504))</f>
        <v/>
      </c>
      <c r="I32" s="11" t="str">
        <f>IF(B32="","",SUMIF('Ventas Salidas'!$D$5:$D$504,B32,'Ventas Salidas'!$F$5:$F$504))</f>
        <v/>
      </c>
      <c r="J32" s="11" t="str">
        <f t="shared" si="0"/>
        <v/>
      </c>
      <c r="K32" s="10" t="str">
        <f t="shared" si="1"/>
        <v/>
      </c>
      <c r="L32" s="10" t="str">
        <f t="shared" si="2"/>
        <v/>
      </c>
      <c r="M32" s="8"/>
      <c r="N32" s="8" t="str">
        <f>IF(B32="","",IF(OR(K32="Bajo stock",K32="Sin stock"),COUNTIFS($K$5:$K32,"Bajo stock")+COUNTIFS($K$5:$K32,"Sin stock"),""))</f>
        <v/>
      </c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2:30" ht="21.75" customHeight="1" x14ac:dyDescent="0.25">
      <c r="B33" s="10" t="str">
        <f>IF(Productos!B33="","",Productos!B33)</f>
        <v/>
      </c>
      <c r="C33" s="10" t="str">
        <f>IF(Productos!B33="","",Productos!C33)</f>
        <v/>
      </c>
      <c r="D33" s="10" t="str">
        <f>IF(Productos!B33="","",Productos!D33)</f>
        <v/>
      </c>
      <c r="E33" s="10" t="str">
        <f>IF(Productos!B33="","",Productos!E33)</f>
        <v/>
      </c>
      <c r="F33" s="11" t="str">
        <f>IF(Productos!B33="","",Productos!F33)</f>
        <v/>
      </c>
      <c r="G33" s="11" t="str">
        <f>IF(Productos!B33="","",Productos!G33)</f>
        <v/>
      </c>
      <c r="H33" s="11" t="str">
        <f>IF(B33="","",SUMIF('Compras Entradas'!$D$5:$D$504,B33,'Compras Entradas'!$F$5:$F$504))</f>
        <v/>
      </c>
      <c r="I33" s="11" t="str">
        <f>IF(B33="","",SUMIF('Ventas Salidas'!$D$5:$D$504,B33,'Ventas Salidas'!$F$5:$F$504))</f>
        <v/>
      </c>
      <c r="J33" s="11" t="str">
        <f t="shared" si="0"/>
        <v/>
      </c>
      <c r="K33" s="10" t="str">
        <f t="shared" si="1"/>
        <v/>
      </c>
      <c r="L33" s="10" t="str">
        <f t="shared" si="2"/>
        <v/>
      </c>
      <c r="M33" s="8"/>
      <c r="N33" s="8" t="str">
        <f>IF(B33="","",IF(OR(K33="Bajo stock",K33="Sin stock"),COUNTIFS($K$5:$K33,"Bajo stock")+COUNTIFS($K$5:$K33,"Sin stock"),""))</f>
        <v/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2:30" ht="21.75" customHeight="1" x14ac:dyDescent="0.25">
      <c r="B34" s="10" t="str">
        <f>IF(Productos!B34="","",Productos!B34)</f>
        <v/>
      </c>
      <c r="C34" s="10" t="str">
        <f>IF(Productos!B34="","",Productos!C34)</f>
        <v/>
      </c>
      <c r="D34" s="10" t="str">
        <f>IF(Productos!B34="","",Productos!D34)</f>
        <v/>
      </c>
      <c r="E34" s="10" t="str">
        <f>IF(Productos!B34="","",Productos!E34)</f>
        <v/>
      </c>
      <c r="F34" s="11" t="str">
        <f>IF(Productos!B34="","",Productos!F34)</f>
        <v/>
      </c>
      <c r="G34" s="11" t="str">
        <f>IF(Productos!B34="","",Productos!G34)</f>
        <v/>
      </c>
      <c r="H34" s="11" t="str">
        <f>IF(B34="","",SUMIF('Compras Entradas'!$D$5:$D$504,B34,'Compras Entradas'!$F$5:$F$504))</f>
        <v/>
      </c>
      <c r="I34" s="11" t="str">
        <f>IF(B34="","",SUMIF('Ventas Salidas'!$D$5:$D$504,B34,'Ventas Salidas'!$F$5:$F$504))</f>
        <v/>
      </c>
      <c r="J34" s="11" t="str">
        <f t="shared" si="0"/>
        <v/>
      </c>
      <c r="K34" s="10" t="str">
        <f t="shared" si="1"/>
        <v/>
      </c>
      <c r="L34" s="10" t="str">
        <f t="shared" si="2"/>
        <v/>
      </c>
      <c r="M34" s="8"/>
      <c r="N34" s="8" t="str">
        <f>IF(B34="","",IF(OR(K34="Bajo stock",K34="Sin stock"),COUNTIFS($K$5:$K34,"Bajo stock")+COUNTIFS($K$5:$K34,"Sin stock"),""))</f>
        <v/>
      </c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2:30" ht="21.75" customHeight="1" x14ac:dyDescent="0.25">
      <c r="B35" s="10" t="str">
        <f>IF(Productos!B35="","",Productos!B35)</f>
        <v/>
      </c>
      <c r="C35" s="10" t="str">
        <f>IF(Productos!B35="","",Productos!C35)</f>
        <v/>
      </c>
      <c r="D35" s="10" t="str">
        <f>IF(Productos!B35="","",Productos!D35)</f>
        <v/>
      </c>
      <c r="E35" s="10" t="str">
        <f>IF(Productos!B35="","",Productos!E35)</f>
        <v/>
      </c>
      <c r="F35" s="11" t="str">
        <f>IF(Productos!B35="","",Productos!F35)</f>
        <v/>
      </c>
      <c r="G35" s="11" t="str">
        <f>IF(Productos!B35="","",Productos!G35)</f>
        <v/>
      </c>
      <c r="H35" s="11" t="str">
        <f>IF(B35="","",SUMIF('Compras Entradas'!$D$5:$D$504,B35,'Compras Entradas'!$F$5:$F$504))</f>
        <v/>
      </c>
      <c r="I35" s="11" t="str">
        <f>IF(B35="","",SUMIF('Ventas Salidas'!$D$5:$D$504,B35,'Ventas Salidas'!$F$5:$F$504))</f>
        <v/>
      </c>
      <c r="J35" s="11" t="str">
        <f t="shared" si="0"/>
        <v/>
      </c>
      <c r="K35" s="10" t="str">
        <f t="shared" si="1"/>
        <v/>
      </c>
      <c r="L35" s="10" t="str">
        <f t="shared" si="2"/>
        <v/>
      </c>
      <c r="M35" s="8"/>
      <c r="N35" s="8" t="str">
        <f>IF(B35="","",IF(OR(K35="Bajo stock",K35="Sin stock"),COUNTIFS($K$5:$K35,"Bajo stock")+COUNTIFS($K$5:$K35,"Sin stock"),""))</f>
        <v/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2:30" ht="21.75" customHeight="1" x14ac:dyDescent="0.25">
      <c r="B36" s="10" t="str">
        <f>IF(Productos!B36="","",Productos!B36)</f>
        <v/>
      </c>
      <c r="C36" s="10" t="str">
        <f>IF(Productos!B36="","",Productos!C36)</f>
        <v/>
      </c>
      <c r="D36" s="10" t="str">
        <f>IF(Productos!B36="","",Productos!D36)</f>
        <v/>
      </c>
      <c r="E36" s="10" t="str">
        <f>IF(Productos!B36="","",Productos!E36)</f>
        <v/>
      </c>
      <c r="F36" s="11" t="str">
        <f>IF(Productos!B36="","",Productos!F36)</f>
        <v/>
      </c>
      <c r="G36" s="11" t="str">
        <f>IF(Productos!B36="","",Productos!G36)</f>
        <v/>
      </c>
      <c r="H36" s="11" t="str">
        <f>IF(B36="","",SUMIF('Compras Entradas'!$D$5:$D$504,B36,'Compras Entradas'!$F$5:$F$504))</f>
        <v/>
      </c>
      <c r="I36" s="11" t="str">
        <f>IF(B36="","",SUMIF('Ventas Salidas'!$D$5:$D$504,B36,'Ventas Salidas'!$F$5:$F$504))</f>
        <v/>
      </c>
      <c r="J36" s="11" t="str">
        <f t="shared" si="0"/>
        <v/>
      </c>
      <c r="K36" s="10" t="str">
        <f t="shared" si="1"/>
        <v/>
      </c>
      <c r="L36" s="10" t="str">
        <f t="shared" si="2"/>
        <v/>
      </c>
      <c r="M36" s="8"/>
      <c r="N36" s="8" t="str">
        <f>IF(B36="","",IF(OR(K36="Bajo stock",K36="Sin stock"),COUNTIFS($K$5:$K36,"Bajo stock")+COUNTIFS($K$5:$K36,"Sin stock"),""))</f>
        <v/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2:30" ht="21.75" customHeight="1" x14ac:dyDescent="0.25">
      <c r="B37" s="10" t="str">
        <f>IF(Productos!B37="","",Productos!B37)</f>
        <v/>
      </c>
      <c r="C37" s="10" t="str">
        <f>IF(Productos!B37="","",Productos!C37)</f>
        <v/>
      </c>
      <c r="D37" s="10" t="str">
        <f>IF(Productos!B37="","",Productos!D37)</f>
        <v/>
      </c>
      <c r="E37" s="10" t="str">
        <f>IF(Productos!B37="","",Productos!E37)</f>
        <v/>
      </c>
      <c r="F37" s="11" t="str">
        <f>IF(Productos!B37="","",Productos!F37)</f>
        <v/>
      </c>
      <c r="G37" s="11" t="str">
        <f>IF(Productos!B37="","",Productos!G37)</f>
        <v/>
      </c>
      <c r="H37" s="11" t="str">
        <f>IF(B37="","",SUMIF('Compras Entradas'!$D$5:$D$504,B37,'Compras Entradas'!$F$5:$F$504))</f>
        <v/>
      </c>
      <c r="I37" s="11" t="str">
        <f>IF(B37="","",SUMIF('Ventas Salidas'!$D$5:$D$504,B37,'Ventas Salidas'!$F$5:$F$504))</f>
        <v/>
      </c>
      <c r="J37" s="11" t="str">
        <f t="shared" si="0"/>
        <v/>
      </c>
      <c r="K37" s="10" t="str">
        <f t="shared" si="1"/>
        <v/>
      </c>
      <c r="L37" s="10" t="str">
        <f t="shared" si="2"/>
        <v/>
      </c>
      <c r="M37" s="8"/>
      <c r="N37" s="8" t="str">
        <f>IF(B37="","",IF(OR(K37="Bajo stock",K37="Sin stock"),COUNTIFS($K$5:$K37,"Bajo stock")+COUNTIFS($K$5:$K37,"Sin stock"),""))</f>
        <v/>
      </c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2:30" ht="21.75" customHeight="1" x14ac:dyDescent="0.25">
      <c r="B38" s="10" t="str">
        <f>IF(Productos!B38="","",Productos!B38)</f>
        <v/>
      </c>
      <c r="C38" s="10" t="str">
        <f>IF(Productos!B38="","",Productos!C38)</f>
        <v/>
      </c>
      <c r="D38" s="10" t="str">
        <f>IF(Productos!B38="","",Productos!D38)</f>
        <v/>
      </c>
      <c r="E38" s="10" t="str">
        <f>IF(Productos!B38="","",Productos!E38)</f>
        <v/>
      </c>
      <c r="F38" s="11" t="str">
        <f>IF(Productos!B38="","",Productos!F38)</f>
        <v/>
      </c>
      <c r="G38" s="11" t="str">
        <f>IF(Productos!B38="","",Productos!G38)</f>
        <v/>
      </c>
      <c r="H38" s="11" t="str">
        <f>IF(B38="","",SUMIF('Compras Entradas'!$D$5:$D$504,B38,'Compras Entradas'!$F$5:$F$504))</f>
        <v/>
      </c>
      <c r="I38" s="11" t="str">
        <f>IF(B38="","",SUMIF('Ventas Salidas'!$D$5:$D$504,B38,'Ventas Salidas'!$F$5:$F$504))</f>
        <v/>
      </c>
      <c r="J38" s="11" t="str">
        <f t="shared" si="0"/>
        <v/>
      </c>
      <c r="K38" s="10" t="str">
        <f t="shared" si="1"/>
        <v/>
      </c>
      <c r="L38" s="10" t="str">
        <f t="shared" si="2"/>
        <v/>
      </c>
      <c r="M38" s="8"/>
      <c r="N38" s="8" t="str">
        <f>IF(B38="","",IF(OR(K38="Bajo stock",K38="Sin stock"),COUNTIFS($K$5:$K38,"Bajo stock")+COUNTIFS($K$5:$K38,"Sin stock"),""))</f>
        <v/>
      </c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2:30" ht="21.75" customHeight="1" x14ac:dyDescent="0.25">
      <c r="B39" s="10" t="str">
        <f>IF(Productos!B39="","",Productos!B39)</f>
        <v/>
      </c>
      <c r="C39" s="10" t="str">
        <f>IF(Productos!B39="","",Productos!C39)</f>
        <v/>
      </c>
      <c r="D39" s="10" t="str">
        <f>IF(Productos!B39="","",Productos!D39)</f>
        <v/>
      </c>
      <c r="E39" s="10" t="str">
        <f>IF(Productos!B39="","",Productos!E39)</f>
        <v/>
      </c>
      <c r="F39" s="11" t="str">
        <f>IF(Productos!B39="","",Productos!F39)</f>
        <v/>
      </c>
      <c r="G39" s="11" t="str">
        <f>IF(Productos!B39="","",Productos!G39)</f>
        <v/>
      </c>
      <c r="H39" s="11" t="str">
        <f>IF(B39="","",SUMIF('Compras Entradas'!$D$5:$D$504,B39,'Compras Entradas'!$F$5:$F$504))</f>
        <v/>
      </c>
      <c r="I39" s="11" t="str">
        <f>IF(B39="","",SUMIF('Ventas Salidas'!$D$5:$D$504,B39,'Ventas Salidas'!$F$5:$F$504))</f>
        <v/>
      </c>
      <c r="J39" s="11" t="str">
        <f t="shared" si="0"/>
        <v/>
      </c>
      <c r="K39" s="10" t="str">
        <f t="shared" si="1"/>
        <v/>
      </c>
      <c r="L39" s="10" t="str">
        <f t="shared" si="2"/>
        <v/>
      </c>
      <c r="M39" s="8"/>
      <c r="N39" s="8" t="str">
        <f>IF(B39="","",IF(OR(K39="Bajo stock",K39="Sin stock"),COUNTIFS($K$5:$K39,"Bajo stock")+COUNTIFS($K$5:$K39,"Sin stock"),""))</f>
        <v/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2:30" ht="21.75" customHeight="1" x14ac:dyDescent="0.25">
      <c r="B40" s="10" t="str">
        <f>IF(Productos!B40="","",Productos!B40)</f>
        <v/>
      </c>
      <c r="C40" s="10" t="str">
        <f>IF(Productos!B40="","",Productos!C40)</f>
        <v/>
      </c>
      <c r="D40" s="10" t="str">
        <f>IF(Productos!B40="","",Productos!D40)</f>
        <v/>
      </c>
      <c r="E40" s="10" t="str">
        <f>IF(Productos!B40="","",Productos!E40)</f>
        <v/>
      </c>
      <c r="F40" s="11" t="str">
        <f>IF(Productos!B40="","",Productos!F40)</f>
        <v/>
      </c>
      <c r="G40" s="11" t="str">
        <f>IF(Productos!B40="","",Productos!G40)</f>
        <v/>
      </c>
      <c r="H40" s="11" t="str">
        <f>IF(B40="","",SUMIF('Compras Entradas'!$D$5:$D$504,B40,'Compras Entradas'!$F$5:$F$504))</f>
        <v/>
      </c>
      <c r="I40" s="11" t="str">
        <f>IF(B40="","",SUMIF('Ventas Salidas'!$D$5:$D$504,B40,'Ventas Salidas'!$F$5:$F$504))</f>
        <v/>
      </c>
      <c r="J40" s="11" t="str">
        <f t="shared" si="0"/>
        <v/>
      </c>
      <c r="K40" s="10" t="str">
        <f t="shared" si="1"/>
        <v/>
      </c>
      <c r="L40" s="10" t="str">
        <f t="shared" si="2"/>
        <v/>
      </c>
      <c r="M40" s="8"/>
      <c r="N40" s="8" t="str">
        <f>IF(B40="","",IF(OR(K40="Bajo stock",K40="Sin stock"),COUNTIFS($K$5:$K40,"Bajo stock")+COUNTIFS($K$5:$K40,"Sin stock"),""))</f>
        <v/>
      </c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2:30" ht="21.75" customHeight="1" x14ac:dyDescent="0.25">
      <c r="B41" s="10" t="str">
        <f>IF(Productos!B41="","",Productos!B41)</f>
        <v/>
      </c>
      <c r="C41" s="10" t="str">
        <f>IF(Productos!B41="","",Productos!C41)</f>
        <v/>
      </c>
      <c r="D41" s="10" t="str">
        <f>IF(Productos!B41="","",Productos!D41)</f>
        <v/>
      </c>
      <c r="E41" s="10" t="str">
        <f>IF(Productos!B41="","",Productos!E41)</f>
        <v/>
      </c>
      <c r="F41" s="11" t="str">
        <f>IF(Productos!B41="","",Productos!F41)</f>
        <v/>
      </c>
      <c r="G41" s="11" t="str">
        <f>IF(Productos!B41="","",Productos!G41)</f>
        <v/>
      </c>
      <c r="H41" s="11" t="str">
        <f>IF(B41="","",SUMIF('Compras Entradas'!$D$5:$D$504,B41,'Compras Entradas'!$F$5:$F$504))</f>
        <v/>
      </c>
      <c r="I41" s="11" t="str">
        <f>IF(B41="","",SUMIF('Ventas Salidas'!$D$5:$D$504,B41,'Ventas Salidas'!$F$5:$F$504))</f>
        <v/>
      </c>
      <c r="J41" s="11" t="str">
        <f t="shared" si="0"/>
        <v/>
      </c>
      <c r="K41" s="10" t="str">
        <f t="shared" si="1"/>
        <v/>
      </c>
      <c r="L41" s="10" t="str">
        <f t="shared" si="2"/>
        <v/>
      </c>
      <c r="M41" s="8"/>
      <c r="N41" s="8" t="str">
        <f>IF(B41="","",IF(OR(K41="Bajo stock",K41="Sin stock"),COUNTIFS($K$5:$K41,"Bajo stock")+COUNTIFS($K$5:$K41,"Sin stock"),""))</f>
        <v/>
      </c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2:30" ht="21.75" customHeight="1" x14ac:dyDescent="0.25">
      <c r="B42" s="10" t="str">
        <f>IF(Productos!B42="","",Productos!B42)</f>
        <v/>
      </c>
      <c r="C42" s="10" t="str">
        <f>IF(Productos!B42="","",Productos!C42)</f>
        <v/>
      </c>
      <c r="D42" s="10" t="str">
        <f>IF(Productos!B42="","",Productos!D42)</f>
        <v/>
      </c>
      <c r="E42" s="10" t="str">
        <f>IF(Productos!B42="","",Productos!E42)</f>
        <v/>
      </c>
      <c r="F42" s="11" t="str">
        <f>IF(Productos!B42="","",Productos!F42)</f>
        <v/>
      </c>
      <c r="G42" s="11" t="str">
        <f>IF(Productos!B42="","",Productos!G42)</f>
        <v/>
      </c>
      <c r="H42" s="11" t="str">
        <f>IF(B42="","",SUMIF('Compras Entradas'!$D$5:$D$504,B42,'Compras Entradas'!$F$5:$F$504))</f>
        <v/>
      </c>
      <c r="I42" s="11" t="str">
        <f>IF(B42="","",SUMIF('Ventas Salidas'!$D$5:$D$504,B42,'Ventas Salidas'!$F$5:$F$504))</f>
        <v/>
      </c>
      <c r="J42" s="11" t="str">
        <f t="shared" si="0"/>
        <v/>
      </c>
      <c r="K42" s="10" t="str">
        <f t="shared" si="1"/>
        <v/>
      </c>
      <c r="L42" s="10" t="str">
        <f t="shared" si="2"/>
        <v/>
      </c>
      <c r="M42" s="8"/>
      <c r="N42" s="8" t="str">
        <f>IF(B42="","",IF(OR(K42="Bajo stock",K42="Sin stock"),COUNTIFS($K$5:$K42,"Bajo stock")+COUNTIFS($K$5:$K42,"Sin stock"),""))</f>
        <v/>
      </c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2:30" ht="21.75" customHeight="1" x14ac:dyDescent="0.25">
      <c r="B43" s="10" t="str">
        <f>IF(Productos!B43="","",Productos!B43)</f>
        <v/>
      </c>
      <c r="C43" s="10" t="str">
        <f>IF(Productos!B43="","",Productos!C43)</f>
        <v/>
      </c>
      <c r="D43" s="10" t="str">
        <f>IF(Productos!B43="","",Productos!D43)</f>
        <v/>
      </c>
      <c r="E43" s="10" t="str">
        <f>IF(Productos!B43="","",Productos!E43)</f>
        <v/>
      </c>
      <c r="F43" s="11" t="str">
        <f>IF(Productos!B43="","",Productos!F43)</f>
        <v/>
      </c>
      <c r="G43" s="11" t="str">
        <f>IF(Productos!B43="","",Productos!G43)</f>
        <v/>
      </c>
      <c r="H43" s="11" t="str">
        <f>IF(B43="","",SUMIF('Compras Entradas'!$D$5:$D$504,B43,'Compras Entradas'!$F$5:$F$504))</f>
        <v/>
      </c>
      <c r="I43" s="11" t="str">
        <f>IF(B43="","",SUMIF('Ventas Salidas'!$D$5:$D$504,B43,'Ventas Salidas'!$F$5:$F$504))</f>
        <v/>
      </c>
      <c r="J43" s="11" t="str">
        <f t="shared" si="0"/>
        <v/>
      </c>
      <c r="K43" s="10" t="str">
        <f t="shared" si="1"/>
        <v/>
      </c>
      <c r="L43" s="10" t="str">
        <f t="shared" si="2"/>
        <v/>
      </c>
      <c r="M43" s="8"/>
      <c r="N43" s="8" t="str">
        <f>IF(B43="","",IF(OR(K43="Bajo stock",K43="Sin stock"),COUNTIFS($K$5:$K43,"Bajo stock")+COUNTIFS($K$5:$K43,"Sin stock"),""))</f>
        <v/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2:30" ht="21.75" customHeight="1" x14ac:dyDescent="0.25">
      <c r="B44" s="10" t="str">
        <f>IF(Productos!B44="","",Productos!B44)</f>
        <v/>
      </c>
      <c r="C44" s="10" t="str">
        <f>IF(Productos!B44="","",Productos!C44)</f>
        <v/>
      </c>
      <c r="D44" s="10" t="str">
        <f>IF(Productos!B44="","",Productos!D44)</f>
        <v/>
      </c>
      <c r="E44" s="10" t="str">
        <f>IF(Productos!B44="","",Productos!E44)</f>
        <v/>
      </c>
      <c r="F44" s="11" t="str">
        <f>IF(Productos!B44="","",Productos!F44)</f>
        <v/>
      </c>
      <c r="G44" s="11" t="str">
        <f>IF(Productos!B44="","",Productos!G44)</f>
        <v/>
      </c>
      <c r="H44" s="11" t="str">
        <f>IF(B44="","",SUMIF('Compras Entradas'!$D$5:$D$504,B44,'Compras Entradas'!$F$5:$F$504))</f>
        <v/>
      </c>
      <c r="I44" s="11" t="str">
        <f>IF(B44="","",SUMIF('Ventas Salidas'!$D$5:$D$504,B44,'Ventas Salidas'!$F$5:$F$504))</f>
        <v/>
      </c>
      <c r="J44" s="11" t="str">
        <f t="shared" si="0"/>
        <v/>
      </c>
      <c r="K44" s="10" t="str">
        <f t="shared" si="1"/>
        <v/>
      </c>
      <c r="L44" s="10" t="str">
        <f t="shared" si="2"/>
        <v/>
      </c>
      <c r="M44" s="8"/>
      <c r="N44" s="8" t="str">
        <f>IF(B44="","",IF(OR(K44="Bajo stock",K44="Sin stock"),COUNTIFS($K$5:$K44,"Bajo stock")+COUNTIFS($K$5:$K44,"Sin stock"),""))</f>
        <v/>
      </c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2:30" ht="21.75" customHeight="1" x14ac:dyDescent="0.25">
      <c r="B45" s="10" t="str">
        <f>IF(Productos!B45="","",Productos!B45)</f>
        <v/>
      </c>
      <c r="C45" s="10" t="str">
        <f>IF(Productos!B45="","",Productos!C45)</f>
        <v/>
      </c>
      <c r="D45" s="10" t="str">
        <f>IF(Productos!B45="","",Productos!D45)</f>
        <v/>
      </c>
      <c r="E45" s="10" t="str">
        <f>IF(Productos!B45="","",Productos!E45)</f>
        <v/>
      </c>
      <c r="F45" s="11" t="str">
        <f>IF(Productos!B45="","",Productos!F45)</f>
        <v/>
      </c>
      <c r="G45" s="11" t="str">
        <f>IF(Productos!B45="","",Productos!G45)</f>
        <v/>
      </c>
      <c r="H45" s="11" t="str">
        <f>IF(B45="","",SUMIF('Compras Entradas'!$D$5:$D$504,B45,'Compras Entradas'!$F$5:$F$504))</f>
        <v/>
      </c>
      <c r="I45" s="11" t="str">
        <f>IF(B45="","",SUMIF('Ventas Salidas'!$D$5:$D$504,B45,'Ventas Salidas'!$F$5:$F$504))</f>
        <v/>
      </c>
      <c r="J45" s="11" t="str">
        <f t="shared" si="0"/>
        <v/>
      </c>
      <c r="K45" s="10" t="str">
        <f t="shared" si="1"/>
        <v/>
      </c>
      <c r="L45" s="10" t="str">
        <f t="shared" si="2"/>
        <v/>
      </c>
      <c r="M45" s="8"/>
      <c r="N45" s="8" t="str">
        <f>IF(B45="","",IF(OR(K45="Bajo stock",K45="Sin stock"),COUNTIFS($K$5:$K45,"Bajo stock")+COUNTIFS($K$5:$K45,"Sin stock"),""))</f>
        <v/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2:30" ht="21.75" customHeight="1" x14ac:dyDescent="0.25">
      <c r="B46" s="10" t="str">
        <f>IF(Productos!B46="","",Productos!B46)</f>
        <v/>
      </c>
      <c r="C46" s="10" t="str">
        <f>IF(Productos!B46="","",Productos!C46)</f>
        <v/>
      </c>
      <c r="D46" s="10" t="str">
        <f>IF(Productos!B46="","",Productos!D46)</f>
        <v/>
      </c>
      <c r="E46" s="10" t="str">
        <f>IF(Productos!B46="","",Productos!E46)</f>
        <v/>
      </c>
      <c r="F46" s="11" t="str">
        <f>IF(Productos!B46="","",Productos!F46)</f>
        <v/>
      </c>
      <c r="G46" s="11" t="str">
        <f>IF(Productos!B46="","",Productos!G46)</f>
        <v/>
      </c>
      <c r="H46" s="11" t="str">
        <f>IF(B46="","",SUMIF('Compras Entradas'!$D$5:$D$504,B46,'Compras Entradas'!$F$5:$F$504))</f>
        <v/>
      </c>
      <c r="I46" s="11" t="str">
        <f>IF(B46="","",SUMIF('Ventas Salidas'!$D$5:$D$504,B46,'Ventas Salidas'!$F$5:$F$504))</f>
        <v/>
      </c>
      <c r="J46" s="11" t="str">
        <f t="shared" si="0"/>
        <v/>
      </c>
      <c r="K46" s="10" t="str">
        <f t="shared" si="1"/>
        <v/>
      </c>
      <c r="L46" s="10" t="str">
        <f t="shared" si="2"/>
        <v/>
      </c>
      <c r="M46" s="8"/>
      <c r="N46" s="8" t="str">
        <f>IF(B46="","",IF(OR(K46="Bajo stock",K46="Sin stock"),COUNTIFS($K$5:$K46,"Bajo stock")+COUNTIFS($K$5:$K46,"Sin stock"),""))</f>
        <v/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2:30" ht="21.75" customHeight="1" x14ac:dyDescent="0.25">
      <c r="B47" s="10" t="str">
        <f>IF(Productos!B47="","",Productos!B47)</f>
        <v/>
      </c>
      <c r="C47" s="10" t="str">
        <f>IF(Productos!B47="","",Productos!C47)</f>
        <v/>
      </c>
      <c r="D47" s="10" t="str">
        <f>IF(Productos!B47="","",Productos!D47)</f>
        <v/>
      </c>
      <c r="E47" s="10" t="str">
        <f>IF(Productos!B47="","",Productos!E47)</f>
        <v/>
      </c>
      <c r="F47" s="11" t="str">
        <f>IF(Productos!B47="","",Productos!F47)</f>
        <v/>
      </c>
      <c r="G47" s="11" t="str">
        <f>IF(Productos!B47="","",Productos!G47)</f>
        <v/>
      </c>
      <c r="H47" s="11" t="str">
        <f>IF(B47="","",SUMIF('Compras Entradas'!$D$5:$D$504,B47,'Compras Entradas'!$F$5:$F$504))</f>
        <v/>
      </c>
      <c r="I47" s="11" t="str">
        <f>IF(B47="","",SUMIF('Ventas Salidas'!$D$5:$D$504,B47,'Ventas Salidas'!$F$5:$F$504))</f>
        <v/>
      </c>
      <c r="J47" s="11" t="str">
        <f t="shared" si="0"/>
        <v/>
      </c>
      <c r="K47" s="10" t="str">
        <f t="shared" si="1"/>
        <v/>
      </c>
      <c r="L47" s="10" t="str">
        <f t="shared" si="2"/>
        <v/>
      </c>
      <c r="M47" s="8"/>
      <c r="N47" s="8" t="str">
        <f>IF(B47="","",IF(OR(K47="Bajo stock",K47="Sin stock"),COUNTIFS($K$5:$K47,"Bajo stock")+COUNTIFS($K$5:$K47,"Sin stock"),""))</f>
        <v/>
      </c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2:30" ht="21.75" customHeight="1" x14ac:dyDescent="0.25">
      <c r="B48" s="10" t="str">
        <f>IF(Productos!B48="","",Productos!B48)</f>
        <v/>
      </c>
      <c r="C48" s="10" t="str">
        <f>IF(Productos!B48="","",Productos!C48)</f>
        <v/>
      </c>
      <c r="D48" s="10" t="str">
        <f>IF(Productos!B48="","",Productos!D48)</f>
        <v/>
      </c>
      <c r="E48" s="10" t="str">
        <f>IF(Productos!B48="","",Productos!E48)</f>
        <v/>
      </c>
      <c r="F48" s="11" t="str">
        <f>IF(Productos!B48="","",Productos!F48)</f>
        <v/>
      </c>
      <c r="G48" s="11" t="str">
        <f>IF(Productos!B48="","",Productos!G48)</f>
        <v/>
      </c>
      <c r="H48" s="11" t="str">
        <f>IF(B48="","",SUMIF('Compras Entradas'!$D$5:$D$504,B48,'Compras Entradas'!$F$5:$F$504))</f>
        <v/>
      </c>
      <c r="I48" s="11" t="str">
        <f>IF(B48="","",SUMIF('Ventas Salidas'!$D$5:$D$504,B48,'Ventas Salidas'!$F$5:$F$504))</f>
        <v/>
      </c>
      <c r="J48" s="11" t="str">
        <f t="shared" si="0"/>
        <v/>
      </c>
      <c r="K48" s="10" t="str">
        <f t="shared" si="1"/>
        <v/>
      </c>
      <c r="L48" s="10" t="str">
        <f t="shared" si="2"/>
        <v/>
      </c>
      <c r="M48" s="8"/>
      <c r="N48" s="8" t="str">
        <f>IF(B48="","",IF(OR(K48="Bajo stock",K48="Sin stock"),COUNTIFS($K$5:$K48,"Bajo stock")+COUNTIFS($K$5:$K48,"Sin stock"),""))</f>
        <v/>
      </c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2:30" ht="21.75" customHeight="1" x14ac:dyDescent="0.25">
      <c r="B49" s="10" t="str">
        <f>IF(Productos!B49="","",Productos!B49)</f>
        <v/>
      </c>
      <c r="C49" s="10" t="str">
        <f>IF(Productos!B49="","",Productos!C49)</f>
        <v/>
      </c>
      <c r="D49" s="10" t="str">
        <f>IF(Productos!B49="","",Productos!D49)</f>
        <v/>
      </c>
      <c r="E49" s="10" t="str">
        <f>IF(Productos!B49="","",Productos!E49)</f>
        <v/>
      </c>
      <c r="F49" s="11" t="str">
        <f>IF(Productos!B49="","",Productos!F49)</f>
        <v/>
      </c>
      <c r="G49" s="11" t="str">
        <f>IF(Productos!B49="","",Productos!G49)</f>
        <v/>
      </c>
      <c r="H49" s="11" t="str">
        <f>IF(B49="","",SUMIF('Compras Entradas'!$D$5:$D$504,B49,'Compras Entradas'!$F$5:$F$504))</f>
        <v/>
      </c>
      <c r="I49" s="11" t="str">
        <f>IF(B49="","",SUMIF('Ventas Salidas'!$D$5:$D$504,B49,'Ventas Salidas'!$F$5:$F$504))</f>
        <v/>
      </c>
      <c r="J49" s="11" t="str">
        <f t="shared" si="0"/>
        <v/>
      </c>
      <c r="K49" s="10" t="str">
        <f t="shared" si="1"/>
        <v/>
      </c>
      <c r="L49" s="10" t="str">
        <f t="shared" si="2"/>
        <v/>
      </c>
      <c r="M49" s="8"/>
      <c r="N49" s="8" t="str">
        <f>IF(B49="","",IF(OR(K49="Bajo stock",K49="Sin stock"),COUNTIFS($K$5:$K49,"Bajo stock")+COUNTIFS($K$5:$K49,"Sin stock"),""))</f>
        <v/>
      </c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2:30" ht="21.75" customHeight="1" x14ac:dyDescent="0.25">
      <c r="B50" s="10" t="str">
        <f>IF(Productos!B50="","",Productos!B50)</f>
        <v/>
      </c>
      <c r="C50" s="10" t="str">
        <f>IF(Productos!B50="","",Productos!C50)</f>
        <v/>
      </c>
      <c r="D50" s="10" t="str">
        <f>IF(Productos!B50="","",Productos!D50)</f>
        <v/>
      </c>
      <c r="E50" s="10" t="str">
        <f>IF(Productos!B50="","",Productos!E50)</f>
        <v/>
      </c>
      <c r="F50" s="11" t="str">
        <f>IF(Productos!B50="","",Productos!F50)</f>
        <v/>
      </c>
      <c r="G50" s="11" t="str">
        <f>IF(Productos!B50="","",Productos!G50)</f>
        <v/>
      </c>
      <c r="H50" s="11" t="str">
        <f>IF(B50="","",SUMIF('Compras Entradas'!$D$5:$D$504,B50,'Compras Entradas'!$F$5:$F$504))</f>
        <v/>
      </c>
      <c r="I50" s="11" t="str">
        <f>IF(B50="","",SUMIF('Ventas Salidas'!$D$5:$D$504,B50,'Ventas Salidas'!$F$5:$F$504))</f>
        <v/>
      </c>
      <c r="J50" s="11" t="str">
        <f t="shared" si="0"/>
        <v/>
      </c>
      <c r="K50" s="10" t="str">
        <f t="shared" si="1"/>
        <v/>
      </c>
      <c r="L50" s="10" t="str">
        <f t="shared" si="2"/>
        <v/>
      </c>
      <c r="M50" s="8"/>
      <c r="N50" s="8" t="str">
        <f>IF(B50="","",IF(OR(K50="Bajo stock",K50="Sin stock"),COUNTIFS($K$5:$K50,"Bajo stock")+COUNTIFS($K$5:$K50,"Sin stock"),""))</f>
        <v/>
      </c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2:30" ht="21.75" customHeight="1" x14ac:dyDescent="0.25">
      <c r="B51" s="10" t="str">
        <f>IF(Productos!B51="","",Productos!B51)</f>
        <v/>
      </c>
      <c r="C51" s="10" t="str">
        <f>IF(Productos!B51="","",Productos!C51)</f>
        <v/>
      </c>
      <c r="D51" s="10" t="str">
        <f>IF(Productos!B51="","",Productos!D51)</f>
        <v/>
      </c>
      <c r="E51" s="10" t="str">
        <f>IF(Productos!B51="","",Productos!E51)</f>
        <v/>
      </c>
      <c r="F51" s="11" t="str">
        <f>IF(Productos!B51="","",Productos!F51)</f>
        <v/>
      </c>
      <c r="G51" s="11" t="str">
        <f>IF(Productos!B51="","",Productos!G51)</f>
        <v/>
      </c>
      <c r="H51" s="11" t="str">
        <f>IF(B51="","",SUMIF('Compras Entradas'!$D$5:$D$504,B51,'Compras Entradas'!$F$5:$F$504))</f>
        <v/>
      </c>
      <c r="I51" s="11" t="str">
        <f>IF(B51="","",SUMIF('Ventas Salidas'!$D$5:$D$504,B51,'Ventas Salidas'!$F$5:$F$504))</f>
        <v/>
      </c>
      <c r="J51" s="11" t="str">
        <f t="shared" si="0"/>
        <v/>
      </c>
      <c r="K51" s="10" t="str">
        <f t="shared" si="1"/>
        <v/>
      </c>
      <c r="L51" s="10" t="str">
        <f t="shared" si="2"/>
        <v/>
      </c>
      <c r="M51" s="8"/>
      <c r="N51" s="8" t="str">
        <f>IF(B51="","",IF(OR(K51="Bajo stock",K51="Sin stock"),COUNTIFS($K$5:$K51,"Bajo stock")+COUNTIFS($K$5:$K51,"Sin stock"),""))</f>
        <v/>
      </c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2:30" ht="21.75" customHeight="1" x14ac:dyDescent="0.25">
      <c r="B52" s="10" t="str">
        <f>IF(Productos!B52="","",Productos!B52)</f>
        <v/>
      </c>
      <c r="C52" s="10" t="str">
        <f>IF(Productos!B52="","",Productos!C52)</f>
        <v/>
      </c>
      <c r="D52" s="10" t="str">
        <f>IF(Productos!B52="","",Productos!D52)</f>
        <v/>
      </c>
      <c r="E52" s="10" t="str">
        <f>IF(Productos!B52="","",Productos!E52)</f>
        <v/>
      </c>
      <c r="F52" s="11" t="str">
        <f>IF(Productos!B52="","",Productos!F52)</f>
        <v/>
      </c>
      <c r="G52" s="11" t="str">
        <f>IF(Productos!B52="","",Productos!G52)</f>
        <v/>
      </c>
      <c r="H52" s="11" t="str">
        <f>IF(B52="","",SUMIF('Compras Entradas'!$D$5:$D$504,B52,'Compras Entradas'!$F$5:$F$504))</f>
        <v/>
      </c>
      <c r="I52" s="11" t="str">
        <f>IF(B52="","",SUMIF('Ventas Salidas'!$D$5:$D$504,B52,'Ventas Salidas'!$F$5:$F$504))</f>
        <v/>
      </c>
      <c r="J52" s="11" t="str">
        <f t="shared" si="0"/>
        <v/>
      </c>
      <c r="K52" s="10" t="str">
        <f t="shared" si="1"/>
        <v/>
      </c>
      <c r="L52" s="10" t="str">
        <f t="shared" si="2"/>
        <v/>
      </c>
      <c r="M52" s="8"/>
      <c r="N52" s="8" t="str">
        <f>IF(B52="","",IF(OR(K52="Bajo stock",K52="Sin stock"),COUNTIFS($K$5:$K52,"Bajo stock")+COUNTIFS($K$5:$K52,"Sin stock"),""))</f>
        <v/>
      </c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2:30" ht="21.75" customHeight="1" x14ac:dyDescent="0.25">
      <c r="B53" s="10" t="str">
        <f>IF(Productos!B53="","",Productos!B53)</f>
        <v/>
      </c>
      <c r="C53" s="10" t="str">
        <f>IF(Productos!B53="","",Productos!C53)</f>
        <v/>
      </c>
      <c r="D53" s="10" t="str">
        <f>IF(Productos!B53="","",Productos!D53)</f>
        <v/>
      </c>
      <c r="E53" s="10" t="str">
        <f>IF(Productos!B53="","",Productos!E53)</f>
        <v/>
      </c>
      <c r="F53" s="11" t="str">
        <f>IF(Productos!B53="","",Productos!F53)</f>
        <v/>
      </c>
      <c r="G53" s="11" t="str">
        <f>IF(Productos!B53="","",Productos!G53)</f>
        <v/>
      </c>
      <c r="H53" s="11" t="str">
        <f>IF(B53="","",SUMIF('Compras Entradas'!$D$5:$D$504,B53,'Compras Entradas'!$F$5:$F$504))</f>
        <v/>
      </c>
      <c r="I53" s="11" t="str">
        <f>IF(B53="","",SUMIF('Ventas Salidas'!$D$5:$D$504,B53,'Ventas Salidas'!$F$5:$F$504))</f>
        <v/>
      </c>
      <c r="J53" s="11" t="str">
        <f t="shared" si="0"/>
        <v/>
      </c>
      <c r="K53" s="10" t="str">
        <f t="shared" si="1"/>
        <v/>
      </c>
      <c r="L53" s="10" t="str">
        <f t="shared" si="2"/>
        <v/>
      </c>
      <c r="M53" s="8"/>
      <c r="N53" s="8" t="str">
        <f>IF(B53="","",IF(OR(K53="Bajo stock",K53="Sin stock"),COUNTIFS($K$5:$K53,"Bajo stock")+COUNTIFS($K$5:$K53,"Sin stock"),""))</f>
        <v/>
      </c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2:30" ht="21.75" customHeight="1" x14ac:dyDescent="0.25">
      <c r="B54" s="10" t="str">
        <f>IF(Productos!B54="","",Productos!B54)</f>
        <v/>
      </c>
      <c r="C54" s="10" t="str">
        <f>IF(Productos!B54="","",Productos!C54)</f>
        <v/>
      </c>
      <c r="D54" s="10" t="str">
        <f>IF(Productos!B54="","",Productos!D54)</f>
        <v/>
      </c>
      <c r="E54" s="10" t="str">
        <f>IF(Productos!B54="","",Productos!E54)</f>
        <v/>
      </c>
      <c r="F54" s="11" t="str">
        <f>IF(Productos!B54="","",Productos!F54)</f>
        <v/>
      </c>
      <c r="G54" s="11" t="str">
        <f>IF(Productos!B54="","",Productos!G54)</f>
        <v/>
      </c>
      <c r="H54" s="11" t="str">
        <f>IF(B54="","",SUMIF('Compras Entradas'!$D$5:$D$504,B54,'Compras Entradas'!$F$5:$F$504))</f>
        <v/>
      </c>
      <c r="I54" s="11" t="str">
        <f>IF(B54="","",SUMIF('Ventas Salidas'!$D$5:$D$504,B54,'Ventas Salidas'!$F$5:$F$504))</f>
        <v/>
      </c>
      <c r="J54" s="11" t="str">
        <f t="shared" si="0"/>
        <v/>
      </c>
      <c r="K54" s="10" t="str">
        <f t="shared" si="1"/>
        <v/>
      </c>
      <c r="L54" s="10" t="str">
        <f t="shared" si="2"/>
        <v/>
      </c>
      <c r="M54" s="8"/>
      <c r="N54" s="8" t="str">
        <f>IF(B54="","",IF(OR(K54="Bajo stock",K54="Sin stock"),COUNTIFS($K$5:$K54,"Bajo stock")+COUNTIFS($K$5:$K54,"Sin stock"),""))</f>
        <v/>
      </c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2:30" ht="21.75" customHeight="1" x14ac:dyDescent="0.25">
      <c r="B55" s="10" t="str">
        <f>IF(Productos!B55="","",Productos!B55)</f>
        <v/>
      </c>
      <c r="C55" s="10" t="str">
        <f>IF(Productos!B55="","",Productos!C55)</f>
        <v/>
      </c>
      <c r="D55" s="10" t="str">
        <f>IF(Productos!B55="","",Productos!D55)</f>
        <v/>
      </c>
      <c r="E55" s="10" t="str">
        <f>IF(Productos!B55="","",Productos!E55)</f>
        <v/>
      </c>
      <c r="F55" s="11" t="str">
        <f>IF(Productos!B55="","",Productos!F55)</f>
        <v/>
      </c>
      <c r="G55" s="11" t="str">
        <f>IF(Productos!B55="","",Productos!G55)</f>
        <v/>
      </c>
      <c r="H55" s="11" t="str">
        <f>IF(B55="","",SUMIF('Compras Entradas'!$D$5:$D$504,B55,'Compras Entradas'!$F$5:$F$504))</f>
        <v/>
      </c>
      <c r="I55" s="11" t="str">
        <f>IF(B55="","",SUMIF('Ventas Salidas'!$D$5:$D$504,B55,'Ventas Salidas'!$F$5:$F$504))</f>
        <v/>
      </c>
      <c r="J55" s="11" t="str">
        <f t="shared" si="0"/>
        <v/>
      </c>
      <c r="K55" s="10" t="str">
        <f t="shared" si="1"/>
        <v/>
      </c>
      <c r="L55" s="10" t="str">
        <f t="shared" si="2"/>
        <v/>
      </c>
      <c r="M55" s="8"/>
      <c r="N55" s="8" t="str">
        <f>IF(B55="","",IF(OR(K55="Bajo stock",K55="Sin stock"),COUNTIFS($K$5:$K55,"Bajo stock")+COUNTIFS($K$5:$K55,"Sin stock"),""))</f>
        <v/>
      </c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2:30" ht="21.75" customHeight="1" x14ac:dyDescent="0.25">
      <c r="B56" s="10" t="str">
        <f>IF(Productos!B56="","",Productos!B56)</f>
        <v/>
      </c>
      <c r="C56" s="10" t="str">
        <f>IF(Productos!B56="","",Productos!C56)</f>
        <v/>
      </c>
      <c r="D56" s="10" t="str">
        <f>IF(Productos!B56="","",Productos!D56)</f>
        <v/>
      </c>
      <c r="E56" s="10" t="str">
        <f>IF(Productos!B56="","",Productos!E56)</f>
        <v/>
      </c>
      <c r="F56" s="11" t="str">
        <f>IF(Productos!B56="","",Productos!F56)</f>
        <v/>
      </c>
      <c r="G56" s="11" t="str">
        <f>IF(Productos!B56="","",Productos!G56)</f>
        <v/>
      </c>
      <c r="H56" s="11" t="str">
        <f>IF(B56="","",SUMIF('Compras Entradas'!$D$5:$D$504,B56,'Compras Entradas'!$F$5:$F$504))</f>
        <v/>
      </c>
      <c r="I56" s="11" t="str">
        <f>IF(B56="","",SUMIF('Ventas Salidas'!$D$5:$D$504,B56,'Ventas Salidas'!$F$5:$F$504))</f>
        <v/>
      </c>
      <c r="J56" s="11" t="str">
        <f t="shared" si="0"/>
        <v/>
      </c>
      <c r="K56" s="10" t="str">
        <f t="shared" si="1"/>
        <v/>
      </c>
      <c r="L56" s="10" t="str">
        <f t="shared" si="2"/>
        <v/>
      </c>
      <c r="M56" s="8"/>
      <c r="N56" s="8" t="str">
        <f>IF(B56="","",IF(OR(K56="Bajo stock",K56="Sin stock"),COUNTIFS($K$5:$K56,"Bajo stock")+COUNTIFS($K$5:$K56,"Sin stock"),""))</f>
        <v/>
      </c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2:30" ht="21.75" customHeight="1" x14ac:dyDescent="0.25">
      <c r="B57" s="10" t="str">
        <f>IF(Productos!B57="","",Productos!B57)</f>
        <v/>
      </c>
      <c r="C57" s="10" t="str">
        <f>IF(Productos!B57="","",Productos!C57)</f>
        <v/>
      </c>
      <c r="D57" s="10" t="str">
        <f>IF(Productos!B57="","",Productos!D57)</f>
        <v/>
      </c>
      <c r="E57" s="10" t="str">
        <f>IF(Productos!B57="","",Productos!E57)</f>
        <v/>
      </c>
      <c r="F57" s="11" t="str">
        <f>IF(Productos!B57="","",Productos!F57)</f>
        <v/>
      </c>
      <c r="G57" s="11" t="str">
        <f>IF(Productos!B57="","",Productos!G57)</f>
        <v/>
      </c>
      <c r="H57" s="11" t="str">
        <f>IF(B57="","",SUMIF('Compras Entradas'!$D$5:$D$504,B57,'Compras Entradas'!$F$5:$F$504))</f>
        <v/>
      </c>
      <c r="I57" s="11" t="str">
        <f>IF(B57="","",SUMIF('Ventas Salidas'!$D$5:$D$504,B57,'Ventas Salidas'!$F$5:$F$504))</f>
        <v/>
      </c>
      <c r="J57" s="11" t="str">
        <f t="shared" si="0"/>
        <v/>
      </c>
      <c r="K57" s="10" t="str">
        <f t="shared" si="1"/>
        <v/>
      </c>
      <c r="L57" s="10" t="str">
        <f t="shared" si="2"/>
        <v/>
      </c>
      <c r="M57" s="8"/>
      <c r="N57" s="8" t="str">
        <f>IF(B57="","",IF(OR(K57="Bajo stock",K57="Sin stock"),COUNTIFS($K$5:$K57,"Bajo stock")+COUNTIFS($K$5:$K57,"Sin stock"),""))</f>
        <v/>
      </c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2:30" ht="21.75" customHeight="1" x14ac:dyDescent="0.25">
      <c r="B58" s="10" t="str">
        <f>IF(Productos!B58="","",Productos!B58)</f>
        <v/>
      </c>
      <c r="C58" s="10" t="str">
        <f>IF(Productos!B58="","",Productos!C58)</f>
        <v/>
      </c>
      <c r="D58" s="10" t="str">
        <f>IF(Productos!B58="","",Productos!D58)</f>
        <v/>
      </c>
      <c r="E58" s="10" t="str">
        <f>IF(Productos!B58="","",Productos!E58)</f>
        <v/>
      </c>
      <c r="F58" s="11" t="str">
        <f>IF(Productos!B58="","",Productos!F58)</f>
        <v/>
      </c>
      <c r="G58" s="11" t="str">
        <f>IF(Productos!B58="","",Productos!G58)</f>
        <v/>
      </c>
      <c r="H58" s="11" t="str">
        <f>IF(B58="","",SUMIF('Compras Entradas'!$D$5:$D$504,B58,'Compras Entradas'!$F$5:$F$504))</f>
        <v/>
      </c>
      <c r="I58" s="11" t="str">
        <f>IF(B58="","",SUMIF('Ventas Salidas'!$D$5:$D$504,B58,'Ventas Salidas'!$F$5:$F$504))</f>
        <v/>
      </c>
      <c r="J58" s="11" t="str">
        <f t="shared" si="0"/>
        <v/>
      </c>
      <c r="K58" s="10" t="str">
        <f t="shared" si="1"/>
        <v/>
      </c>
      <c r="L58" s="10" t="str">
        <f t="shared" si="2"/>
        <v/>
      </c>
      <c r="M58" s="8"/>
      <c r="N58" s="8" t="str">
        <f>IF(B58="","",IF(OR(K58="Bajo stock",K58="Sin stock"),COUNTIFS($K$5:$K58,"Bajo stock")+COUNTIFS($K$5:$K58,"Sin stock"),""))</f>
        <v/>
      </c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2:30" ht="21.75" customHeight="1" x14ac:dyDescent="0.25">
      <c r="B59" s="10" t="str">
        <f>IF(Productos!B59="","",Productos!B59)</f>
        <v/>
      </c>
      <c r="C59" s="10" t="str">
        <f>IF(Productos!B59="","",Productos!C59)</f>
        <v/>
      </c>
      <c r="D59" s="10" t="str">
        <f>IF(Productos!B59="","",Productos!D59)</f>
        <v/>
      </c>
      <c r="E59" s="10" t="str">
        <f>IF(Productos!B59="","",Productos!E59)</f>
        <v/>
      </c>
      <c r="F59" s="11" t="str">
        <f>IF(Productos!B59="","",Productos!F59)</f>
        <v/>
      </c>
      <c r="G59" s="11" t="str">
        <f>IF(Productos!B59="","",Productos!G59)</f>
        <v/>
      </c>
      <c r="H59" s="11" t="str">
        <f>IF(B59="","",SUMIF('Compras Entradas'!$D$5:$D$504,B59,'Compras Entradas'!$F$5:$F$504))</f>
        <v/>
      </c>
      <c r="I59" s="11" t="str">
        <f>IF(B59="","",SUMIF('Ventas Salidas'!$D$5:$D$504,B59,'Ventas Salidas'!$F$5:$F$504))</f>
        <v/>
      </c>
      <c r="J59" s="11" t="str">
        <f t="shared" si="0"/>
        <v/>
      </c>
      <c r="K59" s="10" t="str">
        <f t="shared" si="1"/>
        <v/>
      </c>
      <c r="L59" s="10" t="str">
        <f t="shared" si="2"/>
        <v/>
      </c>
      <c r="M59" s="8"/>
      <c r="N59" s="8" t="str">
        <f>IF(B59="","",IF(OR(K59="Bajo stock",K59="Sin stock"),COUNTIFS($K$5:$K59,"Bajo stock")+COUNTIFS($K$5:$K59,"Sin stock"),""))</f>
        <v/>
      </c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2:30" ht="21.75" customHeight="1" x14ac:dyDescent="0.25">
      <c r="B60" s="10" t="str">
        <f>IF(Productos!B60="","",Productos!B60)</f>
        <v/>
      </c>
      <c r="C60" s="10" t="str">
        <f>IF(Productos!B60="","",Productos!C60)</f>
        <v/>
      </c>
      <c r="D60" s="10" t="str">
        <f>IF(Productos!B60="","",Productos!D60)</f>
        <v/>
      </c>
      <c r="E60" s="10" t="str">
        <f>IF(Productos!B60="","",Productos!E60)</f>
        <v/>
      </c>
      <c r="F60" s="11" t="str">
        <f>IF(Productos!B60="","",Productos!F60)</f>
        <v/>
      </c>
      <c r="G60" s="11" t="str">
        <f>IF(Productos!B60="","",Productos!G60)</f>
        <v/>
      </c>
      <c r="H60" s="11" t="str">
        <f>IF(B60="","",SUMIF('Compras Entradas'!$D$5:$D$504,B60,'Compras Entradas'!$F$5:$F$504))</f>
        <v/>
      </c>
      <c r="I60" s="11" t="str">
        <f>IF(B60="","",SUMIF('Ventas Salidas'!$D$5:$D$504,B60,'Ventas Salidas'!$F$5:$F$504))</f>
        <v/>
      </c>
      <c r="J60" s="11" t="str">
        <f t="shared" si="0"/>
        <v/>
      </c>
      <c r="K60" s="10" t="str">
        <f t="shared" si="1"/>
        <v/>
      </c>
      <c r="L60" s="10" t="str">
        <f t="shared" si="2"/>
        <v/>
      </c>
      <c r="M60" s="8"/>
      <c r="N60" s="8" t="str">
        <f>IF(B60="","",IF(OR(K60="Bajo stock",K60="Sin stock"),COUNTIFS($K$5:$K60,"Bajo stock")+COUNTIFS($K$5:$K60,"Sin stock"),""))</f>
        <v/>
      </c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2:30" ht="21.75" customHeight="1" x14ac:dyDescent="0.25">
      <c r="B61" s="10" t="str">
        <f>IF(Productos!B61="","",Productos!B61)</f>
        <v/>
      </c>
      <c r="C61" s="10" t="str">
        <f>IF(Productos!B61="","",Productos!C61)</f>
        <v/>
      </c>
      <c r="D61" s="10" t="str">
        <f>IF(Productos!B61="","",Productos!D61)</f>
        <v/>
      </c>
      <c r="E61" s="10" t="str">
        <f>IF(Productos!B61="","",Productos!E61)</f>
        <v/>
      </c>
      <c r="F61" s="11" t="str">
        <f>IF(Productos!B61="","",Productos!F61)</f>
        <v/>
      </c>
      <c r="G61" s="11" t="str">
        <f>IF(Productos!B61="","",Productos!G61)</f>
        <v/>
      </c>
      <c r="H61" s="11" t="str">
        <f>IF(B61="","",SUMIF('Compras Entradas'!$D$5:$D$504,B61,'Compras Entradas'!$F$5:$F$504))</f>
        <v/>
      </c>
      <c r="I61" s="11" t="str">
        <f>IF(B61="","",SUMIF('Ventas Salidas'!$D$5:$D$504,B61,'Ventas Salidas'!$F$5:$F$504))</f>
        <v/>
      </c>
      <c r="J61" s="11" t="str">
        <f t="shared" si="0"/>
        <v/>
      </c>
      <c r="K61" s="10" t="str">
        <f t="shared" si="1"/>
        <v/>
      </c>
      <c r="L61" s="10" t="str">
        <f t="shared" si="2"/>
        <v/>
      </c>
      <c r="M61" s="8"/>
      <c r="N61" s="8" t="str">
        <f>IF(B61="","",IF(OR(K61="Bajo stock",K61="Sin stock"),COUNTIFS($K$5:$K61,"Bajo stock")+COUNTIFS($K$5:$K61,"Sin stock"),""))</f>
        <v/>
      </c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2:30" ht="21.75" customHeight="1" x14ac:dyDescent="0.25">
      <c r="B62" s="10" t="str">
        <f>IF(Productos!B62="","",Productos!B62)</f>
        <v/>
      </c>
      <c r="C62" s="10" t="str">
        <f>IF(Productos!B62="","",Productos!C62)</f>
        <v/>
      </c>
      <c r="D62" s="10" t="str">
        <f>IF(Productos!B62="","",Productos!D62)</f>
        <v/>
      </c>
      <c r="E62" s="10" t="str">
        <f>IF(Productos!B62="","",Productos!E62)</f>
        <v/>
      </c>
      <c r="F62" s="11" t="str">
        <f>IF(Productos!B62="","",Productos!F62)</f>
        <v/>
      </c>
      <c r="G62" s="11" t="str">
        <f>IF(Productos!B62="","",Productos!G62)</f>
        <v/>
      </c>
      <c r="H62" s="11" t="str">
        <f>IF(B62="","",SUMIF('Compras Entradas'!$D$5:$D$504,B62,'Compras Entradas'!$F$5:$F$504))</f>
        <v/>
      </c>
      <c r="I62" s="11" t="str">
        <f>IF(B62="","",SUMIF('Ventas Salidas'!$D$5:$D$504,B62,'Ventas Salidas'!$F$5:$F$504))</f>
        <v/>
      </c>
      <c r="J62" s="11" t="str">
        <f t="shared" si="0"/>
        <v/>
      </c>
      <c r="K62" s="10" t="str">
        <f t="shared" si="1"/>
        <v/>
      </c>
      <c r="L62" s="10" t="str">
        <f t="shared" si="2"/>
        <v/>
      </c>
      <c r="M62" s="8"/>
      <c r="N62" s="8" t="str">
        <f>IF(B62="","",IF(OR(K62="Bajo stock",K62="Sin stock"),COUNTIFS($K$5:$K62,"Bajo stock")+COUNTIFS($K$5:$K62,"Sin stock"),""))</f>
        <v/>
      </c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2:30" ht="21.75" customHeight="1" x14ac:dyDescent="0.25">
      <c r="B63" s="10" t="str">
        <f>IF(Productos!B63="","",Productos!B63)</f>
        <v/>
      </c>
      <c r="C63" s="10" t="str">
        <f>IF(Productos!B63="","",Productos!C63)</f>
        <v/>
      </c>
      <c r="D63" s="10" t="str">
        <f>IF(Productos!B63="","",Productos!D63)</f>
        <v/>
      </c>
      <c r="E63" s="10" t="str">
        <f>IF(Productos!B63="","",Productos!E63)</f>
        <v/>
      </c>
      <c r="F63" s="11" t="str">
        <f>IF(Productos!B63="","",Productos!F63)</f>
        <v/>
      </c>
      <c r="G63" s="11" t="str">
        <f>IF(Productos!B63="","",Productos!G63)</f>
        <v/>
      </c>
      <c r="H63" s="11" t="str">
        <f>IF(B63="","",SUMIF('Compras Entradas'!$D$5:$D$504,B63,'Compras Entradas'!$F$5:$F$504))</f>
        <v/>
      </c>
      <c r="I63" s="11" t="str">
        <f>IF(B63="","",SUMIF('Ventas Salidas'!$D$5:$D$504,B63,'Ventas Salidas'!$F$5:$F$504))</f>
        <v/>
      </c>
      <c r="J63" s="11" t="str">
        <f t="shared" si="0"/>
        <v/>
      </c>
      <c r="K63" s="10" t="str">
        <f t="shared" si="1"/>
        <v/>
      </c>
      <c r="L63" s="10" t="str">
        <f t="shared" si="2"/>
        <v/>
      </c>
      <c r="M63" s="8"/>
      <c r="N63" s="8" t="str">
        <f>IF(B63="","",IF(OR(K63="Bajo stock",K63="Sin stock"),COUNTIFS($K$5:$K63,"Bajo stock")+COUNTIFS($K$5:$K63,"Sin stock"),""))</f>
        <v/>
      </c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2:30" ht="21.75" customHeight="1" x14ac:dyDescent="0.25">
      <c r="B64" s="10" t="str">
        <f>IF(Productos!B64="","",Productos!B64)</f>
        <v/>
      </c>
      <c r="C64" s="10" t="str">
        <f>IF(Productos!B64="","",Productos!C64)</f>
        <v/>
      </c>
      <c r="D64" s="10" t="str">
        <f>IF(Productos!B64="","",Productos!D64)</f>
        <v/>
      </c>
      <c r="E64" s="10" t="str">
        <f>IF(Productos!B64="","",Productos!E64)</f>
        <v/>
      </c>
      <c r="F64" s="11" t="str">
        <f>IF(Productos!B64="","",Productos!F64)</f>
        <v/>
      </c>
      <c r="G64" s="11" t="str">
        <f>IF(Productos!B64="","",Productos!G64)</f>
        <v/>
      </c>
      <c r="H64" s="11" t="str">
        <f>IF(B64="","",SUMIF('Compras Entradas'!$D$5:$D$504,B64,'Compras Entradas'!$F$5:$F$504))</f>
        <v/>
      </c>
      <c r="I64" s="11" t="str">
        <f>IF(B64="","",SUMIF('Ventas Salidas'!$D$5:$D$504,B64,'Ventas Salidas'!$F$5:$F$504))</f>
        <v/>
      </c>
      <c r="J64" s="11" t="str">
        <f t="shared" si="0"/>
        <v/>
      </c>
      <c r="K64" s="10" t="str">
        <f t="shared" si="1"/>
        <v/>
      </c>
      <c r="L64" s="10" t="str">
        <f t="shared" si="2"/>
        <v/>
      </c>
      <c r="M64" s="8"/>
      <c r="N64" s="8" t="str">
        <f>IF(B64="","",IF(OR(K64="Bajo stock",K64="Sin stock"),COUNTIFS($K$5:$K64,"Bajo stock")+COUNTIFS($K$5:$K64,"Sin stock"),""))</f>
        <v/>
      </c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2:30" ht="21.75" customHeight="1" x14ac:dyDescent="0.25">
      <c r="B65" s="10" t="str">
        <f>IF(Productos!B65="","",Productos!B65)</f>
        <v/>
      </c>
      <c r="C65" s="10" t="str">
        <f>IF(Productos!B65="","",Productos!C65)</f>
        <v/>
      </c>
      <c r="D65" s="10" t="str">
        <f>IF(Productos!B65="","",Productos!D65)</f>
        <v/>
      </c>
      <c r="E65" s="10" t="str">
        <f>IF(Productos!B65="","",Productos!E65)</f>
        <v/>
      </c>
      <c r="F65" s="11" t="str">
        <f>IF(Productos!B65="","",Productos!F65)</f>
        <v/>
      </c>
      <c r="G65" s="11" t="str">
        <f>IF(Productos!B65="","",Productos!G65)</f>
        <v/>
      </c>
      <c r="H65" s="11" t="str">
        <f>IF(B65="","",SUMIF('Compras Entradas'!$D$5:$D$504,B65,'Compras Entradas'!$F$5:$F$504))</f>
        <v/>
      </c>
      <c r="I65" s="11" t="str">
        <f>IF(B65="","",SUMIF('Ventas Salidas'!$D$5:$D$504,B65,'Ventas Salidas'!$F$5:$F$504))</f>
        <v/>
      </c>
      <c r="J65" s="11" t="str">
        <f t="shared" si="0"/>
        <v/>
      </c>
      <c r="K65" s="10" t="str">
        <f t="shared" si="1"/>
        <v/>
      </c>
      <c r="L65" s="10" t="str">
        <f t="shared" si="2"/>
        <v/>
      </c>
      <c r="M65" s="8"/>
      <c r="N65" s="8" t="str">
        <f>IF(B65="","",IF(OR(K65="Bajo stock",K65="Sin stock"),COUNTIFS($K$5:$K65,"Bajo stock")+COUNTIFS($K$5:$K65,"Sin stock"),""))</f>
        <v/>
      </c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2:30" ht="21.75" customHeight="1" x14ac:dyDescent="0.25">
      <c r="B66" s="10" t="str">
        <f>IF(Productos!B66="","",Productos!B66)</f>
        <v/>
      </c>
      <c r="C66" s="10" t="str">
        <f>IF(Productos!B66="","",Productos!C66)</f>
        <v/>
      </c>
      <c r="D66" s="10" t="str">
        <f>IF(Productos!B66="","",Productos!D66)</f>
        <v/>
      </c>
      <c r="E66" s="10" t="str">
        <f>IF(Productos!B66="","",Productos!E66)</f>
        <v/>
      </c>
      <c r="F66" s="11" t="str">
        <f>IF(Productos!B66="","",Productos!F66)</f>
        <v/>
      </c>
      <c r="G66" s="11" t="str">
        <f>IF(Productos!B66="","",Productos!G66)</f>
        <v/>
      </c>
      <c r="H66" s="11" t="str">
        <f>IF(B66="","",SUMIF('Compras Entradas'!$D$5:$D$504,B66,'Compras Entradas'!$F$5:$F$504))</f>
        <v/>
      </c>
      <c r="I66" s="11" t="str">
        <f>IF(B66="","",SUMIF('Ventas Salidas'!$D$5:$D$504,B66,'Ventas Salidas'!$F$5:$F$504))</f>
        <v/>
      </c>
      <c r="J66" s="11" t="str">
        <f t="shared" si="0"/>
        <v/>
      </c>
      <c r="K66" s="10" t="str">
        <f t="shared" si="1"/>
        <v/>
      </c>
      <c r="L66" s="10" t="str">
        <f t="shared" si="2"/>
        <v/>
      </c>
      <c r="M66" s="8"/>
      <c r="N66" s="8" t="str">
        <f>IF(B66="","",IF(OR(K66="Bajo stock",K66="Sin stock"),COUNTIFS($K$5:$K66,"Bajo stock")+COUNTIFS($K$5:$K66,"Sin stock"),""))</f>
        <v/>
      </c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2:30" ht="21.75" customHeight="1" x14ac:dyDescent="0.25">
      <c r="B67" s="10" t="str">
        <f>IF(Productos!B67="","",Productos!B67)</f>
        <v/>
      </c>
      <c r="C67" s="10" t="str">
        <f>IF(Productos!B67="","",Productos!C67)</f>
        <v/>
      </c>
      <c r="D67" s="10" t="str">
        <f>IF(Productos!B67="","",Productos!D67)</f>
        <v/>
      </c>
      <c r="E67" s="10" t="str">
        <f>IF(Productos!B67="","",Productos!E67)</f>
        <v/>
      </c>
      <c r="F67" s="11" t="str">
        <f>IF(Productos!B67="","",Productos!F67)</f>
        <v/>
      </c>
      <c r="G67" s="11" t="str">
        <f>IF(Productos!B67="","",Productos!G67)</f>
        <v/>
      </c>
      <c r="H67" s="11" t="str">
        <f>IF(B67="","",SUMIF('Compras Entradas'!$D$5:$D$504,B67,'Compras Entradas'!$F$5:$F$504))</f>
        <v/>
      </c>
      <c r="I67" s="11" t="str">
        <f>IF(B67="","",SUMIF('Ventas Salidas'!$D$5:$D$504,B67,'Ventas Salidas'!$F$5:$F$504))</f>
        <v/>
      </c>
      <c r="J67" s="11" t="str">
        <f t="shared" si="0"/>
        <v/>
      </c>
      <c r="K67" s="10" t="str">
        <f t="shared" si="1"/>
        <v/>
      </c>
      <c r="L67" s="10" t="str">
        <f t="shared" si="2"/>
        <v/>
      </c>
      <c r="M67" s="8"/>
      <c r="N67" s="8" t="str">
        <f>IF(B67="","",IF(OR(K67="Bajo stock",K67="Sin stock"),COUNTIFS($K$5:$K67,"Bajo stock")+COUNTIFS($K$5:$K67,"Sin stock"),""))</f>
        <v/>
      </c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2:30" ht="21.75" customHeight="1" x14ac:dyDescent="0.25">
      <c r="B68" s="10" t="str">
        <f>IF(Productos!B68="","",Productos!B68)</f>
        <v/>
      </c>
      <c r="C68" s="10" t="str">
        <f>IF(Productos!B68="","",Productos!C68)</f>
        <v/>
      </c>
      <c r="D68" s="10" t="str">
        <f>IF(Productos!B68="","",Productos!D68)</f>
        <v/>
      </c>
      <c r="E68" s="10" t="str">
        <f>IF(Productos!B68="","",Productos!E68)</f>
        <v/>
      </c>
      <c r="F68" s="11" t="str">
        <f>IF(Productos!B68="","",Productos!F68)</f>
        <v/>
      </c>
      <c r="G68" s="11" t="str">
        <f>IF(Productos!B68="","",Productos!G68)</f>
        <v/>
      </c>
      <c r="H68" s="11" t="str">
        <f>IF(B68="","",SUMIF('Compras Entradas'!$D$5:$D$504,B68,'Compras Entradas'!$F$5:$F$504))</f>
        <v/>
      </c>
      <c r="I68" s="11" t="str">
        <f>IF(B68="","",SUMIF('Ventas Salidas'!$D$5:$D$504,B68,'Ventas Salidas'!$F$5:$F$504))</f>
        <v/>
      </c>
      <c r="J68" s="11" t="str">
        <f t="shared" si="0"/>
        <v/>
      </c>
      <c r="K68" s="10" t="str">
        <f t="shared" si="1"/>
        <v/>
      </c>
      <c r="L68" s="10" t="str">
        <f t="shared" si="2"/>
        <v/>
      </c>
      <c r="M68" s="8"/>
      <c r="N68" s="8" t="str">
        <f>IF(B68="","",IF(OR(K68="Bajo stock",K68="Sin stock"),COUNTIFS($K$5:$K68,"Bajo stock")+COUNTIFS($K$5:$K68,"Sin stock"),""))</f>
        <v/>
      </c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2:30" ht="21.75" customHeight="1" x14ac:dyDescent="0.25">
      <c r="B69" s="10" t="str">
        <f>IF(Productos!B69="","",Productos!B69)</f>
        <v/>
      </c>
      <c r="C69" s="10" t="str">
        <f>IF(Productos!B69="","",Productos!C69)</f>
        <v/>
      </c>
      <c r="D69" s="10" t="str">
        <f>IF(Productos!B69="","",Productos!D69)</f>
        <v/>
      </c>
      <c r="E69" s="10" t="str">
        <f>IF(Productos!B69="","",Productos!E69)</f>
        <v/>
      </c>
      <c r="F69" s="11" t="str">
        <f>IF(Productos!B69="","",Productos!F69)</f>
        <v/>
      </c>
      <c r="G69" s="11" t="str">
        <f>IF(Productos!B69="","",Productos!G69)</f>
        <v/>
      </c>
      <c r="H69" s="11" t="str">
        <f>IF(B69="","",SUMIF('Compras Entradas'!$D$5:$D$504,B69,'Compras Entradas'!$F$5:$F$504))</f>
        <v/>
      </c>
      <c r="I69" s="11" t="str">
        <f>IF(B69="","",SUMIF('Ventas Salidas'!$D$5:$D$504,B69,'Ventas Salidas'!$F$5:$F$504))</f>
        <v/>
      </c>
      <c r="J69" s="11" t="str">
        <f t="shared" ref="J69:J132" si="3">IF(B69="","",G69+H69-I69)</f>
        <v/>
      </c>
      <c r="K69" s="10" t="str">
        <f t="shared" ref="K69:K132" si="4">IF(B69="","",IF(J69&lt;=0,"Sin stock",IF(J69&lt;F69,"Bajo stock","OK")))</f>
        <v/>
      </c>
      <c r="L69" s="10" t="str">
        <f t="shared" ref="L69:L132" si="5">IF(B69="","",IF(J69&lt;=0,"Comprar urgente",IF(J69&lt;F69,"Reponer pronto","Stock suficiente")))</f>
        <v/>
      </c>
      <c r="M69" s="8"/>
      <c r="N69" s="8" t="str">
        <f>IF(B69="","",IF(OR(K69="Bajo stock",K69="Sin stock"),COUNTIFS($K$5:$K69,"Bajo stock")+COUNTIFS($K$5:$K69,"Sin stock"),""))</f>
        <v/>
      </c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2:30" ht="21.75" customHeight="1" x14ac:dyDescent="0.25">
      <c r="B70" s="10" t="str">
        <f>IF(Productos!B70="","",Productos!B70)</f>
        <v/>
      </c>
      <c r="C70" s="10" t="str">
        <f>IF(Productos!B70="","",Productos!C70)</f>
        <v/>
      </c>
      <c r="D70" s="10" t="str">
        <f>IF(Productos!B70="","",Productos!D70)</f>
        <v/>
      </c>
      <c r="E70" s="10" t="str">
        <f>IF(Productos!B70="","",Productos!E70)</f>
        <v/>
      </c>
      <c r="F70" s="11" t="str">
        <f>IF(Productos!B70="","",Productos!F70)</f>
        <v/>
      </c>
      <c r="G70" s="11" t="str">
        <f>IF(Productos!B70="","",Productos!G70)</f>
        <v/>
      </c>
      <c r="H70" s="11" t="str">
        <f>IF(B70="","",SUMIF('Compras Entradas'!$D$5:$D$504,B70,'Compras Entradas'!$F$5:$F$504))</f>
        <v/>
      </c>
      <c r="I70" s="11" t="str">
        <f>IF(B70="","",SUMIF('Ventas Salidas'!$D$5:$D$504,B70,'Ventas Salidas'!$F$5:$F$504))</f>
        <v/>
      </c>
      <c r="J70" s="11" t="str">
        <f t="shared" si="3"/>
        <v/>
      </c>
      <c r="K70" s="10" t="str">
        <f t="shared" si="4"/>
        <v/>
      </c>
      <c r="L70" s="10" t="str">
        <f t="shared" si="5"/>
        <v/>
      </c>
      <c r="M70" s="8"/>
      <c r="N70" s="8" t="str">
        <f>IF(B70="","",IF(OR(K70="Bajo stock",K70="Sin stock"),COUNTIFS($K$5:$K70,"Bajo stock")+COUNTIFS($K$5:$K70,"Sin stock"),""))</f>
        <v/>
      </c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2:30" ht="21.75" customHeight="1" x14ac:dyDescent="0.25">
      <c r="B71" s="10" t="str">
        <f>IF(Productos!B71="","",Productos!B71)</f>
        <v/>
      </c>
      <c r="C71" s="10" t="str">
        <f>IF(Productos!B71="","",Productos!C71)</f>
        <v/>
      </c>
      <c r="D71" s="10" t="str">
        <f>IF(Productos!B71="","",Productos!D71)</f>
        <v/>
      </c>
      <c r="E71" s="10" t="str">
        <f>IF(Productos!B71="","",Productos!E71)</f>
        <v/>
      </c>
      <c r="F71" s="11" t="str">
        <f>IF(Productos!B71="","",Productos!F71)</f>
        <v/>
      </c>
      <c r="G71" s="11" t="str">
        <f>IF(Productos!B71="","",Productos!G71)</f>
        <v/>
      </c>
      <c r="H71" s="11" t="str">
        <f>IF(B71="","",SUMIF('Compras Entradas'!$D$5:$D$504,B71,'Compras Entradas'!$F$5:$F$504))</f>
        <v/>
      </c>
      <c r="I71" s="11" t="str">
        <f>IF(B71="","",SUMIF('Ventas Salidas'!$D$5:$D$504,B71,'Ventas Salidas'!$F$5:$F$504))</f>
        <v/>
      </c>
      <c r="J71" s="11" t="str">
        <f t="shared" si="3"/>
        <v/>
      </c>
      <c r="K71" s="10" t="str">
        <f t="shared" si="4"/>
        <v/>
      </c>
      <c r="L71" s="10" t="str">
        <f t="shared" si="5"/>
        <v/>
      </c>
      <c r="M71" s="8"/>
      <c r="N71" s="8" t="str">
        <f>IF(B71="","",IF(OR(K71="Bajo stock",K71="Sin stock"),COUNTIFS($K$5:$K71,"Bajo stock")+COUNTIFS($K$5:$K71,"Sin stock"),""))</f>
        <v/>
      </c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2:30" ht="21.75" customHeight="1" x14ac:dyDescent="0.25">
      <c r="B72" s="10" t="str">
        <f>IF(Productos!B72="","",Productos!B72)</f>
        <v/>
      </c>
      <c r="C72" s="10" t="str">
        <f>IF(Productos!B72="","",Productos!C72)</f>
        <v/>
      </c>
      <c r="D72" s="10" t="str">
        <f>IF(Productos!B72="","",Productos!D72)</f>
        <v/>
      </c>
      <c r="E72" s="10" t="str">
        <f>IF(Productos!B72="","",Productos!E72)</f>
        <v/>
      </c>
      <c r="F72" s="11" t="str">
        <f>IF(Productos!B72="","",Productos!F72)</f>
        <v/>
      </c>
      <c r="G72" s="11" t="str">
        <f>IF(Productos!B72="","",Productos!G72)</f>
        <v/>
      </c>
      <c r="H72" s="11" t="str">
        <f>IF(B72="","",SUMIF('Compras Entradas'!$D$5:$D$504,B72,'Compras Entradas'!$F$5:$F$504))</f>
        <v/>
      </c>
      <c r="I72" s="11" t="str">
        <f>IF(B72="","",SUMIF('Ventas Salidas'!$D$5:$D$504,B72,'Ventas Salidas'!$F$5:$F$504))</f>
        <v/>
      </c>
      <c r="J72" s="11" t="str">
        <f t="shared" si="3"/>
        <v/>
      </c>
      <c r="K72" s="10" t="str">
        <f t="shared" si="4"/>
        <v/>
      </c>
      <c r="L72" s="10" t="str">
        <f t="shared" si="5"/>
        <v/>
      </c>
      <c r="M72" s="8"/>
      <c r="N72" s="8" t="str">
        <f>IF(B72="","",IF(OR(K72="Bajo stock",K72="Sin stock"),COUNTIFS($K$5:$K72,"Bajo stock")+COUNTIFS($K$5:$K72,"Sin stock"),""))</f>
        <v/>
      </c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2:30" ht="21.75" customHeight="1" x14ac:dyDescent="0.25">
      <c r="B73" s="10" t="str">
        <f>IF(Productos!B73="","",Productos!B73)</f>
        <v/>
      </c>
      <c r="C73" s="10" t="str">
        <f>IF(Productos!B73="","",Productos!C73)</f>
        <v/>
      </c>
      <c r="D73" s="10" t="str">
        <f>IF(Productos!B73="","",Productos!D73)</f>
        <v/>
      </c>
      <c r="E73" s="10" t="str">
        <f>IF(Productos!B73="","",Productos!E73)</f>
        <v/>
      </c>
      <c r="F73" s="11" t="str">
        <f>IF(Productos!B73="","",Productos!F73)</f>
        <v/>
      </c>
      <c r="G73" s="11" t="str">
        <f>IF(Productos!B73="","",Productos!G73)</f>
        <v/>
      </c>
      <c r="H73" s="11" t="str">
        <f>IF(B73="","",SUMIF('Compras Entradas'!$D$5:$D$504,B73,'Compras Entradas'!$F$5:$F$504))</f>
        <v/>
      </c>
      <c r="I73" s="11" t="str">
        <f>IF(B73="","",SUMIF('Ventas Salidas'!$D$5:$D$504,B73,'Ventas Salidas'!$F$5:$F$504))</f>
        <v/>
      </c>
      <c r="J73" s="11" t="str">
        <f t="shared" si="3"/>
        <v/>
      </c>
      <c r="K73" s="10" t="str">
        <f t="shared" si="4"/>
        <v/>
      </c>
      <c r="L73" s="10" t="str">
        <f t="shared" si="5"/>
        <v/>
      </c>
      <c r="M73" s="8"/>
      <c r="N73" s="8" t="str">
        <f>IF(B73="","",IF(OR(K73="Bajo stock",K73="Sin stock"),COUNTIFS($K$5:$K73,"Bajo stock")+COUNTIFS($K$5:$K73,"Sin stock"),""))</f>
        <v/>
      </c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2:30" ht="21.75" customHeight="1" x14ac:dyDescent="0.25">
      <c r="B74" s="10" t="str">
        <f>IF(Productos!B74="","",Productos!B74)</f>
        <v/>
      </c>
      <c r="C74" s="10" t="str">
        <f>IF(Productos!B74="","",Productos!C74)</f>
        <v/>
      </c>
      <c r="D74" s="10" t="str">
        <f>IF(Productos!B74="","",Productos!D74)</f>
        <v/>
      </c>
      <c r="E74" s="10" t="str">
        <f>IF(Productos!B74="","",Productos!E74)</f>
        <v/>
      </c>
      <c r="F74" s="11" t="str">
        <f>IF(Productos!B74="","",Productos!F74)</f>
        <v/>
      </c>
      <c r="G74" s="11" t="str">
        <f>IF(Productos!B74="","",Productos!G74)</f>
        <v/>
      </c>
      <c r="H74" s="11" t="str">
        <f>IF(B74="","",SUMIF('Compras Entradas'!$D$5:$D$504,B74,'Compras Entradas'!$F$5:$F$504))</f>
        <v/>
      </c>
      <c r="I74" s="11" t="str">
        <f>IF(B74="","",SUMIF('Ventas Salidas'!$D$5:$D$504,B74,'Ventas Salidas'!$F$5:$F$504))</f>
        <v/>
      </c>
      <c r="J74" s="11" t="str">
        <f t="shared" si="3"/>
        <v/>
      </c>
      <c r="K74" s="10" t="str">
        <f t="shared" si="4"/>
        <v/>
      </c>
      <c r="L74" s="10" t="str">
        <f t="shared" si="5"/>
        <v/>
      </c>
      <c r="M74" s="8"/>
      <c r="N74" s="8" t="str">
        <f>IF(B74="","",IF(OR(K74="Bajo stock",K74="Sin stock"),COUNTIFS($K$5:$K74,"Bajo stock")+COUNTIFS($K$5:$K74,"Sin stock"),""))</f>
        <v/>
      </c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2:30" ht="21.75" customHeight="1" x14ac:dyDescent="0.25">
      <c r="B75" s="10" t="str">
        <f>IF(Productos!B75="","",Productos!B75)</f>
        <v/>
      </c>
      <c r="C75" s="10" t="str">
        <f>IF(Productos!B75="","",Productos!C75)</f>
        <v/>
      </c>
      <c r="D75" s="10" t="str">
        <f>IF(Productos!B75="","",Productos!D75)</f>
        <v/>
      </c>
      <c r="E75" s="10" t="str">
        <f>IF(Productos!B75="","",Productos!E75)</f>
        <v/>
      </c>
      <c r="F75" s="11" t="str">
        <f>IF(Productos!B75="","",Productos!F75)</f>
        <v/>
      </c>
      <c r="G75" s="11" t="str">
        <f>IF(Productos!B75="","",Productos!G75)</f>
        <v/>
      </c>
      <c r="H75" s="11" t="str">
        <f>IF(B75="","",SUMIF('Compras Entradas'!$D$5:$D$504,B75,'Compras Entradas'!$F$5:$F$504))</f>
        <v/>
      </c>
      <c r="I75" s="11" t="str">
        <f>IF(B75="","",SUMIF('Ventas Salidas'!$D$5:$D$504,B75,'Ventas Salidas'!$F$5:$F$504))</f>
        <v/>
      </c>
      <c r="J75" s="11" t="str">
        <f t="shared" si="3"/>
        <v/>
      </c>
      <c r="K75" s="10" t="str">
        <f t="shared" si="4"/>
        <v/>
      </c>
      <c r="L75" s="10" t="str">
        <f t="shared" si="5"/>
        <v/>
      </c>
      <c r="M75" s="8"/>
      <c r="N75" s="8" t="str">
        <f>IF(B75="","",IF(OR(K75="Bajo stock",K75="Sin stock"),COUNTIFS($K$5:$K75,"Bajo stock")+COUNTIFS($K$5:$K75,"Sin stock"),""))</f>
        <v/>
      </c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2:30" ht="21.75" customHeight="1" x14ac:dyDescent="0.25">
      <c r="B76" s="10" t="str">
        <f>IF(Productos!B76="","",Productos!B76)</f>
        <v/>
      </c>
      <c r="C76" s="10" t="str">
        <f>IF(Productos!B76="","",Productos!C76)</f>
        <v/>
      </c>
      <c r="D76" s="10" t="str">
        <f>IF(Productos!B76="","",Productos!D76)</f>
        <v/>
      </c>
      <c r="E76" s="10" t="str">
        <f>IF(Productos!B76="","",Productos!E76)</f>
        <v/>
      </c>
      <c r="F76" s="11" t="str">
        <f>IF(Productos!B76="","",Productos!F76)</f>
        <v/>
      </c>
      <c r="G76" s="11" t="str">
        <f>IF(Productos!B76="","",Productos!G76)</f>
        <v/>
      </c>
      <c r="H76" s="11" t="str">
        <f>IF(B76="","",SUMIF('Compras Entradas'!$D$5:$D$504,B76,'Compras Entradas'!$F$5:$F$504))</f>
        <v/>
      </c>
      <c r="I76" s="11" t="str">
        <f>IF(B76="","",SUMIF('Ventas Salidas'!$D$5:$D$504,B76,'Ventas Salidas'!$F$5:$F$504))</f>
        <v/>
      </c>
      <c r="J76" s="11" t="str">
        <f t="shared" si="3"/>
        <v/>
      </c>
      <c r="K76" s="10" t="str">
        <f t="shared" si="4"/>
        <v/>
      </c>
      <c r="L76" s="10" t="str">
        <f t="shared" si="5"/>
        <v/>
      </c>
      <c r="M76" s="8"/>
      <c r="N76" s="8" t="str">
        <f>IF(B76="","",IF(OR(K76="Bajo stock",K76="Sin stock"),COUNTIFS($K$5:$K76,"Bajo stock")+COUNTIFS($K$5:$K76,"Sin stock"),""))</f>
        <v/>
      </c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2:30" ht="21.75" customHeight="1" x14ac:dyDescent="0.25">
      <c r="B77" s="10" t="str">
        <f>IF(Productos!B77="","",Productos!B77)</f>
        <v/>
      </c>
      <c r="C77" s="10" t="str">
        <f>IF(Productos!B77="","",Productos!C77)</f>
        <v/>
      </c>
      <c r="D77" s="10" t="str">
        <f>IF(Productos!B77="","",Productos!D77)</f>
        <v/>
      </c>
      <c r="E77" s="10" t="str">
        <f>IF(Productos!B77="","",Productos!E77)</f>
        <v/>
      </c>
      <c r="F77" s="11" t="str">
        <f>IF(Productos!B77="","",Productos!F77)</f>
        <v/>
      </c>
      <c r="G77" s="11" t="str">
        <f>IF(Productos!B77="","",Productos!G77)</f>
        <v/>
      </c>
      <c r="H77" s="11" t="str">
        <f>IF(B77="","",SUMIF('Compras Entradas'!$D$5:$D$504,B77,'Compras Entradas'!$F$5:$F$504))</f>
        <v/>
      </c>
      <c r="I77" s="11" t="str">
        <f>IF(B77="","",SUMIF('Ventas Salidas'!$D$5:$D$504,B77,'Ventas Salidas'!$F$5:$F$504))</f>
        <v/>
      </c>
      <c r="J77" s="11" t="str">
        <f t="shared" si="3"/>
        <v/>
      </c>
      <c r="K77" s="10" t="str">
        <f t="shared" si="4"/>
        <v/>
      </c>
      <c r="L77" s="10" t="str">
        <f t="shared" si="5"/>
        <v/>
      </c>
      <c r="M77" s="8"/>
      <c r="N77" s="8" t="str">
        <f>IF(B77="","",IF(OR(K77="Bajo stock",K77="Sin stock"),COUNTIFS($K$5:$K77,"Bajo stock")+COUNTIFS($K$5:$K77,"Sin stock"),""))</f>
        <v/>
      </c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2:30" ht="21.75" customHeight="1" x14ac:dyDescent="0.25">
      <c r="B78" s="10" t="str">
        <f>IF(Productos!B78="","",Productos!B78)</f>
        <v/>
      </c>
      <c r="C78" s="10" t="str">
        <f>IF(Productos!B78="","",Productos!C78)</f>
        <v/>
      </c>
      <c r="D78" s="10" t="str">
        <f>IF(Productos!B78="","",Productos!D78)</f>
        <v/>
      </c>
      <c r="E78" s="10" t="str">
        <f>IF(Productos!B78="","",Productos!E78)</f>
        <v/>
      </c>
      <c r="F78" s="11" t="str">
        <f>IF(Productos!B78="","",Productos!F78)</f>
        <v/>
      </c>
      <c r="G78" s="11" t="str">
        <f>IF(Productos!B78="","",Productos!G78)</f>
        <v/>
      </c>
      <c r="H78" s="11" t="str">
        <f>IF(B78="","",SUMIF('Compras Entradas'!$D$5:$D$504,B78,'Compras Entradas'!$F$5:$F$504))</f>
        <v/>
      </c>
      <c r="I78" s="11" t="str">
        <f>IF(B78="","",SUMIF('Ventas Salidas'!$D$5:$D$504,B78,'Ventas Salidas'!$F$5:$F$504))</f>
        <v/>
      </c>
      <c r="J78" s="11" t="str">
        <f t="shared" si="3"/>
        <v/>
      </c>
      <c r="K78" s="10" t="str">
        <f t="shared" si="4"/>
        <v/>
      </c>
      <c r="L78" s="10" t="str">
        <f t="shared" si="5"/>
        <v/>
      </c>
      <c r="M78" s="8"/>
      <c r="N78" s="8" t="str">
        <f>IF(B78="","",IF(OR(K78="Bajo stock",K78="Sin stock"),COUNTIFS($K$5:$K78,"Bajo stock")+COUNTIFS($K$5:$K78,"Sin stock"),""))</f>
        <v/>
      </c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2:30" ht="21.75" customHeight="1" x14ac:dyDescent="0.25">
      <c r="B79" s="10" t="str">
        <f>IF(Productos!B79="","",Productos!B79)</f>
        <v/>
      </c>
      <c r="C79" s="10" t="str">
        <f>IF(Productos!B79="","",Productos!C79)</f>
        <v/>
      </c>
      <c r="D79" s="10" t="str">
        <f>IF(Productos!B79="","",Productos!D79)</f>
        <v/>
      </c>
      <c r="E79" s="10" t="str">
        <f>IF(Productos!B79="","",Productos!E79)</f>
        <v/>
      </c>
      <c r="F79" s="11" t="str">
        <f>IF(Productos!B79="","",Productos!F79)</f>
        <v/>
      </c>
      <c r="G79" s="11" t="str">
        <f>IF(Productos!B79="","",Productos!G79)</f>
        <v/>
      </c>
      <c r="H79" s="11" t="str">
        <f>IF(B79="","",SUMIF('Compras Entradas'!$D$5:$D$504,B79,'Compras Entradas'!$F$5:$F$504))</f>
        <v/>
      </c>
      <c r="I79" s="11" t="str">
        <f>IF(B79="","",SUMIF('Ventas Salidas'!$D$5:$D$504,B79,'Ventas Salidas'!$F$5:$F$504))</f>
        <v/>
      </c>
      <c r="J79" s="11" t="str">
        <f t="shared" si="3"/>
        <v/>
      </c>
      <c r="K79" s="10" t="str">
        <f t="shared" si="4"/>
        <v/>
      </c>
      <c r="L79" s="10" t="str">
        <f t="shared" si="5"/>
        <v/>
      </c>
      <c r="M79" s="8"/>
      <c r="N79" s="8" t="str">
        <f>IF(B79="","",IF(OR(K79="Bajo stock",K79="Sin stock"),COUNTIFS($K$5:$K79,"Bajo stock")+COUNTIFS($K$5:$K79,"Sin stock"),""))</f>
        <v/>
      </c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2:30" ht="21.75" customHeight="1" x14ac:dyDescent="0.25">
      <c r="B80" s="10" t="str">
        <f>IF(Productos!B80="","",Productos!B80)</f>
        <v/>
      </c>
      <c r="C80" s="10" t="str">
        <f>IF(Productos!B80="","",Productos!C80)</f>
        <v/>
      </c>
      <c r="D80" s="10" t="str">
        <f>IF(Productos!B80="","",Productos!D80)</f>
        <v/>
      </c>
      <c r="E80" s="10" t="str">
        <f>IF(Productos!B80="","",Productos!E80)</f>
        <v/>
      </c>
      <c r="F80" s="11" t="str">
        <f>IF(Productos!B80="","",Productos!F80)</f>
        <v/>
      </c>
      <c r="G80" s="11" t="str">
        <f>IF(Productos!B80="","",Productos!G80)</f>
        <v/>
      </c>
      <c r="H80" s="11" t="str">
        <f>IF(B80="","",SUMIF('Compras Entradas'!$D$5:$D$504,B80,'Compras Entradas'!$F$5:$F$504))</f>
        <v/>
      </c>
      <c r="I80" s="11" t="str">
        <f>IF(B80="","",SUMIF('Ventas Salidas'!$D$5:$D$504,B80,'Ventas Salidas'!$F$5:$F$504))</f>
        <v/>
      </c>
      <c r="J80" s="11" t="str">
        <f t="shared" si="3"/>
        <v/>
      </c>
      <c r="K80" s="10" t="str">
        <f t="shared" si="4"/>
        <v/>
      </c>
      <c r="L80" s="10" t="str">
        <f t="shared" si="5"/>
        <v/>
      </c>
      <c r="M80" s="8"/>
      <c r="N80" s="8" t="str">
        <f>IF(B80="","",IF(OR(K80="Bajo stock",K80="Sin stock"),COUNTIFS($K$5:$K80,"Bajo stock")+COUNTIFS($K$5:$K80,"Sin stock"),""))</f>
        <v/>
      </c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2:30" ht="21.75" customHeight="1" x14ac:dyDescent="0.25">
      <c r="B81" s="10" t="str">
        <f>IF(Productos!B81="","",Productos!B81)</f>
        <v/>
      </c>
      <c r="C81" s="10" t="str">
        <f>IF(Productos!B81="","",Productos!C81)</f>
        <v/>
      </c>
      <c r="D81" s="10" t="str">
        <f>IF(Productos!B81="","",Productos!D81)</f>
        <v/>
      </c>
      <c r="E81" s="10" t="str">
        <f>IF(Productos!B81="","",Productos!E81)</f>
        <v/>
      </c>
      <c r="F81" s="11" t="str">
        <f>IF(Productos!B81="","",Productos!F81)</f>
        <v/>
      </c>
      <c r="G81" s="11" t="str">
        <f>IF(Productos!B81="","",Productos!G81)</f>
        <v/>
      </c>
      <c r="H81" s="11" t="str">
        <f>IF(B81="","",SUMIF('Compras Entradas'!$D$5:$D$504,B81,'Compras Entradas'!$F$5:$F$504))</f>
        <v/>
      </c>
      <c r="I81" s="11" t="str">
        <f>IF(B81="","",SUMIF('Ventas Salidas'!$D$5:$D$504,B81,'Ventas Salidas'!$F$5:$F$504))</f>
        <v/>
      </c>
      <c r="J81" s="11" t="str">
        <f t="shared" si="3"/>
        <v/>
      </c>
      <c r="K81" s="10" t="str">
        <f t="shared" si="4"/>
        <v/>
      </c>
      <c r="L81" s="10" t="str">
        <f t="shared" si="5"/>
        <v/>
      </c>
      <c r="M81" s="8"/>
      <c r="N81" s="8" t="str">
        <f>IF(B81="","",IF(OR(K81="Bajo stock",K81="Sin stock"),COUNTIFS($K$5:$K81,"Bajo stock")+COUNTIFS($K$5:$K81,"Sin stock"),""))</f>
        <v/>
      </c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2:30" ht="21.75" customHeight="1" x14ac:dyDescent="0.25">
      <c r="B82" s="10" t="str">
        <f>IF(Productos!B82="","",Productos!B82)</f>
        <v/>
      </c>
      <c r="C82" s="10" t="str">
        <f>IF(Productos!B82="","",Productos!C82)</f>
        <v/>
      </c>
      <c r="D82" s="10" t="str">
        <f>IF(Productos!B82="","",Productos!D82)</f>
        <v/>
      </c>
      <c r="E82" s="10" t="str">
        <f>IF(Productos!B82="","",Productos!E82)</f>
        <v/>
      </c>
      <c r="F82" s="11" t="str">
        <f>IF(Productos!B82="","",Productos!F82)</f>
        <v/>
      </c>
      <c r="G82" s="11" t="str">
        <f>IF(Productos!B82="","",Productos!G82)</f>
        <v/>
      </c>
      <c r="H82" s="11" t="str">
        <f>IF(B82="","",SUMIF('Compras Entradas'!$D$5:$D$504,B82,'Compras Entradas'!$F$5:$F$504))</f>
        <v/>
      </c>
      <c r="I82" s="11" t="str">
        <f>IF(B82="","",SUMIF('Ventas Salidas'!$D$5:$D$504,B82,'Ventas Salidas'!$F$5:$F$504))</f>
        <v/>
      </c>
      <c r="J82" s="11" t="str">
        <f t="shared" si="3"/>
        <v/>
      </c>
      <c r="K82" s="10" t="str">
        <f t="shared" si="4"/>
        <v/>
      </c>
      <c r="L82" s="10" t="str">
        <f t="shared" si="5"/>
        <v/>
      </c>
      <c r="M82" s="8"/>
      <c r="N82" s="8" t="str">
        <f>IF(B82="","",IF(OR(K82="Bajo stock",K82="Sin stock"),COUNTIFS($K$5:$K82,"Bajo stock")+COUNTIFS($K$5:$K82,"Sin stock"),""))</f>
        <v/>
      </c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2:30" ht="21.75" customHeight="1" x14ac:dyDescent="0.25">
      <c r="B83" s="10" t="str">
        <f>IF(Productos!B83="","",Productos!B83)</f>
        <v/>
      </c>
      <c r="C83" s="10" t="str">
        <f>IF(Productos!B83="","",Productos!C83)</f>
        <v/>
      </c>
      <c r="D83" s="10" t="str">
        <f>IF(Productos!B83="","",Productos!D83)</f>
        <v/>
      </c>
      <c r="E83" s="10" t="str">
        <f>IF(Productos!B83="","",Productos!E83)</f>
        <v/>
      </c>
      <c r="F83" s="11" t="str">
        <f>IF(Productos!B83="","",Productos!F83)</f>
        <v/>
      </c>
      <c r="G83" s="11" t="str">
        <f>IF(Productos!B83="","",Productos!G83)</f>
        <v/>
      </c>
      <c r="H83" s="11" t="str">
        <f>IF(B83="","",SUMIF('Compras Entradas'!$D$5:$D$504,B83,'Compras Entradas'!$F$5:$F$504))</f>
        <v/>
      </c>
      <c r="I83" s="11" t="str">
        <f>IF(B83="","",SUMIF('Ventas Salidas'!$D$5:$D$504,B83,'Ventas Salidas'!$F$5:$F$504))</f>
        <v/>
      </c>
      <c r="J83" s="11" t="str">
        <f t="shared" si="3"/>
        <v/>
      </c>
      <c r="K83" s="10" t="str">
        <f t="shared" si="4"/>
        <v/>
      </c>
      <c r="L83" s="10" t="str">
        <f t="shared" si="5"/>
        <v/>
      </c>
      <c r="M83" s="8"/>
      <c r="N83" s="8" t="str">
        <f>IF(B83="","",IF(OR(K83="Bajo stock",K83="Sin stock"),COUNTIFS($K$5:$K83,"Bajo stock")+COUNTIFS($K$5:$K83,"Sin stock"),""))</f>
        <v/>
      </c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2:30" ht="21.75" customHeight="1" x14ac:dyDescent="0.25">
      <c r="B84" s="10" t="str">
        <f>IF(Productos!B84="","",Productos!B84)</f>
        <v/>
      </c>
      <c r="C84" s="10" t="str">
        <f>IF(Productos!B84="","",Productos!C84)</f>
        <v/>
      </c>
      <c r="D84" s="10" t="str">
        <f>IF(Productos!B84="","",Productos!D84)</f>
        <v/>
      </c>
      <c r="E84" s="10" t="str">
        <f>IF(Productos!B84="","",Productos!E84)</f>
        <v/>
      </c>
      <c r="F84" s="11" t="str">
        <f>IF(Productos!B84="","",Productos!F84)</f>
        <v/>
      </c>
      <c r="G84" s="11" t="str">
        <f>IF(Productos!B84="","",Productos!G84)</f>
        <v/>
      </c>
      <c r="H84" s="11" t="str">
        <f>IF(B84="","",SUMIF('Compras Entradas'!$D$5:$D$504,B84,'Compras Entradas'!$F$5:$F$504))</f>
        <v/>
      </c>
      <c r="I84" s="11" t="str">
        <f>IF(B84="","",SUMIF('Ventas Salidas'!$D$5:$D$504,B84,'Ventas Salidas'!$F$5:$F$504))</f>
        <v/>
      </c>
      <c r="J84" s="11" t="str">
        <f t="shared" si="3"/>
        <v/>
      </c>
      <c r="K84" s="10" t="str">
        <f t="shared" si="4"/>
        <v/>
      </c>
      <c r="L84" s="10" t="str">
        <f t="shared" si="5"/>
        <v/>
      </c>
      <c r="M84" s="8"/>
      <c r="N84" s="8" t="str">
        <f>IF(B84="","",IF(OR(K84="Bajo stock",K84="Sin stock"),COUNTIFS($K$5:$K84,"Bajo stock")+COUNTIFS($K$5:$K84,"Sin stock"),""))</f>
        <v/>
      </c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2:30" ht="21.75" customHeight="1" x14ac:dyDescent="0.25">
      <c r="B85" s="10" t="str">
        <f>IF(Productos!B85="","",Productos!B85)</f>
        <v/>
      </c>
      <c r="C85" s="10" t="str">
        <f>IF(Productos!B85="","",Productos!C85)</f>
        <v/>
      </c>
      <c r="D85" s="10" t="str">
        <f>IF(Productos!B85="","",Productos!D85)</f>
        <v/>
      </c>
      <c r="E85" s="10" t="str">
        <f>IF(Productos!B85="","",Productos!E85)</f>
        <v/>
      </c>
      <c r="F85" s="11" t="str">
        <f>IF(Productos!B85="","",Productos!F85)</f>
        <v/>
      </c>
      <c r="G85" s="11" t="str">
        <f>IF(Productos!B85="","",Productos!G85)</f>
        <v/>
      </c>
      <c r="H85" s="11" t="str">
        <f>IF(B85="","",SUMIF('Compras Entradas'!$D$5:$D$504,B85,'Compras Entradas'!$F$5:$F$504))</f>
        <v/>
      </c>
      <c r="I85" s="11" t="str">
        <f>IF(B85="","",SUMIF('Ventas Salidas'!$D$5:$D$504,B85,'Ventas Salidas'!$F$5:$F$504))</f>
        <v/>
      </c>
      <c r="J85" s="11" t="str">
        <f t="shared" si="3"/>
        <v/>
      </c>
      <c r="K85" s="10" t="str">
        <f t="shared" si="4"/>
        <v/>
      </c>
      <c r="L85" s="10" t="str">
        <f t="shared" si="5"/>
        <v/>
      </c>
      <c r="M85" s="8"/>
      <c r="N85" s="8" t="str">
        <f>IF(B85="","",IF(OR(K85="Bajo stock",K85="Sin stock"),COUNTIFS($K$5:$K85,"Bajo stock")+COUNTIFS($K$5:$K85,"Sin stock"),""))</f>
        <v/>
      </c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2:30" ht="21.75" customHeight="1" x14ac:dyDescent="0.25">
      <c r="B86" s="10" t="str">
        <f>IF(Productos!B86="","",Productos!B86)</f>
        <v/>
      </c>
      <c r="C86" s="10" t="str">
        <f>IF(Productos!B86="","",Productos!C86)</f>
        <v/>
      </c>
      <c r="D86" s="10" t="str">
        <f>IF(Productos!B86="","",Productos!D86)</f>
        <v/>
      </c>
      <c r="E86" s="10" t="str">
        <f>IF(Productos!B86="","",Productos!E86)</f>
        <v/>
      </c>
      <c r="F86" s="11" t="str">
        <f>IF(Productos!B86="","",Productos!F86)</f>
        <v/>
      </c>
      <c r="G86" s="11" t="str">
        <f>IF(Productos!B86="","",Productos!G86)</f>
        <v/>
      </c>
      <c r="H86" s="11" t="str">
        <f>IF(B86="","",SUMIF('Compras Entradas'!$D$5:$D$504,B86,'Compras Entradas'!$F$5:$F$504))</f>
        <v/>
      </c>
      <c r="I86" s="11" t="str">
        <f>IF(B86="","",SUMIF('Ventas Salidas'!$D$5:$D$504,B86,'Ventas Salidas'!$F$5:$F$504))</f>
        <v/>
      </c>
      <c r="J86" s="11" t="str">
        <f t="shared" si="3"/>
        <v/>
      </c>
      <c r="K86" s="10" t="str">
        <f t="shared" si="4"/>
        <v/>
      </c>
      <c r="L86" s="10" t="str">
        <f t="shared" si="5"/>
        <v/>
      </c>
      <c r="M86" s="8"/>
      <c r="N86" s="8" t="str">
        <f>IF(B86="","",IF(OR(K86="Bajo stock",K86="Sin stock"),COUNTIFS($K$5:$K86,"Bajo stock")+COUNTIFS($K$5:$K86,"Sin stock"),""))</f>
        <v/>
      </c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2:30" ht="21.75" customHeight="1" x14ac:dyDescent="0.25">
      <c r="B87" s="10" t="str">
        <f>IF(Productos!B87="","",Productos!B87)</f>
        <v/>
      </c>
      <c r="C87" s="10" t="str">
        <f>IF(Productos!B87="","",Productos!C87)</f>
        <v/>
      </c>
      <c r="D87" s="10" t="str">
        <f>IF(Productos!B87="","",Productos!D87)</f>
        <v/>
      </c>
      <c r="E87" s="10" t="str">
        <f>IF(Productos!B87="","",Productos!E87)</f>
        <v/>
      </c>
      <c r="F87" s="11" t="str">
        <f>IF(Productos!B87="","",Productos!F87)</f>
        <v/>
      </c>
      <c r="G87" s="11" t="str">
        <f>IF(Productos!B87="","",Productos!G87)</f>
        <v/>
      </c>
      <c r="H87" s="11" t="str">
        <f>IF(B87="","",SUMIF('Compras Entradas'!$D$5:$D$504,B87,'Compras Entradas'!$F$5:$F$504))</f>
        <v/>
      </c>
      <c r="I87" s="11" t="str">
        <f>IF(B87="","",SUMIF('Ventas Salidas'!$D$5:$D$504,B87,'Ventas Salidas'!$F$5:$F$504))</f>
        <v/>
      </c>
      <c r="J87" s="11" t="str">
        <f t="shared" si="3"/>
        <v/>
      </c>
      <c r="K87" s="10" t="str">
        <f t="shared" si="4"/>
        <v/>
      </c>
      <c r="L87" s="10" t="str">
        <f t="shared" si="5"/>
        <v/>
      </c>
      <c r="M87" s="8"/>
      <c r="N87" s="8" t="str">
        <f>IF(B87="","",IF(OR(K87="Bajo stock",K87="Sin stock"),COUNTIFS($K$5:$K87,"Bajo stock")+COUNTIFS($K$5:$K87,"Sin stock"),""))</f>
        <v/>
      </c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2:30" ht="21.75" customHeight="1" x14ac:dyDescent="0.25">
      <c r="B88" s="10" t="str">
        <f>IF(Productos!B88="","",Productos!B88)</f>
        <v/>
      </c>
      <c r="C88" s="10" t="str">
        <f>IF(Productos!B88="","",Productos!C88)</f>
        <v/>
      </c>
      <c r="D88" s="10" t="str">
        <f>IF(Productos!B88="","",Productos!D88)</f>
        <v/>
      </c>
      <c r="E88" s="10" t="str">
        <f>IF(Productos!B88="","",Productos!E88)</f>
        <v/>
      </c>
      <c r="F88" s="11" t="str">
        <f>IF(Productos!B88="","",Productos!F88)</f>
        <v/>
      </c>
      <c r="G88" s="11" t="str">
        <f>IF(Productos!B88="","",Productos!G88)</f>
        <v/>
      </c>
      <c r="H88" s="11" t="str">
        <f>IF(B88="","",SUMIF('Compras Entradas'!$D$5:$D$504,B88,'Compras Entradas'!$F$5:$F$504))</f>
        <v/>
      </c>
      <c r="I88" s="11" t="str">
        <f>IF(B88="","",SUMIF('Ventas Salidas'!$D$5:$D$504,B88,'Ventas Salidas'!$F$5:$F$504))</f>
        <v/>
      </c>
      <c r="J88" s="11" t="str">
        <f t="shared" si="3"/>
        <v/>
      </c>
      <c r="K88" s="10" t="str">
        <f t="shared" si="4"/>
        <v/>
      </c>
      <c r="L88" s="10" t="str">
        <f t="shared" si="5"/>
        <v/>
      </c>
      <c r="M88" s="8"/>
      <c r="N88" s="8" t="str">
        <f>IF(B88="","",IF(OR(K88="Bajo stock",K88="Sin stock"),COUNTIFS($K$5:$K88,"Bajo stock")+COUNTIFS($K$5:$K88,"Sin stock"),""))</f>
        <v/>
      </c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2:30" ht="21.75" customHeight="1" x14ac:dyDescent="0.25">
      <c r="B89" s="10" t="str">
        <f>IF(Productos!B89="","",Productos!B89)</f>
        <v/>
      </c>
      <c r="C89" s="10" t="str">
        <f>IF(Productos!B89="","",Productos!C89)</f>
        <v/>
      </c>
      <c r="D89" s="10" t="str">
        <f>IF(Productos!B89="","",Productos!D89)</f>
        <v/>
      </c>
      <c r="E89" s="10" t="str">
        <f>IF(Productos!B89="","",Productos!E89)</f>
        <v/>
      </c>
      <c r="F89" s="11" t="str">
        <f>IF(Productos!B89="","",Productos!F89)</f>
        <v/>
      </c>
      <c r="G89" s="11" t="str">
        <f>IF(Productos!B89="","",Productos!G89)</f>
        <v/>
      </c>
      <c r="H89" s="11" t="str">
        <f>IF(B89="","",SUMIF('Compras Entradas'!$D$5:$D$504,B89,'Compras Entradas'!$F$5:$F$504))</f>
        <v/>
      </c>
      <c r="I89" s="11" t="str">
        <f>IF(B89="","",SUMIF('Ventas Salidas'!$D$5:$D$504,B89,'Ventas Salidas'!$F$5:$F$504))</f>
        <v/>
      </c>
      <c r="J89" s="11" t="str">
        <f t="shared" si="3"/>
        <v/>
      </c>
      <c r="K89" s="10" t="str">
        <f t="shared" si="4"/>
        <v/>
      </c>
      <c r="L89" s="10" t="str">
        <f t="shared" si="5"/>
        <v/>
      </c>
      <c r="M89" s="8"/>
      <c r="N89" s="8" t="str">
        <f>IF(B89="","",IF(OR(K89="Bajo stock",K89="Sin stock"),COUNTIFS($K$5:$K89,"Bajo stock")+COUNTIFS($K$5:$K89,"Sin stock"),""))</f>
        <v/>
      </c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2:30" ht="21.75" customHeight="1" x14ac:dyDescent="0.25">
      <c r="B90" s="10" t="str">
        <f>IF(Productos!B90="","",Productos!B90)</f>
        <v/>
      </c>
      <c r="C90" s="10" t="str">
        <f>IF(Productos!B90="","",Productos!C90)</f>
        <v/>
      </c>
      <c r="D90" s="10" t="str">
        <f>IF(Productos!B90="","",Productos!D90)</f>
        <v/>
      </c>
      <c r="E90" s="10" t="str">
        <f>IF(Productos!B90="","",Productos!E90)</f>
        <v/>
      </c>
      <c r="F90" s="11" t="str">
        <f>IF(Productos!B90="","",Productos!F90)</f>
        <v/>
      </c>
      <c r="G90" s="11" t="str">
        <f>IF(Productos!B90="","",Productos!G90)</f>
        <v/>
      </c>
      <c r="H90" s="11" t="str">
        <f>IF(B90="","",SUMIF('Compras Entradas'!$D$5:$D$504,B90,'Compras Entradas'!$F$5:$F$504))</f>
        <v/>
      </c>
      <c r="I90" s="11" t="str">
        <f>IF(B90="","",SUMIF('Ventas Salidas'!$D$5:$D$504,B90,'Ventas Salidas'!$F$5:$F$504))</f>
        <v/>
      </c>
      <c r="J90" s="11" t="str">
        <f t="shared" si="3"/>
        <v/>
      </c>
      <c r="K90" s="10" t="str">
        <f t="shared" si="4"/>
        <v/>
      </c>
      <c r="L90" s="10" t="str">
        <f t="shared" si="5"/>
        <v/>
      </c>
      <c r="M90" s="8"/>
      <c r="N90" s="8" t="str">
        <f>IF(B90="","",IF(OR(K90="Bajo stock",K90="Sin stock"),COUNTIFS($K$5:$K90,"Bajo stock")+COUNTIFS($K$5:$K90,"Sin stock"),""))</f>
        <v/>
      </c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2:30" ht="21.75" customHeight="1" x14ac:dyDescent="0.25">
      <c r="B91" s="10" t="str">
        <f>IF(Productos!B91="","",Productos!B91)</f>
        <v/>
      </c>
      <c r="C91" s="10" t="str">
        <f>IF(Productos!B91="","",Productos!C91)</f>
        <v/>
      </c>
      <c r="D91" s="10" t="str">
        <f>IF(Productos!B91="","",Productos!D91)</f>
        <v/>
      </c>
      <c r="E91" s="10" t="str">
        <f>IF(Productos!B91="","",Productos!E91)</f>
        <v/>
      </c>
      <c r="F91" s="11" t="str">
        <f>IF(Productos!B91="","",Productos!F91)</f>
        <v/>
      </c>
      <c r="G91" s="11" t="str">
        <f>IF(Productos!B91="","",Productos!G91)</f>
        <v/>
      </c>
      <c r="H91" s="11" t="str">
        <f>IF(B91="","",SUMIF('Compras Entradas'!$D$5:$D$504,B91,'Compras Entradas'!$F$5:$F$504))</f>
        <v/>
      </c>
      <c r="I91" s="11" t="str">
        <f>IF(B91="","",SUMIF('Ventas Salidas'!$D$5:$D$504,B91,'Ventas Salidas'!$F$5:$F$504))</f>
        <v/>
      </c>
      <c r="J91" s="11" t="str">
        <f t="shared" si="3"/>
        <v/>
      </c>
      <c r="K91" s="10" t="str">
        <f t="shared" si="4"/>
        <v/>
      </c>
      <c r="L91" s="10" t="str">
        <f t="shared" si="5"/>
        <v/>
      </c>
      <c r="M91" s="8"/>
      <c r="N91" s="8" t="str">
        <f>IF(B91="","",IF(OR(K91="Bajo stock",K91="Sin stock"),COUNTIFS($K$5:$K91,"Bajo stock")+COUNTIFS($K$5:$K91,"Sin stock"),""))</f>
        <v/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2:30" ht="21.75" customHeight="1" x14ac:dyDescent="0.25">
      <c r="B92" s="10" t="str">
        <f>IF(Productos!B92="","",Productos!B92)</f>
        <v/>
      </c>
      <c r="C92" s="10" t="str">
        <f>IF(Productos!B92="","",Productos!C92)</f>
        <v/>
      </c>
      <c r="D92" s="10" t="str">
        <f>IF(Productos!B92="","",Productos!D92)</f>
        <v/>
      </c>
      <c r="E92" s="10" t="str">
        <f>IF(Productos!B92="","",Productos!E92)</f>
        <v/>
      </c>
      <c r="F92" s="11" t="str">
        <f>IF(Productos!B92="","",Productos!F92)</f>
        <v/>
      </c>
      <c r="G92" s="11" t="str">
        <f>IF(Productos!B92="","",Productos!G92)</f>
        <v/>
      </c>
      <c r="H92" s="11" t="str">
        <f>IF(B92="","",SUMIF('Compras Entradas'!$D$5:$D$504,B92,'Compras Entradas'!$F$5:$F$504))</f>
        <v/>
      </c>
      <c r="I92" s="11" t="str">
        <f>IF(B92="","",SUMIF('Ventas Salidas'!$D$5:$D$504,B92,'Ventas Salidas'!$F$5:$F$504))</f>
        <v/>
      </c>
      <c r="J92" s="11" t="str">
        <f t="shared" si="3"/>
        <v/>
      </c>
      <c r="K92" s="10" t="str">
        <f t="shared" si="4"/>
        <v/>
      </c>
      <c r="L92" s="10" t="str">
        <f t="shared" si="5"/>
        <v/>
      </c>
      <c r="M92" s="8"/>
      <c r="N92" s="8" t="str">
        <f>IF(B92="","",IF(OR(K92="Bajo stock",K92="Sin stock"),COUNTIFS($K$5:$K92,"Bajo stock")+COUNTIFS($K$5:$K92,"Sin stock"),""))</f>
        <v/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2:30" ht="21.75" customHeight="1" x14ac:dyDescent="0.25">
      <c r="B93" s="10" t="str">
        <f>IF(Productos!B93="","",Productos!B93)</f>
        <v/>
      </c>
      <c r="C93" s="10" t="str">
        <f>IF(Productos!B93="","",Productos!C93)</f>
        <v/>
      </c>
      <c r="D93" s="10" t="str">
        <f>IF(Productos!B93="","",Productos!D93)</f>
        <v/>
      </c>
      <c r="E93" s="10" t="str">
        <f>IF(Productos!B93="","",Productos!E93)</f>
        <v/>
      </c>
      <c r="F93" s="11" t="str">
        <f>IF(Productos!B93="","",Productos!F93)</f>
        <v/>
      </c>
      <c r="G93" s="11" t="str">
        <f>IF(Productos!B93="","",Productos!G93)</f>
        <v/>
      </c>
      <c r="H93" s="11" t="str">
        <f>IF(B93="","",SUMIF('Compras Entradas'!$D$5:$D$504,B93,'Compras Entradas'!$F$5:$F$504))</f>
        <v/>
      </c>
      <c r="I93" s="11" t="str">
        <f>IF(B93="","",SUMIF('Ventas Salidas'!$D$5:$D$504,B93,'Ventas Salidas'!$F$5:$F$504))</f>
        <v/>
      </c>
      <c r="J93" s="11" t="str">
        <f t="shared" si="3"/>
        <v/>
      </c>
      <c r="K93" s="10" t="str">
        <f t="shared" si="4"/>
        <v/>
      </c>
      <c r="L93" s="10" t="str">
        <f t="shared" si="5"/>
        <v/>
      </c>
      <c r="M93" s="8"/>
      <c r="N93" s="8" t="str">
        <f>IF(B93="","",IF(OR(K93="Bajo stock",K93="Sin stock"),COUNTIFS($K$5:$K93,"Bajo stock")+COUNTIFS($K$5:$K93,"Sin stock"),""))</f>
        <v/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2:30" ht="21.75" customHeight="1" x14ac:dyDescent="0.25">
      <c r="B94" s="10" t="str">
        <f>IF(Productos!B94="","",Productos!B94)</f>
        <v/>
      </c>
      <c r="C94" s="10" t="str">
        <f>IF(Productos!B94="","",Productos!C94)</f>
        <v/>
      </c>
      <c r="D94" s="10" t="str">
        <f>IF(Productos!B94="","",Productos!D94)</f>
        <v/>
      </c>
      <c r="E94" s="10" t="str">
        <f>IF(Productos!B94="","",Productos!E94)</f>
        <v/>
      </c>
      <c r="F94" s="11" t="str">
        <f>IF(Productos!B94="","",Productos!F94)</f>
        <v/>
      </c>
      <c r="G94" s="11" t="str">
        <f>IF(Productos!B94="","",Productos!G94)</f>
        <v/>
      </c>
      <c r="H94" s="11" t="str">
        <f>IF(B94="","",SUMIF('Compras Entradas'!$D$5:$D$504,B94,'Compras Entradas'!$F$5:$F$504))</f>
        <v/>
      </c>
      <c r="I94" s="11" t="str">
        <f>IF(B94="","",SUMIF('Ventas Salidas'!$D$5:$D$504,B94,'Ventas Salidas'!$F$5:$F$504))</f>
        <v/>
      </c>
      <c r="J94" s="11" t="str">
        <f t="shared" si="3"/>
        <v/>
      </c>
      <c r="K94" s="10" t="str">
        <f t="shared" si="4"/>
        <v/>
      </c>
      <c r="L94" s="10" t="str">
        <f t="shared" si="5"/>
        <v/>
      </c>
      <c r="M94" s="8"/>
      <c r="N94" s="8" t="str">
        <f>IF(B94="","",IF(OR(K94="Bajo stock",K94="Sin stock"),COUNTIFS($K$5:$K94,"Bajo stock")+COUNTIFS($K$5:$K94,"Sin stock"),""))</f>
        <v/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2:30" ht="21.75" customHeight="1" x14ac:dyDescent="0.25">
      <c r="B95" s="10" t="str">
        <f>IF(Productos!B95="","",Productos!B95)</f>
        <v/>
      </c>
      <c r="C95" s="10" t="str">
        <f>IF(Productos!B95="","",Productos!C95)</f>
        <v/>
      </c>
      <c r="D95" s="10" t="str">
        <f>IF(Productos!B95="","",Productos!D95)</f>
        <v/>
      </c>
      <c r="E95" s="10" t="str">
        <f>IF(Productos!B95="","",Productos!E95)</f>
        <v/>
      </c>
      <c r="F95" s="11" t="str">
        <f>IF(Productos!B95="","",Productos!F95)</f>
        <v/>
      </c>
      <c r="G95" s="11" t="str">
        <f>IF(Productos!B95="","",Productos!G95)</f>
        <v/>
      </c>
      <c r="H95" s="11" t="str">
        <f>IF(B95="","",SUMIF('Compras Entradas'!$D$5:$D$504,B95,'Compras Entradas'!$F$5:$F$504))</f>
        <v/>
      </c>
      <c r="I95" s="11" t="str">
        <f>IF(B95="","",SUMIF('Ventas Salidas'!$D$5:$D$504,B95,'Ventas Salidas'!$F$5:$F$504))</f>
        <v/>
      </c>
      <c r="J95" s="11" t="str">
        <f t="shared" si="3"/>
        <v/>
      </c>
      <c r="K95" s="10" t="str">
        <f t="shared" si="4"/>
        <v/>
      </c>
      <c r="L95" s="10" t="str">
        <f t="shared" si="5"/>
        <v/>
      </c>
      <c r="M95" s="8"/>
      <c r="N95" s="8" t="str">
        <f>IF(B95="","",IF(OR(K95="Bajo stock",K95="Sin stock"),COUNTIFS($K$5:$K95,"Bajo stock")+COUNTIFS($K$5:$K95,"Sin stock"),""))</f>
        <v/>
      </c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2:30" ht="21.75" customHeight="1" x14ac:dyDescent="0.25">
      <c r="B96" s="10" t="str">
        <f>IF(Productos!B96="","",Productos!B96)</f>
        <v/>
      </c>
      <c r="C96" s="10" t="str">
        <f>IF(Productos!B96="","",Productos!C96)</f>
        <v/>
      </c>
      <c r="D96" s="10" t="str">
        <f>IF(Productos!B96="","",Productos!D96)</f>
        <v/>
      </c>
      <c r="E96" s="10" t="str">
        <f>IF(Productos!B96="","",Productos!E96)</f>
        <v/>
      </c>
      <c r="F96" s="11" t="str">
        <f>IF(Productos!B96="","",Productos!F96)</f>
        <v/>
      </c>
      <c r="G96" s="11" t="str">
        <f>IF(Productos!B96="","",Productos!G96)</f>
        <v/>
      </c>
      <c r="H96" s="11" t="str">
        <f>IF(B96="","",SUMIF('Compras Entradas'!$D$5:$D$504,B96,'Compras Entradas'!$F$5:$F$504))</f>
        <v/>
      </c>
      <c r="I96" s="11" t="str">
        <f>IF(B96="","",SUMIF('Ventas Salidas'!$D$5:$D$504,B96,'Ventas Salidas'!$F$5:$F$504))</f>
        <v/>
      </c>
      <c r="J96" s="11" t="str">
        <f t="shared" si="3"/>
        <v/>
      </c>
      <c r="K96" s="10" t="str">
        <f t="shared" si="4"/>
        <v/>
      </c>
      <c r="L96" s="10" t="str">
        <f t="shared" si="5"/>
        <v/>
      </c>
      <c r="M96" s="8"/>
      <c r="N96" s="8" t="str">
        <f>IF(B96="","",IF(OR(K96="Bajo stock",K96="Sin stock"),COUNTIFS($K$5:$K96,"Bajo stock")+COUNTIFS($K$5:$K96,"Sin stock"),""))</f>
        <v/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2:30" ht="21.75" customHeight="1" x14ac:dyDescent="0.25">
      <c r="B97" s="10" t="str">
        <f>IF(Productos!B97="","",Productos!B97)</f>
        <v/>
      </c>
      <c r="C97" s="10" t="str">
        <f>IF(Productos!B97="","",Productos!C97)</f>
        <v/>
      </c>
      <c r="D97" s="10" t="str">
        <f>IF(Productos!B97="","",Productos!D97)</f>
        <v/>
      </c>
      <c r="E97" s="10" t="str">
        <f>IF(Productos!B97="","",Productos!E97)</f>
        <v/>
      </c>
      <c r="F97" s="11" t="str">
        <f>IF(Productos!B97="","",Productos!F97)</f>
        <v/>
      </c>
      <c r="G97" s="11" t="str">
        <f>IF(Productos!B97="","",Productos!G97)</f>
        <v/>
      </c>
      <c r="H97" s="11" t="str">
        <f>IF(B97="","",SUMIF('Compras Entradas'!$D$5:$D$504,B97,'Compras Entradas'!$F$5:$F$504))</f>
        <v/>
      </c>
      <c r="I97" s="11" t="str">
        <f>IF(B97="","",SUMIF('Ventas Salidas'!$D$5:$D$504,B97,'Ventas Salidas'!$F$5:$F$504))</f>
        <v/>
      </c>
      <c r="J97" s="11" t="str">
        <f t="shared" si="3"/>
        <v/>
      </c>
      <c r="K97" s="10" t="str">
        <f t="shared" si="4"/>
        <v/>
      </c>
      <c r="L97" s="10" t="str">
        <f t="shared" si="5"/>
        <v/>
      </c>
      <c r="M97" s="8"/>
      <c r="N97" s="8" t="str">
        <f>IF(B97="","",IF(OR(K97="Bajo stock",K97="Sin stock"),COUNTIFS($K$5:$K97,"Bajo stock")+COUNTIFS($K$5:$K97,"Sin stock"),""))</f>
        <v/>
      </c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2:30" ht="21.75" customHeight="1" x14ac:dyDescent="0.25">
      <c r="B98" s="10" t="str">
        <f>IF(Productos!B98="","",Productos!B98)</f>
        <v/>
      </c>
      <c r="C98" s="10" t="str">
        <f>IF(Productos!B98="","",Productos!C98)</f>
        <v/>
      </c>
      <c r="D98" s="10" t="str">
        <f>IF(Productos!B98="","",Productos!D98)</f>
        <v/>
      </c>
      <c r="E98" s="10" t="str">
        <f>IF(Productos!B98="","",Productos!E98)</f>
        <v/>
      </c>
      <c r="F98" s="11" t="str">
        <f>IF(Productos!B98="","",Productos!F98)</f>
        <v/>
      </c>
      <c r="G98" s="11" t="str">
        <f>IF(Productos!B98="","",Productos!G98)</f>
        <v/>
      </c>
      <c r="H98" s="11" t="str">
        <f>IF(B98="","",SUMIF('Compras Entradas'!$D$5:$D$504,B98,'Compras Entradas'!$F$5:$F$504))</f>
        <v/>
      </c>
      <c r="I98" s="11" t="str">
        <f>IF(B98="","",SUMIF('Ventas Salidas'!$D$5:$D$504,B98,'Ventas Salidas'!$F$5:$F$504))</f>
        <v/>
      </c>
      <c r="J98" s="11" t="str">
        <f t="shared" si="3"/>
        <v/>
      </c>
      <c r="K98" s="10" t="str">
        <f t="shared" si="4"/>
        <v/>
      </c>
      <c r="L98" s="10" t="str">
        <f t="shared" si="5"/>
        <v/>
      </c>
      <c r="M98" s="8"/>
      <c r="N98" s="8" t="str">
        <f>IF(B98="","",IF(OR(K98="Bajo stock",K98="Sin stock"),COUNTIFS($K$5:$K98,"Bajo stock")+COUNTIFS($K$5:$K98,"Sin stock"),""))</f>
        <v/>
      </c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2:30" ht="21.75" customHeight="1" x14ac:dyDescent="0.25">
      <c r="B99" s="10" t="str">
        <f>IF(Productos!B99="","",Productos!B99)</f>
        <v/>
      </c>
      <c r="C99" s="10" t="str">
        <f>IF(Productos!B99="","",Productos!C99)</f>
        <v/>
      </c>
      <c r="D99" s="10" t="str">
        <f>IF(Productos!B99="","",Productos!D99)</f>
        <v/>
      </c>
      <c r="E99" s="10" t="str">
        <f>IF(Productos!B99="","",Productos!E99)</f>
        <v/>
      </c>
      <c r="F99" s="11" t="str">
        <f>IF(Productos!B99="","",Productos!F99)</f>
        <v/>
      </c>
      <c r="G99" s="11" t="str">
        <f>IF(Productos!B99="","",Productos!G99)</f>
        <v/>
      </c>
      <c r="H99" s="11" t="str">
        <f>IF(B99="","",SUMIF('Compras Entradas'!$D$5:$D$504,B99,'Compras Entradas'!$F$5:$F$504))</f>
        <v/>
      </c>
      <c r="I99" s="11" t="str">
        <f>IF(B99="","",SUMIF('Ventas Salidas'!$D$5:$D$504,B99,'Ventas Salidas'!$F$5:$F$504))</f>
        <v/>
      </c>
      <c r="J99" s="11" t="str">
        <f t="shared" si="3"/>
        <v/>
      </c>
      <c r="K99" s="10" t="str">
        <f t="shared" si="4"/>
        <v/>
      </c>
      <c r="L99" s="10" t="str">
        <f t="shared" si="5"/>
        <v/>
      </c>
      <c r="M99" s="8"/>
      <c r="N99" s="8" t="str">
        <f>IF(B99="","",IF(OR(K99="Bajo stock",K99="Sin stock"),COUNTIFS($K$5:$K99,"Bajo stock")+COUNTIFS($K$5:$K99,"Sin stock"),""))</f>
        <v/>
      </c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2:30" ht="21.75" customHeight="1" x14ac:dyDescent="0.25">
      <c r="B100" s="10" t="str">
        <f>IF(Productos!B100="","",Productos!B100)</f>
        <v/>
      </c>
      <c r="C100" s="10" t="str">
        <f>IF(Productos!B100="","",Productos!C100)</f>
        <v/>
      </c>
      <c r="D100" s="10" t="str">
        <f>IF(Productos!B100="","",Productos!D100)</f>
        <v/>
      </c>
      <c r="E100" s="10" t="str">
        <f>IF(Productos!B100="","",Productos!E100)</f>
        <v/>
      </c>
      <c r="F100" s="11" t="str">
        <f>IF(Productos!B100="","",Productos!F100)</f>
        <v/>
      </c>
      <c r="G100" s="11" t="str">
        <f>IF(Productos!B100="","",Productos!G100)</f>
        <v/>
      </c>
      <c r="H100" s="11" t="str">
        <f>IF(B100="","",SUMIF('Compras Entradas'!$D$5:$D$504,B100,'Compras Entradas'!$F$5:$F$504))</f>
        <v/>
      </c>
      <c r="I100" s="11" t="str">
        <f>IF(B100="","",SUMIF('Ventas Salidas'!$D$5:$D$504,B100,'Ventas Salidas'!$F$5:$F$504))</f>
        <v/>
      </c>
      <c r="J100" s="11" t="str">
        <f t="shared" si="3"/>
        <v/>
      </c>
      <c r="K100" s="10" t="str">
        <f t="shared" si="4"/>
        <v/>
      </c>
      <c r="L100" s="10" t="str">
        <f t="shared" si="5"/>
        <v/>
      </c>
      <c r="M100" s="8"/>
      <c r="N100" s="8" t="str">
        <f>IF(B100="","",IF(OR(K100="Bajo stock",K100="Sin stock"),COUNTIFS($K$5:$K100,"Bajo stock")+COUNTIFS($K$5:$K100,"Sin stock"),""))</f>
        <v/>
      </c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2:30" ht="21.75" customHeight="1" x14ac:dyDescent="0.25">
      <c r="B101" s="10" t="str">
        <f>IF(Productos!B101="","",Productos!B101)</f>
        <v/>
      </c>
      <c r="C101" s="10" t="str">
        <f>IF(Productos!B101="","",Productos!C101)</f>
        <v/>
      </c>
      <c r="D101" s="10" t="str">
        <f>IF(Productos!B101="","",Productos!D101)</f>
        <v/>
      </c>
      <c r="E101" s="10" t="str">
        <f>IF(Productos!B101="","",Productos!E101)</f>
        <v/>
      </c>
      <c r="F101" s="11" t="str">
        <f>IF(Productos!B101="","",Productos!F101)</f>
        <v/>
      </c>
      <c r="G101" s="11" t="str">
        <f>IF(Productos!B101="","",Productos!G101)</f>
        <v/>
      </c>
      <c r="H101" s="11" t="str">
        <f>IF(B101="","",SUMIF('Compras Entradas'!$D$5:$D$504,B101,'Compras Entradas'!$F$5:$F$504))</f>
        <v/>
      </c>
      <c r="I101" s="11" t="str">
        <f>IF(B101="","",SUMIF('Ventas Salidas'!$D$5:$D$504,B101,'Ventas Salidas'!$F$5:$F$504))</f>
        <v/>
      </c>
      <c r="J101" s="11" t="str">
        <f t="shared" si="3"/>
        <v/>
      </c>
      <c r="K101" s="10" t="str">
        <f t="shared" si="4"/>
        <v/>
      </c>
      <c r="L101" s="10" t="str">
        <f t="shared" si="5"/>
        <v/>
      </c>
      <c r="M101" s="8"/>
      <c r="N101" s="8" t="str">
        <f>IF(B101="","",IF(OR(K101="Bajo stock",K101="Sin stock"),COUNTIFS($K$5:$K101,"Bajo stock")+COUNTIFS($K$5:$K101,"Sin stock"),""))</f>
        <v/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2:30" ht="21.75" customHeight="1" x14ac:dyDescent="0.25">
      <c r="B102" s="10" t="str">
        <f>IF(Productos!B102="","",Productos!B102)</f>
        <v/>
      </c>
      <c r="C102" s="10" t="str">
        <f>IF(Productos!B102="","",Productos!C102)</f>
        <v/>
      </c>
      <c r="D102" s="10" t="str">
        <f>IF(Productos!B102="","",Productos!D102)</f>
        <v/>
      </c>
      <c r="E102" s="10" t="str">
        <f>IF(Productos!B102="","",Productos!E102)</f>
        <v/>
      </c>
      <c r="F102" s="11" t="str">
        <f>IF(Productos!B102="","",Productos!F102)</f>
        <v/>
      </c>
      <c r="G102" s="11" t="str">
        <f>IF(Productos!B102="","",Productos!G102)</f>
        <v/>
      </c>
      <c r="H102" s="11" t="str">
        <f>IF(B102="","",SUMIF('Compras Entradas'!$D$5:$D$504,B102,'Compras Entradas'!$F$5:$F$504))</f>
        <v/>
      </c>
      <c r="I102" s="11" t="str">
        <f>IF(B102="","",SUMIF('Ventas Salidas'!$D$5:$D$504,B102,'Ventas Salidas'!$F$5:$F$504))</f>
        <v/>
      </c>
      <c r="J102" s="11" t="str">
        <f t="shared" si="3"/>
        <v/>
      </c>
      <c r="K102" s="10" t="str">
        <f t="shared" si="4"/>
        <v/>
      </c>
      <c r="L102" s="10" t="str">
        <f t="shared" si="5"/>
        <v/>
      </c>
      <c r="M102" s="8"/>
      <c r="N102" s="8" t="str">
        <f>IF(B102="","",IF(OR(K102="Bajo stock",K102="Sin stock"),COUNTIFS($K$5:$K102,"Bajo stock")+COUNTIFS($K$5:$K102,"Sin stock"),""))</f>
        <v/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2:30" ht="21.75" customHeight="1" x14ac:dyDescent="0.25">
      <c r="B103" s="10" t="str">
        <f>IF(Productos!B103="","",Productos!B103)</f>
        <v/>
      </c>
      <c r="C103" s="10" t="str">
        <f>IF(Productos!B103="","",Productos!C103)</f>
        <v/>
      </c>
      <c r="D103" s="10" t="str">
        <f>IF(Productos!B103="","",Productos!D103)</f>
        <v/>
      </c>
      <c r="E103" s="10" t="str">
        <f>IF(Productos!B103="","",Productos!E103)</f>
        <v/>
      </c>
      <c r="F103" s="11" t="str">
        <f>IF(Productos!B103="","",Productos!F103)</f>
        <v/>
      </c>
      <c r="G103" s="11" t="str">
        <f>IF(Productos!B103="","",Productos!G103)</f>
        <v/>
      </c>
      <c r="H103" s="11" t="str">
        <f>IF(B103="","",SUMIF('Compras Entradas'!$D$5:$D$504,B103,'Compras Entradas'!$F$5:$F$504))</f>
        <v/>
      </c>
      <c r="I103" s="11" t="str">
        <f>IF(B103="","",SUMIF('Ventas Salidas'!$D$5:$D$504,B103,'Ventas Salidas'!$F$5:$F$504))</f>
        <v/>
      </c>
      <c r="J103" s="11" t="str">
        <f t="shared" si="3"/>
        <v/>
      </c>
      <c r="K103" s="10" t="str">
        <f t="shared" si="4"/>
        <v/>
      </c>
      <c r="L103" s="10" t="str">
        <f t="shared" si="5"/>
        <v/>
      </c>
      <c r="M103" s="8"/>
      <c r="N103" s="8" t="str">
        <f>IF(B103="","",IF(OR(K103="Bajo stock",K103="Sin stock"),COUNTIFS($K$5:$K103,"Bajo stock")+COUNTIFS($K$5:$K103,"Sin stock"),""))</f>
        <v/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2:30" ht="21.75" customHeight="1" x14ac:dyDescent="0.25">
      <c r="B104" s="10" t="str">
        <f>IF(Productos!B104="","",Productos!B104)</f>
        <v/>
      </c>
      <c r="C104" s="10" t="str">
        <f>IF(Productos!B104="","",Productos!C104)</f>
        <v/>
      </c>
      <c r="D104" s="10" t="str">
        <f>IF(Productos!B104="","",Productos!D104)</f>
        <v/>
      </c>
      <c r="E104" s="10" t="str">
        <f>IF(Productos!B104="","",Productos!E104)</f>
        <v/>
      </c>
      <c r="F104" s="11" t="str">
        <f>IF(Productos!B104="","",Productos!F104)</f>
        <v/>
      </c>
      <c r="G104" s="11" t="str">
        <f>IF(Productos!B104="","",Productos!G104)</f>
        <v/>
      </c>
      <c r="H104" s="11" t="str">
        <f>IF(B104="","",SUMIF('Compras Entradas'!$D$5:$D$504,B104,'Compras Entradas'!$F$5:$F$504))</f>
        <v/>
      </c>
      <c r="I104" s="11" t="str">
        <f>IF(B104="","",SUMIF('Ventas Salidas'!$D$5:$D$504,B104,'Ventas Salidas'!$F$5:$F$504))</f>
        <v/>
      </c>
      <c r="J104" s="11" t="str">
        <f t="shared" si="3"/>
        <v/>
      </c>
      <c r="K104" s="10" t="str">
        <f t="shared" si="4"/>
        <v/>
      </c>
      <c r="L104" s="10" t="str">
        <f t="shared" si="5"/>
        <v/>
      </c>
      <c r="M104" s="8"/>
      <c r="N104" s="8" t="str">
        <f>IF(B104="","",IF(OR(K104="Bajo stock",K104="Sin stock"),COUNTIFS($K$5:$K104,"Bajo stock")+COUNTIFS($K$5:$K104,"Sin stock"),""))</f>
        <v/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2:30" ht="21.75" customHeight="1" x14ac:dyDescent="0.25">
      <c r="B105" s="10" t="str">
        <f>IF(Productos!B105="","",Productos!B105)</f>
        <v/>
      </c>
      <c r="C105" s="10" t="str">
        <f>IF(Productos!B105="","",Productos!C105)</f>
        <v/>
      </c>
      <c r="D105" s="10" t="str">
        <f>IF(Productos!B105="","",Productos!D105)</f>
        <v/>
      </c>
      <c r="E105" s="10" t="str">
        <f>IF(Productos!B105="","",Productos!E105)</f>
        <v/>
      </c>
      <c r="F105" s="11" t="str">
        <f>IF(Productos!B105="","",Productos!F105)</f>
        <v/>
      </c>
      <c r="G105" s="11" t="str">
        <f>IF(Productos!B105="","",Productos!G105)</f>
        <v/>
      </c>
      <c r="H105" s="11" t="str">
        <f>IF(B105="","",SUMIF('Compras Entradas'!$D$5:$D$504,B105,'Compras Entradas'!$F$5:$F$504))</f>
        <v/>
      </c>
      <c r="I105" s="11" t="str">
        <f>IF(B105="","",SUMIF('Ventas Salidas'!$D$5:$D$504,B105,'Ventas Salidas'!$F$5:$F$504))</f>
        <v/>
      </c>
      <c r="J105" s="11" t="str">
        <f t="shared" si="3"/>
        <v/>
      </c>
      <c r="K105" s="10" t="str">
        <f t="shared" si="4"/>
        <v/>
      </c>
      <c r="L105" s="10" t="str">
        <f t="shared" si="5"/>
        <v/>
      </c>
      <c r="M105" s="8"/>
      <c r="N105" s="8" t="str">
        <f>IF(B105="","",IF(OR(K105="Bajo stock",K105="Sin stock"),COUNTIFS($K$5:$K105,"Bajo stock")+COUNTIFS($K$5:$K105,"Sin stock"),""))</f>
        <v/>
      </c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2:30" ht="21.75" customHeight="1" x14ac:dyDescent="0.25">
      <c r="B106" s="10" t="str">
        <f>IF(Productos!B106="","",Productos!B106)</f>
        <v/>
      </c>
      <c r="C106" s="10" t="str">
        <f>IF(Productos!B106="","",Productos!C106)</f>
        <v/>
      </c>
      <c r="D106" s="10" t="str">
        <f>IF(Productos!B106="","",Productos!D106)</f>
        <v/>
      </c>
      <c r="E106" s="10" t="str">
        <f>IF(Productos!B106="","",Productos!E106)</f>
        <v/>
      </c>
      <c r="F106" s="11" t="str">
        <f>IF(Productos!B106="","",Productos!F106)</f>
        <v/>
      </c>
      <c r="G106" s="11" t="str">
        <f>IF(Productos!B106="","",Productos!G106)</f>
        <v/>
      </c>
      <c r="H106" s="11" t="str">
        <f>IF(B106="","",SUMIF('Compras Entradas'!$D$5:$D$504,B106,'Compras Entradas'!$F$5:$F$504))</f>
        <v/>
      </c>
      <c r="I106" s="11" t="str">
        <f>IF(B106="","",SUMIF('Ventas Salidas'!$D$5:$D$504,B106,'Ventas Salidas'!$F$5:$F$504))</f>
        <v/>
      </c>
      <c r="J106" s="11" t="str">
        <f t="shared" si="3"/>
        <v/>
      </c>
      <c r="K106" s="10" t="str">
        <f t="shared" si="4"/>
        <v/>
      </c>
      <c r="L106" s="10" t="str">
        <f t="shared" si="5"/>
        <v/>
      </c>
      <c r="M106" s="8"/>
      <c r="N106" s="8" t="str">
        <f>IF(B106="","",IF(OR(K106="Bajo stock",K106="Sin stock"),COUNTIFS($K$5:$K106,"Bajo stock")+COUNTIFS($K$5:$K106,"Sin stock"),""))</f>
        <v/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2:30" ht="21.75" customHeight="1" x14ac:dyDescent="0.25">
      <c r="B107" s="10" t="str">
        <f>IF(Productos!B107="","",Productos!B107)</f>
        <v/>
      </c>
      <c r="C107" s="10" t="str">
        <f>IF(Productos!B107="","",Productos!C107)</f>
        <v/>
      </c>
      <c r="D107" s="10" t="str">
        <f>IF(Productos!B107="","",Productos!D107)</f>
        <v/>
      </c>
      <c r="E107" s="10" t="str">
        <f>IF(Productos!B107="","",Productos!E107)</f>
        <v/>
      </c>
      <c r="F107" s="11" t="str">
        <f>IF(Productos!B107="","",Productos!F107)</f>
        <v/>
      </c>
      <c r="G107" s="11" t="str">
        <f>IF(Productos!B107="","",Productos!G107)</f>
        <v/>
      </c>
      <c r="H107" s="11" t="str">
        <f>IF(B107="","",SUMIF('Compras Entradas'!$D$5:$D$504,B107,'Compras Entradas'!$F$5:$F$504))</f>
        <v/>
      </c>
      <c r="I107" s="11" t="str">
        <f>IF(B107="","",SUMIF('Ventas Salidas'!$D$5:$D$504,B107,'Ventas Salidas'!$F$5:$F$504))</f>
        <v/>
      </c>
      <c r="J107" s="11" t="str">
        <f t="shared" si="3"/>
        <v/>
      </c>
      <c r="K107" s="10" t="str">
        <f t="shared" si="4"/>
        <v/>
      </c>
      <c r="L107" s="10" t="str">
        <f t="shared" si="5"/>
        <v/>
      </c>
      <c r="M107" s="8"/>
      <c r="N107" s="8" t="str">
        <f>IF(B107="","",IF(OR(K107="Bajo stock",K107="Sin stock"),COUNTIFS($K$5:$K107,"Bajo stock")+COUNTIFS($K$5:$K107,"Sin stock"),""))</f>
        <v/>
      </c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2:30" ht="21.75" customHeight="1" x14ac:dyDescent="0.25">
      <c r="B108" s="10" t="str">
        <f>IF(Productos!B108="","",Productos!B108)</f>
        <v/>
      </c>
      <c r="C108" s="10" t="str">
        <f>IF(Productos!B108="","",Productos!C108)</f>
        <v/>
      </c>
      <c r="D108" s="10" t="str">
        <f>IF(Productos!B108="","",Productos!D108)</f>
        <v/>
      </c>
      <c r="E108" s="10" t="str">
        <f>IF(Productos!B108="","",Productos!E108)</f>
        <v/>
      </c>
      <c r="F108" s="11" t="str">
        <f>IF(Productos!B108="","",Productos!F108)</f>
        <v/>
      </c>
      <c r="G108" s="11" t="str">
        <f>IF(Productos!B108="","",Productos!G108)</f>
        <v/>
      </c>
      <c r="H108" s="11" t="str">
        <f>IF(B108="","",SUMIF('Compras Entradas'!$D$5:$D$504,B108,'Compras Entradas'!$F$5:$F$504))</f>
        <v/>
      </c>
      <c r="I108" s="11" t="str">
        <f>IF(B108="","",SUMIF('Ventas Salidas'!$D$5:$D$504,B108,'Ventas Salidas'!$F$5:$F$504))</f>
        <v/>
      </c>
      <c r="J108" s="11" t="str">
        <f t="shared" si="3"/>
        <v/>
      </c>
      <c r="K108" s="10" t="str">
        <f t="shared" si="4"/>
        <v/>
      </c>
      <c r="L108" s="10" t="str">
        <f t="shared" si="5"/>
        <v/>
      </c>
      <c r="M108" s="8"/>
      <c r="N108" s="8" t="str">
        <f>IF(B108="","",IF(OR(K108="Bajo stock",K108="Sin stock"),COUNTIFS($K$5:$K108,"Bajo stock")+COUNTIFS($K$5:$K108,"Sin stock"),""))</f>
        <v/>
      </c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2:30" ht="21.75" customHeight="1" x14ac:dyDescent="0.25">
      <c r="B109" s="10" t="str">
        <f>IF(Productos!B109="","",Productos!B109)</f>
        <v/>
      </c>
      <c r="C109" s="10" t="str">
        <f>IF(Productos!B109="","",Productos!C109)</f>
        <v/>
      </c>
      <c r="D109" s="10" t="str">
        <f>IF(Productos!B109="","",Productos!D109)</f>
        <v/>
      </c>
      <c r="E109" s="10" t="str">
        <f>IF(Productos!B109="","",Productos!E109)</f>
        <v/>
      </c>
      <c r="F109" s="11" t="str">
        <f>IF(Productos!B109="","",Productos!F109)</f>
        <v/>
      </c>
      <c r="G109" s="11" t="str">
        <f>IF(Productos!B109="","",Productos!G109)</f>
        <v/>
      </c>
      <c r="H109" s="11" t="str">
        <f>IF(B109="","",SUMIF('Compras Entradas'!$D$5:$D$504,B109,'Compras Entradas'!$F$5:$F$504))</f>
        <v/>
      </c>
      <c r="I109" s="11" t="str">
        <f>IF(B109="","",SUMIF('Ventas Salidas'!$D$5:$D$504,B109,'Ventas Salidas'!$F$5:$F$504))</f>
        <v/>
      </c>
      <c r="J109" s="11" t="str">
        <f t="shared" si="3"/>
        <v/>
      </c>
      <c r="K109" s="10" t="str">
        <f t="shared" si="4"/>
        <v/>
      </c>
      <c r="L109" s="10" t="str">
        <f t="shared" si="5"/>
        <v/>
      </c>
      <c r="M109" s="8"/>
      <c r="N109" s="8" t="str">
        <f>IF(B109="","",IF(OR(K109="Bajo stock",K109="Sin stock"),COUNTIFS($K$5:$K109,"Bajo stock")+COUNTIFS($K$5:$K109,"Sin stock"),""))</f>
        <v/>
      </c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2:30" ht="21.75" customHeight="1" x14ac:dyDescent="0.25">
      <c r="B110" s="10" t="str">
        <f>IF(Productos!B110="","",Productos!B110)</f>
        <v/>
      </c>
      <c r="C110" s="10" t="str">
        <f>IF(Productos!B110="","",Productos!C110)</f>
        <v/>
      </c>
      <c r="D110" s="10" t="str">
        <f>IF(Productos!B110="","",Productos!D110)</f>
        <v/>
      </c>
      <c r="E110" s="10" t="str">
        <f>IF(Productos!B110="","",Productos!E110)</f>
        <v/>
      </c>
      <c r="F110" s="11" t="str">
        <f>IF(Productos!B110="","",Productos!F110)</f>
        <v/>
      </c>
      <c r="G110" s="11" t="str">
        <f>IF(Productos!B110="","",Productos!G110)</f>
        <v/>
      </c>
      <c r="H110" s="11" t="str">
        <f>IF(B110="","",SUMIF('Compras Entradas'!$D$5:$D$504,B110,'Compras Entradas'!$F$5:$F$504))</f>
        <v/>
      </c>
      <c r="I110" s="11" t="str">
        <f>IF(B110="","",SUMIF('Ventas Salidas'!$D$5:$D$504,B110,'Ventas Salidas'!$F$5:$F$504))</f>
        <v/>
      </c>
      <c r="J110" s="11" t="str">
        <f t="shared" si="3"/>
        <v/>
      </c>
      <c r="K110" s="10" t="str">
        <f t="shared" si="4"/>
        <v/>
      </c>
      <c r="L110" s="10" t="str">
        <f t="shared" si="5"/>
        <v/>
      </c>
      <c r="M110" s="8"/>
      <c r="N110" s="8" t="str">
        <f>IF(B110="","",IF(OR(K110="Bajo stock",K110="Sin stock"),COUNTIFS($K$5:$K110,"Bajo stock")+COUNTIFS($K$5:$K110,"Sin stock"),""))</f>
        <v/>
      </c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2:30" ht="21.75" customHeight="1" x14ac:dyDescent="0.25">
      <c r="B111" s="10" t="str">
        <f>IF(Productos!B111="","",Productos!B111)</f>
        <v/>
      </c>
      <c r="C111" s="10" t="str">
        <f>IF(Productos!B111="","",Productos!C111)</f>
        <v/>
      </c>
      <c r="D111" s="10" t="str">
        <f>IF(Productos!B111="","",Productos!D111)</f>
        <v/>
      </c>
      <c r="E111" s="10" t="str">
        <f>IF(Productos!B111="","",Productos!E111)</f>
        <v/>
      </c>
      <c r="F111" s="11" t="str">
        <f>IF(Productos!B111="","",Productos!F111)</f>
        <v/>
      </c>
      <c r="G111" s="11" t="str">
        <f>IF(Productos!B111="","",Productos!G111)</f>
        <v/>
      </c>
      <c r="H111" s="11" t="str">
        <f>IF(B111="","",SUMIF('Compras Entradas'!$D$5:$D$504,B111,'Compras Entradas'!$F$5:$F$504))</f>
        <v/>
      </c>
      <c r="I111" s="11" t="str">
        <f>IF(B111="","",SUMIF('Ventas Salidas'!$D$5:$D$504,B111,'Ventas Salidas'!$F$5:$F$504))</f>
        <v/>
      </c>
      <c r="J111" s="11" t="str">
        <f t="shared" si="3"/>
        <v/>
      </c>
      <c r="K111" s="10" t="str">
        <f t="shared" si="4"/>
        <v/>
      </c>
      <c r="L111" s="10" t="str">
        <f t="shared" si="5"/>
        <v/>
      </c>
      <c r="M111" s="8"/>
      <c r="N111" s="8" t="str">
        <f>IF(B111="","",IF(OR(K111="Bajo stock",K111="Sin stock"),COUNTIFS($K$5:$K111,"Bajo stock")+COUNTIFS($K$5:$K111,"Sin stock"),""))</f>
        <v/>
      </c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2:30" ht="21.75" customHeight="1" x14ac:dyDescent="0.25">
      <c r="B112" s="10" t="str">
        <f>IF(Productos!B112="","",Productos!B112)</f>
        <v/>
      </c>
      <c r="C112" s="10" t="str">
        <f>IF(Productos!B112="","",Productos!C112)</f>
        <v/>
      </c>
      <c r="D112" s="10" t="str">
        <f>IF(Productos!B112="","",Productos!D112)</f>
        <v/>
      </c>
      <c r="E112" s="10" t="str">
        <f>IF(Productos!B112="","",Productos!E112)</f>
        <v/>
      </c>
      <c r="F112" s="11" t="str">
        <f>IF(Productos!B112="","",Productos!F112)</f>
        <v/>
      </c>
      <c r="G112" s="11" t="str">
        <f>IF(Productos!B112="","",Productos!G112)</f>
        <v/>
      </c>
      <c r="H112" s="11" t="str">
        <f>IF(B112="","",SUMIF('Compras Entradas'!$D$5:$D$504,B112,'Compras Entradas'!$F$5:$F$504))</f>
        <v/>
      </c>
      <c r="I112" s="11" t="str">
        <f>IF(B112="","",SUMIF('Ventas Salidas'!$D$5:$D$504,B112,'Ventas Salidas'!$F$5:$F$504))</f>
        <v/>
      </c>
      <c r="J112" s="11" t="str">
        <f t="shared" si="3"/>
        <v/>
      </c>
      <c r="K112" s="10" t="str">
        <f t="shared" si="4"/>
        <v/>
      </c>
      <c r="L112" s="10" t="str">
        <f t="shared" si="5"/>
        <v/>
      </c>
      <c r="M112" s="8"/>
      <c r="N112" s="8" t="str">
        <f>IF(B112="","",IF(OR(K112="Bajo stock",K112="Sin stock"),COUNTIFS($K$5:$K112,"Bajo stock")+COUNTIFS($K$5:$K112,"Sin stock"),""))</f>
        <v/>
      </c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2:30" ht="21.75" customHeight="1" x14ac:dyDescent="0.25">
      <c r="B113" s="10" t="str">
        <f>IF(Productos!B113="","",Productos!B113)</f>
        <v/>
      </c>
      <c r="C113" s="10" t="str">
        <f>IF(Productos!B113="","",Productos!C113)</f>
        <v/>
      </c>
      <c r="D113" s="10" t="str">
        <f>IF(Productos!B113="","",Productos!D113)</f>
        <v/>
      </c>
      <c r="E113" s="10" t="str">
        <f>IF(Productos!B113="","",Productos!E113)</f>
        <v/>
      </c>
      <c r="F113" s="11" t="str">
        <f>IF(Productos!B113="","",Productos!F113)</f>
        <v/>
      </c>
      <c r="G113" s="11" t="str">
        <f>IF(Productos!B113="","",Productos!G113)</f>
        <v/>
      </c>
      <c r="H113" s="11" t="str">
        <f>IF(B113="","",SUMIF('Compras Entradas'!$D$5:$D$504,B113,'Compras Entradas'!$F$5:$F$504))</f>
        <v/>
      </c>
      <c r="I113" s="11" t="str">
        <f>IF(B113="","",SUMIF('Ventas Salidas'!$D$5:$D$504,B113,'Ventas Salidas'!$F$5:$F$504))</f>
        <v/>
      </c>
      <c r="J113" s="11" t="str">
        <f t="shared" si="3"/>
        <v/>
      </c>
      <c r="K113" s="10" t="str">
        <f t="shared" si="4"/>
        <v/>
      </c>
      <c r="L113" s="10" t="str">
        <f t="shared" si="5"/>
        <v/>
      </c>
      <c r="M113" s="8"/>
      <c r="N113" s="8" t="str">
        <f>IF(B113="","",IF(OR(K113="Bajo stock",K113="Sin stock"),COUNTIFS($K$5:$K113,"Bajo stock")+COUNTIFS($K$5:$K113,"Sin stock"),""))</f>
        <v/>
      </c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2:30" ht="21.75" customHeight="1" x14ac:dyDescent="0.25">
      <c r="B114" s="10" t="str">
        <f>IF(Productos!B114="","",Productos!B114)</f>
        <v/>
      </c>
      <c r="C114" s="10" t="str">
        <f>IF(Productos!B114="","",Productos!C114)</f>
        <v/>
      </c>
      <c r="D114" s="10" t="str">
        <f>IF(Productos!B114="","",Productos!D114)</f>
        <v/>
      </c>
      <c r="E114" s="10" t="str">
        <f>IF(Productos!B114="","",Productos!E114)</f>
        <v/>
      </c>
      <c r="F114" s="11" t="str">
        <f>IF(Productos!B114="","",Productos!F114)</f>
        <v/>
      </c>
      <c r="G114" s="11" t="str">
        <f>IF(Productos!B114="","",Productos!G114)</f>
        <v/>
      </c>
      <c r="H114" s="11" t="str">
        <f>IF(B114="","",SUMIF('Compras Entradas'!$D$5:$D$504,B114,'Compras Entradas'!$F$5:$F$504))</f>
        <v/>
      </c>
      <c r="I114" s="11" t="str">
        <f>IF(B114="","",SUMIF('Ventas Salidas'!$D$5:$D$504,B114,'Ventas Salidas'!$F$5:$F$504))</f>
        <v/>
      </c>
      <c r="J114" s="11" t="str">
        <f t="shared" si="3"/>
        <v/>
      </c>
      <c r="K114" s="10" t="str">
        <f t="shared" si="4"/>
        <v/>
      </c>
      <c r="L114" s="10" t="str">
        <f t="shared" si="5"/>
        <v/>
      </c>
      <c r="M114" s="8"/>
      <c r="N114" s="8" t="str">
        <f>IF(B114="","",IF(OR(K114="Bajo stock",K114="Sin stock"),COUNTIFS($K$5:$K114,"Bajo stock")+COUNTIFS($K$5:$K114,"Sin stock"),""))</f>
        <v/>
      </c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2:30" ht="21.75" customHeight="1" x14ac:dyDescent="0.25">
      <c r="B115" s="10" t="str">
        <f>IF(Productos!B115="","",Productos!B115)</f>
        <v/>
      </c>
      <c r="C115" s="10" t="str">
        <f>IF(Productos!B115="","",Productos!C115)</f>
        <v/>
      </c>
      <c r="D115" s="10" t="str">
        <f>IF(Productos!B115="","",Productos!D115)</f>
        <v/>
      </c>
      <c r="E115" s="10" t="str">
        <f>IF(Productos!B115="","",Productos!E115)</f>
        <v/>
      </c>
      <c r="F115" s="11" t="str">
        <f>IF(Productos!B115="","",Productos!F115)</f>
        <v/>
      </c>
      <c r="G115" s="11" t="str">
        <f>IF(Productos!B115="","",Productos!G115)</f>
        <v/>
      </c>
      <c r="H115" s="11" t="str">
        <f>IF(B115="","",SUMIF('Compras Entradas'!$D$5:$D$504,B115,'Compras Entradas'!$F$5:$F$504))</f>
        <v/>
      </c>
      <c r="I115" s="11" t="str">
        <f>IF(B115="","",SUMIF('Ventas Salidas'!$D$5:$D$504,B115,'Ventas Salidas'!$F$5:$F$504))</f>
        <v/>
      </c>
      <c r="J115" s="11" t="str">
        <f t="shared" si="3"/>
        <v/>
      </c>
      <c r="K115" s="10" t="str">
        <f t="shared" si="4"/>
        <v/>
      </c>
      <c r="L115" s="10" t="str">
        <f t="shared" si="5"/>
        <v/>
      </c>
      <c r="M115" s="8"/>
      <c r="N115" s="8" t="str">
        <f>IF(B115="","",IF(OR(K115="Bajo stock",K115="Sin stock"),COUNTIFS($K$5:$K115,"Bajo stock")+COUNTIFS($K$5:$K115,"Sin stock"),""))</f>
        <v/>
      </c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2:30" ht="21.75" customHeight="1" x14ac:dyDescent="0.25">
      <c r="B116" s="10" t="str">
        <f>IF(Productos!B116="","",Productos!B116)</f>
        <v/>
      </c>
      <c r="C116" s="10" t="str">
        <f>IF(Productos!B116="","",Productos!C116)</f>
        <v/>
      </c>
      <c r="D116" s="10" t="str">
        <f>IF(Productos!B116="","",Productos!D116)</f>
        <v/>
      </c>
      <c r="E116" s="10" t="str">
        <f>IF(Productos!B116="","",Productos!E116)</f>
        <v/>
      </c>
      <c r="F116" s="11" t="str">
        <f>IF(Productos!B116="","",Productos!F116)</f>
        <v/>
      </c>
      <c r="G116" s="11" t="str">
        <f>IF(Productos!B116="","",Productos!G116)</f>
        <v/>
      </c>
      <c r="H116" s="11" t="str">
        <f>IF(B116="","",SUMIF('Compras Entradas'!$D$5:$D$504,B116,'Compras Entradas'!$F$5:$F$504))</f>
        <v/>
      </c>
      <c r="I116" s="11" t="str">
        <f>IF(B116="","",SUMIF('Ventas Salidas'!$D$5:$D$504,B116,'Ventas Salidas'!$F$5:$F$504))</f>
        <v/>
      </c>
      <c r="J116" s="11" t="str">
        <f t="shared" si="3"/>
        <v/>
      </c>
      <c r="K116" s="10" t="str">
        <f t="shared" si="4"/>
        <v/>
      </c>
      <c r="L116" s="10" t="str">
        <f t="shared" si="5"/>
        <v/>
      </c>
      <c r="M116" s="8"/>
      <c r="N116" s="8" t="str">
        <f>IF(B116="","",IF(OR(K116="Bajo stock",K116="Sin stock"),COUNTIFS($K$5:$K116,"Bajo stock")+COUNTIFS($K$5:$K116,"Sin stock"),""))</f>
        <v/>
      </c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2:30" ht="21.75" customHeight="1" x14ac:dyDescent="0.25">
      <c r="B117" s="10" t="str">
        <f>IF(Productos!B117="","",Productos!B117)</f>
        <v/>
      </c>
      <c r="C117" s="10" t="str">
        <f>IF(Productos!B117="","",Productos!C117)</f>
        <v/>
      </c>
      <c r="D117" s="10" t="str">
        <f>IF(Productos!B117="","",Productos!D117)</f>
        <v/>
      </c>
      <c r="E117" s="10" t="str">
        <f>IF(Productos!B117="","",Productos!E117)</f>
        <v/>
      </c>
      <c r="F117" s="11" t="str">
        <f>IF(Productos!B117="","",Productos!F117)</f>
        <v/>
      </c>
      <c r="G117" s="11" t="str">
        <f>IF(Productos!B117="","",Productos!G117)</f>
        <v/>
      </c>
      <c r="H117" s="11" t="str">
        <f>IF(B117="","",SUMIF('Compras Entradas'!$D$5:$D$504,B117,'Compras Entradas'!$F$5:$F$504))</f>
        <v/>
      </c>
      <c r="I117" s="11" t="str">
        <f>IF(B117="","",SUMIF('Ventas Salidas'!$D$5:$D$504,B117,'Ventas Salidas'!$F$5:$F$504))</f>
        <v/>
      </c>
      <c r="J117" s="11" t="str">
        <f t="shared" si="3"/>
        <v/>
      </c>
      <c r="K117" s="10" t="str">
        <f t="shared" si="4"/>
        <v/>
      </c>
      <c r="L117" s="10" t="str">
        <f t="shared" si="5"/>
        <v/>
      </c>
      <c r="M117" s="8"/>
      <c r="N117" s="8" t="str">
        <f>IF(B117="","",IF(OR(K117="Bajo stock",K117="Sin stock"),COUNTIFS($K$5:$K117,"Bajo stock")+COUNTIFS($K$5:$K117,"Sin stock"),""))</f>
        <v/>
      </c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2:30" ht="21.75" customHeight="1" x14ac:dyDescent="0.25">
      <c r="B118" s="10" t="str">
        <f>IF(Productos!B118="","",Productos!B118)</f>
        <v/>
      </c>
      <c r="C118" s="10" t="str">
        <f>IF(Productos!B118="","",Productos!C118)</f>
        <v/>
      </c>
      <c r="D118" s="10" t="str">
        <f>IF(Productos!B118="","",Productos!D118)</f>
        <v/>
      </c>
      <c r="E118" s="10" t="str">
        <f>IF(Productos!B118="","",Productos!E118)</f>
        <v/>
      </c>
      <c r="F118" s="11" t="str">
        <f>IF(Productos!B118="","",Productos!F118)</f>
        <v/>
      </c>
      <c r="G118" s="11" t="str">
        <f>IF(Productos!B118="","",Productos!G118)</f>
        <v/>
      </c>
      <c r="H118" s="11" t="str">
        <f>IF(B118="","",SUMIF('Compras Entradas'!$D$5:$D$504,B118,'Compras Entradas'!$F$5:$F$504))</f>
        <v/>
      </c>
      <c r="I118" s="11" t="str">
        <f>IF(B118="","",SUMIF('Ventas Salidas'!$D$5:$D$504,B118,'Ventas Salidas'!$F$5:$F$504))</f>
        <v/>
      </c>
      <c r="J118" s="11" t="str">
        <f t="shared" si="3"/>
        <v/>
      </c>
      <c r="K118" s="10" t="str">
        <f t="shared" si="4"/>
        <v/>
      </c>
      <c r="L118" s="10" t="str">
        <f t="shared" si="5"/>
        <v/>
      </c>
      <c r="M118" s="8"/>
      <c r="N118" s="8" t="str">
        <f>IF(B118="","",IF(OR(K118="Bajo stock",K118="Sin stock"),COUNTIFS($K$5:$K118,"Bajo stock")+COUNTIFS($K$5:$K118,"Sin stock"),""))</f>
        <v/>
      </c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2:30" ht="21.75" customHeight="1" x14ac:dyDescent="0.25">
      <c r="B119" s="10" t="str">
        <f>IF(Productos!B119="","",Productos!B119)</f>
        <v/>
      </c>
      <c r="C119" s="10" t="str">
        <f>IF(Productos!B119="","",Productos!C119)</f>
        <v/>
      </c>
      <c r="D119" s="10" t="str">
        <f>IF(Productos!B119="","",Productos!D119)</f>
        <v/>
      </c>
      <c r="E119" s="10" t="str">
        <f>IF(Productos!B119="","",Productos!E119)</f>
        <v/>
      </c>
      <c r="F119" s="11" t="str">
        <f>IF(Productos!B119="","",Productos!F119)</f>
        <v/>
      </c>
      <c r="G119" s="11" t="str">
        <f>IF(Productos!B119="","",Productos!G119)</f>
        <v/>
      </c>
      <c r="H119" s="11" t="str">
        <f>IF(B119="","",SUMIF('Compras Entradas'!$D$5:$D$504,B119,'Compras Entradas'!$F$5:$F$504))</f>
        <v/>
      </c>
      <c r="I119" s="11" t="str">
        <f>IF(B119="","",SUMIF('Ventas Salidas'!$D$5:$D$504,B119,'Ventas Salidas'!$F$5:$F$504))</f>
        <v/>
      </c>
      <c r="J119" s="11" t="str">
        <f t="shared" si="3"/>
        <v/>
      </c>
      <c r="K119" s="10" t="str">
        <f t="shared" si="4"/>
        <v/>
      </c>
      <c r="L119" s="10" t="str">
        <f t="shared" si="5"/>
        <v/>
      </c>
      <c r="M119" s="8"/>
      <c r="N119" s="8" t="str">
        <f>IF(B119="","",IF(OR(K119="Bajo stock",K119="Sin stock"),COUNTIFS($K$5:$K119,"Bajo stock")+COUNTIFS($K$5:$K119,"Sin stock"),""))</f>
        <v/>
      </c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2:30" ht="21.75" customHeight="1" x14ac:dyDescent="0.25">
      <c r="B120" s="10" t="str">
        <f>IF(Productos!B120="","",Productos!B120)</f>
        <v/>
      </c>
      <c r="C120" s="10" t="str">
        <f>IF(Productos!B120="","",Productos!C120)</f>
        <v/>
      </c>
      <c r="D120" s="10" t="str">
        <f>IF(Productos!B120="","",Productos!D120)</f>
        <v/>
      </c>
      <c r="E120" s="10" t="str">
        <f>IF(Productos!B120="","",Productos!E120)</f>
        <v/>
      </c>
      <c r="F120" s="11" t="str">
        <f>IF(Productos!B120="","",Productos!F120)</f>
        <v/>
      </c>
      <c r="G120" s="11" t="str">
        <f>IF(Productos!B120="","",Productos!G120)</f>
        <v/>
      </c>
      <c r="H120" s="11" t="str">
        <f>IF(B120="","",SUMIF('Compras Entradas'!$D$5:$D$504,B120,'Compras Entradas'!$F$5:$F$504))</f>
        <v/>
      </c>
      <c r="I120" s="11" t="str">
        <f>IF(B120="","",SUMIF('Ventas Salidas'!$D$5:$D$504,B120,'Ventas Salidas'!$F$5:$F$504))</f>
        <v/>
      </c>
      <c r="J120" s="11" t="str">
        <f t="shared" si="3"/>
        <v/>
      </c>
      <c r="K120" s="10" t="str">
        <f t="shared" si="4"/>
        <v/>
      </c>
      <c r="L120" s="10" t="str">
        <f t="shared" si="5"/>
        <v/>
      </c>
      <c r="M120" s="8"/>
      <c r="N120" s="8" t="str">
        <f>IF(B120="","",IF(OR(K120="Bajo stock",K120="Sin stock"),COUNTIFS($K$5:$K120,"Bajo stock")+COUNTIFS($K$5:$K120,"Sin stock"),""))</f>
        <v/>
      </c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2:30" ht="21.75" customHeight="1" x14ac:dyDescent="0.25">
      <c r="B121" s="10" t="str">
        <f>IF(Productos!B121="","",Productos!B121)</f>
        <v/>
      </c>
      <c r="C121" s="10" t="str">
        <f>IF(Productos!B121="","",Productos!C121)</f>
        <v/>
      </c>
      <c r="D121" s="10" t="str">
        <f>IF(Productos!B121="","",Productos!D121)</f>
        <v/>
      </c>
      <c r="E121" s="10" t="str">
        <f>IF(Productos!B121="","",Productos!E121)</f>
        <v/>
      </c>
      <c r="F121" s="11" t="str">
        <f>IF(Productos!B121="","",Productos!F121)</f>
        <v/>
      </c>
      <c r="G121" s="11" t="str">
        <f>IF(Productos!B121="","",Productos!G121)</f>
        <v/>
      </c>
      <c r="H121" s="11" t="str">
        <f>IF(B121="","",SUMIF('Compras Entradas'!$D$5:$D$504,B121,'Compras Entradas'!$F$5:$F$504))</f>
        <v/>
      </c>
      <c r="I121" s="11" t="str">
        <f>IF(B121="","",SUMIF('Ventas Salidas'!$D$5:$D$504,B121,'Ventas Salidas'!$F$5:$F$504))</f>
        <v/>
      </c>
      <c r="J121" s="11" t="str">
        <f t="shared" si="3"/>
        <v/>
      </c>
      <c r="K121" s="10" t="str">
        <f t="shared" si="4"/>
        <v/>
      </c>
      <c r="L121" s="10" t="str">
        <f t="shared" si="5"/>
        <v/>
      </c>
      <c r="M121" s="8"/>
      <c r="N121" s="8" t="str">
        <f>IF(B121="","",IF(OR(K121="Bajo stock",K121="Sin stock"),COUNTIFS($K$5:$K121,"Bajo stock")+COUNTIFS($K$5:$K121,"Sin stock"),""))</f>
        <v/>
      </c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2:30" ht="21.75" customHeight="1" x14ac:dyDescent="0.25">
      <c r="B122" s="10" t="str">
        <f>IF(Productos!B122="","",Productos!B122)</f>
        <v/>
      </c>
      <c r="C122" s="10" t="str">
        <f>IF(Productos!B122="","",Productos!C122)</f>
        <v/>
      </c>
      <c r="D122" s="10" t="str">
        <f>IF(Productos!B122="","",Productos!D122)</f>
        <v/>
      </c>
      <c r="E122" s="10" t="str">
        <f>IF(Productos!B122="","",Productos!E122)</f>
        <v/>
      </c>
      <c r="F122" s="11" t="str">
        <f>IF(Productos!B122="","",Productos!F122)</f>
        <v/>
      </c>
      <c r="G122" s="11" t="str">
        <f>IF(Productos!B122="","",Productos!G122)</f>
        <v/>
      </c>
      <c r="H122" s="11" t="str">
        <f>IF(B122="","",SUMIF('Compras Entradas'!$D$5:$D$504,B122,'Compras Entradas'!$F$5:$F$504))</f>
        <v/>
      </c>
      <c r="I122" s="11" t="str">
        <f>IF(B122="","",SUMIF('Ventas Salidas'!$D$5:$D$504,B122,'Ventas Salidas'!$F$5:$F$504))</f>
        <v/>
      </c>
      <c r="J122" s="11" t="str">
        <f t="shared" si="3"/>
        <v/>
      </c>
      <c r="K122" s="10" t="str">
        <f t="shared" si="4"/>
        <v/>
      </c>
      <c r="L122" s="10" t="str">
        <f t="shared" si="5"/>
        <v/>
      </c>
      <c r="M122" s="8"/>
      <c r="N122" s="8" t="str">
        <f>IF(B122="","",IF(OR(K122="Bajo stock",K122="Sin stock"),COUNTIFS($K$5:$K122,"Bajo stock")+COUNTIFS($K$5:$K122,"Sin stock"),""))</f>
        <v/>
      </c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2:30" ht="21.75" customHeight="1" x14ac:dyDescent="0.25">
      <c r="B123" s="10" t="str">
        <f>IF(Productos!B123="","",Productos!B123)</f>
        <v/>
      </c>
      <c r="C123" s="10" t="str">
        <f>IF(Productos!B123="","",Productos!C123)</f>
        <v/>
      </c>
      <c r="D123" s="10" t="str">
        <f>IF(Productos!B123="","",Productos!D123)</f>
        <v/>
      </c>
      <c r="E123" s="10" t="str">
        <f>IF(Productos!B123="","",Productos!E123)</f>
        <v/>
      </c>
      <c r="F123" s="11" t="str">
        <f>IF(Productos!B123="","",Productos!F123)</f>
        <v/>
      </c>
      <c r="G123" s="11" t="str">
        <f>IF(Productos!B123="","",Productos!G123)</f>
        <v/>
      </c>
      <c r="H123" s="11" t="str">
        <f>IF(B123="","",SUMIF('Compras Entradas'!$D$5:$D$504,B123,'Compras Entradas'!$F$5:$F$504))</f>
        <v/>
      </c>
      <c r="I123" s="11" t="str">
        <f>IF(B123="","",SUMIF('Ventas Salidas'!$D$5:$D$504,B123,'Ventas Salidas'!$F$5:$F$504))</f>
        <v/>
      </c>
      <c r="J123" s="11" t="str">
        <f t="shared" si="3"/>
        <v/>
      </c>
      <c r="K123" s="10" t="str">
        <f t="shared" si="4"/>
        <v/>
      </c>
      <c r="L123" s="10" t="str">
        <f t="shared" si="5"/>
        <v/>
      </c>
      <c r="M123" s="8"/>
      <c r="N123" s="8" t="str">
        <f>IF(B123="","",IF(OR(K123="Bajo stock",K123="Sin stock"),COUNTIFS($K$5:$K123,"Bajo stock")+COUNTIFS($K$5:$K123,"Sin stock"),""))</f>
        <v/>
      </c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2:30" ht="21.75" customHeight="1" x14ac:dyDescent="0.25">
      <c r="B124" s="10" t="str">
        <f>IF(Productos!B124="","",Productos!B124)</f>
        <v/>
      </c>
      <c r="C124" s="10" t="str">
        <f>IF(Productos!B124="","",Productos!C124)</f>
        <v/>
      </c>
      <c r="D124" s="10" t="str">
        <f>IF(Productos!B124="","",Productos!D124)</f>
        <v/>
      </c>
      <c r="E124" s="10" t="str">
        <f>IF(Productos!B124="","",Productos!E124)</f>
        <v/>
      </c>
      <c r="F124" s="11" t="str">
        <f>IF(Productos!B124="","",Productos!F124)</f>
        <v/>
      </c>
      <c r="G124" s="11" t="str">
        <f>IF(Productos!B124="","",Productos!G124)</f>
        <v/>
      </c>
      <c r="H124" s="11" t="str">
        <f>IF(B124="","",SUMIF('Compras Entradas'!$D$5:$D$504,B124,'Compras Entradas'!$F$5:$F$504))</f>
        <v/>
      </c>
      <c r="I124" s="11" t="str">
        <f>IF(B124="","",SUMIF('Ventas Salidas'!$D$5:$D$504,B124,'Ventas Salidas'!$F$5:$F$504))</f>
        <v/>
      </c>
      <c r="J124" s="11" t="str">
        <f t="shared" si="3"/>
        <v/>
      </c>
      <c r="K124" s="10" t="str">
        <f t="shared" si="4"/>
        <v/>
      </c>
      <c r="L124" s="10" t="str">
        <f t="shared" si="5"/>
        <v/>
      </c>
      <c r="M124" s="8"/>
      <c r="N124" s="8" t="str">
        <f>IF(B124="","",IF(OR(K124="Bajo stock",K124="Sin stock"),COUNTIFS($K$5:$K124,"Bajo stock")+COUNTIFS($K$5:$K124,"Sin stock"),""))</f>
        <v/>
      </c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2:30" ht="21.75" customHeight="1" x14ac:dyDescent="0.25">
      <c r="B125" s="10" t="str">
        <f>IF(Productos!B125="","",Productos!B125)</f>
        <v/>
      </c>
      <c r="C125" s="10" t="str">
        <f>IF(Productos!B125="","",Productos!C125)</f>
        <v/>
      </c>
      <c r="D125" s="10" t="str">
        <f>IF(Productos!B125="","",Productos!D125)</f>
        <v/>
      </c>
      <c r="E125" s="10" t="str">
        <f>IF(Productos!B125="","",Productos!E125)</f>
        <v/>
      </c>
      <c r="F125" s="11" t="str">
        <f>IF(Productos!B125="","",Productos!F125)</f>
        <v/>
      </c>
      <c r="G125" s="11" t="str">
        <f>IF(Productos!B125="","",Productos!G125)</f>
        <v/>
      </c>
      <c r="H125" s="11" t="str">
        <f>IF(B125="","",SUMIF('Compras Entradas'!$D$5:$D$504,B125,'Compras Entradas'!$F$5:$F$504))</f>
        <v/>
      </c>
      <c r="I125" s="11" t="str">
        <f>IF(B125="","",SUMIF('Ventas Salidas'!$D$5:$D$504,B125,'Ventas Salidas'!$F$5:$F$504))</f>
        <v/>
      </c>
      <c r="J125" s="11" t="str">
        <f t="shared" si="3"/>
        <v/>
      </c>
      <c r="K125" s="10" t="str">
        <f t="shared" si="4"/>
        <v/>
      </c>
      <c r="L125" s="10" t="str">
        <f t="shared" si="5"/>
        <v/>
      </c>
      <c r="M125" s="8"/>
      <c r="N125" s="8" t="str">
        <f>IF(B125="","",IF(OR(K125="Bajo stock",K125="Sin stock"),COUNTIFS($K$5:$K125,"Bajo stock")+COUNTIFS($K$5:$K125,"Sin stock"),""))</f>
        <v/>
      </c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2:30" ht="21.75" customHeight="1" x14ac:dyDescent="0.25">
      <c r="B126" s="10" t="str">
        <f>IF(Productos!B126="","",Productos!B126)</f>
        <v/>
      </c>
      <c r="C126" s="10" t="str">
        <f>IF(Productos!B126="","",Productos!C126)</f>
        <v/>
      </c>
      <c r="D126" s="10" t="str">
        <f>IF(Productos!B126="","",Productos!D126)</f>
        <v/>
      </c>
      <c r="E126" s="10" t="str">
        <f>IF(Productos!B126="","",Productos!E126)</f>
        <v/>
      </c>
      <c r="F126" s="11" t="str">
        <f>IF(Productos!B126="","",Productos!F126)</f>
        <v/>
      </c>
      <c r="G126" s="11" t="str">
        <f>IF(Productos!B126="","",Productos!G126)</f>
        <v/>
      </c>
      <c r="H126" s="11" t="str">
        <f>IF(B126="","",SUMIF('Compras Entradas'!$D$5:$D$504,B126,'Compras Entradas'!$F$5:$F$504))</f>
        <v/>
      </c>
      <c r="I126" s="11" t="str">
        <f>IF(B126="","",SUMIF('Ventas Salidas'!$D$5:$D$504,B126,'Ventas Salidas'!$F$5:$F$504))</f>
        <v/>
      </c>
      <c r="J126" s="11" t="str">
        <f t="shared" si="3"/>
        <v/>
      </c>
      <c r="K126" s="10" t="str">
        <f t="shared" si="4"/>
        <v/>
      </c>
      <c r="L126" s="10" t="str">
        <f t="shared" si="5"/>
        <v/>
      </c>
      <c r="M126" s="8"/>
      <c r="N126" s="8" t="str">
        <f>IF(B126="","",IF(OR(K126="Bajo stock",K126="Sin stock"),COUNTIFS($K$5:$K126,"Bajo stock")+COUNTIFS($K$5:$K126,"Sin stock"),""))</f>
        <v/>
      </c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2:30" ht="21.75" customHeight="1" x14ac:dyDescent="0.25">
      <c r="B127" s="10" t="str">
        <f>IF(Productos!B127="","",Productos!B127)</f>
        <v/>
      </c>
      <c r="C127" s="10" t="str">
        <f>IF(Productos!B127="","",Productos!C127)</f>
        <v/>
      </c>
      <c r="D127" s="10" t="str">
        <f>IF(Productos!B127="","",Productos!D127)</f>
        <v/>
      </c>
      <c r="E127" s="10" t="str">
        <f>IF(Productos!B127="","",Productos!E127)</f>
        <v/>
      </c>
      <c r="F127" s="11" t="str">
        <f>IF(Productos!B127="","",Productos!F127)</f>
        <v/>
      </c>
      <c r="G127" s="11" t="str">
        <f>IF(Productos!B127="","",Productos!G127)</f>
        <v/>
      </c>
      <c r="H127" s="11" t="str">
        <f>IF(B127="","",SUMIF('Compras Entradas'!$D$5:$D$504,B127,'Compras Entradas'!$F$5:$F$504))</f>
        <v/>
      </c>
      <c r="I127" s="11" t="str">
        <f>IF(B127="","",SUMIF('Ventas Salidas'!$D$5:$D$504,B127,'Ventas Salidas'!$F$5:$F$504))</f>
        <v/>
      </c>
      <c r="J127" s="11" t="str">
        <f t="shared" si="3"/>
        <v/>
      </c>
      <c r="K127" s="10" t="str">
        <f t="shared" si="4"/>
        <v/>
      </c>
      <c r="L127" s="10" t="str">
        <f t="shared" si="5"/>
        <v/>
      </c>
      <c r="M127" s="8"/>
      <c r="N127" s="8" t="str">
        <f>IF(B127="","",IF(OR(K127="Bajo stock",K127="Sin stock"),COUNTIFS($K$5:$K127,"Bajo stock")+COUNTIFS($K$5:$K127,"Sin stock"),""))</f>
        <v/>
      </c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2:30" ht="21.75" customHeight="1" x14ac:dyDescent="0.25">
      <c r="B128" s="10" t="str">
        <f>IF(Productos!B128="","",Productos!B128)</f>
        <v/>
      </c>
      <c r="C128" s="10" t="str">
        <f>IF(Productos!B128="","",Productos!C128)</f>
        <v/>
      </c>
      <c r="D128" s="10" t="str">
        <f>IF(Productos!B128="","",Productos!D128)</f>
        <v/>
      </c>
      <c r="E128" s="10" t="str">
        <f>IF(Productos!B128="","",Productos!E128)</f>
        <v/>
      </c>
      <c r="F128" s="11" t="str">
        <f>IF(Productos!B128="","",Productos!F128)</f>
        <v/>
      </c>
      <c r="G128" s="11" t="str">
        <f>IF(Productos!B128="","",Productos!G128)</f>
        <v/>
      </c>
      <c r="H128" s="11" t="str">
        <f>IF(B128="","",SUMIF('Compras Entradas'!$D$5:$D$504,B128,'Compras Entradas'!$F$5:$F$504))</f>
        <v/>
      </c>
      <c r="I128" s="11" t="str">
        <f>IF(B128="","",SUMIF('Ventas Salidas'!$D$5:$D$504,B128,'Ventas Salidas'!$F$5:$F$504))</f>
        <v/>
      </c>
      <c r="J128" s="11" t="str">
        <f t="shared" si="3"/>
        <v/>
      </c>
      <c r="K128" s="10" t="str">
        <f t="shared" si="4"/>
        <v/>
      </c>
      <c r="L128" s="10" t="str">
        <f t="shared" si="5"/>
        <v/>
      </c>
      <c r="M128" s="8"/>
      <c r="N128" s="8" t="str">
        <f>IF(B128="","",IF(OR(K128="Bajo stock",K128="Sin stock"),COUNTIFS($K$5:$K128,"Bajo stock")+COUNTIFS($K$5:$K128,"Sin stock"),""))</f>
        <v/>
      </c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2:30" ht="21.75" customHeight="1" x14ac:dyDescent="0.25">
      <c r="B129" s="10" t="str">
        <f>IF(Productos!B129="","",Productos!B129)</f>
        <v/>
      </c>
      <c r="C129" s="10" t="str">
        <f>IF(Productos!B129="","",Productos!C129)</f>
        <v/>
      </c>
      <c r="D129" s="10" t="str">
        <f>IF(Productos!B129="","",Productos!D129)</f>
        <v/>
      </c>
      <c r="E129" s="10" t="str">
        <f>IF(Productos!B129="","",Productos!E129)</f>
        <v/>
      </c>
      <c r="F129" s="11" t="str">
        <f>IF(Productos!B129="","",Productos!F129)</f>
        <v/>
      </c>
      <c r="G129" s="11" t="str">
        <f>IF(Productos!B129="","",Productos!G129)</f>
        <v/>
      </c>
      <c r="H129" s="11" t="str">
        <f>IF(B129="","",SUMIF('Compras Entradas'!$D$5:$D$504,B129,'Compras Entradas'!$F$5:$F$504))</f>
        <v/>
      </c>
      <c r="I129" s="11" t="str">
        <f>IF(B129="","",SUMIF('Ventas Salidas'!$D$5:$D$504,B129,'Ventas Salidas'!$F$5:$F$504))</f>
        <v/>
      </c>
      <c r="J129" s="11" t="str">
        <f t="shared" si="3"/>
        <v/>
      </c>
      <c r="K129" s="10" t="str">
        <f t="shared" si="4"/>
        <v/>
      </c>
      <c r="L129" s="10" t="str">
        <f t="shared" si="5"/>
        <v/>
      </c>
      <c r="M129" s="8"/>
      <c r="N129" s="8" t="str">
        <f>IF(B129="","",IF(OR(K129="Bajo stock",K129="Sin stock"),COUNTIFS($K$5:$K129,"Bajo stock")+COUNTIFS($K$5:$K129,"Sin stock"),""))</f>
        <v/>
      </c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2:30" ht="21.75" customHeight="1" x14ac:dyDescent="0.25">
      <c r="B130" s="10" t="str">
        <f>IF(Productos!B130="","",Productos!B130)</f>
        <v/>
      </c>
      <c r="C130" s="10" t="str">
        <f>IF(Productos!B130="","",Productos!C130)</f>
        <v/>
      </c>
      <c r="D130" s="10" t="str">
        <f>IF(Productos!B130="","",Productos!D130)</f>
        <v/>
      </c>
      <c r="E130" s="10" t="str">
        <f>IF(Productos!B130="","",Productos!E130)</f>
        <v/>
      </c>
      <c r="F130" s="11" t="str">
        <f>IF(Productos!B130="","",Productos!F130)</f>
        <v/>
      </c>
      <c r="G130" s="11" t="str">
        <f>IF(Productos!B130="","",Productos!G130)</f>
        <v/>
      </c>
      <c r="H130" s="11" t="str">
        <f>IF(B130="","",SUMIF('Compras Entradas'!$D$5:$D$504,B130,'Compras Entradas'!$F$5:$F$504))</f>
        <v/>
      </c>
      <c r="I130" s="11" t="str">
        <f>IF(B130="","",SUMIF('Ventas Salidas'!$D$5:$D$504,B130,'Ventas Salidas'!$F$5:$F$504))</f>
        <v/>
      </c>
      <c r="J130" s="11" t="str">
        <f t="shared" si="3"/>
        <v/>
      </c>
      <c r="K130" s="10" t="str">
        <f t="shared" si="4"/>
        <v/>
      </c>
      <c r="L130" s="10" t="str">
        <f t="shared" si="5"/>
        <v/>
      </c>
      <c r="M130" s="8"/>
      <c r="N130" s="8" t="str">
        <f>IF(B130="","",IF(OR(K130="Bajo stock",K130="Sin stock"),COUNTIFS($K$5:$K130,"Bajo stock")+COUNTIFS($K$5:$K130,"Sin stock"),""))</f>
        <v/>
      </c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2:30" ht="21.75" customHeight="1" x14ac:dyDescent="0.25">
      <c r="B131" s="10" t="str">
        <f>IF(Productos!B131="","",Productos!B131)</f>
        <v/>
      </c>
      <c r="C131" s="10" t="str">
        <f>IF(Productos!B131="","",Productos!C131)</f>
        <v/>
      </c>
      <c r="D131" s="10" t="str">
        <f>IF(Productos!B131="","",Productos!D131)</f>
        <v/>
      </c>
      <c r="E131" s="10" t="str">
        <f>IF(Productos!B131="","",Productos!E131)</f>
        <v/>
      </c>
      <c r="F131" s="11" t="str">
        <f>IF(Productos!B131="","",Productos!F131)</f>
        <v/>
      </c>
      <c r="G131" s="11" t="str">
        <f>IF(Productos!B131="","",Productos!G131)</f>
        <v/>
      </c>
      <c r="H131" s="11" t="str">
        <f>IF(B131="","",SUMIF('Compras Entradas'!$D$5:$D$504,B131,'Compras Entradas'!$F$5:$F$504))</f>
        <v/>
      </c>
      <c r="I131" s="11" t="str">
        <f>IF(B131="","",SUMIF('Ventas Salidas'!$D$5:$D$504,B131,'Ventas Salidas'!$F$5:$F$504))</f>
        <v/>
      </c>
      <c r="J131" s="11" t="str">
        <f t="shared" si="3"/>
        <v/>
      </c>
      <c r="K131" s="10" t="str">
        <f t="shared" si="4"/>
        <v/>
      </c>
      <c r="L131" s="10" t="str">
        <f t="shared" si="5"/>
        <v/>
      </c>
      <c r="M131" s="8"/>
      <c r="N131" s="8" t="str">
        <f>IF(B131="","",IF(OR(K131="Bajo stock",K131="Sin stock"),COUNTIFS($K$5:$K131,"Bajo stock")+COUNTIFS($K$5:$K131,"Sin stock"),""))</f>
        <v/>
      </c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2:30" ht="21.75" customHeight="1" x14ac:dyDescent="0.25">
      <c r="B132" s="10" t="str">
        <f>IF(Productos!B132="","",Productos!B132)</f>
        <v/>
      </c>
      <c r="C132" s="10" t="str">
        <f>IF(Productos!B132="","",Productos!C132)</f>
        <v/>
      </c>
      <c r="D132" s="10" t="str">
        <f>IF(Productos!B132="","",Productos!D132)</f>
        <v/>
      </c>
      <c r="E132" s="10" t="str">
        <f>IF(Productos!B132="","",Productos!E132)</f>
        <v/>
      </c>
      <c r="F132" s="11" t="str">
        <f>IF(Productos!B132="","",Productos!F132)</f>
        <v/>
      </c>
      <c r="G132" s="11" t="str">
        <f>IF(Productos!B132="","",Productos!G132)</f>
        <v/>
      </c>
      <c r="H132" s="11" t="str">
        <f>IF(B132="","",SUMIF('Compras Entradas'!$D$5:$D$504,B132,'Compras Entradas'!$F$5:$F$504))</f>
        <v/>
      </c>
      <c r="I132" s="11" t="str">
        <f>IF(B132="","",SUMIF('Ventas Salidas'!$D$5:$D$504,B132,'Ventas Salidas'!$F$5:$F$504))</f>
        <v/>
      </c>
      <c r="J132" s="11" t="str">
        <f t="shared" si="3"/>
        <v/>
      </c>
      <c r="K132" s="10" t="str">
        <f t="shared" si="4"/>
        <v/>
      </c>
      <c r="L132" s="10" t="str">
        <f t="shared" si="5"/>
        <v/>
      </c>
      <c r="M132" s="8"/>
      <c r="N132" s="8" t="str">
        <f>IF(B132="","",IF(OR(K132="Bajo stock",K132="Sin stock"),COUNTIFS($K$5:$K132,"Bajo stock")+COUNTIFS($K$5:$K132,"Sin stock"),""))</f>
        <v/>
      </c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2:30" ht="21.75" customHeight="1" x14ac:dyDescent="0.25">
      <c r="B133" s="10" t="str">
        <f>IF(Productos!B133="","",Productos!B133)</f>
        <v/>
      </c>
      <c r="C133" s="10" t="str">
        <f>IF(Productos!B133="","",Productos!C133)</f>
        <v/>
      </c>
      <c r="D133" s="10" t="str">
        <f>IF(Productos!B133="","",Productos!D133)</f>
        <v/>
      </c>
      <c r="E133" s="10" t="str">
        <f>IF(Productos!B133="","",Productos!E133)</f>
        <v/>
      </c>
      <c r="F133" s="11" t="str">
        <f>IF(Productos!B133="","",Productos!F133)</f>
        <v/>
      </c>
      <c r="G133" s="11" t="str">
        <f>IF(Productos!B133="","",Productos!G133)</f>
        <v/>
      </c>
      <c r="H133" s="11" t="str">
        <f>IF(B133="","",SUMIF('Compras Entradas'!$D$5:$D$504,B133,'Compras Entradas'!$F$5:$F$504))</f>
        <v/>
      </c>
      <c r="I133" s="11" t="str">
        <f>IF(B133="","",SUMIF('Ventas Salidas'!$D$5:$D$504,B133,'Ventas Salidas'!$F$5:$F$504))</f>
        <v/>
      </c>
      <c r="J133" s="11" t="str">
        <f t="shared" ref="J133:J196" si="6">IF(B133="","",G133+H133-I133)</f>
        <v/>
      </c>
      <c r="K133" s="10" t="str">
        <f t="shared" ref="K133:K196" si="7">IF(B133="","",IF(J133&lt;=0,"Sin stock",IF(J133&lt;F133,"Bajo stock","OK")))</f>
        <v/>
      </c>
      <c r="L133" s="10" t="str">
        <f t="shared" ref="L133:L196" si="8">IF(B133="","",IF(J133&lt;=0,"Comprar urgente",IF(J133&lt;F133,"Reponer pronto","Stock suficiente")))</f>
        <v/>
      </c>
      <c r="M133" s="8"/>
      <c r="N133" s="8" t="str">
        <f>IF(B133="","",IF(OR(K133="Bajo stock",K133="Sin stock"),COUNTIFS($K$5:$K133,"Bajo stock")+COUNTIFS($K$5:$K133,"Sin stock"),""))</f>
        <v/>
      </c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2:30" ht="21.75" customHeight="1" x14ac:dyDescent="0.25">
      <c r="B134" s="10" t="str">
        <f>IF(Productos!B134="","",Productos!B134)</f>
        <v/>
      </c>
      <c r="C134" s="10" t="str">
        <f>IF(Productos!B134="","",Productos!C134)</f>
        <v/>
      </c>
      <c r="D134" s="10" t="str">
        <f>IF(Productos!B134="","",Productos!D134)</f>
        <v/>
      </c>
      <c r="E134" s="10" t="str">
        <f>IF(Productos!B134="","",Productos!E134)</f>
        <v/>
      </c>
      <c r="F134" s="11" t="str">
        <f>IF(Productos!B134="","",Productos!F134)</f>
        <v/>
      </c>
      <c r="G134" s="11" t="str">
        <f>IF(Productos!B134="","",Productos!G134)</f>
        <v/>
      </c>
      <c r="H134" s="11" t="str">
        <f>IF(B134="","",SUMIF('Compras Entradas'!$D$5:$D$504,B134,'Compras Entradas'!$F$5:$F$504))</f>
        <v/>
      </c>
      <c r="I134" s="11" t="str">
        <f>IF(B134="","",SUMIF('Ventas Salidas'!$D$5:$D$504,B134,'Ventas Salidas'!$F$5:$F$504))</f>
        <v/>
      </c>
      <c r="J134" s="11" t="str">
        <f t="shared" si="6"/>
        <v/>
      </c>
      <c r="K134" s="10" t="str">
        <f t="shared" si="7"/>
        <v/>
      </c>
      <c r="L134" s="10" t="str">
        <f t="shared" si="8"/>
        <v/>
      </c>
      <c r="M134" s="8"/>
      <c r="N134" s="8" t="str">
        <f>IF(B134="","",IF(OR(K134="Bajo stock",K134="Sin stock"),COUNTIFS($K$5:$K134,"Bajo stock")+COUNTIFS($K$5:$K134,"Sin stock"),""))</f>
        <v/>
      </c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2:30" ht="21.75" customHeight="1" x14ac:dyDescent="0.25">
      <c r="B135" s="10" t="str">
        <f>IF(Productos!B135="","",Productos!B135)</f>
        <v/>
      </c>
      <c r="C135" s="10" t="str">
        <f>IF(Productos!B135="","",Productos!C135)</f>
        <v/>
      </c>
      <c r="D135" s="10" t="str">
        <f>IF(Productos!B135="","",Productos!D135)</f>
        <v/>
      </c>
      <c r="E135" s="10" t="str">
        <f>IF(Productos!B135="","",Productos!E135)</f>
        <v/>
      </c>
      <c r="F135" s="11" t="str">
        <f>IF(Productos!B135="","",Productos!F135)</f>
        <v/>
      </c>
      <c r="G135" s="11" t="str">
        <f>IF(Productos!B135="","",Productos!G135)</f>
        <v/>
      </c>
      <c r="H135" s="11" t="str">
        <f>IF(B135="","",SUMIF('Compras Entradas'!$D$5:$D$504,B135,'Compras Entradas'!$F$5:$F$504))</f>
        <v/>
      </c>
      <c r="I135" s="11" t="str">
        <f>IF(B135="","",SUMIF('Ventas Salidas'!$D$5:$D$504,B135,'Ventas Salidas'!$F$5:$F$504))</f>
        <v/>
      </c>
      <c r="J135" s="11" t="str">
        <f t="shared" si="6"/>
        <v/>
      </c>
      <c r="K135" s="10" t="str">
        <f t="shared" si="7"/>
        <v/>
      </c>
      <c r="L135" s="10" t="str">
        <f t="shared" si="8"/>
        <v/>
      </c>
      <c r="M135" s="8"/>
      <c r="N135" s="8" t="str">
        <f>IF(B135="","",IF(OR(K135="Bajo stock",K135="Sin stock"),COUNTIFS($K$5:$K135,"Bajo stock")+COUNTIFS($K$5:$K135,"Sin stock"),""))</f>
        <v/>
      </c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2:30" ht="21.75" customHeight="1" x14ac:dyDescent="0.25">
      <c r="B136" s="10" t="str">
        <f>IF(Productos!B136="","",Productos!B136)</f>
        <v/>
      </c>
      <c r="C136" s="10" t="str">
        <f>IF(Productos!B136="","",Productos!C136)</f>
        <v/>
      </c>
      <c r="D136" s="10" t="str">
        <f>IF(Productos!B136="","",Productos!D136)</f>
        <v/>
      </c>
      <c r="E136" s="10" t="str">
        <f>IF(Productos!B136="","",Productos!E136)</f>
        <v/>
      </c>
      <c r="F136" s="11" t="str">
        <f>IF(Productos!B136="","",Productos!F136)</f>
        <v/>
      </c>
      <c r="G136" s="11" t="str">
        <f>IF(Productos!B136="","",Productos!G136)</f>
        <v/>
      </c>
      <c r="H136" s="11" t="str">
        <f>IF(B136="","",SUMIF('Compras Entradas'!$D$5:$D$504,B136,'Compras Entradas'!$F$5:$F$504))</f>
        <v/>
      </c>
      <c r="I136" s="11" t="str">
        <f>IF(B136="","",SUMIF('Ventas Salidas'!$D$5:$D$504,B136,'Ventas Salidas'!$F$5:$F$504))</f>
        <v/>
      </c>
      <c r="J136" s="11" t="str">
        <f t="shared" si="6"/>
        <v/>
      </c>
      <c r="K136" s="10" t="str">
        <f t="shared" si="7"/>
        <v/>
      </c>
      <c r="L136" s="10" t="str">
        <f t="shared" si="8"/>
        <v/>
      </c>
      <c r="M136" s="8"/>
      <c r="N136" s="8" t="str">
        <f>IF(B136="","",IF(OR(K136="Bajo stock",K136="Sin stock"),COUNTIFS($K$5:$K136,"Bajo stock")+COUNTIFS($K$5:$K136,"Sin stock"),""))</f>
        <v/>
      </c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2:30" ht="21.75" customHeight="1" x14ac:dyDescent="0.25">
      <c r="B137" s="10" t="str">
        <f>IF(Productos!B137="","",Productos!B137)</f>
        <v/>
      </c>
      <c r="C137" s="10" t="str">
        <f>IF(Productos!B137="","",Productos!C137)</f>
        <v/>
      </c>
      <c r="D137" s="10" t="str">
        <f>IF(Productos!B137="","",Productos!D137)</f>
        <v/>
      </c>
      <c r="E137" s="10" t="str">
        <f>IF(Productos!B137="","",Productos!E137)</f>
        <v/>
      </c>
      <c r="F137" s="11" t="str">
        <f>IF(Productos!B137="","",Productos!F137)</f>
        <v/>
      </c>
      <c r="G137" s="11" t="str">
        <f>IF(Productos!B137="","",Productos!G137)</f>
        <v/>
      </c>
      <c r="H137" s="11" t="str">
        <f>IF(B137="","",SUMIF('Compras Entradas'!$D$5:$D$504,B137,'Compras Entradas'!$F$5:$F$504))</f>
        <v/>
      </c>
      <c r="I137" s="11" t="str">
        <f>IF(B137="","",SUMIF('Ventas Salidas'!$D$5:$D$504,B137,'Ventas Salidas'!$F$5:$F$504))</f>
        <v/>
      </c>
      <c r="J137" s="11" t="str">
        <f t="shared" si="6"/>
        <v/>
      </c>
      <c r="K137" s="10" t="str">
        <f t="shared" si="7"/>
        <v/>
      </c>
      <c r="L137" s="10" t="str">
        <f t="shared" si="8"/>
        <v/>
      </c>
      <c r="M137" s="8"/>
      <c r="N137" s="8" t="str">
        <f>IF(B137="","",IF(OR(K137="Bajo stock",K137="Sin stock"),COUNTIFS($K$5:$K137,"Bajo stock")+COUNTIFS($K$5:$K137,"Sin stock"),""))</f>
        <v/>
      </c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2:30" ht="21.75" customHeight="1" x14ac:dyDescent="0.25">
      <c r="B138" s="10" t="str">
        <f>IF(Productos!B138="","",Productos!B138)</f>
        <v/>
      </c>
      <c r="C138" s="10" t="str">
        <f>IF(Productos!B138="","",Productos!C138)</f>
        <v/>
      </c>
      <c r="D138" s="10" t="str">
        <f>IF(Productos!B138="","",Productos!D138)</f>
        <v/>
      </c>
      <c r="E138" s="10" t="str">
        <f>IF(Productos!B138="","",Productos!E138)</f>
        <v/>
      </c>
      <c r="F138" s="11" t="str">
        <f>IF(Productos!B138="","",Productos!F138)</f>
        <v/>
      </c>
      <c r="G138" s="11" t="str">
        <f>IF(Productos!B138="","",Productos!G138)</f>
        <v/>
      </c>
      <c r="H138" s="11" t="str">
        <f>IF(B138="","",SUMIF('Compras Entradas'!$D$5:$D$504,B138,'Compras Entradas'!$F$5:$F$504))</f>
        <v/>
      </c>
      <c r="I138" s="11" t="str">
        <f>IF(B138="","",SUMIF('Ventas Salidas'!$D$5:$D$504,B138,'Ventas Salidas'!$F$5:$F$504))</f>
        <v/>
      </c>
      <c r="J138" s="11" t="str">
        <f t="shared" si="6"/>
        <v/>
      </c>
      <c r="K138" s="10" t="str">
        <f t="shared" si="7"/>
        <v/>
      </c>
      <c r="L138" s="10" t="str">
        <f t="shared" si="8"/>
        <v/>
      </c>
      <c r="M138" s="8"/>
      <c r="N138" s="8" t="str">
        <f>IF(B138="","",IF(OR(K138="Bajo stock",K138="Sin stock"),COUNTIFS($K$5:$K138,"Bajo stock")+COUNTIFS($K$5:$K138,"Sin stock"),""))</f>
        <v/>
      </c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2:30" ht="21.75" customHeight="1" x14ac:dyDescent="0.25">
      <c r="B139" s="10" t="str">
        <f>IF(Productos!B139="","",Productos!B139)</f>
        <v/>
      </c>
      <c r="C139" s="10" t="str">
        <f>IF(Productos!B139="","",Productos!C139)</f>
        <v/>
      </c>
      <c r="D139" s="10" t="str">
        <f>IF(Productos!B139="","",Productos!D139)</f>
        <v/>
      </c>
      <c r="E139" s="10" t="str">
        <f>IF(Productos!B139="","",Productos!E139)</f>
        <v/>
      </c>
      <c r="F139" s="11" t="str">
        <f>IF(Productos!B139="","",Productos!F139)</f>
        <v/>
      </c>
      <c r="G139" s="11" t="str">
        <f>IF(Productos!B139="","",Productos!G139)</f>
        <v/>
      </c>
      <c r="H139" s="11" t="str">
        <f>IF(B139="","",SUMIF('Compras Entradas'!$D$5:$D$504,B139,'Compras Entradas'!$F$5:$F$504))</f>
        <v/>
      </c>
      <c r="I139" s="11" t="str">
        <f>IF(B139="","",SUMIF('Ventas Salidas'!$D$5:$D$504,B139,'Ventas Salidas'!$F$5:$F$504))</f>
        <v/>
      </c>
      <c r="J139" s="11" t="str">
        <f t="shared" si="6"/>
        <v/>
      </c>
      <c r="K139" s="10" t="str">
        <f t="shared" si="7"/>
        <v/>
      </c>
      <c r="L139" s="10" t="str">
        <f t="shared" si="8"/>
        <v/>
      </c>
      <c r="M139" s="8"/>
      <c r="N139" s="8" t="str">
        <f>IF(B139="","",IF(OR(K139="Bajo stock",K139="Sin stock"),COUNTIFS($K$5:$K139,"Bajo stock")+COUNTIFS($K$5:$K139,"Sin stock"),""))</f>
        <v/>
      </c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2:30" ht="21.75" customHeight="1" x14ac:dyDescent="0.25">
      <c r="B140" s="10" t="str">
        <f>IF(Productos!B140="","",Productos!B140)</f>
        <v/>
      </c>
      <c r="C140" s="10" t="str">
        <f>IF(Productos!B140="","",Productos!C140)</f>
        <v/>
      </c>
      <c r="D140" s="10" t="str">
        <f>IF(Productos!B140="","",Productos!D140)</f>
        <v/>
      </c>
      <c r="E140" s="10" t="str">
        <f>IF(Productos!B140="","",Productos!E140)</f>
        <v/>
      </c>
      <c r="F140" s="11" t="str">
        <f>IF(Productos!B140="","",Productos!F140)</f>
        <v/>
      </c>
      <c r="G140" s="11" t="str">
        <f>IF(Productos!B140="","",Productos!G140)</f>
        <v/>
      </c>
      <c r="H140" s="11" t="str">
        <f>IF(B140="","",SUMIF('Compras Entradas'!$D$5:$D$504,B140,'Compras Entradas'!$F$5:$F$504))</f>
        <v/>
      </c>
      <c r="I140" s="11" t="str">
        <f>IF(B140="","",SUMIF('Ventas Salidas'!$D$5:$D$504,B140,'Ventas Salidas'!$F$5:$F$504))</f>
        <v/>
      </c>
      <c r="J140" s="11" t="str">
        <f t="shared" si="6"/>
        <v/>
      </c>
      <c r="K140" s="10" t="str">
        <f t="shared" si="7"/>
        <v/>
      </c>
      <c r="L140" s="10" t="str">
        <f t="shared" si="8"/>
        <v/>
      </c>
      <c r="M140" s="8"/>
      <c r="N140" s="8" t="str">
        <f>IF(B140="","",IF(OR(K140="Bajo stock",K140="Sin stock"),COUNTIFS($K$5:$K140,"Bajo stock")+COUNTIFS($K$5:$K140,"Sin stock"),""))</f>
        <v/>
      </c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2:30" ht="21.75" customHeight="1" x14ac:dyDescent="0.25">
      <c r="B141" s="10" t="str">
        <f>IF(Productos!B141="","",Productos!B141)</f>
        <v/>
      </c>
      <c r="C141" s="10" t="str">
        <f>IF(Productos!B141="","",Productos!C141)</f>
        <v/>
      </c>
      <c r="D141" s="10" t="str">
        <f>IF(Productos!B141="","",Productos!D141)</f>
        <v/>
      </c>
      <c r="E141" s="10" t="str">
        <f>IF(Productos!B141="","",Productos!E141)</f>
        <v/>
      </c>
      <c r="F141" s="11" t="str">
        <f>IF(Productos!B141="","",Productos!F141)</f>
        <v/>
      </c>
      <c r="G141" s="11" t="str">
        <f>IF(Productos!B141="","",Productos!G141)</f>
        <v/>
      </c>
      <c r="H141" s="11" t="str">
        <f>IF(B141="","",SUMIF('Compras Entradas'!$D$5:$D$504,B141,'Compras Entradas'!$F$5:$F$504))</f>
        <v/>
      </c>
      <c r="I141" s="11" t="str">
        <f>IF(B141="","",SUMIF('Ventas Salidas'!$D$5:$D$504,B141,'Ventas Salidas'!$F$5:$F$504))</f>
        <v/>
      </c>
      <c r="J141" s="11" t="str">
        <f t="shared" si="6"/>
        <v/>
      </c>
      <c r="K141" s="10" t="str">
        <f t="shared" si="7"/>
        <v/>
      </c>
      <c r="L141" s="10" t="str">
        <f t="shared" si="8"/>
        <v/>
      </c>
      <c r="M141" s="8"/>
      <c r="N141" s="8" t="str">
        <f>IF(B141="","",IF(OR(K141="Bajo stock",K141="Sin stock"),COUNTIFS($K$5:$K141,"Bajo stock")+COUNTIFS($K$5:$K141,"Sin stock"),""))</f>
        <v/>
      </c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2:30" ht="21.75" customHeight="1" x14ac:dyDescent="0.25">
      <c r="B142" s="10" t="str">
        <f>IF(Productos!B142="","",Productos!B142)</f>
        <v/>
      </c>
      <c r="C142" s="10" t="str">
        <f>IF(Productos!B142="","",Productos!C142)</f>
        <v/>
      </c>
      <c r="D142" s="10" t="str">
        <f>IF(Productos!B142="","",Productos!D142)</f>
        <v/>
      </c>
      <c r="E142" s="10" t="str">
        <f>IF(Productos!B142="","",Productos!E142)</f>
        <v/>
      </c>
      <c r="F142" s="11" t="str">
        <f>IF(Productos!B142="","",Productos!F142)</f>
        <v/>
      </c>
      <c r="G142" s="11" t="str">
        <f>IF(Productos!B142="","",Productos!G142)</f>
        <v/>
      </c>
      <c r="H142" s="11" t="str">
        <f>IF(B142="","",SUMIF('Compras Entradas'!$D$5:$D$504,B142,'Compras Entradas'!$F$5:$F$504))</f>
        <v/>
      </c>
      <c r="I142" s="11" t="str">
        <f>IF(B142="","",SUMIF('Ventas Salidas'!$D$5:$D$504,B142,'Ventas Salidas'!$F$5:$F$504))</f>
        <v/>
      </c>
      <c r="J142" s="11" t="str">
        <f t="shared" si="6"/>
        <v/>
      </c>
      <c r="K142" s="10" t="str">
        <f t="shared" si="7"/>
        <v/>
      </c>
      <c r="L142" s="10" t="str">
        <f t="shared" si="8"/>
        <v/>
      </c>
      <c r="M142" s="8"/>
      <c r="N142" s="8" t="str">
        <f>IF(B142="","",IF(OR(K142="Bajo stock",K142="Sin stock"),COUNTIFS($K$5:$K142,"Bajo stock")+COUNTIFS($K$5:$K142,"Sin stock"),""))</f>
        <v/>
      </c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2:30" ht="21.75" customHeight="1" x14ac:dyDescent="0.25">
      <c r="B143" s="10" t="str">
        <f>IF(Productos!B143="","",Productos!B143)</f>
        <v/>
      </c>
      <c r="C143" s="10" t="str">
        <f>IF(Productos!B143="","",Productos!C143)</f>
        <v/>
      </c>
      <c r="D143" s="10" t="str">
        <f>IF(Productos!B143="","",Productos!D143)</f>
        <v/>
      </c>
      <c r="E143" s="10" t="str">
        <f>IF(Productos!B143="","",Productos!E143)</f>
        <v/>
      </c>
      <c r="F143" s="11" t="str">
        <f>IF(Productos!B143="","",Productos!F143)</f>
        <v/>
      </c>
      <c r="G143" s="11" t="str">
        <f>IF(Productos!B143="","",Productos!G143)</f>
        <v/>
      </c>
      <c r="H143" s="11" t="str">
        <f>IF(B143="","",SUMIF('Compras Entradas'!$D$5:$D$504,B143,'Compras Entradas'!$F$5:$F$504))</f>
        <v/>
      </c>
      <c r="I143" s="11" t="str">
        <f>IF(B143="","",SUMIF('Ventas Salidas'!$D$5:$D$504,B143,'Ventas Salidas'!$F$5:$F$504))</f>
        <v/>
      </c>
      <c r="J143" s="11" t="str">
        <f t="shared" si="6"/>
        <v/>
      </c>
      <c r="K143" s="10" t="str">
        <f t="shared" si="7"/>
        <v/>
      </c>
      <c r="L143" s="10" t="str">
        <f t="shared" si="8"/>
        <v/>
      </c>
      <c r="M143" s="8"/>
      <c r="N143" s="8" t="str">
        <f>IF(B143="","",IF(OR(K143="Bajo stock",K143="Sin stock"),COUNTIFS($K$5:$K143,"Bajo stock")+COUNTIFS($K$5:$K143,"Sin stock"),""))</f>
        <v/>
      </c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2:30" ht="21.75" customHeight="1" x14ac:dyDescent="0.25">
      <c r="B144" s="10" t="str">
        <f>IF(Productos!B144="","",Productos!B144)</f>
        <v/>
      </c>
      <c r="C144" s="10" t="str">
        <f>IF(Productos!B144="","",Productos!C144)</f>
        <v/>
      </c>
      <c r="D144" s="10" t="str">
        <f>IF(Productos!B144="","",Productos!D144)</f>
        <v/>
      </c>
      <c r="E144" s="10" t="str">
        <f>IF(Productos!B144="","",Productos!E144)</f>
        <v/>
      </c>
      <c r="F144" s="11" t="str">
        <f>IF(Productos!B144="","",Productos!F144)</f>
        <v/>
      </c>
      <c r="G144" s="11" t="str">
        <f>IF(Productos!B144="","",Productos!G144)</f>
        <v/>
      </c>
      <c r="H144" s="11" t="str">
        <f>IF(B144="","",SUMIF('Compras Entradas'!$D$5:$D$504,B144,'Compras Entradas'!$F$5:$F$504))</f>
        <v/>
      </c>
      <c r="I144" s="11" t="str">
        <f>IF(B144="","",SUMIF('Ventas Salidas'!$D$5:$D$504,B144,'Ventas Salidas'!$F$5:$F$504))</f>
        <v/>
      </c>
      <c r="J144" s="11" t="str">
        <f t="shared" si="6"/>
        <v/>
      </c>
      <c r="K144" s="10" t="str">
        <f t="shared" si="7"/>
        <v/>
      </c>
      <c r="L144" s="10" t="str">
        <f t="shared" si="8"/>
        <v/>
      </c>
      <c r="M144" s="8"/>
      <c r="N144" s="8" t="str">
        <f>IF(B144="","",IF(OR(K144="Bajo stock",K144="Sin stock"),COUNTIFS($K$5:$K144,"Bajo stock")+COUNTIFS($K$5:$K144,"Sin stock"),""))</f>
        <v/>
      </c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2:30" ht="21.75" customHeight="1" x14ac:dyDescent="0.25">
      <c r="B145" s="10" t="str">
        <f>IF(Productos!B145="","",Productos!B145)</f>
        <v/>
      </c>
      <c r="C145" s="10" t="str">
        <f>IF(Productos!B145="","",Productos!C145)</f>
        <v/>
      </c>
      <c r="D145" s="10" t="str">
        <f>IF(Productos!B145="","",Productos!D145)</f>
        <v/>
      </c>
      <c r="E145" s="10" t="str">
        <f>IF(Productos!B145="","",Productos!E145)</f>
        <v/>
      </c>
      <c r="F145" s="11" t="str">
        <f>IF(Productos!B145="","",Productos!F145)</f>
        <v/>
      </c>
      <c r="G145" s="11" t="str">
        <f>IF(Productos!B145="","",Productos!G145)</f>
        <v/>
      </c>
      <c r="H145" s="11" t="str">
        <f>IF(B145="","",SUMIF('Compras Entradas'!$D$5:$D$504,B145,'Compras Entradas'!$F$5:$F$504))</f>
        <v/>
      </c>
      <c r="I145" s="11" t="str">
        <f>IF(B145="","",SUMIF('Ventas Salidas'!$D$5:$D$504,B145,'Ventas Salidas'!$F$5:$F$504))</f>
        <v/>
      </c>
      <c r="J145" s="11" t="str">
        <f t="shared" si="6"/>
        <v/>
      </c>
      <c r="K145" s="10" t="str">
        <f t="shared" si="7"/>
        <v/>
      </c>
      <c r="L145" s="10" t="str">
        <f t="shared" si="8"/>
        <v/>
      </c>
      <c r="M145" s="8"/>
      <c r="N145" s="8" t="str">
        <f>IF(B145="","",IF(OR(K145="Bajo stock",K145="Sin stock"),COUNTIFS($K$5:$K145,"Bajo stock")+COUNTIFS($K$5:$K145,"Sin stock"),""))</f>
        <v/>
      </c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2:30" ht="21.75" customHeight="1" x14ac:dyDescent="0.25">
      <c r="B146" s="10" t="str">
        <f>IF(Productos!B146="","",Productos!B146)</f>
        <v/>
      </c>
      <c r="C146" s="10" t="str">
        <f>IF(Productos!B146="","",Productos!C146)</f>
        <v/>
      </c>
      <c r="D146" s="10" t="str">
        <f>IF(Productos!B146="","",Productos!D146)</f>
        <v/>
      </c>
      <c r="E146" s="10" t="str">
        <f>IF(Productos!B146="","",Productos!E146)</f>
        <v/>
      </c>
      <c r="F146" s="11" t="str">
        <f>IF(Productos!B146="","",Productos!F146)</f>
        <v/>
      </c>
      <c r="G146" s="11" t="str">
        <f>IF(Productos!B146="","",Productos!G146)</f>
        <v/>
      </c>
      <c r="H146" s="11" t="str">
        <f>IF(B146="","",SUMIF('Compras Entradas'!$D$5:$D$504,B146,'Compras Entradas'!$F$5:$F$504))</f>
        <v/>
      </c>
      <c r="I146" s="11" t="str">
        <f>IF(B146="","",SUMIF('Ventas Salidas'!$D$5:$D$504,B146,'Ventas Salidas'!$F$5:$F$504))</f>
        <v/>
      </c>
      <c r="J146" s="11" t="str">
        <f t="shared" si="6"/>
        <v/>
      </c>
      <c r="K146" s="10" t="str">
        <f t="shared" si="7"/>
        <v/>
      </c>
      <c r="L146" s="10" t="str">
        <f t="shared" si="8"/>
        <v/>
      </c>
      <c r="M146" s="8"/>
      <c r="N146" s="8" t="str">
        <f>IF(B146="","",IF(OR(K146="Bajo stock",K146="Sin stock"),COUNTIFS($K$5:$K146,"Bajo stock")+COUNTIFS($K$5:$K146,"Sin stock"),""))</f>
        <v/>
      </c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2:30" ht="21.75" customHeight="1" x14ac:dyDescent="0.25">
      <c r="B147" s="10" t="str">
        <f>IF(Productos!B147="","",Productos!B147)</f>
        <v/>
      </c>
      <c r="C147" s="10" t="str">
        <f>IF(Productos!B147="","",Productos!C147)</f>
        <v/>
      </c>
      <c r="D147" s="10" t="str">
        <f>IF(Productos!B147="","",Productos!D147)</f>
        <v/>
      </c>
      <c r="E147" s="10" t="str">
        <f>IF(Productos!B147="","",Productos!E147)</f>
        <v/>
      </c>
      <c r="F147" s="11" t="str">
        <f>IF(Productos!B147="","",Productos!F147)</f>
        <v/>
      </c>
      <c r="G147" s="11" t="str">
        <f>IF(Productos!B147="","",Productos!G147)</f>
        <v/>
      </c>
      <c r="H147" s="11" t="str">
        <f>IF(B147="","",SUMIF('Compras Entradas'!$D$5:$D$504,B147,'Compras Entradas'!$F$5:$F$504))</f>
        <v/>
      </c>
      <c r="I147" s="11" t="str">
        <f>IF(B147="","",SUMIF('Ventas Salidas'!$D$5:$D$504,B147,'Ventas Salidas'!$F$5:$F$504))</f>
        <v/>
      </c>
      <c r="J147" s="11" t="str">
        <f t="shared" si="6"/>
        <v/>
      </c>
      <c r="K147" s="10" t="str">
        <f t="shared" si="7"/>
        <v/>
      </c>
      <c r="L147" s="10" t="str">
        <f t="shared" si="8"/>
        <v/>
      </c>
      <c r="M147" s="8"/>
      <c r="N147" s="8" t="str">
        <f>IF(B147="","",IF(OR(K147="Bajo stock",K147="Sin stock"),COUNTIFS($K$5:$K147,"Bajo stock")+COUNTIFS($K$5:$K147,"Sin stock"),""))</f>
        <v/>
      </c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2:30" ht="21.75" customHeight="1" x14ac:dyDescent="0.25">
      <c r="B148" s="10" t="str">
        <f>IF(Productos!B148="","",Productos!B148)</f>
        <v/>
      </c>
      <c r="C148" s="10" t="str">
        <f>IF(Productos!B148="","",Productos!C148)</f>
        <v/>
      </c>
      <c r="D148" s="10" t="str">
        <f>IF(Productos!B148="","",Productos!D148)</f>
        <v/>
      </c>
      <c r="E148" s="10" t="str">
        <f>IF(Productos!B148="","",Productos!E148)</f>
        <v/>
      </c>
      <c r="F148" s="11" t="str">
        <f>IF(Productos!B148="","",Productos!F148)</f>
        <v/>
      </c>
      <c r="G148" s="11" t="str">
        <f>IF(Productos!B148="","",Productos!G148)</f>
        <v/>
      </c>
      <c r="H148" s="11" t="str">
        <f>IF(B148="","",SUMIF('Compras Entradas'!$D$5:$D$504,B148,'Compras Entradas'!$F$5:$F$504))</f>
        <v/>
      </c>
      <c r="I148" s="11" t="str">
        <f>IF(B148="","",SUMIF('Ventas Salidas'!$D$5:$D$504,B148,'Ventas Salidas'!$F$5:$F$504))</f>
        <v/>
      </c>
      <c r="J148" s="11" t="str">
        <f t="shared" si="6"/>
        <v/>
      </c>
      <c r="K148" s="10" t="str">
        <f t="shared" si="7"/>
        <v/>
      </c>
      <c r="L148" s="10" t="str">
        <f t="shared" si="8"/>
        <v/>
      </c>
      <c r="M148" s="8"/>
      <c r="N148" s="8" t="str">
        <f>IF(B148="","",IF(OR(K148="Bajo stock",K148="Sin stock"),COUNTIFS($K$5:$K148,"Bajo stock")+COUNTIFS($K$5:$K148,"Sin stock"),""))</f>
        <v/>
      </c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2:30" ht="21.75" customHeight="1" x14ac:dyDescent="0.25">
      <c r="B149" s="10" t="str">
        <f>IF(Productos!B149="","",Productos!B149)</f>
        <v/>
      </c>
      <c r="C149" s="10" t="str">
        <f>IF(Productos!B149="","",Productos!C149)</f>
        <v/>
      </c>
      <c r="D149" s="10" t="str">
        <f>IF(Productos!B149="","",Productos!D149)</f>
        <v/>
      </c>
      <c r="E149" s="10" t="str">
        <f>IF(Productos!B149="","",Productos!E149)</f>
        <v/>
      </c>
      <c r="F149" s="11" t="str">
        <f>IF(Productos!B149="","",Productos!F149)</f>
        <v/>
      </c>
      <c r="G149" s="11" t="str">
        <f>IF(Productos!B149="","",Productos!G149)</f>
        <v/>
      </c>
      <c r="H149" s="11" t="str">
        <f>IF(B149="","",SUMIF('Compras Entradas'!$D$5:$D$504,B149,'Compras Entradas'!$F$5:$F$504))</f>
        <v/>
      </c>
      <c r="I149" s="11" t="str">
        <f>IF(B149="","",SUMIF('Ventas Salidas'!$D$5:$D$504,B149,'Ventas Salidas'!$F$5:$F$504))</f>
        <v/>
      </c>
      <c r="J149" s="11" t="str">
        <f t="shared" si="6"/>
        <v/>
      </c>
      <c r="K149" s="10" t="str">
        <f t="shared" si="7"/>
        <v/>
      </c>
      <c r="L149" s="10" t="str">
        <f t="shared" si="8"/>
        <v/>
      </c>
      <c r="M149" s="8"/>
      <c r="N149" s="8" t="str">
        <f>IF(B149="","",IF(OR(K149="Bajo stock",K149="Sin stock"),COUNTIFS($K$5:$K149,"Bajo stock")+COUNTIFS($K$5:$K149,"Sin stock"),""))</f>
        <v/>
      </c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2:30" ht="21.75" customHeight="1" x14ac:dyDescent="0.25">
      <c r="B150" s="10" t="str">
        <f>IF(Productos!B150="","",Productos!B150)</f>
        <v/>
      </c>
      <c r="C150" s="10" t="str">
        <f>IF(Productos!B150="","",Productos!C150)</f>
        <v/>
      </c>
      <c r="D150" s="10" t="str">
        <f>IF(Productos!B150="","",Productos!D150)</f>
        <v/>
      </c>
      <c r="E150" s="10" t="str">
        <f>IF(Productos!B150="","",Productos!E150)</f>
        <v/>
      </c>
      <c r="F150" s="11" t="str">
        <f>IF(Productos!B150="","",Productos!F150)</f>
        <v/>
      </c>
      <c r="G150" s="11" t="str">
        <f>IF(Productos!B150="","",Productos!G150)</f>
        <v/>
      </c>
      <c r="H150" s="11" t="str">
        <f>IF(B150="","",SUMIF('Compras Entradas'!$D$5:$D$504,B150,'Compras Entradas'!$F$5:$F$504))</f>
        <v/>
      </c>
      <c r="I150" s="11" t="str">
        <f>IF(B150="","",SUMIF('Ventas Salidas'!$D$5:$D$504,B150,'Ventas Salidas'!$F$5:$F$504))</f>
        <v/>
      </c>
      <c r="J150" s="11" t="str">
        <f t="shared" si="6"/>
        <v/>
      </c>
      <c r="K150" s="10" t="str">
        <f t="shared" si="7"/>
        <v/>
      </c>
      <c r="L150" s="10" t="str">
        <f t="shared" si="8"/>
        <v/>
      </c>
      <c r="M150" s="8"/>
      <c r="N150" s="8" t="str">
        <f>IF(B150="","",IF(OR(K150="Bajo stock",K150="Sin stock"),COUNTIFS($K$5:$K150,"Bajo stock")+COUNTIFS($K$5:$K150,"Sin stock"),""))</f>
        <v/>
      </c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2:30" ht="21.75" customHeight="1" x14ac:dyDescent="0.25">
      <c r="B151" s="10" t="str">
        <f>IF(Productos!B151="","",Productos!B151)</f>
        <v/>
      </c>
      <c r="C151" s="10" t="str">
        <f>IF(Productos!B151="","",Productos!C151)</f>
        <v/>
      </c>
      <c r="D151" s="10" t="str">
        <f>IF(Productos!B151="","",Productos!D151)</f>
        <v/>
      </c>
      <c r="E151" s="10" t="str">
        <f>IF(Productos!B151="","",Productos!E151)</f>
        <v/>
      </c>
      <c r="F151" s="11" t="str">
        <f>IF(Productos!B151="","",Productos!F151)</f>
        <v/>
      </c>
      <c r="G151" s="11" t="str">
        <f>IF(Productos!B151="","",Productos!G151)</f>
        <v/>
      </c>
      <c r="H151" s="11" t="str">
        <f>IF(B151="","",SUMIF('Compras Entradas'!$D$5:$D$504,B151,'Compras Entradas'!$F$5:$F$504))</f>
        <v/>
      </c>
      <c r="I151" s="11" t="str">
        <f>IF(B151="","",SUMIF('Ventas Salidas'!$D$5:$D$504,B151,'Ventas Salidas'!$F$5:$F$504))</f>
        <v/>
      </c>
      <c r="J151" s="11" t="str">
        <f t="shared" si="6"/>
        <v/>
      </c>
      <c r="K151" s="10" t="str">
        <f t="shared" si="7"/>
        <v/>
      </c>
      <c r="L151" s="10" t="str">
        <f t="shared" si="8"/>
        <v/>
      </c>
      <c r="M151" s="8"/>
      <c r="N151" s="8" t="str">
        <f>IF(B151="","",IF(OR(K151="Bajo stock",K151="Sin stock"),COUNTIFS($K$5:$K151,"Bajo stock")+COUNTIFS($K$5:$K151,"Sin stock"),""))</f>
        <v/>
      </c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2:30" ht="21.75" customHeight="1" x14ac:dyDescent="0.25">
      <c r="B152" s="10" t="str">
        <f>IF(Productos!B152="","",Productos!B152)</f>
        <v/>
      </c>
      <c r="C152" s="10" t="str">
        <f>IF(Productos!B152="","",Productos!C152)</f>
        <v/>
      </c>
      <c r="D152" s="10" t="str">
        <f>IF(Productos!B152="","",Productos!D152)</f>
        <v/>
      </c>
      <c r="E152" s="10" t="str">
        <f>IF(Productos!B152="","",Productos!E152)</f>
        <v/>
      </c>
      <c r="F152" s="11" t="str">
        <f>IF(Productos!B152="","",Productos!F152)</f>
        <v/>
      </c>
      <c r="G152" s="11" t="str">
        <f>IF(Productos!B152="","",Productos!G152)</f>
        <v/>
      </c>
      <c r="H152" s="11" t="str">
        <f>IF(B152="","",SUMIF('Compras Entradas'!$D$5:$D$504,B152,'Compras Entradas'!$F$5:$F$504))</f>
        <v/>
      </c>
      <c r="I152" s="11" t="str">
        <f>IF(B152="","",SUMIF('Ventas Salidas'!$D$5:$D$504,B152,'Ventas Salidas'!$F$5:$F$504))</f>
        <v/>
      </c>
      <c r="J152" s="11" t="str">
        <f t="shared" si="6"/>
        <v/>
      </c>
      <c r="K152" s="10" t="str">
        <f t="shared" si="7"/>
        <v/>
      </c>
      <c r="L152" s="10" t="str">
        <f t="shared" si="8"/>
        <v/>
      </c>
      <c r="M152" s="8"/>
      <c r="N152" s="8" t="str">
        <f>IF(B152="","",IF(OR(K152="Bajo stock",K152="Sin stock"),COUNTIFS($K$5:$K152,"Bajo stock")+COUNTIFS($K$5:$K152,"Sin stock"),""))</f>
        <v/>
      </c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2:30" ht="21.75" customHeight="1" x14ac:dyDescent="0.25">
      <c r="B153" s="10" t="str">
        <f>IF(Productos!B153="","",Productos!B153)</f>
        <v/>
      </c>
      <c r="C153" s="10" t="str">
        <f>IF(Productos!B153="","",Productos!C153)</f>
        <v/>
      </c>
      <c r="D153" s="10" t="str">
        <f>IF(Productos!B153="","",Productos!D153)</f>
        <v/>
      </c>
      <c r="E153" s="10" t="str">
        <f>IF(Productos!B153="","",Productos!E153)</f>
        <v/>
      </c>
      <c r="F153" s="11" t="str">
        <f>IF(Productos!B153="","",Productos!F153)</f>
        <v/>
      </c>
      <c r="G153" s="11" t="str">
        <f>IF(Productos!B153="","",Productos!G153)</f>
        <v/>
      </c>
      <c r="H153" s="11" t="str">
        <f>IF(B153="","",SUMIF('Compras Entradas'!$D$5:$D$504,B153,'Compras Entradas'!$F$5:$F$504))</f>
        <v/>
      </c>
      <c r="I153" s="11" t="str">
        <f>IF(B153="","",SUMIF('Ventas Salidas'!$D$5:$D$504,B153,'Ventas Salidas'!$F$5:$F$504))</f>
        <v/>
      </c>
      <c r="J153" s="11" t="str">
        <f t="shared" si="6"/>
        <v/>
      </c>
      <c r="K153" s="10" t="str">
        <f t="shared" si="7"/>
        <v/>
      </c>
      <c r="L153" s="10" t="str">
        <f t="shared" si="8"/>
        <v/>
      </c>
      <c r="M153" s="8"/>
      <c r="N153" s="8" t="str">
        <f>IF(B153="","",IF(OR(K153="Bajo stock",K153="Sin stock"),COUNTIFS($K$5:$K153,"Bajo stock")+COUNTIFS($K$5:$K153,"Sin stock"),""))</f>
        <v/>
      </c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2:30" ht="21.75" customHeight="1" x14ac:dyDescent="0.25">
      <c r="B154" s="10" t="str">
        <f>IF(Productos!B154="","",Productos!B154)</f>
        <v/>
      </c>
      <c r="C154" s="10" t="str">
        <f>IF(Productos!B154="","",Productos!C154)</f>
        <v/>
      </c>
      <c r="D154" s="10" t="str">
        <f>IF(Productos!B154="","",Productos!D154)</f>
        <v/>
      </c>
      <c r="E154" s="10" t="str">
        <f>IF(Productos!B154="","",Productos!E154)</f>
        <v/>
      </c>
      <c r="F154" s="11" t="str">
        <f>IF(Productos!B154="","",Productos!F154)</f>
        <v/>
      </c>
      <c r="G154" s="11" t="str">
        <f>IF(Productos!B154="","",Productos!G154)</f>
        <v/>
      </c>
      <c r="H154" s="11" t="str">
        <f>IF(B154="","",SUMIF('Compras Entradas'!$D$5:$D$504,B154,'Compras Entradas'!$F$5:$F$504))</f>
        <v/>
      </c>
      <c r="I154" s="11" t="str">
        <f>IF(B154="","",SUMIF('Ventas Salidas'!$D$5:$D$504,B154,'Ventas Salidas'!$F$5:$F$504))</f>
        <v/>
      </c>
      <c r="J154" s="11" t="str">
        <f t="shared" si="6"/>
        <v/>
      </c>
      <c r="K154" s="10" t="str">
        <f t="shared" si="7"/>
        <v/>
      </c>
      <c r="L154" s="10" t="str">
        <f t="shared" si="8"/>
        <v/>
      </c>
      <c r="M154" s="8"/>
      <c r="N154" s="8" t="str">
        <f>IF(B154="","",IF(OR(K154="Bajo stock",K154="Sin stock"),COUNTIFS($K$5:$K154,"Bajo stock")+COUNTIFS($K$5:$K154,"Sin stock"),""))</f>
        <v/>
      </c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2:30" ht="21.75" customHeight="1" x14ac:dyDescent="0.25">
      <c r="B155" s="10" t="str">
        <f>IF(Productos!B155="","",Productos!B155)</f>
        <v/>
      </c>
      <c r="C155" s="10" t="str">
        <f>IF(Productos!B155="","",Productos!C155)</f>
        <v/>
      </c>
      <c r="D155" s="10" t="str">
        <f>IF(Productos!B155="","",Productos!D155)</f>
        <v/>
      </c>
      <c r="E155" s="10" t="str">
        <f>IF(Productos!B155="","",Productos!E155)</f>
        <v/>
      </c>
      <c r="F155" s="11" t="str">
        <f>IF(Productos!B155="","",Productos!F155)</f>
        <v/>
      </c>
      <c r="G155" s="11" t="str">
        <f>IF(Productos!B155="","",Productos!G155)</f>
        <v/>
      </c>
      <c r="H155" s="11" t="str">
        <f>IF(B155="","",SUMIF('Compras Entradas'!$D$5:$D$504,B155,'Compras Entradas'!$F$5:$F$504))</f>
        <v/>
      </c>
      <c r="I155" s="11" t="str">
        <f>IF(B155="","",SUMIF('Ventas Salidas'!$D$5:$D$504,B155,'Ventas Salidas'!$F$5:$F$504))</f>
        <v/>
      </c>
      <c r="J155" s="11" t="str">
        <f t="shared" si="6"/>
        <v/>
      </c>
      <c r="K155" s="10" t="str">
        <f t="shared" si="7"/>
        <v/>
      </c>
      <c r="L155" s="10" t="str">
        <f t="shared" si="8"/>
        <v/>
      </c>
      <c r="M155" s="8"/>
      <c r="N155" s="8" t="str">
        <f>IF(B155="","",IF(OR(K155="Bajo stock",K155="Sin stock"),COUNTIFS($K$5:$K155,"Bajo stock")+COUNTIFS($K$5:$K155,"Sin stock"),""))</f>
        <v/>
      </c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2:30" ht="21.75" customHeight="1" x14ac:dyDescent="0.25">
      <c r="B156" s="10" t="str">
        <f>IF(Productos!B156="","",Productos!B156)</f>
        <v/>
      </c>
      <c r="C156" s="10" t="str">
        <f>IF(Productos!B156="","",Productos!C156)</f>
        <v/>
      </c>
      <c r="D156" s="10" t="str">
        <f>IF(Productos!B156="","",Productos!D156)</f>
        <v/>
      </c>
      <c r="E156" s="10" t="str">
        <f>IF(Productos!B156="","",Productos!E156)</f>
        <v/>
      </c>
      <c r="F156" s="11" t="str">
        <f>IF(Productos!B156="","",Productos!F156)</f>
        <v/>
      </c>
      <c r="G156" s="11" t="str">
        <f>IF(Productos!B156="","",Productos!G156)</f>
        <v/>
      </c>
      <c r="H156" s="11" t="str">
        <f>IF(B156="","",SUMIF('Compras Entradas'!$D$5:$D$504,B156,'Compras Entradas'!$F$5:$F$504))</f>
        <v/>
      </c>
      <c r="I156" s="11" t="str">
        <f>IF(B156="","",SUMIF('Ventas Salidas'!$D$5:$D$504,B156,'Ventas Salidas'!$F$5:$F$504))</f>
        <v/>
      </c>
      <c r="J156" s="11" t="str">
        <f t="shared" si="6"/>
        <v/>
      </c>
      <c r="K156" s="10" t="str">
        <f t="shared" si="7"/>
        <v/>
      </c>
      <c r="L156" s="10" t="str">
        <f t="shared" si="8"/>
        <v/>
      </c>
      <c r="M156" s="8"/>
      <c r="N156" s="8" t="str">
        <f>IF(B156="","",IF(OR(K156="Bajo stock",K156="Sin stock"),COUNTIFS($K$5:$K156,"Bajo stock")+COUNTIFS($K$5:$K156,"Sin stock"),""))</f>
        <v/>
      </c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2:30" ht="21.75" customHeight="1" x14ac:dyDescent="0.25">
      <c r="B157" s="10" t="str">
        <f>IF(Productos!B157="","",Productos!B157)</f>
        <v/>
      </c>
      <c r="C157" s="10" t="str">
        <f>IF(Productos!B157="","",Productos!C157)</f>
        <v/>
      </c>
      <c r="D157" s="10" t="str">
        <f>IF(Productos!B157="","",Productos!D157)</f>
        <v/>
      </c>
      <c r="E157" s="10" t="str">
        <f>IF(Productos!B157="","",Productos!E157)</f>
        <v/>
      </c>
      <c r="F157" s="11" t="str">
        <f>IF(Productos!B157="","",Productos!F157)</f>
        <v/>
      </c>
      <c r="G157" s="11" t="str">
        <f>IF(Productos!B157="","",Productos!G157)</f>
        <v/>
      </c>
      <c r="H157" s="11" t="str">
        <f>IF(B157="","",SUMIF('Compras Entradas'!$D$5:$D$504,B157,'Compras Entradas'!$F$5:$F$504))</f>
        <v/>
      </c>
      <c r="I157" s="11" t="str">
        <f>IF(B157="","",SUMIF('Ventas Salidas'!$D$5:$D$504,B157,'Ventas Salidas'!$F$5:$F$504))</f>
        <v/>
      </c>
      <c r="J157" s="11" t="str">
        <f t="shared" si="6"/>
        <v/>
      </c>
      <c r="K157" s="10" t="str">
        <f t="shared" si="7"/>
        <v/>
      </c>
      <c r="L157" s="10" t="str">
        <f t="shared" si="8"/>
        <v/>
      </c>
      <c r="M157" s="8"/>
      <c r="N157" s="8" t="str">
        <f>IF(B157="","",IF(OR(K157="Bajo stock",K157="Sin stock"),COUNTIFS($K$5:$K157,"Bajo stock")+COUNTIFS($K$5:$K157,"Sin stock"),""))</f>
        <v/>
      </c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2:30" ht="21.75" customHeight="1" x14ac:dyDescent="0.25">
      <c r="B158" s="10" t="str">
        <f>IF(Productos!B158="","",Productos!B158)</f>
        <v/>
      </c>
      <c r="C158" s="10" t="str">
        <f>IF(Productos!B158="","",Productos!C158)</f>
        <v/>
      </c>
      <c r="D158" s="10" t="str">
        <f>IF(Productos!B158="","",Productos!D158)</f>
        <v/>
      </c>
      <c r="E158" s="10" t="str">
        <f>IF(Productos!B158="","",Productos!E158)</f>
        <v/>
      </c>
      <c r="F158" s="11" t="str">
        <f>IF(Productos!B158="","",Productos!F158)</f>
        <v/>
      </c>
      <c r="G158" s="11" t="str">
        <f>IF(Productos!B158="","",Productos!G158)</f>
        <v/>
      </c>
      <c r="H158" s="11" t="str">
        <f>IF(B158="","",SUMIF('Compras Entradas'!$D$5:$D$504,B158,'Compras Entradas'!$F$5:$F$504))</f>
        <v/>
      </c>
      <c r="I158" s="11" t="str">
        <f>IF(B158="","",SUMIF('Ventas Salidas'!$D$5:$D$504,B158,'Ventas Salidas'!$F$5:$F$504))</f>
        <v/>
      </c>
      <c r="J158" s="11" t="str">
        <f t="shared" si="6"/>
        <v/>
      </c>
      <c r="K158" s="10" t="str">
        <f t="shared" si="7"/>
        <v/>
      </c>
      <c r="L158" s="10" t="str">
        <f t="shared" si="8"/>
        <v/>
      </c>
      <c r="M158" s="8"/>
      <c r="N158" s="8" t="str">
        <f>IF(B158="","",IF(OR(K158="Bajo stock",K158="Sin stock"),COUNTIFS($K$5:$K158,"Bajo stock")+COUNTIFS($K$5:$K158,"Sin stock"),""))</f>
        <v/>
      </c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2:30" ht="21.75" customHeight="1" x14ac:dyDescent="0.25">
      <c r="B159" s="10" t="str">
        <f>IF(Productos!B159="","",Productos!B159)</f>
        <v/>
      </c>
      <c r="C159" s="10" t="str">
        <f>IF(Productos!B159="","",Productos!C159)</f>
        <v/>
      </c>
      <c r="D159" s="10" t="str">
        <f>IF(Productos!B159="","",Productos!D159)</f>
        <v/>
      </c>
      <c r="E159" s="10" t="str">
        <f>IF(Productos!B159="","",Productos!E159)</f>
        <v/>
      </c>
      <c r="F159" s="11" t="str">
        <f>IF(Productos!B159="","",Productos!F159)</f>
        <v/>
      </c>
      <c r="G159" s="11" t="str">
        <f>IF(Productos!B159="","",Productos!G159)</f>
        <v/>
      </c>
      <c r="H159" s="11" t="str">
        <f>IF(B159="","",SUMIF('Compras Entradas'!$D$5:$D$504,B159,'Compras Entradas'!$F$5:$F$504))</f>
        <v/>
      </c>
      <c r="I159" s="11" t="str">
        <f>IF(B159="","",SUMIF('Ventas Salidas'!$D$5:$D$504,B159,'Ventas Salidas'!$F$5:$F$504))</f>
        <v/>
      </c>
      <c r="J159" s="11" t="str">
        <f t="shared" si="6"/>
        <v/>
      </c>
      <c r="K159" s="10" t="str">
        <f t="shared" si="7"/>
        <v/>
      </c>
      <c r="L159" s="10" t="str">
        <f t="shared" si="8"/>
        <v/>
      </c>
      <c r="M159" s="8"/>
      <c r="N159" s="8" t="str">
        <f>IF(B159="","",IF(OR(K159="Bajo stock",K159="Sin stock"),COUNTIFS($K$5:$K159,"Bajo stock")+COUNTIFS($K$5:$K159,"Sin stock"),""))</f>
        <v/>
      </c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2:30" ht="21.75" customHeight="1" x14ac:dyDescent="0.25">
      <c r="B160" s="10" t="str">
        <f>IF(Productos!B160="","",Productos!B160)</f>
        <v/>
      </c>
      <c r="C160" s="10" t="str">
        <f>IF(Productos!B160="","",Productos!C160)</f>
        <v/>
      </c>
      <c r="D160" s="10" t="str">
        <f>IF(Productos!B160="","",Productos!D160)</f>
        <v/>
      </c>
      <c r="E160" s="10" t="str">
        <f>IF(Productos!B160="","",Productos!E160)</f>
        <v/>
      </c>
      <c r="F160" s="11" t="str">
        <f>IF(Productos!B160="","",Productos!F160)</f>
        <v/>
      </c>
      <c r="G160" s="11" t="str">
        <f>IF(Productos!B160="","",Productos!G160)</f>
        <v/>
      </c>
      <c r="H160" s="11" t="str">
        <f>IF(B160="","",SUMIF('Compras Entradas'!$D$5:$D$504,B160,'Compras Entradas'!$F$5:$F$504))</f>
        <v/>
      </c>
      <c r="I160" s="11" t="str">
        <f>IF(B160="","",SUMIF('Ventas Salidas'!$D$5:$D$504,B160,'Ventas Salidas'!$F$5:$F$504))</f>
        <v/>
      </c>
      <c r="J160" s="11" t="str">
        <f t="shared" si="6"/>
        <v/>
      </c>
      <c r="K160" s="10" t="str">
        <f t="shared" si="7"/>
        <v/>
      </c>
      <c r="L160" s="10" t="str">
        <f t="shared" si="8"/>
        <v/>
      </c>
      <c r="M160" s="8"/>
      <c r="N160" s="8" t="str">
        <f>IF(B160="","",IF(OR(K160="Bajo stock",K160="Sin stock"),COUNTIFS($K$5:$K160,"Bajo stock")+COUNTIFS($K$5:$K160,"Sin stock"),""))</f>
        <v/>
      </c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2:30" ht="21.75" customHeight="1" x14ac:dyDescent="0.25">
      <c r="B161" s="10" t="str">
        <f>IF(Productos!B161="","",Productos!B161)</f>
        <v/>
      </c>
      <c r="C161" s="10" t="str">
        <f>IF(Productos!B161="","",Productos!C161)</f>
        <v/>
      </c>
      <c r="D161" s="10" t="str">
        <f>IF(Productos!B161="","",Productos!D161)</f>
        <v/>
      </c>
      <c r="E161" s="10" t="str">
        <f>IF(Productos!B161="","",Productos!E161)</f>
        <v/>
      </c>
      <c r="F161" s="11" t="str">
        <f>IF(Productos!B161="","",Productos!F161)</f>
        <v/>
      </c>
      <c r="G161" s="11" t="str">
        <f>IF(Productos!B161="","",Productos!G161)</f>
        <v/>
      </c>
      <c r="H161" s="11" t="str">
        <f>IF(B161="","",SUMIF('Compras Entradas'!$D$5:$D$504,B161,'Compras Entradas'!$F$5:$F$504))</f>
        <v/>
      </c>
      <c r="I161" s="11" t="str">
        <f>IF(B161="","",SUMIF('Ventas Salidas'!$D$5:$D$504,B161,'Ventas Salidas'!$F$5:$F$504))</f>
        <v/>
      </c>
      <c r="J161" s="11" t="str">
        <f t="shared" si="6"/>
        <v/>
      </c>
      <c r="K161" s="10" t="str">
        <f t="shared" si="7"/>
        <v/>
      </c>
      <c r="L161" s="10" t="str">
        <f t="shared" si="8"/>
        <v/>
      </c>
      <c r="M161" s="8"/>
      <c r="N161" s="8" t="str">
        <f>IF(B161="","",IF(OR(K161="Bajo stock",K161="Sin stock"),COUNTIFS($K$5:$K161,"Bajo stock")+COUNTIFS($K$5:$K161,"Sin stock"),""))</f>
        <v/>
      </c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2:30" ht="21.75" customHeight="1" x14ac:dyDescent="0.25">
      <c r="B162" s="10" t="str">
        <f>IF(Productos!B162="","",Productos!B162)</f>
        <v/>
      </c>
      <c r="C162" s="10" t="str">
        <f>IF(Productos!B162="","",Productos!C162)</f>
        <v/>
      </c>
      <c r="D162" s="10" t="str">
        <f>IF(Productos!B162="","",Productos!D162)</f>
        <v/>
      </c>
      <c r="E162" s="10" t="str">
        <f>IF(Productos!B162="","",Productos!E162)</f>
        <v/>
      </c>
      <c r="F162" s="11" t="str">
        <f>IF(Productos!B162="","",Productos!F162)</f>
        <v/>
      </c>
      <c r="G162" s="11" t="str">
        <f>IF(Productos!B162="","",Productos!G162)</f>
        <v/>
      </c>
      <c r="H162" s="11" t="str">
        <f>IF(B162="","",SUMIF('Compras Entradas'!$D$5:$D$504,B162,'Compras Entradas'!$F$5:$F$504))</f>
        <v/>
      </c>
      <c r="I162" s="11" t="str">
        <f>IF(B162="","",SUMIF('Ventas Salidas'!$D$5:$D$504,B162,'Ventas Salidas'!$F$5:$F$504))</f>
        <v/>
      </c>
      <c r="J162" s="11" t="str">
        <f t="shared" si="6"/>
        <v/>
      </c>
      <c r="K162" s="10" t="str">
        <f t="shared" si="7"/>
        <v/>
      </c>
      <c r="L162" s="10" t="str">
        <f t="shared" si="8"/>
        <v/>
      </c>
      <c r="M162" s="8"/>
      <c r="N162" s="8" t="str">
        <f>IF(B162="","",IF(OR(K162="Bajo stock",K162="Sin stock"),COUNTIFS($K$5:$K162,"Bajo stock")+COUNTIFS($K$5:$K162,"Sin stock"),""))</f>
        <v/>
      </c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2:30" ht="21.75" customHeight="1" x14ac:dyDescent="0.25">
      <c r="B163" s="10" t="str">
        <f>IF(Productos!B163="","",Productos!B163)</f>
        <v/>
      </c>
      <c r="C163" s="10" t="str">
        <f>IF(Productos!B163="","",Productos!C163)</f>
        <v/>
      </c>
      <c r="D163" s="10" t="str">
        <f>IF(Productos!B163="","",Productos!D163)</f>
        <v/>
      </c>
      <c r="E163" s="10" t="str">
        <f>IF(Productos!B163="","",Productos!E163)</f>
        <v/>
      </c>
      <c r="F163" s="11" t="str">
        <f>IF(Productos!B163="","",Productos!F163)</f>
        <v/>
      </c>
      <c r="G163" s="11" t="str">
        <f>IF(Productos!B163="","",Productos!G163)</f>
        <v/>
      </c>
      <c r="H163" s="11" t="str">
        <f>IF(B163="","",SUMIF('Compras Entradas'!$D$5:$D$504,B163,'Compras Entradas'!$F$5:$F$504))</f>
        <v/>
      </c>
      <c r="I163" s="11" t="str">
        <f>IF(B163="","",SUMIF('Ventas Salidas'!$D$5:$D$504,B163,'Ventas Salidas'!$F$5:$F$504))</f>
        <v/>
      </c>
      <c r="J163" s="11" t="str">
        <f t="shared" si="6"/>
        <v/>
      </c>
      <c r="K163" s="10" t="str">
        <f t="shared" si="7"/>
        <v/>
      </c>
      <c r="L163" s="10" t="str">
        <f t="shared" si="8"/>
        <v/>
      </c>
      <c r="M163" s="8"/>
      <c r="N163" s="8" t="str">
        <f>IF(B163="","",IF(OR(K163="Bajo stock",K163="Sin stock"),COUNTIFS($K$5:$K163,"Bajo stock")+COUNTIFS($K$5:$K163,"Sin stock"),""))</f>
        <v/>
      </c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2:30" ht="21.75" customHeight="1" x14ac:dyDescent="0.25">
      <c r="B164" s="10" t="str">
        <f>IF(Productos!B164="","",Productos!B164)</f>
        <v/>
      </c>
      <c r="C164" s="10" t="str">
        <f>IF(Productos!B164="","",Productos!C164)</f>
        <v/>
      </c>
      <c r="D164" s="10" t="str">
        <f>IF(Productos!B164="","",Productos!D164)</f>
        <v/>
      </c>
      <c r="E164" s="10" t="str">
        <f>IF(Productos!B164="","",Productos!E164)</f>
        <v/>
      </c>
      <c r="F164" s="11" t="str">
        <f>IF(Productos!B164="","",Productos!F164)</f>
        <v/>
      </c>
      <c r="G164" s="11" t="str">
        <f>IF(Productos!B164="","",Productos!G164)</f>
        <v/>
      </c>
      <c r="H164" s="11" t="str">
        <f>IF(B164="","",SUMIF('Compras Entradas'!$D$5:$D$504,B164,'Compras Entradas'!$F$5:$F$504))</f>
        <v/>
      </c>
      <c r="I164" s="11" t="str">
        <f>IF(B164="","",SUMIF('Ventas Salidas'!$D$5:$D$504,B164,'Ventas Salidas'!$F$5:$F$504))</f>
        <v/>
      </c>
      <c r="J164" s="11" t="str">
        <f t="shared" si="6"/>
        <v/>
      </c>
      <c r="K164" s="10" t="str">
        <f t="shared" si="7"/>
        <v/>
      </c>
      <c r="L164" s="10" t="str">
        <f t="shared" si="8"/>
        <v/>
      </c>
      <c r="M164" s="8"/>
      <c r="N164" s="8" t="str">
        <f>IF(B164="","",IF(OR(K164="Bajo stock",K164="Sin stock"),COUNTIFS($K$5:$K164,"Bajo stock")+COUNTIFS($K$5:$K164,"Sin stock"),""))</f>
        <v/>
      </c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2:30" ht="21.75" customHeight="1" x14ac:dyDescent="0.25">
      <c r="B165" s="10" t="str">
        <f>IF(Productos!B165="","",Productos!B165)</f>
        <v/>
      </c>
      <c r="C165" s="10" t="str">
        <f>IF(Productos!B165="","",Productos!C165)</f>
        <v/>
      </c>
      <c r="D165" s="10" t="str">
        <f>IF(Productos!B165="","",Productos!D165)</f>
        <v/>
      </c>
      <c r="E165" s="10" t="str">
        <f>IF(Productos!B165="","",Productos!E165)</f>
        <v/>
      </c>
      <c r="F165" s="11" t="str">
        <f>IF(Productos!B165="","",Productos!F165)</f>
        <v/>
      </c>
      <c r="G165" s="11" t="str">
        <f>IF(Productos!B165="","",Productos!G165)</f>
        <v/>
      </c>
      <c r="H165" s="11" t="str">
        <f>IF(B165="","",SUMIF('Compras Entradas'!$D$5:$D$504,B165,'Compras Entradas'!$F$5:$F$504))</f>
        <v/>
      </c>
      <c r="I165" s="11" t="str">
        <f>IF(B165="","",SUMIF('Ventas Salidas'!$D$5:$D$504,B165,'Ventas Salidas'!$F$5:$F$504))</f>
        <v/>
      </c>
      <c r="J165" s="11" t="str">
        <f t="shared" si="6"/>
        <v/>
      </c>
      <c r="K165" s="10" t="str">
        <f t="shared" si="7"/>
        <v/>
      </c>
      <c r="L165" s="10" t="str">
        <f t="shared" si="8"/>
        <v/>
      </c>
      <c r="M165" s="8"/>
      <c r="N165" s="8" t="str">
        <f>IF(B165="","",IF(OR(K165="Bajo stock",K165="Sin stock"),COUNTIFS($K$5:$K165,"Bajo stock")+COUNTIFS($K$5:$K165,"Sin stock"),""))</f>
        <v/>
      </c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2:30" ht="21.75" customHeight="1" x14ac:dyDescent="0.25">
      <c r="B166" s="10" t="str">
        <f>IF(Productos!B166="","",Productos!B166)</f>
        <v/>
      </c>
      <c r="C166" s="10" t="str">
        <f>IF(Productos!B166="","",Productos!C166)</f>
        <v/>
      </c>
      <c r="D166" s="10" t="str">
        <f>IF(Productos!B166="","",Productos!D166)</f>
        <v/>
      </c>
      <c r="E166" s="10" t="str">
        <f>IF(Productos!B166="","",Productos!E166)</f>
        <v/>
      </c>
      <c r="F166" s="11" t="str">
        <f>IF(Productos!B166="","",Productos!F166)</f>
        <v/>
      </c>
      <c r="G166" s="11" t="str">
        <f>IF(Productos!B166="","",Productos!G166)</f>
        <v/>
      </c>
      <c r="H166" s="11" t="str">
        <f>IF(B166="","",SUMIF('Compras Entradas'!$D$5:$D$504,B166,'Compras Entradas'!$F$5:$F$504))</f>
        <v/>
      </c>
      <c r="I166" s="11" t="str">
        <f>IF(B166="","",SUMIF('Ventas Salidas'!$D$5:$D$504,B166,'Ventas Salidas'!$F$5:$F$504))</f>
        <v/>
      </c>
      <c r="J166" s="11" t="str">
        <f t="shared" si="6"/>
        <v/>
      </c>
      <c r="K166" s="10" t="str">
        <f t="shared" si="7"/>
        <v/>
      </c>
      <c r="L166" s="10" t="str">
        <f t="shared" si="8"/>
        <v/>
      </c>
      <c r="M166" s="8"/>
      <c r="N166" s="8" t="str">
        <f>IF(B166="","",IF(OR(K166="Bajo stock",K166="Sin stock"),COUNTIFS($K$5:$K166,"Bajo stock")+COUNTIFS($K$5:$K166,"Sin stock"),""))</f>
        <v/>
      </c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2:30" ht="21.75" customHeight="1" x14ac:dyDescent="0.25">
      <c r="B167" s="10" t="str">
        <f>IF(Productos!B167="","",Productos!B167)</f>
        <v/>
      </c>
      <c r="C167" s="10" t="str">
        <f>IF(Productos!B167="","",Productos!C167)</f>
        <v/>
      </c>
      <c r="D167" s="10" t="str">
        <f>IF(Productos!B167="","",Productos!D167)</f>
        <v/>
      </c>
      <c r="E167" s="10" t="str">
        <f>IF(Productos!B167="","",Productos!E167)</f>
        <v/>
      </c>
      <c r="F167" s="11" t="str">
        <f>IF(Productos!B167="","",Productos!F167)</f>
        <v/>
      </c>
      <c r="G167" s="11" t="str">
        <f>IF(Productos!B167="","",Productos!G167)</f>
        <v/>
      </c>
      <c r="H167" s="11" t="str">
        <f>IF(B167="","",SUMIF('Compras Entradas'!$D$5:$D$504,B167,'Compras Entradas'!$F$5:$F$504))</f>
        <v/>
      </c>
      <c r="I167" s="11" t="str">
        <f>IF(B167="","",SUMIF('Ventas Salidas'!$D$5:$D$504,B167,'Ventas Salidas'!$F$5:$F$504))</f>
        <v/>
      </c>
      <c r="J167" s="11" t="str">
        <f t="shared" si="6"/>
        <v/>
      </c>
      <c r="K167" s="10" t="str">
        <f t="shared" si="7"/>
        <v/>
      </c>
      <c r="L167" s="10" t="str">
        <f t="shared" si="8"/>
        <v/>
      </c>
      <c r="M167" s="8"/>
      <c r="N167" s="8" t="str">
        <f>IF(B167="","",IF(OR(K167="Bajo stock",K167="Sin stock"),COUNTIFS($K$5:$K167,"Bajo stock")+COUNTIFS($K$5:$K167,"Sin stock"),""))</f>
        <v/>
      </c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2:30" ht="21.75" customHeight="1" x14ac:dyDescent="0.25">
      <c r="B168" s="10" t="str">
        <f>IF(Productos!B168="","",Productos!B168)</f>
        <v/>
      </c>
      <c r="C168" s="10" t="str">
        <f>IF(Productos!B168="","",Productos!C168)</f>
        <v/>
      </c>
      <c r="D168" s="10" t="str">
        <f>IF(Productos!B168="","",Productos!D168)</f>
        <v/>
      </c>
      <c r="E168" s="10" t="str">
        <f>IF(Productos!B168="","",Productos!E168)</f>
        <v/>
      </c>
      <c r="F168" s="11" t="str">
        <f>IF(Productos!B168="","",Productos!F168)</f>
        <v/>
      </c>
      <c r="G168" s="11" t="str">
        <f>IF(Productos!B168="","",Productos!G168)</f>
        <v/>
      </c>
      <c r="H168" s="11" t="str">
        <f>IF(B168="","",SUMIF('Compras Entradas'!$D$5:$D$504,B168,'Compras Entradas'!$F$5:$F$504))</f>
        <v/>
      </c>
      <c r="I168" s="11" t="str">
        <f>IF(B168="","",SUMIF('Ventas Salidas'!$D$5:$D$504,B168,'Ventas Salidas'!$F$5:$F$504))</f>
        <v/>
      </c>
      <c r="J168" s="11" t="str">
        <f t="shared" si="6"/>
        <v/>
      </c>
      <c r="K168" s="10" t="str">
        <f t="shared" si="7"/>
        <v/>
      </c>
      <c r="L168" s="10" t="str">
        <f t="shared" si="8"/>
        <v/>
      </c>
      <c r="M168" s="8"/>
      <c r="N168" s="8" t="str">
        <f>IF(B168="","",IF(OR(K168="Bajo stock",K168="Sin stock"),COUNTIFS($K$5:$K168,"Bajo stock")+COUNTIFS($K$5:$K168,"Sin stock"),""))</f>
        <v/>
      </c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2:30" ht="21.75" customHeight="1" x14ac:dyDescent="0.25">
      <c r="B169" s="10" t="str">
        <f>IF(Productos!B169="","",Productos!B169)</f>
        <v/>
      </c>
      <c r="C169" s="10" t="str">
        <f>IF(Productos!B169="","",Productos!C169)</f>
        <v/>
      </c>
      <c r="D169" s="10" t="str">
        <f>IF(Productos!B169="","",Productos!D169)</f>
        <v/>
      </c>
      <c r="E169" s="10" t="str">
        <f>IF(Productos!B169="","",Productos!E169)</f>
        <v/>
      </c>
      <c r="F169" s="11" t="str">
        <f>IF(Productos!B169="","",Productos!F169)</f>
        <v/>
      </c>
      <c r="G169" s="11" t="str">
        <f>IF(Productos!B169="","",Productos!G169)</f>
        <v/>
      </c>
      <c r="H169" s="11" t="str">
        <f>IF(B169="","",SUMIF('Compras Entradas'!$D$5:$D$504,B169,'Compras Entradas'!$F$5:$F$504))</f>
        <v/>
      </c>
      <c r="I169" s="11" t="str">
        <f>IF(B169="","",SUMIF('Ventas Salidas'!$D$5:$D$504,B169,'Ventas Salidas'!$F$5:$F$504))</f>
        <v/>
      </c>
      <c r="J169" s="11" t="str">
        <f t="shared" si="6"/>
        <v/>
      </c>
      <c r="K169" s="10" t="str">
        <f t="shared" si="7"/>
        <v/>
      </c>
      <c r="L169" s="10" t="str">
        <f t="shared" si="8"/>
        <v/>
      </c>
      <c r="M169" s="8"/>
      <c r="N169" s="8" t="str">
        <f>IF(B169="","",IF(OR(K169="Bajo stock",K169="Sin stock"),COUNTIFS($K$5:$K169,"Bajo stock")+COUNTIFS($K$5:$K169,"Sin stock"),""))</f>
        <v/>
      </c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2:30" ht="21.75" customHeight="1" x14ac:dyDescent="0.25">
      <c r="B170" s="10" t="str">
        <f>IF(Productos!B170="","",Productos!B170)</f>
        <v/>
      </c>
      <c r="C170" s="10" t="str">
        <f>IF(Productos!B170="","",Productos!C170)</f>
        <v/>
      </c>
      <c r="D170" s="10" t="str">
        <f>IF(Productos!B170="","",Productos!D170)</f>
        <v/>
      </c>
      <c r="E170" s="10" t="str">
        <f>IF(Productos!B170="","",Productos!E170)</f>
        <v/>
      </c>
      <c r="F170" s="11" t="str">
        <f>IF(Productos!B170="","",Productos!F170)</f>
        <v/>
      </c>
      <c r="G170" s="11" t="str">
        <f>IF(Productos!B170="","",Productos!G170)</f>
        <v/>
      </c>
      <c r="H170" s="11" t="str">
        <f>IF(B170="","",SUMIF('Compras Entradas'!$D$5:$D$504,B170,'Compras Entradas'!$F$5:$F$504))</f>
        <v/>
      </c>
      <c r="I170" s="11" t="str">
        <f>IF(B170="","",SUMIF('Ventas Salidas'!$D$5:$D$504,B170,'Ventas Salidas'!$F$5:$F$504))</f>
        <v/>
      </c>
      <c r="J170" s="11" t="str">
        <f t="shared" si="6"/>
        <v/>
      </c>
      <c r="K170" s="10" t="str">
        <f t="shared" si="7"/>
        <v/>
      </c>
      <c r="L170" s="10" t="str">
        <f t="shared" si="8"/>
        <v/>
      </c>
      <c r="M170" s="8"/>
      <c r="N170" s="8" t="str">
        <f>IF(B170="","",IF(OR(K170="Bajo stock",K170="Sin stock"),COUNTIFS($K$5:$K170,"Bajo stock")+COUNTIFS($K$5:$K170,"Sin stock"),""))</f>
        <v/>
      </c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2:30" ht="21.75" customHeight="1" x14ac:dyDescent="0.25">
      <c r="B171" s="10" t="str">
        <f>IF(Productos!B171="","",Productos!B171)</f>
        <v/>
      </c>
      <c r="C171" s="10" t="str">
        <f>IF(Productos!B171="","",Productos!C171)</f>
        <v/>
      </c>
      <c r="D171" s="10" t="str">
        <f>IF(Productos!B171="","",Productos!D171)</f>
        <v/>
      </c>
      <c r="E171" s="10" t="str">
        <f>IF(Productos!B171="","",Productos!E171)</f>
        <v/>
      </c>
      <c r="F171" s="11" t="str">
        <f>IF(Productos!B171="","",Productos!F171)</f>
        <v/>
      </c>
      <c r="G171" s="11" t="str">
        <f>IF(Productos!B171="","",Productos!G171)</f>
        <v/>
      </c>
      <c r="H171" s="11" t="str">
        <f>IF(B171="","",SUMIF('Compras Entradas'!$D$5:$D$504,B171,'Compras Entradas'!$F$5:$F$504))</f>
        <v/>
      </c>
      <c r="I171" s="11" t="str">
        <f>IF(B171="","",SUMIF('Ventas Salidas'!$D$5:$D$504,B171,'Ventas Salidas'!$F$5:$F$504))</f>
        <v/>
      </c>
      <c r="J171" s="11" t="str">
        <f t="shared" si="6"/>
        <v/>
      </c>
      <c r="K171" s="10" t="str">
        <f t="shared" si="7"/>
        <v/>
      </c>
      <c r="L171" s="10" t="str">
        <f t="shared" si="8"/>
        <v/>
      </c>
      <c r="M171" s="8"/>
      <c r="N171" s="8" t="str">
        <f>IF(B171="","",IF(OR(K171="Bajo stock",K171="Sin stock"),COUNTIFS($K$5:$K171,"Bajo stock")+COUNTIFS($K$5:$K171,"Sin stock"),""))</f>
        <v/>
      </c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2:30" ht="21.75" customHeight="1" x14ac:dyDescent="0.25">
      <c r="B172" s="10" t="str">
        <f>IF(Productos!B172="","",Productos!B172)</f>
        <v/>
      </c>
      <c r="C172" s="10" t="str">
        <f>IF(Productos!B172="","",Productos!C172)</f>
        <v/>
      </c>
      <c r="D172" s="10" t="str">
        <f>IF(Productos!B172="","",Productos!D172)</f>
        <v/>
      </c>
      <c r="E172" s="10" t="str">
        <f>IF(Productos!B172="","",Productos!E172)</f>
        <v/>
      </c>
      <c r="F172" s="11" t="str">
        <f>IF(Productos!B172="","",Productos!F172)</f>
        <v/>
      </c>
      <c r="G172" s="11" t="str">
        <f>IF(Productos!B172="","",Productos!G172)</f>
        <v/>
      </c>
      <c r="H172" s="11" t="str">
        <f>IF(B172="","",SUMIF('Compras Entradas'!$D$5:$D$504,B172,'Compras Entradas'!$F$5:$F$504))</f>
        <v/>
      </c>
      <c r="I172" s="11" t="str">
        <f>IF(B172="","",SUMIF('Ventas Salidas'!$D$5:$D$504,B172,'Ventas Salidas'!$F$5:$F$504))</f>
        <v/>
      </c>
      <c r="J172" s="11" t="str">
        <f t="shared" si="6"/>
        <v/>
      </c>
      <c r="K172" s="10" t="str">
        <f t="shared" si="7"/>
        <v/>
      </c>
      <c r="L172" s="10" t="str">
        <f t="shared" si="8"/>
        <v/>
      </c>
      <c r="M172" s="8"/>
      <c r="N172" s="8" t="str">
        <f>IF(B172="","",IF(OR(K172="Bajo stock",K172="Sin stock"),COUNTIFS($K$5:$K172,"Bajo stock")+COUNTIFS($K$5:$K172,"Sin stock"),""))</f>
        <v/>
      </c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2:30" ht="21.75" customHeight="1" x14ac:dyDescent="0.25">
      <c r="B173" s="10" t="str">
        <f>IF(Productos!B173="","",Productos!B173)</f>
        <v/>
      </c>
      <c r="C173" s="10" t="str">
        <f>IF(Productos!B173="","",Productos!C173)</f>
        <v/>
      </c>
      <c r="D173" s="10" t="str">
        <f>IF(Productos!B173="","",Productos!D173)</f>
        <v/>
      </c>
      <c r="E173" s="10" t="str">
        <f>IF(Productos!B173="","",Productos!E173)</f>
        <v/>
      </c>
      <c r="F173" s="11" t="str">
        <f>IF(Productos!B173="","",Productos!F173)</f>
        <v/>
      </c>
      <c r="G173" s="11" t="str">
        <f>IF(Productos!B173="","",Productos!G173)</f>
        <v/>
      </c>
      <c r="H173" s="11" t="str">
        <f>IF(B173="","",SUMIF('Compras Entradas'!$D$5:$D$504,B173,'Compras Entradas'!$F$5:$F$504))</f>
        <v/>
      </c>
      <c r="I173" s="11" t="str">
        <f>IF(B173="","",SUMIF('Ventas Salidas'!$D$5:$D$504,B173,'Ventas Salidas'!$F$5:$F$504))</f>
        <v/>
      </c>
      <c r="J173" s="11" t="str">
        <f t="shared" si="6"/>
        <v/>
      </c>
      <c r="K173" s="10" t="str">
        <f t="shared" si="7"/>
        <v/>
      </c>
      <c r="L173" s="10" t="str">
        <f t="shared" si="8"/>
        <v/>
      </c>
      <c r="M173" s="8"/>
      <c r="N173" s="8" t="str">
        <f>IF(B173="","",IF(OR(K173="Bajo stock",K173="Sin stock"),COUNTIFS($K$5:$K173,"Bajo stock")+COUNTIFS($K$5:$K173,"Sin stock"),""))</f>
        <v/>
      </c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2:30" ht="21.75" customHeight="1" x14ac:dyDescent="0.25">
      <c r="B174" s="10" t="str">
        <f>IF(Productos!B174="","",Productos!B174)</f>
        <v/>
      </c>
      <c r="C174" s="10" t="str">
        <f>IF(Productos!B174="","",Productos!C174)</f>
        <v/>
      </c>
      <c r="D174" s="10" t="str">
        <f>IF(Productos!B174="","",Productos!D174)</f>
        <v/>
      </c>
      <c r="E174" s="10" t="str">
        <f>IF(Productos!B174="","",Productos!E174)</f>
        <v/>
      </c>
      <c r="F174" s="11" t="str">
        <f>IF(Productos!B174="","",Productos!F174)</f>
        <v/>
      </c>
      <c r="G174" s="11" t="str">
        <f>IF(Productos!B174="","",Productos!G174)</f>
        <v/>
      </c>
      <c r="H174" s="11" t="str">
        <f>IF(B174="","",SUMIF('Compras Entradas'!$D$5:$D$504,B174,'Compras Entradas'!$F$5:$F$504))</f>
        <v/>
      </c>
      <c r="I174" s="11" t="str">
        <f>IF(B174="","",SUMIF('Ventas Salidas'!$D$5:$D$504,B174,'Ventas Salidas'!$F$5:$F$504))</f>
        <v/>
      </c>
      <c r="J174" s="11" t="str">
        <f t="shared" si="6"/>
        <v/>
      </c>
      <c r="K174" s="10" t="str">
        <f t="shared" si="7"/>
        <v/>
      </c>
      <c r="L174" s="10" t="str">
        <f t="shared" si="8"/>
        <v/>
      </c>
      <c r="M174" s="8"/>
      <c r="N174" s="8" t="str">
        <f>IF(B174="","",IF(OR(K174="Bajo stock",K174="Sin stock"),COUNTIFS($K$5:$K174,"Bajo stock")+COUNTIFS($K$5:$K174,"Sin stock"),""))</f>
        <v/>
      </c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2:30" ht="21.75" customHeight="1" x14ac:dyDescent="0.25">
      <c r="B175" s="10" t="str">
        <f>IF(Productos!B175="","",Productos!B175)</f>
        <v/>
      </c>
      <c r="C175" s="10" t="str">
        <f>IF(Productos!B175="","",Productos!C175)</f>
        <v/>
      </c>
      <c r="D175" s="10" t="str">
        <f>IF(Productos!B175="","",Productos!D175)</f>
        <v/>
      </c>
      <c r="E175" s="10" t="str">
        <f>IF(Productos!B175="","",Productos!E175)</f>
        <v/>
      </c>
      <c r="F175" s="11" t="str">
        <f>IF(Productos!B175="","",Productos!F175)</f>
        <v/>
      </c>
      <c r="G175" s="11" t="str">
        <f>IF(Productos!B175="","",Productos!G175)</f>
        <v/>
      </c>
      <c r="H175" s="11" t="str">
        <f>IF(B175="","",SUMIF('Compras Entradas'!$D$5:$D$504,B175,'Compras Entradas'!$F$5:$F$504))</f>
        <v/>
      </c>
      <c r="I175" s="11" t="str">
        <f>IF(B175="","",SUMIF('Ventas Salidas'!$D$5:$D$504,B175,'Ventas Salidas'!$F$5:$F$504))</f>
        <v/>
      </c>
      <c r="J175" s="11" t="str">
        <f t="shared" si="6"/>
        <v/>
      </c>
      <c r="K175" s="10" t="str">
        <f t="shared" si="7"/>
        <v/>
      </c>
      <c r="L175" s="10" t="str">
        <f t="shared" si="8"/>
        <v/>
      </c>
      <c r="M175" s="8"/>
      <c r="N175" s="8" t="str">
        <f>IF(B175="","",IF(OR(K175="Bajo stock",K175="Sin stock"),COUNTIFS($K$5:$K175,"Bajo stock")+COUNTIFS($K$5:$K175,"Sin stock"),""))</f>
        <v/>
      </c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2:30" ht="21.75" customHeight="1" x14ac:dyDescent="0.25">
      <c r="B176" s="10" t="str">
        <f>IF(Productos!B176="","",Productos!B176)</f>
        <v/>
      </c>
      <c r="C176" s="10" t="str">
        <f>IF(Productos!B176="","",Productos!C176)</f>
        <v/>
      </c>
      <c r="D176" s="10" t="str">
        <f>IF(Productos!B176="","",Productos!D176)</f>
        <v/>
      </c>
      <c r="E176" s="10" t="str">
        <f>IF(Productos!B176="","",Productos!E176)</f>
        <v/>
      </c>
      <c r="F176" s="11" t="str">
        <f>IF(Productos!B176="","",Productos!F176)</f>
        <v/>
      </c>
      <c r="G176" s="11" t="str">
        <f>IF(Productos!B176="","",Productos!G176)</f>
        <v/>
      </c>
      <c r="H176" s="11" t="str">
        <f>IF(B176="","",SUMIF('Compras Entradas'!$D$5:$D$504,B176,'Compras Entradas'!$F$5:$F$504))</f>
        <v/>
      </c>
      <c r="I176" s="11" t="str">
        <f>IF(B176="","",SUMIF('Ventas Salidas'!$D$5:$D$504,B176,'Ventas Salidas'!$F$5:$F$504))</f>
        <v/>
      </c>
      <c r="J176" s="11" t="str">
        <f t="shared" si="6"/>
        <v/>
      </c>
      <c r="K176" s="10" t="str">
        <f t="shared" si="7"/>
        <v/>
      </c>
      <c r="L176" s="10" t="str">
        <f t="shared" si="8"/>
        <v/>
      </c>
      <c r="M176" s="8"/>
      <c r="N176" s="8" t="str">
        <f>IF(B176="","",IF(OR(K176="Bajo stock",K176="Sin stock"),COUNTIFS($K$5:$K176,"Bajo stock")+COUNTIFS($K$5:$K176,"Sin stock"),""))</f>
        <v/>
      </c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2:30" ht="21.75" customHeight="1" x14ac:dyDescent="0.25">
      <c r="B177" s="10" t="str">
        <f>IF(Productos!B177="","",Productos!B177)</f>
        <v/>
      </c>
      <c r="C177" s="10" t="str">
        <f>IF(Productos!B177="","",Productos!C177)</f>
        <v/>
      </c>
      <c r="D177" s="10" t="str">
        <f>IF(Productos!B177="","",Productos!D177)</f>
        <v/>
      </c>
      <c r="E177" s="10" t="str">
        <f>IF(Productos!B177="","",Productos!E177)</f>
        <v/>
      </c>
      <c r="F177" s="11" t="str">
        <f>IF(Productos!B177="","",Productos!F177)</f>
        <v/>
      </c>
      <c r="G177" s="11" t="str">
        <f>IF(Productos!B177="","",Productos!G177)</f>
        <v/>
      </c>
      <c r="H177" s="11" t="str">
        <f>IF(B177="","",SUMIF('Compras Entradas'!$D$5:$D$504,B177,'Compras Entradas'!$F$5:$F$504))</f>
        <v/>
      </c>
      <c r="I177" s="11" t="str">
        <f>IF(B177="","",SUMIF('Ventas Salidas'!$D$5:$D$504,B177,'Ventas Salidas'!$F$5:$F$504))</f>
        <v/>
      </c>
      <c r="J177" s="11" t="str">
        <f t="shared" si="6"/>
        <v/>
      </c>
      <c r="K177" s="10" t="str">
        <f t="shared" si="7"/>
        <v/>
      </c>
      <c r="L177" s="10" t="str">
        <f t="shared" si="8"/>
        <v/>
      </c>
      <c r="M177" s="8"/>
      <c r="N177" s="8" t="str">
        <f>IF(B177="","",IF(OR(K177="Bajo stock",K177="Sin stock"),COUNTIFS($K$5:$K177,"Bajo stock")+COUNTIFS($K$5:$K177,"Sin stock"),""))</f>
        <v/>
      </c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2:30" ht="21.75" customHeight="1" x14ac:dyDescent="0.25">
      <c r="B178" s="10" t="str">
        <f>IF(Productos!B178="","",Productos!B178)</f>
        <v/>
      </c>
      <c r="C178" s="10" t="str">
        <f>IF(Productos!B178="","",Productos!C178)</f>
        <v/>
      </c>
      <c r="D178" s="10" t="str">
        <f>IF(Productos!B178="","",Productos!D178)</f>
        <v/>
      </c>
      <c r="E178" s="10" t="str">
        <f>IF(Productos!B178="","",Productos!E178)</f>
        <v/>
      </c>
      <c r="F178" s="11" t="str">
        <f>IF(Productos!B178="","",Productos!F178)</f>
        <v/>
      </c>
      <c r="G178" s="11" t="str">
        <f>IF(Productos!B178="","",Productos!G178)</f>
        <v/>
      </c>
      <c r="H178" s="11" t="str">
        <f>IF(B178="","",SUMIF('Compras Entradas'!$D$5:$D$504,B178,'Compras Entradas'!$F$5:$F$504))</f>
        <v/>
      </c>
      <c r="I178" s="11" t="str">
        <f>IF(B178="","",SUMIF('Ventas Salidas'!$D$5:$D$504,B178,'Ventas Salidas'!$F$5:$F$504))</f>
        <v/>
      </c>
      <c r="J178" s="11" t="str">
        <f t="shared" si="6"/>
        <v/>
      </c>
      <c r="K178" s="10" t="str">
        <f t="shared" si="7"/>
        <v/>
      </c>
      <c r="L178" s="10" t="str">
        <f t="shared" si="8"/>
        <v/>
      </c>
      <c r="M178" s="8"/>
      <c r="N178" s="8" t="str">
        <f>IF(B178="","",IF(OR(K178="Bajo stock",K178="Sin stock"),COUNTIFS($K$5:$K178,"Bajo stock")+COUNTIFS($K$5:$K178,"Sin stock"),""))</f>
        <v/>
      </c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2:30" ht="21.75" customHeight="1" x14ac:dyDescent="0.25">
      <c r="B179" s="10" t="str">
        <f>IF(Productos!B179="","",Productos!B179)</f>
        <v/>
      </c>
      <c r="C179" s="10" t="str">
        <f>IF(Productos!B179="","",Productos!C179)</f>
        <v/>
      </c>
      <c r="D179" s="10" t="str">
        <f>IF(Productos!B179="","",Productos!D179)</f>
        <v/>
      </c>
      <c r="E179" s="10" t="str">
        <f>IF(Productos!B179="","",Productos!E179)</f>
        <v/>
      </c>
      <c r="F179" s="11" t="str">
        <f>IF(Productos!B179="","",Productos!F179)</f>
        <v/>
      </c>
      <c r="G179" s="11" t="str">
        <f>IF(Productos!B179="","",Productos!G179)</f>
        <v/>
      </c>
      <c r="H179" s="11" t="str">
        <f>IF(B179="","",SUMIF('Compras Entradas'!$D$5:$D$504,B179,'Compras Entradas'!$F$5:$F$504))</f>
        <v/>
      </c>
      <c r="I179" s="11" t="str">
        <f>IF(B179="","",SUMIF('Ventas Salidas'!$D$5:$D$504,B179,'Ventas Salidas'!$F$5:$F$504))</f>
        <v/>
      </c>
      <c r="J179" s="11" t="str">
        <f t="shared" si="6"/>
        <v/>
      </c>
      <c r="K179" s="10" t="str">
        <f t="shared" si="7"/>
        <v/>
      </c>
      <c r="L179" s="10" t="str">
        <f t="shared" si="8"/>
        <v/>
      </c>
      <c r="M179" s="8"/>
      <c r="N179" s="8" t="str">
        <f>IF(B179="","",IF(OR(K179="Bajo stock",K179="Sin stock"),COUNTIFS($K$5:$K179,"Bajo stock")+COUNTIFS($K$5:$K179,"Sin stock"),""))</f>
        <v/>
      </c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2:30" ht="21.75" customHeight="1" x14ac:dyDescent="0.25">
      <c r="B180" s="10" t="str">
        <f>IF(Productos!B180="","",Productos!B180)</f>
        <v/>
      </c>
      <c r="C180" s="10" t="str">
        <f>IF(Productos!B180="","",Productos!C180)</f>
        <v/>
      </c>
      <c r="D180" s="10" t="str">
        <f>IF(Productos!B180="","",Productos!D180)</f>
        <v/>
      </c>
      <c r="E180" s="10" t="str">
        <f>IF(Productos!B180="","",Productos!E180)</f>
        <v/>
      </c>
      <c r="F180" s="11" t="str">
        <f>IF(Productos!B180="","",Productos!F180)</f>
        <v/>
      </c>
      <c r="G180" s="11" t="str">
        <f>IF(Productos!B180="","",Productos!G180)</f>
        <v/>
      </c>
      <c r="H180" s="11" t="str">
        <f>IF(B180="","",SUMIF('Compras Entradas'!$D$5:$D$504,B180,'Compras Entradas'!$F$5:$F$504))</f>
        <v/>
      </c>
      <c r="I180" s="11" t="str">
        <f>IF(B180="","",SUMIF('Ventas Salidas'!$D$5:$D$504,B180,'Ventas Salidas'!$F$5:$F$504))</f>
        <v/>
      </c>
      <c r="J180" s="11" t="str">
        <f t="shared" si="6"/>
        <v/>
      </c>
      <c r="K180" s="10" t="str">
        <f t="shared" si="7"/>
        <v/>
      </c>
      <c r="L180" s="10" t="str">
        <f t="shared" si="8"/>
        <v/>
      </c>
      <c r="M180" s="8"/>
      <c r="N180" s="8" t="str">
        <f>IF(B180="","",IF(OR(K180="Bajo stock",K180="Sin stock"),COUNTIFS($K$5:$K180,"Bajo stock")+COUNTIFS($K$5:$K180,"Sin stock"),""))</f>
        <v/>
      </c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2:30" ht="21.75" customHeight="1" x14ac:dyDescent="0.25">
      <c r="B181" s="10" t="str">
        <f>IF(Productos!B181="","",Productos!B181)</f>
        <v/>
      </c>
      <c r="C181" s="10" t="str">
        <f>IF(Productos!B181="","",Productos!C181)</f>
        <v/>
      </c>
      <c r="D181" s="10" t="str">
        <f>IF(Productos!B181="","",Productos!D181)</f>
        <v/>
      </c>
      <c r="E181" s="10" t="str">
        <f>IF(Productos!B181="","",Productos!E181)</f>
        <v/>
      </c>
      <c r="F181" s="11" t="str">
        <f>IF(Productos!B181="","",Productos!F181)</f>
        <v/>
      </c>
      <c r="G181" s="11" t="str">
        <f>IF(Productos!B181="","",Productos!G181)</f>
        <v/>
      </c>
      <c r="H181" s="11" t="str">
        <f>IF(B181="","",SUMIF('Compras Entradas'!$D$5:$D$504,B181,'Compras Entradas'!$F$5:$F$504))</f>
        <v/>
      </c>
      <c r="I181" s="11" t="str">
        <f>IF(B181="","",SUMIF('Ventas Salidas'!$D$5:$D$504,B181,'Ventas Salidas'!$F$5:$F$504))</f>
        <v/>
      </c>
      <c r="J181" s="11" t="str">
        <f t="shared" si="6"/>
        <v/>
      </c>
      <c r="K181" s="10" t="str">
        <f t="shared" si="7"/>
        <v/>
      </c>
      <c r="L181" s="10" t="str">
        <f t="shared" si="8"/>
        <v/>
      </c>
      <c r="M181" s="8"/>
      <c r="N181" s="8" t="str">
        <f>IF(B181="","",IF(OR(K181="Bajo stock",K181="Sin stock"),COUNTIFS($K$5:$K181,"Bajo stock")+COUNTIFS($K$5:$K181,"Sin stock"),""))</f>
        <v/>
      </c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2:30" ht="21.75" customHeight="1" x14ac:dyDescent="0.25">
      <c r="B182" s="10" t="str">
        <f>IF(Productos!B182="","",Productos!B182)</f>
        <v/>
      </c>
      <c r="C182" s="10" t="str">
        <f>IF(Productos!B182="","",Productos!C182)</f>
        <v/>
      </c>
      <c r="D182" s="10" t="str">
        <f>IF(Productos!B182="","",Productos!D182)</f>
        <v/>
      </c>
      <c r="E182" s="10" t="str">
        <f>IF(Productos!B182="","",Productos!E182)</f>
        <v/>
      </c>
      <c r="F182" s="11" t="str">
        <f>IF(Productos!B182="","",Productos!F182)</f>
        <v/>
      </c>
      <c r="G182" s="11" t="str">
        <f>IF(Productos!B182="","",Productos!G182)</f>
        <v/>
      </c>
      <c r="H182" s="11" t="str">
        <f>IF(B182="","",SUMIF('Compras Entradas'!$D$5:$D$504,B182,'Compras Entradas'!$F$5:$F$504))</f>
        <v/>
      </c>
      <c r="I182" s="11" t="str">
        <f>IF(B182="","",SUMIF('Ventas Salidas'!$D$5:$D$504,B182,'Ventas Salidas'!$F$5:$F$504))</f>
        <v/>
      </c>
      <c r="J182" s="11" t="str">
        <f t="shared" si="6"/>
        <v/>
      </c>
      <c r="K182" s="10" t="str">
        <f t="shared" si="7"/>
        <v/>
      </c>
      <c r="L182" s="10" t="str">
        <f t="shared" si="8"/>
        <v/>
      </c>
      <c r="M182" s="8"/>
      <c r="N182" s="8" t="str">
        <f>IF(B182="","",IF(OR(K182="Bajo stock",K182="Sin stock"),COUNTIFS($K$5:$K182,"Bajo stock")+COUNTIFS($K$5:$K182,"Sin stock"),""))</f>
        <v/>
      </c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2:30" ht="21.75" customHeight="1" x14ac:dyDescent="0.25">
      <c r="B183" s="10" t="str">
        <f>IF(Productos!B183="","",Productos!B183)</f>
        <v/>
      </c>
      <c r="C183" s="10" t="str">
        <f>IF(Productos!B183="","",Productos!C183)</f>
        <v/>
      </c>
      <c r="D183" s="10" t="str">
        <f>IF(Productos!B183="","",Productos!D183)</f>
        <v/>
      </c>
      <c r="E183" s="10" t="str">
        <f>IF(Productos!B183="","",Productos!E183)</f>
        <v/>
      </c>
      <c r="F183" s="11" t="str">
        <f>IF(Productos!B183="","",Productos!F183)</f>
        <v/>
      </c>
      <c r="G183" s="11" t="str">
        <f>IF(Productos!B183="","",Productos!G183)</f>
        <v/>
      </c>
      <c r="H183" s="11" t="str">
        <f>IF(B183="","",SUMIF('Compras Entradas'!$D$5:$D$504,B183,'Compras Entradas'!$F$5:$F$504))</f>
        <v/>
      </c>
      <c r="I183" s="11" t="str">
        <f>IF(B183="","",SUMIF('Ventas Salidas'!$D$5:$D$504,B183,'Ventas Salidas'!$F$5:$F$504))</f>
        <v/>
      </c>
      <c r="J183" s="11" t="str">
        <f t="shared" si="6"/>
        <v/>
      </c>
      <c r="K183" s="10" t="str">
        <f t="shared" si="7"/>
        <v/>
      </c>
      <c r="L183" s="10" t="str">
        <f t="shared" si="8"/>
        <v/>
      </c>
      <c r="M183" s="8"/>
      <c r="N183" s="8" t="str">
        <f>IF(B183="","",IF(OR(K183="Bajo stock",K183="Sin stock"),COUNTIFS($K$5:$K183,"Bajo stock")+COUNTIFS($K$5:$K183,"Sin stock"),""))</f>
        <v/>
      </c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2:30" ht="21.75" customHeight="1" x14ac:dyDescent="0.25">
      <c r="B184" s="10" t="str">
        <f>IF(Productos!B184="","",Productos!B184)</f>
        <v/>
      </c>
      <c r="C184" s="10" t="str">
        <f>IF(Productos!B184="","",Productos!C184)</f>
        <v/>
      </c>
      <c r="D184" s="10" t="str">
        <f>IF(Productos!B184="","",Productos!D184)</f>
        <v/>
      </c>
      <c r="E184" s="10" t="str">
        <f>IF(Productos!B184="","",Productos!E184)</f>
        <v/>
      </c>
      <c r="F184" s="11" t="str">
        <f>IF(Productos!B184="","",Productos!F184)</f>
        <v/>
      </c>
      <c r="G184" s="11" t="str">
        <f>IF(Productos!B184="","",Productos!G184)</f>
        <v/>
      </c>
      <c r="H184" s="11" t="str">
        <f>IF(B184="","",SUMIF('Compras Entradas'!$D$5:$D$504,B184,'Compras Entradas'!$F$5:$F$504))</f>
        <v/>
      </c>
      <c r="I184" s="11" t="str">
        <f>IF(B184="","",SUMIF('Ventas Salidas'!$D$5:$D$504,B184,'Ventas Salidas'!$F$5:$F$504))</f>
        <v/>
      </c>
      <c r="J184" s="11" t="str">
        <f t="shared" si="6"/>
        <v/>
      </c>
      <c r="K184" s="10" t="str">
        <f t="shared" si="7"/>
        <v/>
      </c>
      <c r="L184" s="10" t="str">
        <f t="shared" si="8"/>
        <v/>
      </c>
      <c r="M184" s="8"/>
      <c r="N184" s="8" t="str">
        <f>IF(B184="","",IF(OR(K184="Bajo stock",K184="Sin stock"),COUNTIFS($K$5:$K184,"Bajo stock")+COUNTIFS($K$5:$K184,"Sin stock"),""))</f>
        <v/>
      </c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2:30" ht="21.75" customHeight="1" x14ac:dyDescent="0.25">
      <c r="B185" s="10" t="str">
        <f>IF(Productos!B185="","",Productos!B185)</f>
        <v/>
      </c>
      <c r="C185" s="10" t="str">
        <f>IF(Productos!B185="","",Productos!C185)</f>
        <v/>
      </c>
      <c r="D185" s="10" t="str">
        <f>IF(Productos!B185="","",Productos!D185)</f>
        <v/>
      </c>
      <c r="E185" s="10" t="str">
        <f>IF(Productos!B185="","",Productos!E185)</f>
        <v/>
      </c>
      <c r="F185" s="11" t="str">
        <f>IF(Productos!B185="","",Productos!F185)</f>
        <v/>
      </c>
      <c r="G185" s="11" t="str">
        <f>IF(Productos!B185="","",Productos!G185)</f>
        <v/>
      </c>
      <c r="H185" s="11" t="str">
        <f>IF(B185="","",SUMIF('Compras Entradas'!$D$5:$D$504,B185,'Compras Entradas'!$F$5:$F$504))</f>
        <v/>
      </c>
      <c r="I185" s="11" t="str">
        <f>IF(B185="","",SUMIF('Ventas Salidas'!$D$5:$D$504,B185,'Ventas Salidas'!$F$5:$F$504))</f>
        <v/>
      </c>
      <c r="J185" s="11" t="str">
        <f t="shared" si="6"/>
        <v/>
      </c>
      <c r="K185" s="10" t="str">
        <f t="shared" si="7"/>
        <v/>
      </c>
      <c r="L185" s="10" t="str">
        <f t="shared" si="8"/>
        <v/>
      </c>
      <c r="M185" s="8"/>
      <c r="N185" s="8" t="str">
        <f>IF(B185="","",IF(OR(K185="Bajo stock",K185="Sin stock"),COUNTIFS($K$5:$K185,"Bajo stock")+COUNTIFS($K$5:$K185,"Sin stock"),""))</f>
        <v/>
      </c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2:30" ht="21.75" customHeight="1" x14ac:dyDescent="0.25">
      <c r="B186" s="10" t="str">
        <f>IF(Productos!B186="","",Productos!B186)</f>
        <v/>
      </c>
      <c r="C186" s="10" t="str">
        <f>IF(Productos!B186="","",Productos!C186)</f>
        <v/>
      </c>
      <c r="D186" s="10" t="str">
        <f>IF(Productos!B186="","",Productos!D186)</f>
        <v/>
      </c>
      <c r="E186" s="10" t="str">
        <f>IF(Productos!B186="","",Productos!E186)</f>
        <v/>
      </c>
      <c r="F186" s="11" t="str">
        <f>IF(Productos!B186="","",Productos!F186)</f>
        <v/>
      </c>
      <c r="G186" s="11" t="str">
        <f>IF(Productos!B186="","",Productos!G186)</f>
        <v/>
      </c>
      <c r="H186" s="11" t="str">
        <f>IF(B186="","",SUMIF('Compras Entradas'!$D$5:$D$504,B186,'Compras Entradas'!$F$5:$F$504))</f>
        <v/>
      </c>
      <c r="I186" s="11" t="str">
        <f>IF(B186="","",SUMIF('Ventas Salidas'!$D$5:$D$504,B186,'Ventas Salidas'!$F$5:$F$504))</f>
        <v/>
      </c>
      <c r="J186" s="11" t="str">
        <f t="shared" si="6"/>
        <v/>
      </c>
      <c r="K186" s="10" t="str">
        <f t="shared" si="7"/>
        <v/>
      </c>
      <c r="L186" s="10" t="str">
        <f t="shared" si="8"/>
        <v/>
      </c>
      <c r="M186" s="8"/>
      <c r="N186" s="8" t="str">
        <f>IF(B186="","",IF(OR(K186="Bajo stock",K186="Sin stock"),COUNTIFS($K$5:$K186,"Bajo stock")+COUNTIFS($K$5:$K186,"Sin stock"),""))</f>
        <v/>
      </c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2:30" ht="21.75" customHeight="1" x14ac:dyDescent="0.25">
      <c r="B187" s="10" t="str">
        <f>IF(Productos!B187="","",Productos!B187)</f>
        <v/>
      </c>
      <c r="C187" s="10" t="str">
        <f>IF(Productos!B187="","",Productos!C187)</f>
        <v/>
      </c>
      <c r="D187" s="10" t="str">
        <f>IF(Productos!B187="","",Productos!D187)</f>
        <v/>
      </c>
      <c r="E187" s="10" t="str">
        <f>IF(Productos!B187="","",Productos!E187)</f>
        <v/>
      </c>
      <c r="F187" s="11" t="str">
        <f>IF(Productos!B187="","",Productos!F187)</f>
        <v/>
      </c>
      <c r="G187" s="11" t="str">
        <f>IF(Productos!B187="","",Productos!G187)</f>
        <v/>
      </c>
      <c r="H187" s="11" t="str">
        <f>IF(B187="","",SUMIF('Compras Entradas'!$D$5:$D$504,B187,'Compras Entradas'!$F$5:$F$504))</f>
        <v/>
      </c>
      <c r="I187" s="11" t="str">
        <f>IF(B187="","",SUMIF('Ventas Salidas'!$D$5:$D$504,B187,'Ventas Salidas'!$F$5:$F$504))</f>
        <v/>
      </c>
      <c r="J187" s="11" t="str">
        <f t="shared" si="6"/>
        <v/>
      </c>
      <c r="K187" s="10" t="str">
        <f t="shared" si="7"/>
        <v/>
      </c>
      <c r="L187" s="10" t="str">
        <f t="shared" si="8"/>
        <v/>
      </c>
      <c r="M187" s="8"/>
      <c r="N187" s="8" t="str">
        <f>IF(B187="","",IF(OR(K187="Bajo stock",K187="Sin stock"),COUNTIFS($K$5:$K187,"Bajo stock")+COUNTIFS($K$5:$K187,"Sin stock"),""))</f>
        <v/>
      </c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2:30" ht="21.75" customHeight="1" x14ac:dyDescent="0.25">
      <c r="B188" s="10" t="str">
        <f>IF(Productos!B188="","",Productos!B188)</f>
        <v/>
      </c>
      <c r="C188" s="10" t="str">
        <f>IF(Productos!B188="","",Productos!C188)</f>
        <v/>
      </c>
      <c r="D188" s="10" t="str">
        <f>IF(Productos!B188="","",Productos!D188)</f>
        <v/>
      </c>
      <c r="E188" s="10" t="str">
        <f>IF(Productos!B188="","",Productos!E188)</f>
        <v/>
      </c>
      <c r="F188" s="11" t="str">
        <f>IF(Productos!B188="","",Productos!F188)</f>
        <v/>
      </c>
      <c r="G188" s="11" t="str">
        <f>IF(Productos!B188="","",Productos!G188)</f>
        <v/>
      </c>
      <c r="H188" s="11" t="str">
        <f>IF(B188="","",SUMIF('Compras Entradas'!$D$5:$D$504,B188,'Compras Entradas'!$F$5:$F$504))</f>
        <v/>
      </c>
      <c r="I188" s="11" t="str">
        <f>IF(B188="","",SUMIF('Ventas Salidas'!$D$5:$D$504,B188,'Ventas Salidas'!$F$5:$F$504))</f>
        <v/>
      </c>
      <c r="J188" s="11" t="str">
        <f t="shared" si="6"/>
        <v/>
      </c>
      <c r="K188" s="10" t="str">
        <f t="shared" si="7"/>
        <v/>
      </c>
      <c r="L188" s="10" t="str">
        <f t="shared" si="8"/>
        <v/>
      </c>
      <c r="M188" s="8"/>
      <c r="N188" s="8" t="str">
        <f>IF(B188="","",IF(OR(K188="Bajo stock",K188="Sin stock"),COUNTIFS($K$5:$K188,"Bajo stock")+COUNTIFS($K$5:$K188,"Sin stock"),""))</f>
        <v/>
      </c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2:30" ht="21.75" customHeight="1" x14ac:dyDescent="0.25">
      <c r="B189" s="10" t="str">
        <f>IF(Productos!B189="","",Productos!B189)</f>
        <v/>
      </c>
      <c r="C189" s="10" t="str">
        <f>IF(Productos!B189="","",Productos!C189)</f>
        <v/>
      </c>
      <c r="D189" s="10" t="str">
        <f>IF(Productos!B189="","",Productos!D189)</f>
        <v/>
      </c>
      <c r="E189" s="10" t="str">
        <f>IF(Productos!B189="","",Productos!E189)</f>
        <v/>
      </c>
      <c r="F189" s="11" t="str">
        <f>IF(Productos!B189="","",Productos!F189)</f>
        <v/>
      </c>
      <c r="G189" s="11" t="str">
        <f>IF(Productos!B189="","",Productos!G189)</f>
        <v/>
      </c>
      <c r="H189" s="11" t="str">
        <f>IF(B189="","",SUMIF('Compras Entradas'!$D$5:$D$504,B189,'Compras Entradas'!$F$5:$F$504))</f>
        <v/>
      </c>
      <c r="I189" s="11" t="str">
        <f>IF(B189="","",SUMIF('Ventas Salidas'!$D$5:$D$504,B189,'Ventas Salidas'!$F$5:$F$504))</f>
        <v/>
      </c>
      <c r="J189" s="11" t="str">
        <f t="shared" si="6"/>
        <v/>
      </c>
      <c r="K189" s="10" t="str">
        <f t="shared" si="7"/>
        <v/>
      </c>
      <c r="L189" s="10" t="str">
        <f t="shared" si="8"/>
        <v/>
      </c>
      <c r="M189" s="8"/>
      <c r="N189" s="8" t="str">
        <f>IF(B189="","",IF(OR(K189="Bajo stock",K189="Sin stock"),COUNTIFS($K$5:$K189,"Bajo stock")+COUNTIFS($K$5:$K189,"Sin stock"),""))</f>
        <v/>
      </c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2:30" ht="21.75" customHeight="1" x14ac:dyDescent="0.25">
      <c r="B190" s="10" t="str">
        <f>IF(Productos!B190="","",Productos!B190)</f>
        <v/>
      </c>
      <c r="C190" s="10" t="str">
        <f>IF(Productos!B190="","",Productos!C190)</f>
        <v/>
      </c>
      <c r="D190" s="10" t="str">
        <f>IF(Productos!B190="","",Productos!D190)</f>
        <v/>
      </c>
      <c r="E190" s="10" t="str">
        <f>IF(Productos!B190="","",Productos!E190)</f>
        <v/>
      </c>
      <c r="F190" s="11" t="str">
        <f>IF(Productos!B190="","",Productos!F190)</f>
        <v/>
      </c>
      <c r="G190" s="11" t="str">
        <f>IF(Productos!B190="","",Productos!G190)</f>
        <v/>
      </c>
      <c r="H190" s="11" t="str">
        <f>IF(B190="","",SUMIF('Compras Entradas'!$D$5:$D$504,B190,'Compras Entradas'!$F$5:$F$504))</f>
        <v/>
      </c>
      <c r="I190" s="11" t="str">
        <f>IF(B190="","",SUMIF('Ventas Salidas'!$D$5:$D$504,B190,'Ventas Salidas'!$F$5:$F$504))</f>
        <v/>
      </c>
      <c r="J190" s="11" t="str">
        <f t="shared" si="6"/>
        <v/>
      </c>
      <c r="K190" s="10" t="str">
        <f t="shared" si="7"/>
        <v/>
      </c>
      <c r="L190" s="10" t="str">
        <f t="shared" si="8"/>
        <v/>
      </c>
      <c r="M190" s="8"/>
      <c r="N190" s="8" t="str">
        <f>IF(B190="","",IF(OR(K190="Bajo stock",K190="Sin stock"),COUNTIFS($K$5:$K190,"Bajo stock")+COUNTIFS($K$5:$K190,"Sin stock"),""))</f>
        <v/>
      </c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2:30" ht="21.75" customHeight="1" x14ac:dyDescent="0.25">
      <c r="B191" s="10" t="str">
        <f>IF(Productos!B191="","",Productos!B191)</f>
        <v/>
      </c>
      <c r="C191" s="10" t="str">
        <f>IF(Productos!B191="","",Productos!C191)</f>
        <v/>
      </c>
      <c r="D191" s="10" t="str">
        <f>IF(Productos!B191="","",Productos!D191)</f>
        <v/>
      </c>
      <c r="E191" s="10" t="str">
        <f>IF(Productos!B191="","",Productos!E191)</f>
        <v/>
      </c>
      <c r="F191" s="11" t="str">
        <f>IF(Productos!B191="","",Productos!F191)</f>
        <v/>
      </c>
      <c r="G191" s="11" t="str">
        <f>IF(Productos!B191="","",Productos!G191)</f>
        <v/>
      </c>
      <c r="H191" s="11" t="str">
        <f>IF(B191="","",SUMIF('Compras Entradas'!$D$5:$D$504,B191,'Compras Entradas'!$F$5:$F$504))</f>
        <v/>
      </c>
      <c r="I191" s="11" t="str">
        <f>IF(B191="","",SUMIF('Ventas Salidas'!$D$5:$D$504,B191,'Ventas Salidas'!$F$5:$F$504))</f>
        <v/>
      </c>
      <c r="J191" s="11" t="str">
        <f t="shared" si="6"/>
        <v/>
      </c>
      <c r="K191" s="10" t="str">
        <f t="shared" si="7"/>
        <v/>
      </c>
      <c r="L191" s="10" t="str">
        <f t="shared" si="8"/>
        <v/>
      </c>
      <c r="M191" s="8"/>
      <c r="N191" s="8" t="str">
        <f>IF(B191="","",IF(OR(K191="Bajo stock",K191="Sin stock"),COUNTIFS($K$5:$K191,"Bajo stock")+COUNTIFS($K$5:$K191,"Sin stock"),""))</f>
        <v/>
      </c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2:30" ht="21.75" customHeight="1" x14ac:dyDescent="0.25">
      <c r="B192" s="10" t="str">
        <f>IF(Productos!B192="","",Productos!B192)</f>
        <v/>
      </c>
      <c r="C192" s="10" t="str">
        <f>IF(Productos!B192="","",Productos!C192)</f>
        <v/>
      </c>
      <c r="D192" s="10" t="str">
        <f>IF(Productos!B192="","",Productos!D192)</f>
        <v/>
      </c>
      <c r="E192" s="10" t="str">
        <f>IF(Productos!B192="","",Productos!E192)</f>
        <v/>
      </c>
      <c r="F192" s="11" t="str">
        <f>IF(Productos!B192="","",Productos!F192)</f>
        <v/>
      </c>
      <c r="G192" s="11" t="str">
        <f>IF(Productos!B192="","",Productos!G192)</f>
        <v/>
      </c>
      <c r="H192" s="11" t="str">
        <f>IF(B192="","",SUMIF('Compras Entradas'!$D$5:$D$504,B192,'Compras Entradas'!$F$5:$F$504))</f>
        <v/>
      </c>
      <c r="I192" s="11" t="str">
        <f>IF(B192="","",SUMIF('Ventas Salidas'!$D$5:$D$504,B192,'Ventas Salidas'!$F$5:$F$504))</f>
        <v/>
      </c>
      <c r="J192" s="11" t="str">
        <f t="shared" si="6"/>
        <v/>
      </c>
      <c r="K192" s="10" t="str">
        <f t="shared" si="7"/>
        <v/>
      </c>
      <c r="L192" s="10" t="str">
        <f t="shared" si="8"/>
        <v/>
      </c>
      <c r="M192" s="8"/>
      <c r="N192" s="8" t="str">
        <f>IF(B192="","",IF(OR(K192="Bajo stock",K192="Sin stock"),COUNTIFS($K$5:$K192,"Bajo stock")+COUNTIFS($K$5:$K192,"Sin stock"),""))</f>
        <v/>
      </c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2:30" ht="21.75" customHeight="1" x14ac:dyDescent="0.25">
      <c r="B193" s="10" t="str">
        <f>IF(Productos!B193="","",Productos!B193)</f>
        <v/>
      </c>
      <c r="C193" s="10" t="str">
        <f>IF(Productos!B193="","",Productos!C193)</f>
        <v/>
      </c>
      <c r="D193" s="10" t="str">
        <f>IF(Productos!B193="","",Productos!D193)</f>
        <v/>
      </c>
      <c r="E193" s="10" t="str">
        <f>IF(Productos!B193="","",Productos!E193)</f>
        <v/>
      </c>
      <c r="F193" s="11" t="str">
        <f>IF(Productos!B193="","",Productos!F193)</f>
        <v/>
      </c>
      <c r="G193" s="11" t="str">
        <f>IF(Productos!B193="","",Productos!G193)</f>
        <v/>
      </c>
      <c r="H193" s="11" t="str">
        <f>IF(B193="","",SUMIF('Compras Entradas'!$D$5:$D$504,B193,'Compras Entradas'!$F$5:$F$504))</f>
        <v/>
      </c>
      <c r="I193" s="11" t="str">
        <f>IF(B193="","",SUMIF('Ventas Salidas'!$D$5:$D$504,B193,'Ventas Salidas'!$F$5:$F$504))</f>
        <v/>
      </c>
      <c r="J193" s="11" t="str">
        <f t="shared" si="6"/>
        <v/>
      </c>
      <c r="K193" s="10" t="str">
        <f t="shared" si="7"/>
        <v/>
      </c>
      <c r="L193" s="10" t="str">
        <f t="shared" si="8"/>
        <v/>
      </c>
      <c r="M193" s="8"/>
      <c r="N193" s="8" t="str">
        <f>IF(B193="","",IF(OR(K193="Bajo stock",K193="Sin stock"),COUNTIFS($K$5:$K193,"Bajo stock")+COUNTIFS($K$5:$K193,"Sin stock"),""))</f>
        <v/>
      </c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2:30" ht="21.75" customHeight="1" x14ac:dyDescent="0.25">
      <c r="B194" s="10" t="str">
        <f>IF(Productos!B194="","",Productos!B194)</f>
        <v/>
      </c>
      <c r="C194" s="10" t="str">
        <f>IF(Productos!B194="","",Productos!C194)</f>
        <v/>
      </c>
      <c r="D194" s="10" t="str">
        <f>IF(Productos!B194="","",Productos!D194)</f>
        <v/>
      </c>
      <c r="E194" s="10" t="str">
        <f>IF(Productos!B194="","",Productos!E194)</f>
        <v/>
      </c>
      <c r="F194" s="11" t="str">
        <f>IF(Productos!B194="","",Productos!F194)</f>
        <v/>
      </c>
      <c r="G194" s="11" t="str">
        <f>IF(Productos!B194="","",Productos!G194)</f>
        <v/>
      </c>
      <c r="H194" s="11" t="str">
        <f>IF(B194="","",SUMIF('Compras Entradas'!$D$5:$D$504,B194,'Compras Entradas'!$F$5:$F$504))</f>
        <v/>
      </c>
      <c r="I194" s="11" t="str">
        <f>IF(B194="","",SUMIF('Ventas Salidas'!$D$5:$D$504,B194,'Ventas Salidas'!$F$5:$F$504))</f>
        <v/>
      </c>
      <c r="J194" s="11" t="str">
        <f t="shared" si="6"/>
        <v/>
      </c>
      <c r="K194" s="10" t="str">
        <f t="shared" si="7"/>
        <v/>
      </c>
      <c r="L194" s="10" t="str">
        <f t="shared" si="8"/>
        <v/>
      </c>
      <c r="M194" s="8"/>
      <c r="N194" s="8" t="str">
        <f>IF(B194="","",IF(OR(K194="Bajo stock",K194="Sin stock"),COUNTIFS($K$5:$K194,"Bajo stock")+COUNTIFS($K$5:$K194,"Sin stock"),""))</f>
        <v/>
      </c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2:30" ht="21.75" customHeight="1" x14ac:dyDescent="0.25">
      <c r="B195" s="10" t="str">
        <f>IF(Productos!B195="","",Productos!B195)</f>
        <v/>
      </c>
      <c r="C195" s="10" t="str">
        <f>IF(Productos!B195="","",Productos!C195)</f>
        <v/>
      </c>
      <c r="D195" s="10" t="str">
        <f>IF(Productos!B195="","",Productos!D195)</f>
        <v/>
      </c>
      <c r="E195" s="10" t="str">
        <f>IF(Productos!B195="","",Productos!E195)</f>
        <v/>
      </c>
      <c r="F195" s="11" t="str">
        <f>IF(Productos!B195="","",Productos!F195)</f>
        <v/>
      </c>
      <c r="G195" s="11" t="str">
        <f>IF(Productos!B195="","",Productos!G195)</f>
        <v/>
      </c>
      <c r="H195" s="11" t="str">
        <f>IF(B195="","",SUMIF('Compras Entradas'!$D$5:$D$504,B195,'Compras Entradas'!$F$5:$F$504))</f>
        <v/>
      </c>
      <c r="I195" s="11" t="str">
        <f>IF(B195="","",SUMIF('Ventas Salidas'!$D$5:$D$504,B195,'Ventas Salidas'!$F$5:$F$504))</f>
        <v/>
      </c>
      <c r="J195" s="11" t="str">
        <f t="shared" si="6"/>
        <v/>
      </c>
      <c r="K195" s="10" t="str">
        <f t="shared" si="7"/>
        <v/>
      </c>
      <c r="L195" s="10" t="str">
        <f t="shared" si="8"/>
        <v/>
      </c>
      <c r="M195" s="8"/>
      <c r="N195" s="8" t="str">
        <f>IF(B195="","",IF(OR(K195="Bajo stock",K195="Sin stock"),COUNTIFS($K$5:$K195,"Bajo stock")+COUNTIFS($K$5:$K195,"Sin stock"),""))</f>
        <v/>
      </c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2:30" ht="21.75" customHeight="1" x14ac:dyDescent="0.25">
      <c r="B196" s="10" t="str">
        <f>IF(Productos!B196="","",Productos!B196)</f>
        <v/>
      </c>
      <c r="C196" s="10" t="str">
        <f>IF(Productos!B196="","",Productos!C196)</f>
        <v/>
      </c>
      <c r="D196" s="10" t="str">
        <f>IF(Productos!B196="","",Productos!D196)</f>
        <v/>
      </c>
      <c r="E196" s="10" t="str">
        <f>IF(Productos!B196="","",Productos!E196)</f>
        <v/>
      </c>
      <c r="F196" s="11" t="str">
        <f>IF(Productos!B196="","",Productos!F196)</f>
        <v/>
      </c>
      <c r="G196" s="11" t="str">
        <f>IF(Productos!B196="","",Productos!G196)</f>
        <v/>
      </c>
      <c r="H196" s="11" t="str">
        <f>IF(B196="","",SUMIF('Compras Entradas'!$D$5:$D$504,B196,'Compras Entradas'!$F$5:$F$504))</f>
        <v/>
      </c>
      <c r="I196" s="11" t="str">
        <f>IF(B196="","",SUMIF('Ventas Salidas'!$D$5:$D$504,B196,'Ventas Salidas'!$F$5:$F$504))</f>
        <v/>
      </c>
      <c r="J196" s="11" t="str">
        <f t="shared" si="6"/>
        <v/>
      </c>
      <c r="K196" s="10" t="str">
        <f t="shared" si="7"/>
        <v/>
      </c>
      <c r="L196" s="10" t="str">
        <f t="shared" si="8"/>
        <v/>
      </c>
      <c r="M196" s="8"/>
      <c r="N196" s="8" t="str">
        <f>IF(B196="","",IF(OR(K196="Bajo stock",K196="Sin stock"),COUNTIFS($K$5:$K196,"Bajo stock")+COUNTIFS($K$5:$K196,"Sin stock"),""))</f>
        <v/>
      </c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2:30" ht="21.75" customHeight="1" x14ac:dyDescent="0.25">
      <c r="B197" s="10" t="str">
        <f>IF(Productos!B197="","",Productos!B197)</f>
        <v/>
      </c>
      <c r="C197" s="10" t="str">
        <f>IF(Productos!B197="","",Productos!C197)</f>
        <v/>
      </c>
      <c r="D197" s="10" t="str">
        <f>IF(Productos!B197="","",Productos!D197)</f>
        <v/>
      </c>
      <c r="E197" s="10" t="str">
        <f>IF(Productos!B197="","",Productos!E197)</f>
        <v/>
      </c>
      <c r="F197" s="11" t="str">
        <f>IF(Productos!B197="","",Productos!F197)</f>
        <v/>
      </c>
      <c r="G197" s="11" t="str">
        <f>IF(Productos!B197="","",Productos!G197)</f>
        <v/>
      </c>
      <c r="H197" s="11" t="str">
        <f>IF(B197="","",SUMIF('Compras Entradas'!$D$5:$D$504,B197,'Compras Entradas'!$F$5:$F$504))</f>
        <v/>
      </c>
      <c r="I197" s="11" t="str">
        <f>IF(B197="","",SUMIF('Ventas Salidas'!$D$5:$D$504,B197,'Ventas Salidas'!$F$5:$F$504))</f>
        <v/>
      </c>
      <c r="J197" s="11" t="str">
        <f t="shared" ref="J197:J260" si="9">IF(B197="","",G197+H197-I197)</f>
        <v/>
      </c>
      <c r="K197" s="10" t="str">
        <f t="shared" ref="K197:K260" si="10">IF(B197="","",IF(J197&lt;=0,"Sin stock",IF(J197&lt;F197,"Bajo stock","OK")))</f>
        <v/>
      </c>
      <c r="L197" s="10" t="str">
        <f t="shared" ref="L197:L260" si="11">IF(B197="","",IF(J197&lt;=0,"Comprar urgente",IF(J197&lt;F197,"Reponer pronto","Stock suficiente")))</f>
        <v/>
      </c>
      <c r="M197" s="8"/>
      <c r="N197" s="8" t="str">
        <f>IF(B197="","",IF(OR(K197="Bajo stock",K197="Sin stock"),COUNTIFS($K$5:$K197,"Bajo stock")+COUNTIFS($K$5:$K197,"Sin stock"),""))</f>
        <v/>
      </c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2:30" ht="21.75" customHeight="1" x14ac:dyDescent="0.25">
      <c r="B198" s="10" t="str">
        <f>IF(Productos!B198="","",Productos!B198)</f>
        <v/>
      </c>
      <c r="C198" s="10" t="str">
        <f>IF(Productos!B198="","",Productos!C198)</f>
        <v/>
      </c>
      <c r="D198" s="10" t="str">
        <f>IF(Productos!B198="","",Productos!D198)</f>
        <v/>
      </c>
      <c r="E198" s="10" t="str">
        <f>IF(Productos!B198="","",Productos!E198)</f>
        <v/>
      </c>
      <c r="F198" s="11" t="str">
        <f>IF(Productos!B198="","",Productos!F198)</f>
        <v/>
      </c>
      <c r="G198" s="11" t="str">
        <f>IF(Productos!B198="","",Productos!G198)</f>
        <v/>
      </c>
      <c r="H198" s="11" t="str">
        <f>IF(B198="","",SUMIF('Compras Entradas'!$D$5:$D$504,B198,'Compras Entradas'!$F$5:$F$504))</f>
        <v/>
      </c>
      <c r="I198" s="11" t="str">
        <f>IF(B198="","",SUMIF('Ventas Salidas'!$D$5:$D$504,B198,'Ventas Salidas'!$F$5:$F$504))</f>
        <v/>
      </c>
      <c r="J198" s="11" t="str">
        <f t="shared" si="9"/>
        <v/>
      </c>
      <c r="K198" s="10" t="str">
        <f t="shared" si="10"/>
        <v/>
      </c>
      <c r="L198" s="10" t="str">
        <f t="shared" si="11"/>
        <v/>
      </c>
      <c r="M198" s="8"/>
      <c r="N198" s="8" t="str">
        <f>IF(B198="","",IF(OR(K198="Bajo stock",K198="Sin stock"),COUNTIFS($K$5:$K198,"Bajo stock")+COUNTIFS($K$5:$K198,"Sin stock"),""))</f>
        <v/>
      </c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2:30" ht="21.75" customHeight="1" x14ac:dyDescent="0.25">
      <c r="B199" s="10" t="str">
        <f>IF(Productos!B199="","",Productos!B199)</f>
        <v/>
      </c>
      <c r="C199" s="10" t="str">
        <f>IF(Productos!B199="","",Productos!C199)</f>
        <v/>
      </c>
      <c r="D199" s="10" t="str">
        <f>IF(Productos!B199="","",Productos!D199)</f>
        <v/>
      </c>
      <c r="E199" s="10" t="str">
        <f>IF(Productos!B199="","",Productos!E199)</f>
        <v/>
      </c>
      <c r="F199" s="11" t="str">
        <f>IF(Productos!B199="","",Productos!F199)</f>
        <v/>
      </c>
      <c r="G199" s="11" t="str">
        <f>IF(Productos!B199="","",Productos!G199)</f>
        <v/>
      </c>
      <c r="H199" s="11" t="str">
        <f>IF(B199="","",SUMIF('Compras Entradas'!$D$5:$D$504,B199,'Compras Entradas'!$F$5:$F$504))</f>
        <v/>
      </c>
      <c r="I199" s="11" t="str">
        <f>IF(B199="","",SUMIF('Ventas Salidas'!$D$5:$D$504,B199,'Ventas Salidas'!$F$5:$F$504))</f>
        <v/>
      </c>
      <c r="J199" s="11" t="str">
        <f t="shared" si="9"/>
        <v/>
      </c>
      <c r="K199" s="10" t="str">
        <f t="shared" si="10"/>
        <v/>
      </c>
      <c r="L199" s="10" t="str">
        <f t="shared" si="11"/>
        <v/>
      </c>
      <c r="M199" s="8"/>
      <c r="N199" s="8" t="str">
        <f>IF(B199="","",IF(OR(K199="Bajo stock",K199="Sin stock"),COUNTIFS($K$5:$K199,"Bajo stock")+COUNTIFS($K$5:$K199,"Sin stock"),""))</f>
        <v/>
      </c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2:30" ht="21.75" customHeight="1" x14ac:dyDescent="0.25">
      <c r="B200" s="10" t="str">
        <f>IF(Productos!B200="","",Productos!B200)</f>
        <v/>
      </c>
      <c r="C200" s="10" t="str">
        <f>IF(Productos!B200="","",Productos!C200)</f>
        <v/>
      </c>
      <c r="D200" s="10" t="str">
        <f>IF(Productos!B200="","",Productos!D200)</f>
        <v/>
      </c>
      <c r="E200" s="10" t="str">
        <f>IF(Productos!B200="","",Productos!E200)</f>
        <v/>
      </c>
      <c r="F200" s="11" t="str">
        <f>IF(Productos!B200="","",Productos!F200)</f>
        <v/>
      </c>
      <c r="G200" s="11" t="str">
        <f>IF(Productos!B200="","",Productos!G200)</f>
        <v/>
      </c>
      <c r="H200" s="11" t="str">
        <f>IF(B200="","",SUMIF('Compras Entradas'!$D$5:$D$504,B200,'Compras Entradas'!$F$5:$F$504))</f>
        <v/>
      </c>
      <c r="I200" s="11" t="str">
        <f>IF(B200="","",SUMIF('Ventas Salidas'!$D$5:$D$504,B200,'Ventas Salidas'!$F$5:$F$504))</f>
        <v/>
      </c>
      <c r="J200" s="11" t="str">
        <f t="shared" si="9"/>
        <v/>
      </c>
      <c r="K200" s="10" t="str">
        <f t="shared" si="10"/>
        <v/>
      </c>
      <c r="L200" s="10" t="str">
        <f t="shared" si="11"/>
        <v/>
      </c>
      <c r="M200" s="8"/>
      <c r="N200" s="8" t="str">
        <f>IF(B200="","",IF(OR(K200="Bajo stock",K200="Sin stock"),COUNTIFS($K$5:$K200,"Bajo stock")+COUNTIFS($K$5:$K200,"Sin stock"),""))</f>
        <v/>
      </c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2:30" ht="21.75" customHeight="1" x14ac:dyDescent="0.25">
      <c r="B201" s="10" t="str">
        <f>IF(Productos!B201="","",Productos!B201)</f>
        <v/>
      </c>
      <c r="C201" s="10" t="str">
        <f>IF(Productos!B201="","",Productos!C201)</f>
        <v/>
      </c>
      <c r="D201" s="10" t="str">
        <f>IF(Productos!B201="","",Productos!D201)</f>
        <v/>
      </c>
      <c r="E201" s="10" t="str">
        <f>IF(Productos!B201="","",Productos!E201)</f>
        <v/>
      </c>
      <c r="F201" s="11" t="str">
        <f>IF(Productos!B201="","",Productos!F201)</f>
        <v/>
      </c>
      <c r="G201" s="11" t="str">
        <f>IF(Productos!B201="","",Productos!G201)</f>
        <v/>
      </c>
      <c r="H201" s="11" t="str">
        <f>IF(B201="","",SUMIF('Compras Entradas'!$D$5:$D$504,B201,'Compras Entradas'!$F$5:$F$504))</f>
        <v/>
      </c>
      <c r="I201" s="11" t="str">
        <f>IF(B201="","",SUMIF('Ventas Salidas'!$D$5:$D$504,B201,'Ventas Salidas'!$F$5:$F$504))</f>
        <v/>
      </c>
      <c r="J201" s="11" t="str">
        <f t="shared" si="9"/>
        <v/>
      </c>
      <c r="K201" s="10" t="str">
        <f t="shared" si="10"/>
        <v/>
      </c>
      <c r="L201" s="10" t="str">
        <f t="shared" si="11"/>
        <v/>
      </c>
      <c r="M201" s="8"/>
      <c r="N201" s="8" t="str">
        <f>IF(B201="","",IF(OR(K201="Bajo stock",K201="Sin stock"),COUNTIFS($K$5:$K201,"Bajo stock")+COUNTIFS($K$5:$K201,"Sin stock"),""))</f>
        <v/>
      </c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2:30" ht="21.75" customHeight="1" x14ac:dyDescent="0.25">
      <c r="B202" s="10" t="str">
        <f>IF(Productos!B202="","",Productos!B202)</f>
        <v/>
      </c>
      <c r="C202" s="10" t="str">
        <f>IF(Productos!B202="","",Productos!C202)</f>
        <v/>
      </c>
      <c r="D202" s="10" t="str">
        <f>IF(Productos!B202="","",Productos!D202)</f>
        <v/>
      </c>
      <c r="E202" s="10" t="str">
        <f>IF(Productos!B202="","",Productos!E202)</f>
        <v/>
      </c>
      <c r="F202" s="11" t="str">
        <f>IF(Productos!B202="","",Productos!F202)</f>
        <v/>
      </c>
      <c r="G202" s="11" t="str">
        <f>IF(Productos!B202="","",Productos!G202)</f>
        <v/>
      </c>
      <c r="H202" s="11" t="str">
        <f>IF(B202="","",SUMIF('Compras Entradas'!$D$5:$D$504,B202,'Compras Entradas'!$F$5:$F$504))</f>
        <v/>
      </c>
      <c r="I202" s="11" t="str">
        <f>IF(B202="","",SUMIF('Ventas Salidas'!$D$5:$D$504,B202,'Ventas Salidas'!$F$5:$F$504))</f>
        <v/>
      </c>
      <c r="J202" s="11" t="str">
        <f t="shared" si="9"/>
        <v/>
      </c>
      <c r="K202" s="10" t="str">
        <f t="shared" si="10"/>
        <v/>
      </c>
      <c r="L202" s="10" t="str">
        <f t="shared" si="11"/>
        <v/>
      </c>
      <c r="M202" s="8"/>
      <c r="N202" s="8" t="str">
        <f>IF(B202="","",IF(OR(K202="Bajo stock",K202="Sin stock"),COUNTIFS($K$5:$K202,"Bajo stock")+COUNTIFS($K$5:$K202,"Sin stock"),""))</f>
        <v/>
      </c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2:30" ht="21.75" customHeight="1" x14ac:dyDescent="0.25">
      <c r="B203" s="10" t="str">
        <f>IF(Productos!B203="","",Productos!B203)</f>
        <v/>
      </c>
      <c r="C203" s="10" t="str">
        <f>IF(Productos!B203="","",Productos!C203)</f>
        <v/>
      </c>
      <c r="D203" s="10" t="str">
        <f>IF(Productos!B203="","",Productos!D203)</f>
        <v/>
      </c>
      <c r="E203" s="10" t="str">
        <f>IF(Productos!B203="","",Productos!E203)</f>
        <v/>
      </c>
      <c r="F203" s="11" t="str">
        <f>IF(Productos!B203="","",Productos!F203)</f>
        <v/>
      </c>
      <c r="G203" s="11" t="str">
        <f>IF(Productos!B203="","",Productos!G203)</f>
        <v/>
      </c>
      <c r="H203" s="11" t="str">
        <f>IF(B203="","",SUMIF('Compras Entradas'!$D$5:$D$504,B203,'Compras Entradas'!$F$5:$F$504))</f>
        <v/>
      </c>
      <c r="I203" s="11" t="str">
        <f>IF(B203="","",SUMIF('Ventas Salidas'!$D$5:$D$504,B203,'Ventas Salidas'!$F$5:$F$504))</f>
        <v/>
      </c>
      <c r="J203" s="11" t="str">
        <f t="shared" si="9"/>
        <v/>
      </c>
      <c r="K203" s="10" t="str">
        <f t="shared" si="10"/>
        <v/>
      </c>
      <c r="L203" s="10" t="str">
        <f t="shared" si="11"/>
        <v/>
      </c>
      <c r="M203" s="8"/>
      <c r="N203" s="8" t="str">
        <f>IF(B203="","",IF(OR(K203="Bajo stock",K203="Sin stock"),COUNTIFS($K$5:$K203,"Bajo stock")+COUNTIFS($K$5:$K203,"Sin stock"),""))</f>
        <v/>
      </c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2:30" ht="21.75" customHeight="1" x14ac:dyDescent="0.25">
      <c r="B204" s="21" t="str">
        <f>IF(Productos!B204="","",Productos!B204)</f>
        <v/>
      </c>
      <c r="C204" s="21" t="str">
        <f>IF(Productos!B204="","",Productos!C204)</f>
        <v/>
      </c>
      <c r="D204" s="21" t="str">
        <f>IF(Productos!B204="","",Productos!D204)</f>
        <v/>
      </c>
      <c r="E204" s="21" t="str">
        <f>IF(Productos!B204="","",Productos!E204)</f>
        <v/>
      </c>
      <c r="F204" s="22" t="str">
        <f>IF(Productos!B204="","",Productos!F204)</f>
        <v/>
      </c>
      <c r="G204" s="22" t="str">
        <f>IF(Productos!B204="","",Productos!G204)</f>
        <v/>
      </c>
      <c r="H204" s="22" t="str">
        <f>IF(B204="","",SUMIF('Compras Entradas'!$D$5:$D$504,B204,'Compras Entradas'!$F$5:$F$504))</f>
        <v/>
      </c>
      <c r="I204" s="22" t="str">
        <f>IF(B204="","",SUMIF('Ventas Salidas'!$D$5:$D$504,B204,'Ventas Salidas'!$F$5:$F$504))</f>
        <v/>
      </c>
      <c r="J204" s="22" t="str">
        <f t="shared" si="9"/>
        <v/>
      </c>
      <c r="K204" s="21" t="str">
        <f t="shared" si="10"/>
        <v/>
      </c>
      <c r="L204" s="21" t="str">
        <f t="shared" si="11"/>
        <v/>
      </c>
      <c r="M204" s="8"/>
      <c r="N204" s="8" t="str">
        <f>IF(B204="","",IF(OR(K204="Bajo stock",K204="Sin stock"),COUNTIFS($K$5:$K204,"Bajo stock")+COUNTIFS($K$5:$K204,"Sin stock"),""))</f>
        <v/>
      </c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2:30" s="5" customFormat="1" ht="21.75" customHeight="1" x14ac:dyDescent="0.25">
      <c r="B205" s="23" t="str">
        <f>IF(Productos!B205="","",Productos!B205)</f>
        <v/>
      </c>
      <c r="C205" s="23" t="str">
        <f>IF(Productos!B205="","",Productos!C205)</f>
        <v/>
      </c>
      <c r="D205" s="23" t="str">
        <f>IF(Productos!B205="","",Productos!D205)</f>
        <v/>
      </c>
      <c r="E205" s="23" t="str">
        <f>IF(Productos!B205="","",Productos!E205)</f>
        <v/>
      </c>
      <c r="F205" s="23" t="str">
        <f>IF(Productos!B205="","",Productos!F205)</f>
        <v/>
      </c>
      <c r="G205" s="23" t="str">
        <f>IF(Productos!B205="","",Productos!G205)</f>
        <v/>
      </c>
      <c r="H205" s="23" t="str">
        <f>IF(B205="","",SUMIF('Compras Entradas'!$D$5:$D$504,B205,'Compras Entradas'!$F$5:$F$504))</f>
        <v/>
      </c>
      <c r="I205" s="23" t="str">
        <f>IF(B205="","",SUMIF('Ventas Salidas'!$D$5:$D$504,B205,'Ventas Salidas'!$F$5:$F$504))</f>
        <v/>
      </c>
      <c r="J205" s="23" t="str">
        <f t="shared" si="9"/>
        <v/>
      </c>
      <c r="K205" s="23" t="str">
        <f t="shared" si="10"/>
        <v/>
      </c>
      <c r="L205" s="23" t="str">
        <f t="shared" si="11"/>
        <v/>
      </c>
      <c r="M205" s="8"/>
      <c r="N205" s="8" t="str">
        <f>IF(B205="","",IF(OR(K205="Bajo stock",K205="Sin stock"),COUNTIFS($K$5:$K205,"Bajo stock")+COUNTIFS($K$5:$K205,"Sin stock"),""))</f>
        <v/>
      </c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2:30" s="5" customFormat="1" ht="21.75" customHeight="1" x14ac:dyDescent="0.25">
      <c r="B206" s="23" t="str">
        <f>IF(Productos!B206="","",Productos!B206)</f>
        <v/>
      </c>
      <c r="C206" s="23" t="str">
        <f>IF(Productos!B206="","",Productos!C206)</f>
        <v/>
      </c>
      <c r="D206" s="23" t="str">
        <f>IF(Productos!B206="","",Productos!D206)</f>
        <v/>
      </c>
      <c r="E206" s="23" t="str">
        <f>IF(Productos!B206="","",Productos!E206)</f>
        <v/>
      </c>
      <c r="F206" s="23" t="str">
        <f>IF(Productos!B206="","",Productos!F206)</f>
        <v/>
      </c>
      <c r="G206" s="23" t="str">
        <f>IF(Productos!B206="","",Productos!G206)</f>
        <v/>
      </c>
      <c r="H206" s="23" t="str">
        <f>IF(B206="","",SUMIF('Compras Entradas'!$D$5:$D$504,B206,'Compras Entradas'!$F$5:$F$504))</f>
        <v/>
      </c>
      <c r="I206" s="23" t="str">
        <f>IF(B206="","",SUMIF('Ventas Salidas'!$D$5:$D$504,B206,'Ventas Salidas'!$F$5:$F$504))</f>
        <v/>
      </c>
      <c r="J206" s="23" t="str">
        <f t="shared" si="9"/>
        <v/>
      </c>
      <c r="K206" s="23" t="str">
        <f t="shared" si="10"/>
        <v/>
      </c>
      <c r="L206" s="23" t="str">
        <f t="shared" si="11"/>
        <v/>
      </c>
      <c r="M206" s="8"/>
      <c r="N206" s="8" t="str">
        <f>IF(B206="","",IF(OR(K206="Bajo stock",K206="Sin stock"),COUNTIFS($K$5:$K206,"Bajo stock")+COUNTIFS($K$5:$K206,"Sin stock"),""))</f>
        <v/>
      </c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2:30" s="5" customFormat="1" ht="21.75" customHeight="1" x14ac:dyDescent="0.25">
      <c r="B207" s="23" t="str">
        <f>IF(Productos!B207="","",Productos!B207)</f>
        <v/>
      </c>
      <c r="C207" s="23" t="str">
        <f>IF(Productos!B207="","",Productos!C207)</f>
        <v/>
      </c>
      <c r="D207" s="23" t="str">
        <f>IF(Productos!B207="","",Productos!D207)</f>
        <v/>
      </c>
      <c r="E207" s="23" t="str">
        <f>IF(Productos!B207="","",Productos!E207)</f>
        <v/>
      </c>
      <c r="F207" s="23" t="str">
        <f>IF(Productos!B207="","",Productos!F207)</f>
        <v/>
      </c>
      <c r="G207" s="23" t="str">
        <f>IF(Productos!B207="","",Productos!G207)</f>
        <v/>
      </c>
      <c r="H207" s="23" t="str">
        <f>IF(B207="","",SUMIF('Compras Entradas'!$D$5:$D$504,B207,'Compras Entradas'!$F$5:$F$504))</f>
        <v/>
      </c>
      <c r="I207" s="23" t="str">
        <f>IF(B207="","",SUMIF('Ventas Salidas'!$D$5:$D$504,B207,'Ventas Salidas'!$F$5:$F$504))</f>
        <v/>
      </c>
      <c r="J207" s="23" t="str">
        <f t="shared" si="9"/>
        <v/>
      </c>
      <c r="K207" s="23" t="str">
        <f t="shared" si="10"/>
        <v/>
      </c>
      <c r="L207" s="23" t="str">
        <f t="shared" si="11"/>
        <v/>
      </c>
      <c r="M207" s="8"/>
      <c r="N207" s="8" t="str">
        <f>IF(B207="","",IF(OR(K207="Bajo stock",K207="Sin stock"),COUNTIFS($K$5:$K207,"Bajo stock")+COUNTIFS($K$5:$K207,"Sin stock"),""))</f>
        <v/>
      </c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2:30" s="5" customFormat="1" ht="21.75" customHeight="1" x14ac:dyDescent="0.25">
      <c r="B208" s="23" t="str">
        <f>IF(Productos!B208="","",Productos!B208)</f>
        <v/>
      </c>
      <c r="C208" s="23" t="str">
        <f>IF(Productos!B208="","",Productos!C208)</f>
        <v/>
      </c>
      <c r="D208" s="23" t="str">
        <f>IF(Productos!B208="","",Productos!D208)</f>
        <v/>
      </c>
      <c r="E208" s="23" t="str">
        <f>IF(Productos!B208="","",Productos!E208)</f>
        <v/>
      </c>
      <c r="F208" s="23" t="str">
        <f>IF(Productos!B208="","",Productos!F208)</f>
        <v/>
      </c>
      <c r="G208" s="23" t="str">
        <f>IF(Productos!B208="","",Productos!G208)</f>
        <v/>
      </c>
      <c r="H208" s="23" t="str">
        <f>IF(B208="","",SUMIF('Compras Entradas'!$D$5:$D$504,B208,'Compras Entradas'!$F$5:$F$504))</f>
        <v/>
      </c>
      <c r="I208" s="23" t="str">
        <f>IF(B208="","",SUMIF('Ventas Salidas'!$D$5:$D$504,B208,'Ventas Salidas'!$F$5:$F$504))</f>
        <v/>
      </c>
      <c r="J208" s="23" t="str">
        <f t="shared" si="9"/>
        <v/>
      </c>
      <c r="K208" s="23" t="str">
        <f t="shared" si="10"/>
        <v/>
      </c>
      <c r="L208" s="23" t="str">
        <f t="shared" si="11"/>
        <v/>
      </c>
      <c r="M208" s="8"/>
      <c r="N208" s="8" t="str">
        <f>IF(B208="","",IF(OR(K208="Bajo stock",K208="Sin stock"),COUNTIFS($K$5:$K208,"Bajo stock")+COUNTIFS($K$5:$K208,"Sin stock"),""))</f>
        <v/>
      </c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2:30" s="5" customFormat="1" ht="21.75" customHeight="1" x14ac:dyDescent="0.25">
      <c r="B209" s="23" t="str">
        <f>IF(Productos!B209="","",Productos!B209)</f>
        <v/>
      </c>
      <c r="C209" s="23" t="str">
        <f>IF(Productos!B209="","",Productos!C209)</f>
        <v/>
      </c>
      <c r="D209" s="23" t="str">
        <f>IF(Productos!B209="","",Productos!D209)</f>
        <v/>
      </c>
      <c r="E209" s="23" t="str">
        <f>IF(Productos!B209="","",Productos!E209)</f>
        <v/>
      </c>
      <c r="F209" s="23" t="str">
        <f>IF(Productos!B209="","",Productos!F209)</f>
        <v/>
      </c>
      <c r="G209" s="23" t="str">
        <f>IF(Productos!B209="","",Productos!G209)</f>
        <v/>
      </c>
      <c r="H209" s="23" t="str">
        <f>IF(B209="","",SUMIF('Compras Entradas'!$D$5:$D$504,B209,'Compras Entradas'!$F$5:$F$504))</f>
        <v/>
      </c>
      <c r="I209" s="23" t="str">
        <f>IF(B209="","",SUMIF('Ventas Salidas'!$D$5:$D$504,B209,'Ventas Salidas'!$F$5:$F$504))</f>
        <v/>
      </c>
      <c r="J209" s="23" t="str">
        <f t="shared" si="9"/>
        <v/>
      </c>
      <c r="K209" s="23" t="str">
        <f t="shared" si="10"/>
        <v/>
      </c>
      <c r="L209" s="23" t="str">
        <f t="shared" si="11"/>
        <v/>
      </c>
      <c r="M209" s="8"/>
      <c r="N209" s="8" t="str">
        <f>IF(B209="","",IF(OR(K209="Bajo stock",K209="Sin stock"),COUNTIFS($K$5:$K209,"Bajo stock")+COUNTIFS($K$5:$K209,"Sin stock"),""))</f>
        <v/>
      </c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2:30" s="5" customFormat="1" ht="21.75" customHeight="1" x14ac:dyDescent="0.25">
      <c r="B210" s="23" t="str">
        <f>IF(Productos!B210="","",Productos!B210)</f>
        <v/>
      </c>
      <c r="C210" s="23" t="str">
        <f>IF(Productos!B210="","",Productos!C210)</f>
        <v/>
      </c>
      <c r="D210" s="23" t="str">
        <f>IF(Productos!B210="","",Productos!D210)</f>
        <v/>
      </c>
      <c r="E210" s="23" t="str">
        <f>IF(Productos!B210="","",Productos!E210)</f>
        <v/>
      </c>
      <c r="F210" s="23" t="str">
        <f>IF(Productos!B210="","",Productos!F210)</f>
        <v/>
      </c>
      <c r="G210" s="23" t="str">
        <f>IF(Productos!B210="","",Productos!G210)</f>
        <v/>
      </c>
      <c r="H210" s="23" t="str">
        <f>IF(B210="","",SUMIF('Compras Entradas'!$D$5:$D$504,B210,'Compras Entradas'!$F$5:$F$504))</f>
        <v/>
      </c>
      <c r="I210" s="23" t="str">
        <f>IF(B210="","",SUMIF('Ventas Salidas'!$D$5:$D$504,B210,'Ventas Salidas'!$F$5:$F$504))</f>
        <v/>
      </c>
      <c r="J210" s="23" t="str">
        <f t="shared" si="9"/>
        <v/>
      </c>
      <c r="K210" s="23" t="str">
        <f t="shared" si="10"/>
        <v/>
      </c>
      <c r="L210" s="23" t="str">
        <f t="shared" si="11"/>
        <v/>
      </c>
      <c r="M210" s="8"/>
      <c r="N210" s="8" t="str">
        <f>IF(B210="","",IF(OR(K210="Bajo stock",K210="Sin stock"),COUNTIFS($K$5:$K210,"Bajo stock")+COUNTIFS($K$5:$K210,"Sin stock"),""))</f>
        <v/>
      </c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2:30" s="5" customFormat="1" ht="21.75" customHeight="1" x14ac:dyDescent="0.25">
      <c r="B211" s="23" t="str">
        <f>IF(Productos!B211="","",Productos!B211)</f>
        <v/>
      </c>
      <c r="C211" s="23" t="str">
        <f>IF(Productos!B211="","",Productos!C211)</f>
        <v/>
      </c>
      <c r="D211" s="23" t="str">
        <f>IF(Productos!B211="","",Productos!D211)</f>
        <v/>
      </c>
      <c r="E211" s="23" t="str">
        <f>IF(Productos!B211="","",Productos!E211)</f>
        <v/>
      </c>
      <c r="F211" s="23" t="str">
        <f>IF(Productos!B211="","",Productos!F211)</f>
        <v/>
      </c>
      <c r="G211" s="23" t="str">
        <f>IF(Productos!B211="","",Productos!G211)</f>
        <v/>
      </c>
      <c r="H211" s="23" t="str">
        <f>IF(B211="","",SUMIF('Compras Entradas'!$D$5:$D$504,B211,'Compras Entradas'!$F$5:$F$504))</f>
        <v/>
      </c>
      <c r="I211" s="23" t="str">
        <f>IF(B211="","",SUMIF('Ventas Salidas'!$D$5:$D$504,B211,'Ventas Salidas'!$F$5:$F$504))</f>
        <v/>
      </c>
      <c r="J211" s="23" t="str">
        <f t="shared" si="9"/>
        <v/>
      </c>
      <c r="K211" s="23" t="str">
        <f t="shared" si="10"/>
        <v/>
      </c>
      <c r="L211" s="23" t="str">
        <f t="shared" si="11"/>
        <v/>
      </c>
      <c r="M211" s="8"/>
      <c r="N211" s="8" t="str">
        <f>IF(B211="","",IF(OR(K211="Bajo stock",K211="Sin stock"),COUNTIFS($K$5:$K211,"Bajo stock")+COUNTIFS($K$5:$K211,"Sin stock"),""))</f>
        <v/>
      </c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2:30" s="5" customFormat="1" ht="21.75" customHeight="1" x14ac:dyDescent="0.25">
      <c r="B212" s="23" t="str">
        <f>IF(Productos!B212="","",Productos!B212)</f>
        <v/>
      </c>
      <c r="C212" s="23" t="str">
        <f>IF(Productos!B212="","",Productos!C212)</f>
        <v/>
      </c>
      <c r="D212" s="23" t="str">
        <f>IF(Productos!B212="","",Productos!D212)</f>
        <v/>
      </c>
      <c r="E212" s="23" t="str">
        <f>IF(Productos!B212="","",Productos!E212)</f>
        <v/>
      </c>
      <c r="F212" s="23" t="str">
        <f>IF(Productos!B212="","",Productos!F212)</f>
        <v/>
      </c>
      <c r="G212" s="23" t="str">
        <f>IF(Productos!B212="","",Productos!G212)</f>
        <v/>
      </c>
      <c r="H212" s="23" t="str">
        <f>IF(B212="","",SUMIF('Compras Entradas'!$D$5:$D$504,B212,'Compras Entradas'!$F$5:$F$504))</f>
        <v/>
      </c>
      <c r="I212" s="23" t="str">
        <f>IF(B212="","",SUMIF('Ventas Salidas'!$D$5:$D$504,B212,'Ventas Salidas'!$F$5:$F$504))</f>
        <v/>
      </c>
      <c r="J212" s="23" t="str">
        <f t="shared" si="9"/>
        <v/>
      </c>
      <c r="K212" s="23" t="str">
        <f t="shared" si="10"/>
        <v/>
      </c>
      <c r="L212" s="23" t="str">
        <f t="shared" si="11"/>
        <v/>
      </c>
      <c r="M212" s="8"/>
      <c r="N212" s="8" t="str">
        <f>IF(B212="","",IF(OR(K212="Bajo stock",K212="Sin stock"),COUNTIFS($K$5:$K212,"Bajo stock")+COUNTIFS($K$5:$K212,"Sin stock"),""))</f>
        <v/>
      </c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2:30" s="5" customFormat="1" ht="21.75" customHeight="1" x14ac:dyDescent="0.25">
      <c r="B213" s="23" t="str">
        <f>IF(Productos!B213="","",Productos!B213)</f>
        <v/>
      </c>
      <c r="C213" s="23" t="str">
        <f>IF(Productos!B213="","",Productos!C213)</f>
        <v/>
      </c>
      <c r="D213" s="23" t="str">
        <f>IF(Productos!B213="","",Productos!D213)</f>
        <v/>
      </c>
      <c r="E213" s="23" t="str">
        <f>IF(Productos!B213="","",Productos!E213)</f>
        <v/>
      </c>
      <c r="F213" s="23" t="str">
        <f>IF(Productos!B213="","",Productos!F213)</f>
        <v/>
      </c>
      <c r="G213" s="23" t="str">
        <f>IF(Productos!B213="","",Productos!G213)</f>
        <v/>
      </c>
      <c r="H213" s="23" t="str">
        <f>IF(B213="","",SUMIF('Compras Entradas'!$D$5:$D$504,B213,'Compras Entradas'!$F$5:$F$504))</f>
        <v/>
      </c>
      <c r="I213" s="23" t="str">
        <f>IF(B213="","",SUMIF('Ventas Salidas'!$D$5:$D$504,B213,'Ventas Salidas'!$F$5:$F$504))</f>
        <v/>
      </c>
      <c r="J213" s="23" t="str">
        <f t="shared" si="9"/>
        <v/>
      </c>
      <c r="K213" s="23" t="str">
        <f t="shared" si="10"/>
        <v/>
      </c>
      <c r="L213" s="23" t="str">
        <f t="shared" si="11"/>
        <v/>
      </c>
      <c r="M213" s="8"/>
      <c r="N213" s="8" t="str">
        <f>IF(B213="","",IF(OR(K213="Bajo stock",K213="Sin stock"),COUNTIFS($K$5:$K213,"Bajo stock")+COUNTIFS($K$5:$K213,"Sin stock"),""))</f>
        <v/>
      </c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2:30" s="5" customFormat="1" ht="21.75" customHeight="1" x14ac:dyDescent="0.25">
      <c r="B214" s="23" t="str">
        <f>IF(Productos!B214="","",Productos!B214)</f>
        <v/>
      </c>
      <c r="C214" s="23" t="str">
        <f>IF(Productos!B214="","",Productos!C214)</f>
        <v/>
      </c>
      <c r="D214" s="23" t="str">
        <f>IF(Productos!B214="","",Productos!D214)</f>
        <v/>
      </c>
      <c r="E214" s="23" t="str">
        <f>IF(Productos!B214="","",Productos!E214)</f>
        <v/>
      </c>
      <c r="F214" s="23" t="str">
        <f>IF(Productos!B214="","",Productos!F214)</f>
        <v/>
      </c>
      <c r="G214" s="23" t="str">
        <f>IF(Productos!B214="","",Productos!G214)</f>
        <v/>
      </c>
      <c r="H214" s="23" t="str">
        <f>IF(B214="","",SUMIF('Compras Entradas'!$D$5:$D$504,B214,'Compras Entradas'!$F$5:$F$504))</f>
        <v/>
      </c>
      <c r="I214" s="23" t="str">
        <f>IF(B214="","",SUMIF('Ventas Salidas'!$D$5:$D$504,B214,'Ventas Salidas'!$F$5:$F$504))</f>
        <v/>
      </c>
      <c r="J214" s="23" t="str">
        <f t="shared" si="9"/>
        <v/>
      </c>
      <c r="K214" s="23" t="str">
        <f t="shared" si="10"/>
        <v/>
      </c>
      <c r="L214" s="23" t="str">
        <f t="shared" si="11"/>
        <v/>
      </c>
      <c r="M214" s="8"/>
      <c r="N214" s="8" t="str">
        <f>IF(B214="","",IF(OR(K214="Bajo stock",K214="Sin stock"),COUNTIFS($K$5:$K214,"Bajo stock")+COUNTIFS($K$5:$K214,"Sin stock"),""))</f>
        <v/>
      </c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2:30" s="5" customFormat="1" ht="21.75" customHeight="1" x14ac:dyDescent="0.25">
      <c r="B215" s="23" t="str">
        <f>IF(Productos!B215="","",Productos!B215)</f>
        <v/>
      </c>
      <c r="C215" s="23" t="str">
        <f>IF(Productos!B215="","",Productos!C215)</f>
        <v/>
      </c>
      <c r="D215" s="23" t="str">
        <f>IF(Productos!B215="","",Productos!D215)</f>
        <v/>
      </c>
      <c r="E215" s="23" t="str">
        <f>IF(Productos!B215="","",Productos!E215)</f>
        <v/>
      </c>
      <c r="F215" s="23" t="str">
        <f>IF(Productos!B215="","",Productos!F215)</f>
        <v/>
      </c>
      <c r="G215" s="23" t="str">
        <f>IF(Productos!B215="","",Productos!G215)</f>
        <v/>
      </c>
      <c r="H215" s="23" t="str">
        <f>IF(B215="","",SUMIF('Compras Entradas'!$D$5:$D$504,B215,'Compras Entradas'!$F$5:$F$504))</f>
        <v/>
      </c>
      <c r="I215" s="23" t="str">
        <f>IF(B215="","",SUMIF('Ventas Salidas'!$D$5:$D$504,B215,'Ventas Salidas'!$F$5:$F$504))</f>
        <v/>
      </c>
      <c r="J215" s="23" t="str">
        <f t="shared" si="9"/>
        <v/>
      </c>
      <c r="K215" s="23" t="str">
        <f t="shared" si="10"/>
        <v/>
      </c>
      <c r="L215" s="23" t="str">
        <f t="shared" si="11"/>
        <v/>
      </c>
      <c r="M215" s="8"/>
      <c r="N215" s="8" t="str">
        <f>IF(B215="","",IF(OR(K215="Bajo stock",K215="Sin stock"),COUNTIFS($K$5:$K215,"Bajo stock")+COUNTIFS($K$5:$K215,"Sin stock"),""))</f>
        <v/>
      </c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2:30" s="5" customFormat="1" ht="21.75" customHeight="1" x14ac:dyDescent="0.25">
      <c r="B216" s="23" t="str">
        <f>IF(Productos!B216="","",Productos!B216)</f>
        <v/>
      </c>
      <c r="C216" s="23" t="str">
        <f>IF(Productos!B216="","",Productos!C216)</f>
        <v/>
      </c>
      <c r="D216" s="23" t="str">
        <f>IF(Productos!B216="","",Productos!D216)</f>
        <v/>
      </c>
      <c r="E216" s="23" t="str">
        <f>IF(Productos!B216="","",Productos!E216)</f>
        <v/>
      </c>
      <c r="F216" s="23" t="str">
        <f>IF(Productos!B216="","",Productos!F216)</f>
        <v/>
      </c>
      <c r="G216" s="23" t="str">
        <f>IF(Productos!B216="","",Productos!G216)</f>
        <v/>
      </c>
      <c r="H216" s="23" t="str">
        <f>IF(B216="","",SUMIF('Compras Entradas'!$D$5:$D$504,B216,'Compras Entradas'!$F$5:$F$504))</f>
        <v/>
      </c>
      <c r="I216" s="23" t="str">
        <f>IF(B216="","",SUMIF('Ventas Salidas'!$D$5:$D$504,B216,'Ventas Salidas'!$F$5:$F$504))</f>
        <v/>
      </c>
      <c r="J216" s="23" t="str">
        <f t="shared" ref="J216:J229" si="12">IF(B216="","",G216+H216-I216)</f>
        <v/>
      </c>
      <c r="K216" s="23" t="str">
        <f t="shared" ref="K216:K229" si="13">IF(B216="","",IF(J216&lt;=0,"Sin stock",IF(J216&lt;F216,"Bajo stock","OK")))</f>
        <v/>
      </c>
      <c r="L216" s="23" t="str">
        <f t="shared" ref="L216:L229" si="14">IF(B216="","",IF(J216&lt;=0,"Comprar urgente",IF(J216&lt;F216,"Reponer pronto","Stock suficiente")))</f>
        <v/>
      </c>
      <c r="M216" s="8"/>
      <c r="N216" s="8" t="str">
        <f>IF(B216="","",IF(OR(K216="Bajo stock",K216="Sin stock"),COUNTIFS($K$5:$K216,"Bajo stock")+COUNTIFS($K$5:$K216,"Sin stock"),""))</f>
        <v/>
      </c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2:30" s="5" customFormat="1" ht="21.75" customHeight="1" x14ac:dyDescent="0.25">
      <c r="B217" s="23" t="str">
        <f>IF(Productos!B217="","",Productos!B217)</f>
        <v/>
      </c>
      <c r="C217" s="23" t="str">
        <f>IF(Productos!B217="","",Productos!C217)</f>
        <v/>
      </c>
      <c r="D217" s="23" t="str">
        <f>IF(Productos!B217="","",Productos!D217)</f>
        <v/>
      </c>
      <c r="E217" s="23" t="str">
        <f>IF(Productos!B217="","",Productos!E217)</f>
        <v/>
      </c>
      <c r="F217" s="23" t="str">
        <f>IF(Productos!B217="","",Productos!F217)</f>
        <v/>
      </c>
      <c r="G217" s="23" t="str">
        <f>IF(Productos!B217="","",Productos!G217)</f>
        <v/>
      </c>
      <c r="H217" s="23" t="str">
        <f>IF(B217="","",SUMIF('Compras Entradas'!$D$5:$D$504,B217,'Compras Entradas'!$F$5:$F$504))</f>
        <v/>
      </c>
      <c r="I217" s="23" t="str">
        <f>IF(B217="","",SUMIF('Ventas Salidas'!$D$5:$D$504,B217,'Ventas Salidas'!$F$5:$F$504))</f>
        <v/>
      </c>
      <c r="J217" s="23" t="str">
        <f t="shared" si="12"/>
        <v/>
      </c>
      <c r="K217" s="23" t="str">
        <f t="shared" si="13"/>
        <v/>
      </c>
      <c r="L217" s="23" t="str">
        <f t="shared" si="14"/>
        <v/>
      </c>
      <c r="M217" s="8"/>
      <c r="N217" s="8" t="str">
        <f>IF(B217="","",IF(OR(K217="Bajo stock",K217="Sin stock"),COUNTIFS($K$5:$K217,"Bajo stock")+COUNTIFS($K$5:$K217,"Sin stock"),""))</f>
        <v/>
      </c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2:30" s="5" customFormat="1" ht="21.75" customHeight="1" x14ac:dyDescent="0.25">
      <c r="B218" s="23" t="str">
        <f>IF(Productos!B218="","",Productos!B218)</f>
        <v/>
      </c>
      <c r="C218" s="23" t="str">
        <f>IF(Productos!B218="","",Productos!C218)</f>
        <v/>
      </c>
      <c r="D218" s="23" t="str">
        <f>IF(Productos!B218="","",Productos!D218)</f>
        <v/>
      </c>
      <c r="E218" s="23" t="str">
        <f>IF(Productos!B218="","",Productos!E218)</f>
        <v/>
      </c>
      <c r="F218" s="23" t="str">
        <f>IF(Productos!B218="","",Productos!F218)</f>
        <v/>
      </c>
      <c r="G218" s="23" t="str">
        <f>IF(Productos!B218="","",Productos!G218)</f>
        <v/>
      </c>
      <c r="H218" s="23" t="str">
        <f>IF(B218="","",SUMIF('Compras Entradas'!$D$5:$D$504,B218,'Compras Entradas'!$F$5:$F$504))</f>
        <v/>
      </c>
      <c r="I218" s="23" t="str">
        <f>IF(B218="","",SUMIF('Ventas Salidas'!$D$5:$D$504,B218,'Ventas Salidas'!$F$5:$F$504))</f>
        <v/>
      </c>
      <c r="J218" s="23" t="str">
        <f t="shared" si="12"/>
        <v/>
      </c>
      <c r="K218" s="23" t="str">
        <f t="shared" si="13"/>
        <v/>
      </c>
      <c r="L218" s="23" t="str">
        <f t="shared" si="14"/>
        <v/>
      </c>
      <c r="M218" s="8"/>
      <c r="N218" s="8" t="str">
        <f>IF(B218="","",IF(OR(K218="Bajo stock",K218="Sin stock"),COUNTIFS($K$5:$K218,"Bajo stock")+COUNTIFS($K$5:$K218,"Sin stock"),""))</f>
        <v/>
      </c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2:30" s="5" customFormat="1" ht="21.75" customHeight="1" x14ac:dyDescent="0.25">
      <c r="B219" s="23" t="str">
        <f>IF(Productos!B219="","",Productos!B219)</f>
        <v/>
      </c>
      <c r="C219" s="23" t="str">
        <f>IF(Productos!B219="","",Productos!C219)</f>
        <v/>
      </c>
      <c r="D219" s="23" t="str">
        <f>IF(Productos!B219="","",Productos!D219)</f>
        <v/>
      </c>
      <c r="E219" s="23" t="str">
        <f>IF(Productos!B219="","",Productos!E219)</f>
        <v/>
      </c>
      <c r="F219" s="23" t="str">
        <f>IF(Productos!B219="","",Productos!F219)</f>
        <v/>
      </c>
      <c r="G219" s="23" t="str">
        <f>IF(Productos!B219="","",Productos!G219)</f>
        <v/>
      </c>
      <c r="H219" s="23" t="str">
        <f>IF(B219="","",SUMIF('Compras Entradas'!$D$5:$D$504,B219,'Compras Entradas'!$F$5:$F$504))</f>
        <v/>
      </c>
      <c r="I219" s="23" t="str">
        <f>IF(B219="","",SUMIF('Ventas Salidas'!$D$5:$D$504,B219,'Ventas Salidas'!$F$5:$F$504))</f>
        <v/>
      </c>
      <c r="J219" s="23" t="str">
        <f t="shared" si="12"/>
        <v/>
      </c>
      <c r="K219" s="23" t="str">
        <f t="shared" si="13"/>
        <v/>
      </c>
      <c r="L219" s="23" t="str">
        <f t="shared" si="14"/>
        <v/>
      </c>
      <c r="M219" s="8"/>
      <c r="N219" s="8" t="str">
        <f>IF(B219="","",IF(OR(K219="Bajo stock",K219="Sin stock"),COUNTIFS($K$5:$K219,"Bajo stock")+COUNTIFS($K$5:$K219,"Sin stock"),""))</f>
        <v/>
      </c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2:30" s="5" customFormat="1" ht="21.75" customHeight="1" x14ac:dyDescent="0.25">
      <c r="B220" s="23" t="str">
        <f>IF(Productos!B220="","",Productos!B220)</f>
        <v/>
      </c>
      <c r="C220" s="23" t="str">
        <f>IF(Productos!B220="","",Productos!C220)</f>
        <v/>
      </c>
      <c r="D220" s="23" t="str">
        <f>IF(Productos!B220="","",Productos!D220)</f>
        <v/>
      </c>
      <c r="E220" s="23" t="str">
        <f>IF(Productos!B220="","",Productos!E220)</f>
        <v/>
      </c>
      <c r="F220" s="23" t="str">
        <f>IF(Productos!B220="","",Productos!F220)</f>
        <v/>
      </c>
      <c r="G220" s="23" t="str">
        <f>IF(Productos!B220="","",Productos!G220)</f>
        <v/>
      </c>
      <c r="H220" s="23" t="str">
        <f>IF(B220="","",SUMIF('Compras Entradas'!$D$5:$D$504,B220,'Compras Entradas'!$F$5:$F$504))</f>
        <v/>
      </c>
      <c r="I220" s="23" t="str">
        <f>IF(B220="","",SUMIF('Ventas Salidas'!$D$5:$D$504,B220,'Ventas Salidas'!$F$5:$F$504))</f>
        <v/>
      </c>
      <c r="J220" s="23" t="str">
        <f t="shared" si="12"/>
        <v/>
      </c>
      <c r="K220" s="23" t="str">
        <f t="shared" si="13"/>
        <v/>
      </c>
      <c r="L220" s="23" t="str">
        <f t="shared" si="14"/>
        <v/>
      </c>
      <c r="M220" s="8"/>
      <c r="N220" s="8" t="str">
        <f>IF(B220="","",IF(OR(K220="Bajo stock",K220="Sin stock"),COUNTIFS($K$5:$K220,"Bajo stock")+COUNTIFS($K$5:$K220,"Sin stock"),""))</f>
        <v/>
      </c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2:30" s="5" customFormat="1" ht="21.75" customHeight="1" x14ac:dyDescent="0.25">
      <c r="B221" s="23" t="str">
        <f>IF(Productos!B221="","",Productos!B221)</f>
        <v/>
      </c>
      <c r="C221" s="23" t="str">
        <f>IF(Productos!B221="","",Productos!C221)</f>
        <v/>
      </c>
      <c r="D221" s="23" t="str">
        <f>IF(Productos!B221="","",Productos!D221)</f>
        <v/>
      </c>
      <c r="E221" s="23" t="str">
        <f>IF(Productos!B221="","",Productos!E221)</f>
        <v/>
      </c>
      <c r="F221" s="23" t="str">
        <f>IF(Productos!B221="","",Productos!F221)</f>
        <v/>
      </c>
      <c r="G221" s="23" t="str">
        <f>IF(Productos!B221="","",Productos!G221)</f>
        <v/>
      </c>
      <c r="H221" s="23" t="str">
        <f>IF(B221="","",SUMIF('Compras Entradas'!$D$5:$D$504,B221,'Compras Entradas'!$F$5:$F$504))</f>
        <v/>
      </c>
      <c r="I221" s="23" t="str">
        <f>IF(B221="","",SUMIF('Ventas Salidas'!$D$5:$D$504,B221,'Ventas Salidas'!$F$5:$F$504))</f>
        <v/>
      </c>
      <c r="J221" s="23" t="str">
        <f t="shared" si="12"/>
        <v/>
      </c>
      <c r="K221" s="23" t="str">
        <f t="shared" si="13"/>
        <v/>
      </c>
      <c r="L221" s="23" t="str">
        <f t="shared" si="14"/>
        <v/>
      </c>
      <c r="M221" s="8"/>
      <c r="N221" s="8" t="str">
        <f>IF(B221="","",IF(OR(K221="Bajo stock",K221="Sin stock"),COUNTIFS($K$5:$K221,"Bajo stock")+COUNTIFS($K$5:$K221,"Sin stock"),""))</f>
        <v/>
      </c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2:30" s="5" customFormat="1" ht="21.75" customHeight="1" x14ac:dyDescent="0.25">
      <c r="B222" s="23" t="str">
        <f>IF(Productos!B222="","",Productos!B222)</f>
        <v/>
      </c>
      <c r="C222" s="23" t="str">
        <f>IF(Productos!B222="","",Productos!C222)</f>
        <v/>
      </c>
      <c r="D222" s="23" t="str">
        <f>IF(Productos!B222="","",Productos!D222)</f>
        <v/>
      </c>
      <c r="E222" s="23" t="str">
        <f>IF(Productos!B222="","",Productos!E222)</f>
        <v/>
      </c>
      <c r="F222" s="23" t="str">
        <f>IF(Productos!B222="","",Productos!F222)</f>
        <v/>
      </c>
      <c r="G222" s="23" t="str">
        <f>IF(Productos!B222="","",Productos!G222)</f>
        <v/>
      </c>
      <c r="H222" s="23" t="str">
        <f>IF(B222="","",SUMIF('Compras Entradas'!$D$5:$D$504,B222,'Compras Entradas'!$F$5:$F$504))</f>
        <v/>
      </c>
      <c r="I222" s="23" t="str">
        <f>IF(B222="","",SUMIF('Ventas Salidas'!$D$5:$D$504,B222,'Ventas Salidas'!$F$5:$F$504))</f>
        <v/>
      </c>
      <c r="J222" s="23" t="str">
        <f t="shared" si="12"/>
        <v/>
      </c>
      <c r="K222" s="23" t="str">
        <f t="shared" si="13"/>
        <v/>
      </c>
      <c r="L222" s="23" t="str">
        <f t="shared" si="14"/>
        <v/>
      </c>
      <c r="M222" s="8"/>
      <c r="N222" s="8" t="str">
        <f>IF(B222="","",IF(OR(K222="Bajo stock",K222="Sin stock"),COUNTIFS($K$5:$K222,"Bajo stock")+COUNTIFS($K$5:$K222,"Sin stock"),""))</f>
        <v/>
      </c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2:30" s="5" customFormat="1" ht="21.75" customHeight="1" x14ac:dyDescent="0.25">
      <c r="B223" s="23" t="str">
        <f>IF(Productos!B223="","",Productos!B223)</f>
        <v/>
      </c>
      <c r="C223" s="23" t="str">
        <f>IF(Productos!B223="","",Productos!C223)</f>
        <v/>
      </c>
      <c r="D223" s="23" t="str">
        <f>IF(Productos!B223="","",Productos!D223)</f>
        <v/>
      </c>
      <c r="E223" s="23" t="str">
        <f>IF(Productos!B223="","",Productos!E223)</f>
        <v/>
      </c>
      <c r="F223" s="23" t="str">
        <f>IF(Productos!B223="","",Productos!F223)</f>
        <v/>
      </c>
      <c r="G223" s="23" t="str">
        <f>IF(Productos!B223="","",Productos!G223)</f>
        <v/>
      </c>
      <c r="H223" s="23" t="str">
        <f>IF(B223="","",SUMIF('Compras Entradas'!$D$5:$D$504,B223,'Compras Entradas'!$F$5:$F$504))</f>
        <v/>
      </c>
      <c r="I223" s="23" t="str">
        <f>IF(B223="","",SUMIF('Ventas Salidas'!$D$5:$D$504,B223,'Ventas Salidas'!$F$5:$F$504))</f>
        <v/>
      </c>
      <c r="J223" s="23" t="str">
        <f t="shared" si="12"/>
        <v/>
      </c>
      <c r="K223" s="23" t="str">
        <f t="shared" si="13"/>
        <v/>
      </c>
      <c r="L223" s="23" t="str">
        <f t="shared" si="14"/>
        <v/>
      </c>
      <c r="M223" s="8"/>
      <c r="N223" s="8" t="str">
        <f>IF(B223="","",IF(OR(K223="Bajo stock",K223="Sin stock"),COUNTIFS($K$5:$K223,"Bajo stock")+COUNTIFS($K$5:$K223,"Sin stock"),""))</f>
        <v/>
      </c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2:30" s="5" customFormat="1" ht="21.75" customHeight="1" x14ac:dyDescent="0.25">
      <c r="B224" s="23" t="str">
        <f>IF(Productos!B224="","",Productos!B224)</f>
        <v/>
      </c>
      <c r="C224" s="23" t="str">
        <f>IF(Productos!B224="","",Productos!C224)</f>
        <v/>
      </c>
      <c r="D224" s="23" t="str">
        <f>IF(Productos!B224="","",Productos!D224)</f>
        <v/>
      </c>
      <c r="E224" s="23" t="str">
        <f>IF(Productos!B224="","",Productos!E224)</f>
        <v/>
      </c>
      <c r="F224" s="23" t="str">
        <f>IF(Productos!B224="","",Productos!F224)</f>
        <v/>
      </c>
      <c r="G224" s="23" t="str">
        <f>IF(Productos!B224="","",Productos!G224)</f>
        <v/>
      </c>
      <c r="H224" s="23" t="str">
        <f>IF(B224="","",SUMIF('Compras Entradas'!$D$5:$D$504,B224,'Compras Entradas'!$F$5:$F$504))</f>
        <v/>
      </c>
      <c r="I224" s="23" t="str">
        <f>IF(B224="","",SUMIF('Ventas Salidas'!$D$5:$D$504,B224,'Ventas Salidas'!$F$5:$F$504))</f>
        <v/>
      </c>
      <c r="J224" s="23" t="str">
        <f t="shared" si="12"/>
        <v/>
      </c>
      <c r="K224" s="23" t="str">
        <f t="shared" si="13"/>
        <v/>
      </c>
      <c r="L224" s="23" t="str">
        <f t="shared" si="14"/>
        <v/>
      </c>
      <c r="M224" s="8"/>
      <c r="N224" s="8" t="str">
        <f>IF(B224="","",IF(OR(K224="Bajo stock",K224="Sin stock"),COUNTIFS($K$5:$K224,"Bajo stock")+COUNTIFS($K$5:$K224,"Sin stock"),""))</f>
        <v/>
      </c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2:30" s="5" customFormat="1" ht="21.75" customHeight="1" x14ac:dyDescent="0.25">
      <c r="B225" s="23" t="str">
        <f>IF(Productos!B225="","",Productos!B225)</f>
        <v/>
      </c>
      <c r="C225" s="23" t="str">
        <f>IF(Productos!B225="","",Productos!C225)</f>
        <v/>
      </c>
      <c r="D225" s="23" t="str">
        <f>IF(Productos!B225="","",Productos!D225)</f>
        <v/>
      </c>
      <c r="E225" s="23" t="str">
        <f>IF(Productos!B225="","",Productos!E225)</f>
        <v/>
      </c>
      <c r="F225" s="23" t="str">
        <f>IF(Productos!B225="","",Productos!F225)</f>
        <v/>
      </c>
      <c r="G225" s="23" t="str">
        <f>IF(Productos!B225="","",Productos!G225)</f>
        <v/>
      </c>
      <c r="H225" s="23" t="str">
        <f>IF(B225="","",SUMIF('Compras Entradas'!$D$5:$D$504,B225,'Compras Entradas'!$F$5:$F$504))</f>
        <v/>
      </c>
      <c r="I225" s="23" t="str">
        <f>IF(B225="","",SUMIF('Ventas Salidas'!$D$5:$D$504,B225,'Ventas Salidas'!$F$5:$F$504))</f>
        <v/>
      </c>
      <c r="J225" s="23" t="str">
        <f t="shared" si="12"/>
        <v/>
      </c>
      <c r="K225" s="23" t="str">
        <f t="shared" si="13"/>
        <v/>
      </c>
      <c r="L225" s="23" t="str">
        <f t="shared" si="14"/>
        <v/>
      </c>
      <c r="M225" s="8"/>
      <c r="N225" s="8" t="str">
        <f>IF(B225="","",IF(OR(K225="Bajo stock",K225="Sin stock"),COUNTIFS($K$5:$K225,"Bajo stock")+COUNTIFS($K$5:$K225,"Sin stock"),""))</f>
        <v/>
      </c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2:30" s="5" customFormat="1" ht="21.75" customHeight="1" x14ac:dyDescent="0.25">
      <c r="B226" s="23" t="str">
        <f>IF(Productos!B226="","",Productos!B226)</f>
        <v/>
      </c>
      <c r="C226" s="23" t="str">
        <f>IF(Productos!B226="","",Productos!C226)</f>
        <v/>
      </c>
      <c r="D226" s="23" t="str">
        <f>IF(Productos!B226="","",Productos!D226)</f>
        <v/>
      </c>
      <c r="E226" s="23" t="str">
        <f>IF(Productos!B226="","",Productos!E226)</f>
        <v/>
      </c>
      <c r="F226" s="23" t="str">
        <f>IF(Productos!B226="","",Productos!F226)</f>
        <v/>
      </c>
      <c r="G226" s="23" t="str">
        <f>IF(Productos!B226="","",Productos!G226)</f>
        <v/>
      </c>
      <c r="H226" s="23" t="str">
        <f>IF(B226="","",SUMIF('Compras Entradas'!$D$5:$D$504,B226,'Compras Entradas'!$F$5:$F$504))</f>
        <v/>
      </c>
      <c r="I226" s="23" t="str">
        <f>IF(B226="","",SUMIF('Ventas Salidas'!$D$5:$D$504,B226,'Ventas Salidas'!$F$5:$F$504))</f>
        <v/>
      </c>
      <c r="J226" s="23" t="str">
        <f t="shared" si="12"/>
        <v/>
      </c>
      <c r="K226" s="23" t="str">
        <f t="shared" si="13"/>
        <v/>
      </c>
      <c r="L226" s="23" t="str">
        <f t="shared" si="14"/>
        <v/>
      </c>
      <c r="M226" s="8"/>
      <c r="N226" s="8" t="str">
        <f>IF(B226="","",IF(OR(K226="Bajo stock",K226="Sin stock"),COUNTIFS($K$5:$K226,"Bajo stock")+COUNTIFS($K$5:$K226,"Sin stock"),""))</f>
        <v/>
      </c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2:30" s="5" customFormat="1" ht="21.75" customHeight="1" x14ac:dyDescent="0.25">
      <c r="B227" s="23" t="str">
        <f>IF(Productos!B227="","",Productos!B227)</f>
        <v/>
      </c>
      <c r="C227" s="23" t="str">
        <f>IF(Productos!B227="","",Productos!C227)</f>
        <v/>
      </c>
      <c r="D227" s="23" t="str">
        <f>IF(Productos!B227="","",Productos!D227)</f>
        <v/>
      </c>
      <c r="E227" s="23" t="str">
        <f>IF(Productos!B227="","",Productos!E227)</f>
        <v/>
      </c>
      <c r="F227" s="23" t="str">
        <f>IF(Productos!B227="","",Productos!F227)</f>
        <v/>
      </c>
      <c r="G227" s="23" t="str">
        <f>IF(Productos!B227="","",Productos!G227)</f>
        <v/>
      </c>
      <c r="H227" s="23" t="str">
        <f>IF(B227="","",SUMIF('Compras Entradas'!$D$5:$D$504,B227,'Compras Entradas'!$F$5:$F$504))</f>
        <v/>
      </c>
      <c r="I227" s="23" t="str">
        <f>IF(B227="","",SUMIF('Ventas Salidas'!$D$5:$D$504,B227,'Ventas Salidas'!$F$5:$F$504))</f>
        <v/>
      </c>
      <c r="J227" s="23" t="str">
        <f t="shared" si="12"/>
        <v/>
      </c>
      <c r="K227" s="23" t="str">
        <f t="shared" si="13"/>
        <v/>
      </c>
      <c r="L227" s="23" t="str">
        <f t="shared" si="14"/>
        <v/>
      </c>
      <c r="M227" s="8"/>
      <c r="N227" s="8" t="str">
        <f>IF(B227="","",IF(OR(K227="Bajo stock",K227="Sin stock"),COUNTIFS($K$5:$K227,"Bajo stock")+COUNTIFS($K$5:$K227,"Sin stock"),""))</f>
        <v/>
      </c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2:30" s="5" customFormat="1" ht="21.75" customHeight="1" x14ac:dyDescent="0.25">
      <c r="B228" s="23" t="str">
        <f>IF(Productos!B228="","",Productos!B228)</f>
        <v/>
      </c>
      <c r="C228" s="23" t="str">
        <f>IF(Productos!B228="","",Productos!C228)</f>
        <v/>
      </c>
      <c r="D228" s="23" t="str">
        <f>IF(Productos!B228="","",Productos!D228)</f>
        <v/>
      </c>
      <c r="E228" s="23" t="str">
        <f>IF(Productos!B228="","",Productos!E228)</f>
        <v/>
      </c>
      <c r="F228" s="23" t="str">
        <f>IF(Productos!B228="","",Productos!F228)</f>
        <v/>
      </c>
      <c r="G228" s="23" t="str">
        <f>IF(Productos!B228="","",Productos!G228)</f>
        <v/>
      </c>
      <c r="H228" s="23" t="str">
        <f>IF(B228="","",SUMIF('Compras Entradas'!$D$5:$D$504,B228,'Compras Entradas'!$F$5:$F$504))</f>
        <v/>
      </c>
      <c r="I228" s="23" t="str">
        <f>IF(B228="","",SUMIF('Ventas Salidas'!$D$5:$D$504,B228,'Ventas Salidas'!$F$5:$F$504))</f>
        <v/>
      </c>
      <c r="J228" s="23" t="str">
        <f t="shared" si="12"/>
        <v/>
      </c>
      <c r="K228" s="23" t="str">
        <f t="shared" si="13"/>
        <v/>
      </c>
      <c r="L228" s="23" t="str">
        <f t="shared" si="14"/>
        <v/>
      </c>
      <c r="M228" s="8"/>
      <c r="N228" s="8" t="str">
        <f>IF(B228="","",IF(OR(K228="Bajo stock",K228="Sin stock"),COUNTIFS($K$5:$K228,"Bajo stock")+COUNTIFS($K$5:$K228,"Sin stock"),""))</f>
        <v/>
      </c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2:30" s="5" customFormat="1" ht="21.75" customHeight="1" x14ac:dyDescent="0.25">
      <c r="B229" s="23" t="str">
        <f>IF(Productos!B229="","",Productos!B229)</f>
        <v/>
      </c>
      <c r="C229" s="23" t="str">
        <f>IF(Productos!B229="","",Productos!C229)</f>
        <v/>
      </c>
      <c r="D229" s="23" t="str">
        <f>IF(Productos!B229="","",Productos!D229)</f>
        <v/>
      </c>
      <c r="E229" s="23" t="str">
        <f>IF(Productos!B229="","",Productos!E229)</f>
        <v/>
      </c>
      <c r="F229" s="23" t="str">
        <f>IF(Productos!B229="","",Productos!F229)</f>
        <v/>
      </c>
      <c r="G229" s="23" t="str">
        <f>IF(Productos!B229="","",Productos!G229)</f>
        <v/>
      </c>
      <c r="H229" s="23" t="str">
        <f>IF(B229="","",SUMIF('Compras Entradas'!$D$5:$D$504,B229,'Compras Entradas'!$F$5:$F$504))</f>
        <v/>
      </c>
      <c r="I229" s="23" t="str">
        <f>IF(B229="","",SUMIF('Ventas Salidas'!$D$5:$D$504,B229,'Ventas Salidas'!$F$5:$F$504))</f>
        <v/>
      </c>
      <c r="J229" s="23" t="str">
        <f t="shared" si="12"/>
        <v/>
      </c>
      <c r="K229" s="23" t="str">
        <f t="shared" si="13"/>
        <v/>
      </c>
      <c r="L229" s="23" t="str">
        <f t="shared" si="14"/>
        <v/>
      </c>
      <c r="M229" s="8"/>
      <c r="N229" s="8" t="str">
        <f>IF(B229="","",IF(OR(K229="Bajo stock",K229="Sin stock"),COUNTIFS($K$5:$K229,"Bajo stock")+COUNTIFS($K$5:$K229,"Sin stock"),""))</f>
        <v/>
      </c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2:30" s="5" customFormat="1" ht="21.75" customHeight="1" x14ac:dyDescent="0.25">
      <c r="B230" s="4" t="str">
        <f>IF(Productos!B230="","",Productos!B230)</f>
        <v/>
      </c>
      <c r="C230" s="4" t="str">
        <f>IF(Productos!B230="","",Productos!C230)</f>
        <v/>
      </c>
      <c r="D230" s="4" t="str">
        <f>IF(Productos!B230="","",Productos!D230)</f>
        <v/>
      </c>
      <c r="E230" s="4" t="str">
        <f>IF(Productos!B230="","",Productos!E230)</f>
        <v/>
      </c>
      <c r="F230" s="4" t="str">
        <f>IF(Productos!B230="","",Productos!F230)</f>
        <v/>
      </c>
      <c r="G230" s="4" t="str">
        <f>IF(Productos!B230="","",Productos!G230)</f>
        <v/>
      </c>
      <c r="H230" s="4" t="str">
        <f>IF(B230="","",SUMIF('Compras Entradas'!$D$5:$D$504,B230,'Compras Entradas'!$F$5:$F$504))</f>
        <v/>
      </c>
      <c r="I230" s="4" t="str">
        <f>IF(B230="","",SUMIF('Ventas Salidas'!$D$5:$D$504,B230,'Ventas Salidas'!$F$5:$F$504))</f>
        <v/>
      </c>
      <c r="J230" s="4" t="str">
        <f t="shared" si="9"/>
        <v/>
      </c>
      <c r="K230" s="4" t="str">
        <f t="shared" si="10"/>
        <v/>
      </c>
      <c r="L230" s="4" t="str">
        <f t="shared" si="11"/>
        <v/>
      </c>
      <c r="M230" s="8"/>
      <c r="N230" s="8" t="str">
        <f>IF(B230="","",IF(OR(K230="Bajo stock",K230="Sin stock"),COUNTIFS($K$5:$K230,"Bajo stock")+COUNTIFS($K$5:$K230,"Sin stock"),""))</f>
        <v/>
      </c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2:30" s="5" customFormat="1" ht="21.75" customHeight="1" x14ac:dyDescent="0.25">
      <c r="B231" s="8" t="str">
        <f>IF(Productos!B231="","",Productos!B231)</f>
        <v/>
      </c>
      <c r="C231" s="8" t="str">
        <f>IF(Productos!B231="","",Productos!C231)</f>
        <v/>
      </c>
      <c r="D231" s="8" t="str">
        <f>IF(Productos!B231="","",Productos!D231)</f>
        <v/>
      </c>
      <c r="E231" s="8" t="str">
        <f>IF(Productos!B231="","",Productos!E231)</f>
        <v/>
      </c>
      <c r="F231" s="8" t="str">
        <f>IF(Productos!B231="","",Productos!F231)</f>
        <v/>
      </c>
      <c r="G231" s="8" t="str">
        <f>IF(Productos!B231="","",Productos!G231)</f>
        <v/>
      </c>
      <c r="H231" s="8" t="str">
        <f>IF(B231="","",SUMIF('Compras Entradas'!$D$5:$D$504,B231,'Compras Entradas'!$F$5:$F$504))</f>
        <v/>
      </c>
      <c r="I231" s="8" t="str">
        <f>IF(B231="","",SUMIF('Ventas Salidas'!$D$5:$D$504,B231,'Ventas Salidas'!$F$5:$F$504))</f>
        <v/>
      </c>
      <c r="J231" s="8" t="str">
        <f t="shared" si="9"/>
        <v/>
      </c>
      <c r="K231" s="8" t="str">
        <f t="shared" si="10"/>
        <v/>
      </c>
      <c r="L231" s="8" t="str">
        <f t="shared" si="11"/>
        <v/>
      </c>
      <c r="M231" s="8"/>
      <c r="N231" s="8" t="str">
        <f>IF(B231="","",IF(OR(K231="Bajo stock",K231="Sin stock"),COUNTIFS($K$5:$K231,"Bajo stock")+COUNTIFS($K$5:$K231,"Sin stock"),""))</f>
        <v/>
      </c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2:30" s="5" customFormat="1" ht="21.75" customHeight="1" x14ac:dyDescent="0.25">
      <c r="B232" s="8" t="str">
        <f>IF(Productos!B232="","",Productos!B232)</f>
        <v/>
      </c>
      <c r="C232" s="8" t="str">
        <f>IF(Productos!B232="","",Productos!C232)</f>
        <v/>
      </c>
      <c r="D232" s="8" t="str">
        <f>IF(Productos!B232="","",Productos!D232)</f>
        <v/>
      </c>
      <c r="E232" s="8" t="str">
        <f>IF(Productos!B232="","",Productos!E232)</f>
        <v/>
      </c>
      <c r="F232" s="8" t="str">
        <f>IF(Productos!B232="","",Productos!F232)</f>
        <v/>
      </c>
      <c r="G232" s="8" t="str">
        <f>IF(Productos!B232="","",Productos!G232)</f>
        <v/>
      </c>
      <c r="H232" s="8" t="str">
        <f>IF(B232="","",SUMIF('Compras Entradas'!$D$5:$D$504,B232,'Compras Entradas'!$F$5:$F$504))</f>
        <v/>
      </c>
      <c r="I232" s="8" t="str">
        <f>IF(B232="","",SUMIF('Ventas Salidas'!$D$5:$D$504,B232,'Ventas Salidas'!$F$5:$F$504))</f>
        <v/>
      </c>
      <c r="J232" s="8" t="str">
        <f t="shared" si="9"/>
        <v/>
      </c>
      <c r="K232" s="8" t="str">
        <f t="shared" si="10"/>
        <v/>
      </c>
      <c r="L232" s="8" t="str">
        <f t="shared" si="11"/>
        <v/>
      </c>
      <c r="M232" s="8"/>
      <c r="N232" s="8" t="str">
        <f>IF(B232="","",IF(OR(K232="Bajo stock",K232="Sin stock"),COUNTIFS($K$5:$K232,"Bajo stock")+COUNTIFS($K$5:$K232,"Sin stock"),""))</f>
        <v/>
      </c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2:30" s="5" customFormat="1" ht="21.75" customHeight="1" x14ac:dyDescent="0.25">
      <c r="B233" s="8" t="str">
        <f>IF(Productos!B233="","",Productos!B233)</f>
        <v/>
      </c>
      <c r="C233" s="8" t="str">
        <f>IF(Productos!B233="","",Productos!C233)</f>
        <v/>
      </c>
      <c r="D233" s="8" t="str">
        <f>IF(Productos!B233="","",Productos!D233)</f>
        <v/>
      </c>
      <c r="E233" s="8" t="str">
        <f>IF(Productos!B233="","",Productos!E233)</f>
        <v/>
      </c>
      <c r="F233" s="8" t="str">
        <f>IF(Productos!B233="","",Productos!F233)</f>
        <v/>
      </c>
      <c r="G233" s="8" t="str">
        <f>IF(Productos!B233="","",Productos!G233)</f>
        <v/>
      </c>
      <c r="H233" s="8" t="str">
        <f>IF(B233="","",SUMIF('Compras Entradas'!$D$5:$D$504,B233,'Compras Entradas'!$F$5:$F$504))</f>
        <v/>
      </c>
      <c r="I233" s="8" t="str">
        <f>IF(B233="","",SUMIF('Ventas Salidas'!$D$5:$D$504,B233,'Ventas Salidas'!$F$5:$F$504))</f>
        <v/>
      </c>
      <c r="J233" s="8" t="str">
        <f t="shared" si="9"/>
        <v/>
      </c>
      <c r="K233" s="8" t="str">
        <f t="shared" si="10"/>
        <v/>
      </c>
      <c r="L233" s="8" t="str">
        <f t="shared" si="11"/>
        <v/>
      </c>
      <c r="M233" s="8"/>
      <c r="N233" s="8" t="str">
        <f>IF(B233="","",IF(OR(K233="Bajo stock",K233="Sin stock"),COUNTIFS($K$5:$K233,"Bajo stock")+COUNTIFS($K$5:$K233,"Sin stock"),""))</f>
        <v/>
      </c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2:30" s="5" customFormat="1" ht="21.75" customHeight="1" x14ac:dyDescent="0.25">
      <c r="B234" s="8" t="str">
        <f>IF(Productos!B234="","",Productos!B234)</f>
        <v/>
      </c>
      <c r="C234" s="8" t="str">
        <f>IF(Productos!B234="","",Productos!C234)</f>
        <v/>
      </c>
      <c r="D234" s="8" t="str">
        <f>IF(Productos!B234="","",Productos!D234)</f>
        <v/>
      </c>
      <c r="E234" s="8" t="str">
        <f>IF(Productos!B234="","",Productos!E234)</f>
        <v/>
      </c>
      <c r="F234" s="8" t="str">
        <f>IF(Productos!B234="","",Productos!F234)</f>
        <v/>
      </c>
      <c r="G234" s="8" t="str">
        <f>IF(Productos!B234="","",Productos!G234)</f>
        <v/>
      </c>
      <c r="H234" s="8" t="str">
        <f>IF(B234="","",SUMIF('Compras Entradas'!$D$5:$D$504,B234,'Compras Entradas'!$F$5:$F$504))</f>
        <v/>
      </c>
      <c r="I234" s="8" t="str">
        <f>IF(B234="","",SUMIF('Ventas Salidas'!$D$5:$D$504,B234,'Ventas Salidas'!$F$5:$F$504))</f>
        <v/>
      </c>
      <c r="J234" s="8" t="str">
        <f t="shared" si="9"/>
        <v/>
      </c>
      <c r="K234" s="8" t="str">
        <f t="shared" si="10"/>
        <v/>
      </c>
      <c r="L234" s="8" t="str">
        <f t="shared" si="11"/>
        <v/>
      </c>
      <c r="M234" s="8"/>
      <c r="N234" s="8" t="str">
        <f>IF(B234="","",IF(OR(K234="Bajo stock",K234="Sin stock"),COUNTIFS($K$5:$K234,"Bajo stock")+COUNTIFS($K$5:$K234,"Sin stock"),""))</f>
        <v/>
      </c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2:30" s="5" customFormat="1" ht="21.75" customHeight="1" x14ac:dyDescent="0.25">
      <c r="B235" s="8" t="str">
        <f>IF(Productos!B235="","",Productos!B235)</f>
        <v/>
      </c>
      <c r="C235" s="8" t="str">
        <f>IF(Productos!B235="","",Productos!C235)</f>
        <v/>
      </c>
      <c r="D235" s="8" t="str">
        <f>IF(Productos!B235="","",Productos!D235)</f>
        <v/>
      </c>
      <c r="E235" s="8" t="str">
        <f>IF(Productos!B235="","",Productos!E235)</f>
        <v/>
      </c>
      <c r="F235" s="8" t="str">
        <f>IF(Productos!B235="","",Productos!F235)</f>
        <v/>
      </c>
      <c r="G235" s="8" t="str">
        <f>IF(Productos!B235="","",Productos!G235)</f>
        <v/>
      </c>
      <c r="H235" s="8" t="str">
        <f>IF(B235="","",SUMIF('Compras Entradas'!$D$5:$D$504,B235,'Compras Entradas'!$F$5:$F$504))</f>
        <v/>
      </c>
      <c r="I235" s="8" t="str">
        <f>IF(B235="","",SUMIF('Ventas Salidas'!$D$5:$D$504,B235,'Ventas Salidas'!$F$5:$F$504))</f>
        <v/>
      </c>
      <c r="J235" s="8" t="str">
        <f t="shared" si="9"/>
        <v/>
      </c>
      <c r="K235" s="8" t="str">
        <f t="shared" si="10"/>
        <v/>
      </c>
      <c r="L235" s="8" t="str">
        <f t="shared" si="11"/>
        <v/>
      </c>
      <c r="M235" s="8"/>
      <c r="N235" s="8" t="str">
        <f>IF(B235="","",IF(OR(K235="Bajo stock",K235="Sin stock"),COUNTIFS($K$5:$K235,"Bajo stock")+COUNTIFS($K$5:$K235,"Sin stock"),""))</f>
        <v/>
      </c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2:30" s="5" customFormat="1" ht="21.75" customHeight="1" x14ac:dyDescent="0.25">
      <c r="B236" s="8" t="str">
        <f>IF(Productos!B236="","",Productos!B236)</f>
        <v/>
      </c>
      <c r="C236" s="8" t="str">
        <f>IF(Productos!B236="","",Productos!C236)</f>
        <v/>
      </c>
      <c r="D236" s="8" t="str">
        <f>IF(Productos!B236="","",Productos!D236)</f>
        <v/>
      </c>
      <c r="E236" s="8" t="str">
        <f>IF(Productos!B236="","",Productos!E236)</f>
        <v/>
      </c>
      <c r="F236" s="8" t="str">
        <f>IF(Productos!B236="","",Productos!F236)</f>
        <v/>
      </c>
      <c r="G236" s="8" t="str">
        <f>IF(Productos!B236="","",Productos!G236)</f>
        <v/>
      </c>
      <c r="H236" s="8" t="str">
        <f>IF(B236="","",SUMIF('Compras Entradas'!$D$5:$D$504,B236,'Compras Entradas'!$F$5:$F$504))</f>
        <v/>
      </c>
      <c r="I236" s="8" t="str">
        <f>IF(B236="","",SUMIF('Ventas Salidas'!$D$5:$D$504,B236,'Ventas Salidas'!$F$5:$F$504))</f>
        <v/>
      </c>
      <c r="J236" s="8" t="str">
        <f t="shared" si="9"/>
        <v/>
      </c>
      <c r="K236" s="8" t="str">
        <f t="shared" si="10"/>
        <v/>
      </c>
      <c r="L236" s="8" t="str">
        <f t="shared" si="11"/>
        <v/>
      </c>
      <c r="M236" s="8"/>
      <c r="N236" s="8" t="str">
        <f>IF(B236="","",IF(OR(K236="Bajo stock",K236="Sin stock"),COUNTIFS($K$5:$K236,"Bajo stock")+COUNTIFS($K$5:$K236,"Sin stock"),""))</f>
        <v/>
      </c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2:30" s="5" customFormat="1" ht="21.75" customHeight="1" x14ac:dyDescent="0.25">
      <c r="B237" s="8" t="str">
        <f>IF(Productos!B237="","",Productos!B237)</f>
        <v/>
      </c>
      <c r="C237" s="8" t="str">
        <f>IF(Productos!B237="","",Productos!C237)</f>
        <v/>
      </c>
      <c r="D237" s="8" t="str">
        <f>IF(Productos!B237="","",Productos!D237)</f>
        <v/>
      </c>
      <c r="E237" s="8" t="str">
        <f>IF(Productos!B237="","",Productos!E237)</f>
        <v/>
      </c>
      <c r="F237" s="8" t="str">
        <f>IF(Productos!B237="","",Productos!F237)</f>
        <v/>
      </c>
      <c r="G237" s="8" t="str">
        <f>IF(Productos!B237="","",Productos!G237)</f>
        <v/>
      </c>
      <c r="H237" s="8" t="str">
        <f>IF(B237="","",SUMIF('Compras Entradas'!$D$5:$D$504,B237,'Compras Entradas'!$F$5:$F$504))</f>
        <v/>
      </c>
      <c r="I237" s="8" t="str">
        <f>IF(B237="","",SUMIF('Ventas Salidas'!$D$5:$D$504,B237,'Ventas Salidas'!$F$5:$F$504))</f>
        <v/>
      </c>
      <c r="J237" s="8" t="str">
        <f t="shared" si="9"/>
        <v/>
      </c>
      <c r="K237" s="8" t="str">
        <f t="shared" si="10"/>
        <v/>
      </c>
      <c r="L237" s="8" t="str">
        <f t="shared" si="11"/>
        <v/>
      </c>
      <c r="M237" s="8"/>
      <c r="N237" s="8" t="str">
        <f>IF(B237="","",IF(OR(K237="Bajo stock",K237="Sin stock"),COUNTIFS($K$5:$K237,"Bajo stock")+COUNTIFS($K$5:$K237,"Sin stock"),""))</f>
        <v/>
      </c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2:30" s="5" customFormat="1" ht="21.75" customHeight="1" x14ac:dyDescent="0.25">
      <c r="B238" s="8" t="str">
        <f>IF(Productos!B238="","",Productos!B238)</f>
        <v/>
      </c>
      <c r="C238" s="8" t="str">
        <f>IF(Productos!B238="","",Productos!C238)</f>
        <v/>
      </c>
      <c r="D238" s="8" t="str">
        <f>IF(Productos!B238="","",Productos!D238)</f>
        <v/>
      </c>
      <c r="E238" s="8" t="str">
        <f>IF(Productos!B238="","",Productos!E238)</f>
        <v/>
      </c>
      <c r="F238" s="8" t="str">
        <f>IF(Productos!B238="","",Productos!F238)</f>
        <v/>
      </c>
      <c r="G238" s="8" t="str">
        <f>IF(Productos!B238="","",Productos!G238)</f>
        <v/>
      </c>
      <c r="H238" s="8" t="str">
        <f>IF(B238="","",SUMIF('Compras Entradas'!$D$5:$D$504,B238,'Compras Entradas'!$F$5:$F$504))</f>
        <v/>
      </c>
      <c r="I238" s="8" t="str">
        <f>IF(B238="","",SUMIF('Ventas Salidas'!$D$5:$D$504,B238,'Ventas Salidas'!$F$5:$F$504))</f>
        <v/>
      </c>
      <c r="J238" s="8" t="str">
        <f t="shared" si="9"/>
        <v/>
      </c>
      <c r="K238" s="8" t="str">
        <f t="shared" si="10"/>
        <v/>
      </c>
      <c r="L238" s="8" t="str">
        <f t="shared" si="11"/>
        <v/>
      </c>
      <c r="M238" s="8"/>
      <c r="N238" s="8" t="str">
        <f>IF(B238="","",IF(OR(K238="Bajo stock",K238="Sin stock"),COUNTIFS($K$5:$K238,"Bajo stock")+COUNTIFS($K$5:$K238,"Sin stock"),""))</f>
        <v/>
      </c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2:30" s="5" customFormat="1" ht="21.75" customHeight="1" x14ac:dyDescent="0.25">
      <c r="B239" s="8" t="str">
        <f>IF(Productos!B239="","",Productos!B239)</f>
        <v/>
      </c>
      <c r="C239" s="8" t="str">
        <f>IF(Productos!B239="","",Productos!C239)</f>
        <v/>
      </c>
      <c r="D239" s="8" t="str">
        <f>IF(Productos!B239="","",Productos!D239)</f>
        <v/>
      </c>
      <c r="E239" s="8" t="str">
        <f>IF(Productos!B239="","",Productos!E239)</f>
        <v/>
      </c>
      <c r="F239" s="8" t="str">
        <f>IF(Productos!B239="","",Productos!F239)</f>
        <v/>
      </c>
      <c r="G239" s="8" t="str">
        <f>IF(Productos!B239="","",Productos!G239)</f>
        <v/>
      </c>
      <c r="H239" s="8" t="str">
        <f>IF(B239="","",SUMIF('Compras Entradas'!$D$5:$D$504,B239,'Compras Entradas'!$F$5:$F$504))</f>
        <v/>
      </c>
      <c r="I239" s="8" t="str">
        <f>IF(B239="","",SUMIF('Ventas Salidas'!$D$5:$D$504,B239,'Ventas Salidas'!$F$5:$F$504))</f>
        <v/>
      </c>
      <c r="J239" s="8" t="str">
        <f t="shared" si="9"/>
        <v/>
      </c>
      <c r="K239" s="8" t="str">
        <f t="shared" si="10"/>
        <v/>
      </c>
      <c r="L239" s="8" t="str">
        <f t="shared" si="11"/>
        <v/>
      </c>
      <c r="M239" s="8"/>
      <c r="N239" s="8" t="str">
        <f>IF(B239="","",IF(OR(K239="Bajo stock",K239="Sin stock"),COUNTIFS($K$5:$K239,"Bajo stock")+COUNTIFS($K$5:$K239,"Sin stock"),""))</f>
        <v/>
      </c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2:30" s="5" customFormat="1" ht="21.75" customHeight="1" x14ac:dyDescent="0.25">
      <c r="B240" s="8" t="str">
        <f>IF(Productos!B240="","",Productos!B240)</f>
        <v/>
      </c>
      <c r="C240" s="8" t="str">
        <f>IF(Productos!B240="","",Productos!C240)</f>
        <v/>
      </c>
      <c r="D240" s="8" t="str">
        <f>IF(Productos!B240="","",Productos!D240)</f>
        <v/>
      </c>
      <c r="E240" s="8" t="str">
        <f>IF(Productos!B240="","",Productos!E240)</f>
        <v/>
      </c>
      <c r="F240" s="8" t="str">
        <f>IF(Productos!B240="","",Productos!F240)</f>
        <v/>
      </c>
      <c r="G240" s="8" t="str">
        <f>IF(Productos!B240="","",Productos!G240)</f>
        <v/>
      </c>
      <c r="H240" s="8" t="str">
        <f>IF(B240="","",SUMIF('Compras Entradas'!$D$5:$D$504,B240,'Compras Entradas'!$F$5:$F$504))</f>
        <v/>
      </c>
      <c r="I240" s="8" t="str">
        <f>IF(B240="","",SUMIF('Ventas Salidas'!$D$5:$D$504,B240,'Ventas Salidas'!$F$5:$F$504))</f>
        <v/>
      </c>
      <c r="J240" s="8" t="str">
        <f t="shared" si="9"/>
        <v/>
      </c>
      <c r="K240" s="8" t="str">
        <f t="shared" si="10"/>
        <v/>
      </c>
      <c r="L240" s="8" t="str">
        <f t="shared" si="11"/>
        <v/>
      </c>
      <c r="M240" s="8"/>
      <c r="N240" s="8" t="str">
        <f>IF(B240="","",IF(OR(K240="Bajo stock",K240="Sin stock"),COUNTIFS($K$5:$K240,"Bajo stock")+COUNTIFS($K$5:$K240,"Sin stock"),""))</f>
        <v/>
      </c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2:30" s="5" customFormat="1" ht="21.75" customHeight="1" x14ac:dyDescent="0.25">
      <c r="B241" s="8" t="str">
        <f>IF(Productos!B241="","",Productos!B241)</f>
        <v/>
      </c>
      <c r="C241" s="8" t="str">
        <f>IF(Productos!B241="","",Productos!C241)</f>
        <v/>
      </c>
      <c r="D241" s="8" t="str">
        <f>IF(Productos!B241="","",Productos!D241)</f>
        <v/>
      </c>
      <c r="E241" s="8" t="str">
        <f>IF(Productos!B241="","",Productos!E241)</f>
        <v/>
      </c>
      <c r="F241" s="8" t="str">
        <f>IF(Productos!B241="","",Productos!F241)</f>
        <v/>
      </c>
      <c r="G241" s="8" t="str">
        <f>IF(Productos!B241="","",Productos!G241)</f>
        <v/>
      </c>
      <c r="H241" s="8" t="str">
        <f>IF(B241="","",SUMIF('Compras Entradas'!$D$5:$D$504,B241,'Compras Entradas'!$F$5:$F$504))</f>
        <v/>
      </c>
      <c r="I241" s="8" t="str">
        <f>IF(B241="","",SUMIF('Ventas Salidas'!$D$5:$D$504,B241,'Ventas Salidas'!$F$5:$F$504))</f>
        <v/>
      </c>
      <c r="J241" s="8" t="str">
        <f t="shared" si="9"/>
        <v/>
      </c>
      <c r="K241" s="8" t="str">
        <f t="shared" si="10"/>
        <v/>
      </c>
      <c r="L241" s="8" t="str">
        <f t="shared" si="11"/>
        <v/>
      </c>
      <c r="M241" s="8"/>
      <c r="N241" s="8" t="str">
        <f>IF(B241="","",IF(OR(K241="Bajo stock",K241="Sin stock"),COUNTIFS($K$5:$K241,"Bajo stock")+COUNTIFS($K$5:$K241,"Sin stock"),""))</f>
        <v/>
      </c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2:30" s="5" customFormat="1" ht="21.75" customHeight="1" x14ac:dyDescent="0.25">
      <c r="B242" s="8" t="str">
        <f>IF(Productos!B242="","",Productos!B242)</f>
        <v/>
      </c>
      <c r="C242" s="8" t="str">
        <f>IF(Productos!B242="","",Productos!C242)</f>
        <v/>
      </c>
      <c r="D242" s="8" t="str">
        <f>IF(Productos!B242="","",Productos!D242)</f>
        <v/>
      </c>
      <c r="E242" s="8" t="str">
        <f>IF(Productos!B242="","",Productos!E242)</f>
        <v/>
      </c>
      <c r="F242" s="8" t="str">
        <f>IF(Productos!B242="","",Productos!F242)</f>
        <v/>
      </c>
      <c r="G242" s="8" t="str">
        <f>IF(Productos!B242="","",Productos!G242)</f>
        <v/>
      </c>
      <c r="H242" s="8" t="str">
        <f>IF(B242="","",SUMIF('Compras Entradas'!$D$5:$D$504,B242,'Compras Entradas'!$F$5:$F$504))</f>
        <v/>
      </c>
      <c r="I242" s="8" t="str">
        <f>IF(B242="","",SUMIF('Ventas Salidas'!$D$5:$D$504,B242,'Ventas Salidas'!$F$5:$F$504))</f>
        <v/>
      </c>
      <c r="J242" s="8" t="str">
        <f t="shared" si="9"/>
        <v/>
      </c>
      <c r="K242" s="8" t="str">
        <f t="shared" si="10"/>
        <v/>
      </c>
      <c r="L242" s="8" t="str">
        <f t="shared" si="11"/>
        <v/>
      </c>
      <c r="M242" s="8"/>
      <c r="N242" s="8" t="str">
        <f>IF(B242="","",IF(OR(K242="Bajo stock",K242="Sin stock"),COUNTIFS($K$5:$K242,"Bajo stock")+COUNTIFS($K$5:$K242,"Sin stock"),""))</f>
        <v/>
      </c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2:30" s="5" customFormat="1" ht="21.75" customHeight="1" x14ac:dyDescent="0.25">
      <c r="B243" s="8" t="str">
        <f>IF(Productos!B243="","",Productos!B243)</f>
        <v/>
      </c>
      <c r="C243" s="8" t="str">
        <f>IF(Productos!B243="","",Productos!C243)</f>
        <v/>
      </c>
      <c r="D243" s="8" t="str">
        <f>IF(Productos!B243="","",Productos!D243)</f>
        <v/>
      </c>
      <c r="E243" s="8" t="str">
        <f>IF(Productos!B243="","",Productos!E243)</f>
        <v/>
      </c>
      <c r="F243" s="8" t="str">
        <f>IF(Productos!B243="","",Productos!F243)</f>
        <v/>
      </c>
      <c r="G243" s="8" t="str">
        <f>IF(Productos!B243="","",Productos!G243)</f>
        <v/>
      </c>
      <c r="H243" s="8" t="str">
        <f>IF(B243="","",SUMIF('Compras Entradas'!$D$5:$D$504,B243,'Compras Entradas'!$F$5:$F$504))</f>
        <v/>
      </c>
      <c r="I243" s="8" t="str">
        <f>IF(B243="","",SUMIF('Ventas Salidas'!$D$5:$D$504,B243,'Ventas Salidas'!$F$5:$F$504))</f>
        <v/>
      </c>
      <c r="J243" s="8" t="str">
        <f t="shared" si="9"/>
        <v/>
      </c>
      <c r="K243" s="8" t="str">
        <f t="shared" si="10"/>
        <v/>
      </c>
      <c r="L243" s="8" t="str">
        <f t="shared" si="11"/>
        <v/>
      </c>
      <c r="M243" s="8"/>
      <c r="N243" s="8" t="str">
        <f>IF(B243="","",IF(OR(K243="Bajo stock",K243="Sin stock"),COUNTIFS($K$5:$K243,"Bajo stock")+COUNTIFS($K$5:$K243,"Sin stock"),""))</f>
        <v/>
      </c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2:30" s="5" customFormat="1" ht="21.75" customHeight="1" x14ac:dyDescent="0.25">
      <c r="B244" s="8" t="str">
        <f>IF(Productos!B244="","",Productos!B244)</f>
        <v/>
      </c>
      <c r="C244" s="8" t="str">
        <f>IF(Productos!B244="","",Productos!C244)</f>
        <v/>
      </c>
      <c r="D244" s="8" t="str">
        <f>IF(Productos!B244="","",Productos!D244)</f>
        <v/>
      </c>
      <c r="E244" s="8" t="str">
        <f>IF(Productos!B244="","",Productos!E244)</f>
        <v/>
      </c>
      <c r="F244" s="8" t="str">
        <f>IF(Productos!B244="","",Productos!F244)</f>
        <v/>
      </c>
      <c r="G244" s="8" t="str">
        <f>IF(Productos!B244="","",Productos!G244)</f>
        <v/>
      </c>
      <c r="H244" s="8" t="str">
        <f>IF(B244="","",SUMIF('Compras Entradas'!$D$5:$D$504,B244,'Compras Entradas'!$F$5:$F$504))</f>
        <v/>
      </c>
      <c r="I244" s="8" t="str">
        <f>IF(B244="","",SUMIF('Ventas Salidas'!$D$5:$D$504,B244,'Ventas Salidas'!$F$5:$F$504))</f>
        <v/>
      </c>
      <c r="J244" s="8" t="str">
        <f t="shared" si="9"/>
        <v/>
      </c>
      <c r="K244" s="8" t="str">
        <f t="shared" si="10"/>
        <v/>
      </c>
      <c r="L244" s="8" t="str">
        <f t="shared" si="11"/>
        <v/>
      </c>
      <c r="M244" s="8"/>
      <c r="N244" s="8" t="str">
        <f>IF(B244="","",IF(OR(K244="Bajo stock",K244="Sin stock"),COUNTIFS($K$5:$K244,"Bajo stock")+COUNTIFS($K$5:$K244,"Sin stock"),""))</f>
        <v/>
      </c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2:30" s="5" customFormat="1" ht="21.75" customHeight="1" x14ac:dyDescent="0.25">
      <c r="B245" s="8" t="str">
        <f>IF(Productos!B245="","",Productos!B245)</f>
        <v/>
      </c>
      <c r="C245" s="8" t="str">
        <f>IF(Productos!B245="","",Productos!C245)</f>
        <v/>
      </c>
      <c r="D245" s="8" t="str">
        <f>IF(Productos!B245="","",Productos!D245)</f>
        <v/>
      </c>
      <c r="E245" s="8" t="str">
        <f>IF(Productos!B245="","",Productos!E245)</f>
        <v/>
      </c>
      <c r="F245" s="8" t="str">
        <f>IF(Productos!B245="","",Productos!F245)</f>
        <v/>
      </c>
      <c r="G245" s="8" t="str">
        <f>IF(Productos!B245="","",Productos!G245)</f>
        <v/>
      </c>
      <c r="H245" s="8" t="str">
        <f>IF(B245="","",SUMIF('Compras Entradas'!$D$5:$D$504,B245,'Compras Entradas'!$F$5:$F$504))</f>
        <v/>
      </c>
      <c r="I245" s="8" t="str">
        <f>IF(B245="","",SUMIF('Ventas Salidas'!$D$5:$D$504,B245,'Ventas Salidas'!$F$5:$F$504))</f>
        <v/>
      </c>
      <c r="J245" s="8" t="str">
        <f t="shared" si="9"/>
        <v/>
      </c>
      <c r="K245" s="8" t="str">
        <f t="shared" si="10"/>
        <v/>
      </c>
      <c r="L245" s="8" t="str">
        <f t="shared" si="11"/>
        <v/>
      </c>
      <c r="M245" s="8"/>
      <c r="N245" s="8" t="str">
        <f>IF(B245="","",IF(OR(K245="Bajo stock",K245="Sin stock"),COUNTIFS($K$5:$K245,"Bajo stock")+COUNTIFS($K$5:$K245,"Sin stock"),""))</f>
        <v/>
      </c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2:30" s="5" customFormat="1" ht="21.75" customHeight="1" x14ac:dyDescent="0.25">
      <c r="B246" s="8" t="str">
        <f>IF(Productos!B246="","",Productos!B246)</f>
        <v/>
      </c>
      <c r="C246" s="8" t="str">
        <f>IF(Productos!B246="","",Productos!C246)</f>
        <v/>
      </c>
      <c r="D246" s="8" t="str">
        <f>IF(Productos!B246="","",Productos!D246)</f>
        <v/>
      </c>
      <c r="E246" s="8" t="str">
        <f>IF(Productos!B246="","",Productos!E246)</f>
        <v/>
      </c>
      <c r="F246" s="8" t="str">
        <f>IF(Productos!B246="","",Productos!F246)</f>
        <v/>
      </c>
      <c r="G246" s="8" t="str">
        <f>IF(Productos!B246="","",Productos!G246)</f>
        <v/>
      </c>
      <c r="H246" s="8" t="str">
        <f>IF(B246="","",SUMIF('Compras Entradas'!$D$5:$D$504,B246,'Compras Entradas'!$F$5:$F$504))</f>
        <v/>
      </c>
      <c r="I246" s="8" t="str">
        <f>IF(B246="","",SUMIF('Ventas Salidas'!$D$5:$D$504,B246,'Ventas Salidas'!$F$5:$F$504))</f>
        <v/>
      </c>
      <c r="J246" s="8" t="str">
        <f t="shared" si="9"/>
        <v/>
      </c>
      <c r="K246" s="8" t="str">
        <f t="shared" si="10"/>
        <v/>
      </c>
      <c r="L246" s="8" t="str">
        <f t="shared" si="11"/>
        <v/>
      </c>
      <c r="M246" s="8"/>
      <c r="N246" s="8" t="str">
        <f>IF(B246="","",IF(OR(K246="Bajo stock",K246="Sin stock"),COUNTIFS($K$5:$K246,"Bajo stock")+COUNTIFS($K$5:$K246,"Sin stock"),""))</f>
        <v/>
      </c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2:30" s="5" customFormat="1" ht="21.75" customHeight="1" x14ac:dyDescent="0.25">
      <c r="B247" s="8" t="str">
        <f>IF(Productos!B247="","",Productos!B247)</f>
        <v/>
      </c>
      <c r="C247" s="8" t="str">
        <f>IF(Productos!B247="","",Productos!C247)</f>
        <v/>
      </c>
      <c r="D247" s="8" t="str">
        <f>IF(Productos!B247="","",Productos!D247)</f>
        <v/>
      </c>
      <c r="E247" s="8" t="str">
        <f>IF(Productos!B247="","",Productos!E247)</f>
        <v/>
      </c>
      <c r="F247" s="8" t="str">
        <f>IF(Productos!B247="","",Productos!F247)</f>
        <v/>
      </c>
      <c r="G247" s="8" t="str">
        <f>IF(Productos!B247="","",Productos!G247)</f>
        <v/>
      </c>
      <c r="H247" s="8" t="str">
        <f>IF(B247="","",SUMIF('Compras Entradas'!$D$5:$D$504,B247,'Compras Entradas'!$F$5:$F$504))</f>
        <v/>
      </c>
      <c r="I247" s="8" t="str">
        <f>IF(B247="","",SUMIF('Ventas Salidas'!$D$5:$D$504,B247,'Ventas Salidas'!$F$5:$F$504))</f>
        <v/>
      </c>
      <c r="J247" s="8" t="str">
        <f t="shared" si="9"/>
        <v/>
      </c>
      <c r="K247" s="8" t="str">
        <f t="shared" si="10"/>
        <v/>
      </c>
      <c r="L247" s="8" t="str">
        <f t="shared" si="11"/>
        <v/>
      </c>
      <c r="M247" s="8"/>
      <c r="N247" s="8" t="str">
        <f>IF(B247="","",IF(OR(K247="Bajo stock",K247="Sin stock"),COUNTIFS($K$5:$K247,"Bajo stock")+COUNTIFS($K$5:$K247,"Sin stock"),""))</f>
        <v/>
      </c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2:30" s="5" customFormat="1" ht="21.75" customHeight="1" x14ac:dyDescent="0.25">
      <c r="B248" s="8" t="str">
        <f>IF(Productos!B248="","",Productos!B248)</f>
        <v/>
      </c>
      <c r="C248" s="8" t="str">
        <f>IF(Productos!B248="","",Productos!C248)</f>
        <v/>
      </c>
      <c r="D248" s="8" t="str">
        <f>IF(Productos!B248="","",Productos!D248)</f>
        <v/>
      </c>
      <c r="E248" s="8" t="str">
        <f>IF(Productos!B248="","",Productos!E248)</f>
        <v/>
      </c>
      <c r="F248" s="8" t="str">
        <f>IF(Productos!B248="","",Productos!F248)</f>
        <v/>
      </c>
      <c r="G248" s="8" t="str">
        <f>IF(Productos!B248="","",Productos!G248)</f>
        <v/>
      </c>
      <c r="H248" s="8" t="str">
        <f>IF(B248="","",SUMIF('Compras Entradas'!$D$5:$D$504,B248,'Compras Entradas'!$F$5:$F$504))</f>
        <v/>
      </c>
      <c r="I248" s="8" t="str">
        <f>IF(B248="","",SUMIF('Ventas Salidas'!$D$5:$D$504,B248,'Ventas Salidas'!$F$5:$F$504))</f>
        <v/>
      </c>
      <c r="J248" s="8" t="str">
        <f t="shared" si="9"/>
        <v/>
      </c>
      <c r="K248" s="8" t="str">
        <f t="shared" si="10"/>
        <v/>
      </c>
      <c r="L248" s="8" t="str">
        <f t="shared" si="11"/>
        <v/>
      </c>
      <c r="M248" s="8"/>
      <c r="N248" s="8" t="str">
        <f>IF(B248="","",IF(OR(K248="Bajo stock",K248="Sin stock"),COUNTIFS($K$5:$K248,"Bajo stock")+COUNTIFS($K$5:$K248,"Sin stock"),""))</f>
        <v/>
      </c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2:30" s="5" customFormat="1" ht="21.75" customHeight="1" x14ac:dyDescent="0.25">
      <c r="B249" s="8" t="str">
        <f>IF(Productos!B249="","",Productos!B249)</f>
        <v/>
      </c>
      <c r="C249" s="8" t="str">
        <f>IF(Productos!B249="","",Productos!C249)</f>
        <v/>
      </c>
      <c r="D249" s="8" t="str">
        <f>IF(Productos!B249="","",Productos!D249)</f>
        <v/>
      </c>
      <c r="E249" s="8" t="str">
        <f>IF(Productos!B249="","",Productos!E249)</f>
        <v/>
      </c>
      <c r="F249" s="8" t="str">
        <f>IF(Productos!B249="","",Productos!F249)</f>
        <v/>
      </c>
      <c r="G249" s="8" t="str">
        <f>IF(Productos!B249="","",Productos!G249)</f>
        <v/>
      </c>
      <c r="H249" s="8" t="str">
        <f>IF(B249="","",SUMIF('Compras Entradas'!$D$5:$D$504,B249,'Compras Entradas'!$F$5:$F$504))</f>
        <v/>
      </c>
      <c r="I249" s="8" t="str">
        <f>IF(B249="","",SUMIF('Ventas Salidas'!$D$5:$D$504,B249,'Ventas Salidas'!$F$5:$F$504))</f>
        <v/>
      </c>
      <c r="J249" s="8" t="str">
        <f t="shared" si="9"/>
        <v/>
      </c>
      <c r="K249" s="8" t="str">
        <f t="shared" si="10"/>
        <v/>
      </c>
      <c r="L249" s="8" t="str">
        <f t="shared" si="11"/>
        <v/>
      </c>
      <c r="M249" s="8"/>
      <c r="N249" s="8" t="str">
        <f>IF(B249="","",IF(OR(K249="Bajo stock",K249="Sin stock"),COUNTIFS($K$5:$K249,"Bajo stock")+COUNTIFS($K$5:$K249,"Sin stock"),""))</f>
        <v/>
      </c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2:30" s="5" customFormat="1" ht="21.75" customHeight="1" x14ac:dyDescent="0.25">
      <c r="B250" s="8" t="str">
        <f>IF(Productos!B250="","",Productos!B250)</f>
        <v/>
      </c>
      <c r="C250" s="8" t="str">
        <f>IF(Productos!B250="","",Productos!C250)</f>
        <v/>
      </c>
      <c r="D250" s="8" t="str">
        <f>IF(Productos!B250="","",Productos!D250)</f>
        <v/>
      </c>
      <c r="E250" s="8" t="str">
        <f>IF(Productos!B250="","",Productos!E250)</f>
        <v/>
      </c>
      <c r="F250" s="8" t="str">
        <f>IF(Productos!B250="","",Productos!F250)</f>
        <v/>
      </c>
      <c r="G250" s="8" t="str">
        <f>IF(Productos!B250="","",Productos!G250)</f>
        <v/>
      </c>
      <c r="H250" s="8" t="str">
        <f>IF(B250="","",SUMIF('Compras Entradas'!$D$5:$D$504,B250,'Compras Entradas'!$F$5:$F$504))</f>
        <v/>
      </c>
      <c r="I250" s="8" t="str">
        <f>IF(B250="","",SUMIF('Ventas Salidas'!$D$5:$D$504,B250,'Ventas Salidas'!$F$5:$F$504))</f>
        <v/>
      </c>
      <c r="J250" s="8" t="str">
        <f t="shared" si="9"/>
        <v/>
      </c>
      <c r="K250" s="8" t="str">
        <f t="shared" si="10"/>
        <v/>
      </c>
      <c r="L250" s="8" t="str">
        <f t="shared" si="11"/>
        <v/>
      </c>
      <c r="M250" s="8"/>
      <c r="N250" s="8" t="str">
        <f>IF(B250="","",IF(OR(K250="Bajo stock",K250="Sin stock"),COUNTIFS($K$5:$K250,"Bajo stock")+COUNTIFS($K$5:$K250,"Sin stock"),""))</f>
        <v/>
      </c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2:30" s="5" customFormat="1" ht="21.75" customHeight="1" x14ac:dyDescent="0.25">
      <c r="B251" s="8" t="str">
        <f>IF(Productos!B251="","",Productos!B251)</f>
        <v/>
      </c>
      <c r="C251" s="8" t="str">
        <f>IF(Productos!B251="","",Productos!C251)</f>
        <v/>
      </c>
      <c r="D251" s="8" t="str">
        <f>IF(Productos!B251="","",Productos!D251)</f>
        <v/>
      </c>
      <c r="E251" s="8" t="str">
        <f>IF(Productos!B251="","",Productos!E251)</f>
        <v/>
      </c>
      <c r="F251" s="8" t="str">
        <f>IF(Productos!B251="","",Productos!F251)</f>
        <v/>
      </c>
      <c r="G251" s="8" t="str">
        <f>IF(Productos!B251="","",Productos!G251)</f>
        <v/>
      </c>
      <c r="H251" s="8" t="str">
        <f>IF(B251="","",SUMIF('Compras Entradas'!$D$5:$D$504,B251,'Compras Entradas'!$F$5:$F$504))</f>
        <v/>
      </c>
      <c r="I251" s="8" t="str">
        <f>IF(B251="","",SUMIF('Ventas Salidas'!$D$5:$D$504,B251,'Ventas Salidas'!$F$5:$F$504))</f>
        <v/>
      </c>
      <c r="J251" s="8" t="str">
        <f t="shared" si="9"/>
        <v/>
      </c>
      <c r="K251" s="8" t="str">
        <f t="shared" si="10"/>
        <v/>
      </c>
      <c r="L251" s="8" t="str">
        <f t="shared" si="11"/>
        <v/>
      </c>
      <c r="M251" s="8"/>
      <c r="N251" s="8" t="str">
        <f>IF(B251="","",IF(OR(K251="Bajo stock",K251="Sin stock"),COUNTIFS($K$5:$K251,"Bajo stock")+COUNTIFS($K$5:$K251,"Sin stock"),""))</f>
        <v/>
      </c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2:30" s="5" customFormat="1" ht="21.75" customHeight="1" x14ac:dyDescent="0.25">
      <c r="B252" s="8" t="str">
        <f>IF(Productos!B252="","",Productos!B252)</f>
        <v/>
      </c>
      <c r="C252" s="8" t="str">
        <f>IF(Productos!B252="","",Productos!C252)</f>
        <v/>
      </c>
      <c r="D252" s="8" t="str">
        <f>IF(Productos!B252="","",Productos!D252)</f>
        <v/>
      </c>
      <c r="E252" s="8" t="str">
        <f>IF(Productos!B252="","",Productos!E252)</f>
        <v/>
      </c>
      <c r="F252" s="8" t="str">
        <f>IF(Productos!B252="","",Productos!F252)</f>
        <v/>
      </c>
      <c r="G252" s="8" t="str">
        <f>IF(Productos!B252="","",Productos!G252)</f>
        <v/>
      </c>
      <c r="H252" s="8" t="str">
        <f>IF(B252="","",SUMIF('Compras Entradas'!$D$5:$D$504,B252,'Compras Entradas'!$F$5:$F$504))</f>
        <v/>
      </c>
      <c r="I252" s="8" t="str">
        <f>IF(B252="","",SUMIF('Ventas Salidas'!$D$5:$D$504,B252,'Ventas Salidas'!$F$5:$F$504))</f>
        <v/>
      </c>
      <c r="J252" s="8" t="str">
        <f t="shared" si="9"/>
        <v/>
      </c>
      <c r="K252" s="8" t="str">
        <f t="shared" si="10"/>
        <v/>
      </c>
      <c r="L252" s="8" t="str">
        <f t="shared" si="11"/>
        <v/>
      </c>
      <c r="M252" s="8"/>
      <c r="N252" s="8" t="str">
        <f>IF(B252="","",IF(OR(K252="Bajo stock",K252="Sin stock"),COUNTIFS($K$5:$K252,"Bajo stock")+COUNTIFS($K$5:$K252,"Sin stock"),""))</f>
        <v/>
      </c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2:30" s="5" customFormat="1" ht="21.75" customHeight="1" x14ac:dyDescent="0.25">
      <c r="B253" s="8" t="str">
        <f>IF(Productos!B253="","",Productos!B253)</f>
        <v/>
      </c>
      <c r="C253" s="8" t="str">
        <f>IF(Productos!B253="","",Productos!C253)</f>
        <v/>
      </c>
      <c r="D253" s="8" t="str">
        <f>IF(Productos!B253="","",Productos!D253)</f>
        <v/>
      </c>
      <c r="E253" s="8" t="str">
        <f>IF(Productos!B253="","",Productos!E253)</f>
        <v/>
      </c>
      <c r="F253" s="8" t="str">
        <f>IF(Productos!B253="","",Productos!F253)</f>
        <v/>
      </c>
      <c r="G253" s="8" t="str">
        <f>IF(Productos!B253="","",Productos!G253)</f>
        <v/>
      </c>
      <c r="H253" s="8" t="str">
        <f>IF(B253="","",SUMIF('Compras Entradas'!$D$5:$D$504,B253,'Compras Entradas'!$F$5:$F$504))</f>
        <v/>
      </c>
      <c r="I253" s="8" t="str">
        <f>IF(B253="","",SUMIF('Ventas Salidas'!$D$5:$D$504,B253,'Ventas Salidas'!$F$5:$F$504))</f>
        <v/>
      </c>
      <c r="J253" s="8" t="str">
        <f t="shared" si="9"/>
        <v/>
      </c>
      <c r="K253" s="8" t="str">
        <f t="shared" si="10"/>
        <v/>
      </c>
      <c r="L253" s="8" t="str">
        <f t="shared" si="11"/>
        <v/>
      </c>
      <c r="M253" s="8"/>
      <c r="N253" s="8" t="str">
        <f>IF(B253="","",IF(OR(K253="Bajo stock",K253="Sin stock"),COUNTIFS($K$5:$K253,"Bajo stock")+COUNTIFS($K$5:$K253,"Sin stock"),""))</f>
        <v/>
      </c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2:30" s="5" customFormat="1" ht="21.75" customHeight="1" x14ac:dyDescent="0.25">
      <c r="B254" s="8" t="str">
        <f>IF(Productos!B254="","",Productos!B254)</f>
        <v/>
      </c>
      <c r="C254" s="8" t="str">
        <f>IF(Productos!B254="","",Productos!C254)</f>
        <v/>
      </c>
      <c r="D254" s="8" t="str">
        <f>IF(Productos!B254="","",Productos!D254)</f>
        <v/>
      </c>
      <c r="E254" s="8" t="str">
        <f>IF(Productos!B254="","",Productos!E254)</f>
        <v/>
      </c>
      <c r="F254" s="8" t="str">
        <f>IF(Productos!B254="","",Productos!F254)</f>
        <v/>
      </c>
      <c r="G254" s="8" t="str">
        <f>IF(Productos!B254="","",Productos!G254)</f>
        <v/>
      </c>
      <c r="H254" s="8" t="str">
        <f>IF(B254="","",SUMIF('Compras Entradas'!$D$5:$D$504,B254,'Compras Entradas'!$F$5:$F$504))</f>
        <v/>
      </c>
      <c r="I254" s="8" t="str">
        <f>IF(B254="","",SUMIF('Ventas Salidas'!$D$5:$D$504,B254,'Ventas Salidas'!$F$5:$F$504))</f>
        <v/>
      </c>
      <c r="J254" s="8" t="str">
        <f t="shared" si="9"/>
        <v/>
      </c>
      <c r="K254" s="8" t="str">
        <f t="shared" si="10"/>
        <v/>
      </c>
      <c r="L254" s="8" t="str">
        <f t="shared" si="11"/>
        <v/>
      </c>
      <c r="M254" s="8"/>
      <c r="N254" s="8" t="str">
        <f>IF(B254="","",IF(OR(K254="Bajo stock",K254="Sin stock"),COUNTIFS($K$5:$K254,"Bajo stock")+COUNTIFS($K$5:$K254,"Sin stock"),""))</f>
        <v/>
      </c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2:30" s="5" customFormat="1" ht="21.75" customHeight="1" x14ac:dyDescent="0.25">
      <c r="B255" s="8" t="str">
        <f>IF(Productos!B255="","",Productos!B255)</f>
        <v/>
      </c>
      <c r="C255" s="8" t="str">
        <f>IF(Productos!B255="","",Productos!C255)</f>
        <v/>
      </c>
      <c r="D255" s="8" t="str">
        <f>IF(Productos!B255="","",Productos!D255)</f>
        <v/>
      </c>
      <c r="E255" s="8" t="str">
        <f>IF(Productos!B255="","",Productos!E255)</f>
        <v/>
      </c>
      <c r="F255" s="8" t="str">
        <f>IF(Productos!B255="","",Productos!F255)</f>
        <v/>
      </c>
      <c r="G255" s="8" t="str">
        <f>IF(Productos!B255="","",Productos!G255)</f>
        <v/>
      </c>
      <c r="H255" s="8" t="str">
        <f>IF(B255="","",SUMIF('Compras Entradas'!$D$5:$D$504,B255,'Compras Entradas'!$F$5:$F$504))</f>
        <v/>
      </c>
      <c r="I255" s="8" t="str">
        <f>IF(B255="","",SUMIF('Ventas Salidas'!$D$5:$D$504,B255,'Ventas Salidas'!$F$5:$F$504))</f>
        <v/>
      </c>
      <c r="J255" s="8" t="str">
        <f t="shared" si="9"/>
        <v/>
      </c>
      <c r="K255" s="8" t="str">
        <f t="shared" si="10"/>
        <v/>
      </c>
      <c r="L255" s="8" t="str">
        <f t="shared" si="11"/>
        <v/>
      </c>
      <c r="M255" s="8"/>
      <c r="N255" s="8" t="str">
        <f>IF(B255="","",IF(OR(K255="Bajo stock",K255="Sin stock"),COUNTIFS($K$5:$K255,"Bajo stock")+COUNTIFS($K$5:$K255,"Sin stock"),""))</f>
        <v/>
      </c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2:30" s="5" customFormat="1" ht="21.75" customHeight="1" x14ac:dyDescent="0.25">
      <c r="B256" s="8" t="str">
        <f>IF(Productos!B256="","",Productos!B256)</f>
        <v/>
      </c>
      <c r="C256" s="8" t="str">
        <f>IF(Productos!B256="","",Productos!C256)</f>
        <v/>
      </c>
      <c r="D256" s="8" t="str">
        <f>IF(Productos!B256="","",Productos!D256)</f>
        <v/>
      </c>
      <c r="E256" s="8" t="str">
        <f>IF(Productos!B256="","",Productos!E256)</f>
        <v/>
      </c>
      <c r="F256" s="8" t="str">
        <f>IF(Productos!B256="","",Productos!F256)</f>
        <v/>
      </c>
      <c r="G256" s="8" t="str">
        <f>IF(Productos!B256="","",Productos!G256)</f>
        <v/>
      </c>
      <c r="H256" s="8" t="str">
        <f>IF(B256="","",SUMIF('Compras Entradas'!$D$5:$D$504,B256,'Compras Entradas'!$F$5:$F$504))</f>
        <v/>
      </c>
      <c r="I256" s="8" t="str">
        <f>IF(B256="","",SUMIF('Ventas Salidas'!$D$5:$D$504,B256,'Ventas Salidas'!$F$5:$F$504))</f>
        <v/>
      </c>
      <c r="J256" s="8" t="str">
        <f t="shared" si="9"/>
        <v/>
      </c>
      <c r="K256" s="8" t="str">
        <f t="shared" si="10"/>
        <v/>
      </c>
      <c r="L256" s="8" t="str">
        <f t="shared" si="11"/>
        <v/>
      </c>
      <c r="M256" s="8"/>
      <c r="N256" s="8" t="str">
        <f>IF(B256="","",IF(OR(K256="Bajo stock",K256="Sin stock"),COUNTIFS($K$5:$K256,"Bajo stock")+COUNTIFS($K$5:$K256,"Sin stock"),""))</f>
        <v/>
      </c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2:30" s="5" customFormat="1" ht="21.75" customHeight="1" x14ac:dyDescent="0.25">
      <c r="B257" s="8" t="str">
        <f>IF(Productos!B257="","",Productos!B257)</f>
        <v/>
      </c>
      <c r="C257" s="8" t="str">
        <f>IF(Productos!B257="","",Productos!C257)</f>
        <v/>
      </c>
      <c r="D257" s="8" t="str">
        <f>IF(Productos!B257="","",Productos!D257)</f>
        <v/>
      </c>
      <c r="E257" s="8" t="str">
        <f>IF(Productos!B257="","",Productos!E257)</f>
        <v/>
      </c>
      <c r="F257" s="8" t="str">
        <f>IF(Productos!B257="","",Productos!F257)</f>
        <v/>
      </c>
      <c r="G257" s="8" t="str">
        <f>IF(Productos!B257="","",Productos!G257)</f>
        <v/>
      </c>
      <c r="H257" s="8" t="str">
        <f>IF(B257="","",SUMIF('Compras Entradas'!$D$5:$D$504,B257,'Compras Entradas'!$F$5:$F$504))</f>
        <v/>
      </c>
      <c r="I257" s="8" t="str">
        <f>IF(B257="","",SUMIF('Ventas Salidas'!$D$5:$D$504,B257,'Ventas Salidas'!$F$5:$F$504))</f>
        <v/>
      </c>
      <c r="J257" s="8" t="str">
        <f t="shared" si="9"/>
        <v/>
      </c>
      <c r="K257" s="8" t="str">
        <f t="shared" si="10"/>
        <v/>
      </c>
      <c r="L257" s="8" t="str">
        <f t="shared" si="11"/>
        <v/>
      </c>
      <c r="M257" s="8"/>
      <c r="N257" s="8" t="str">
        <f>IF(B257="","",IF(OR(K257="Bajo stock",K257="Sin stock"),COUNTIFS($K$5:$K257,"Bajo stock")+COUNTIFS($K$5:$K257,"Sin stock"),""))</f>
        <v/>
      </c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2:30" s="5" customFormat="1" ht="21.75" customHeight="1" x14ac:dyDescent="0.25">
      <c r="B258" s="8" t="str">
        <f>IF(Productos!B258="","",Productos!B258)</f>
        <v/>
      </c>
      <c r="C258" s="8" t="str">
        <f>IF(Productos!B258="","",Productos!C258)</f>
        <v/>
      </c>
      <c r="D258" s="8" t="str">
        <f>IF(Productos!B258="","",Productos!D258)</f>
        <v/>
      </c>
      <c r="E258" s="8" t="str">
        <f>IF(Productos!B258="","",Productos!E258)</f>
        <v/>
      </c>
      <c r="F258" s="8" t="str">
        <f>IF(Productos!B258="","",Productos!F258)</f>
        <v/>
      </c>
      <c r="G258" s="8" t="str">
        <f>IF(Productos!B258="","",Productos!G258)</f>
        <v/>
      </c>
      <c r="H258" s="8" t="str">
        <f>IF(B258="","",SUMIF('Compras Entradas'!$D$5:$D$504,B258,'Compras Entradas'!$F$5:$F$504))</f>
        <v/>
      </c>
      <c r="I258" s="8" t="str">
        <f>IF(B258="","",SUMIF('Ventas Salidas'!$D$5:$D$504,B258,'Ventas Salidas'!$F$5:$F$504))</f>
        <v/>
      </c>
      <c r="J258" s="8" t="str">
        <f t="shared" si="9"/>
        <v/>
      </c>
      <c r="K258" s="8" t="str">
        <f t="shared" si="10"/>
        <v/>
      </c>
      <c r="L258" s="8" t="str">
        <f t="shared" si="11"/>
        <v/>
      </c>
      <c r="M258" s="8"/>
      <c r="N258" s="8" t="str">
        <f>IF(B258="","",IF(OR(K258="Bajo stock",K258="Sin stock"),COUNTIFS($K$5:$K258,"Bajo stock")+COUNTIFS($K$5:$K258,"Sin stock"),""))</f>
        <v/>
      </c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2:30" s="5" customFormat="1" ht="21.75" customHeight="1" x14ac:dyDescent="0.25">
      <c r="B259" s="8" t="str">
        <f>IF(Productos!B259="","",Productos!B259)</f>
        <v/>
      </c>
      <c r="C259" s="8" t="str">
        <f>IF(Productos!B259="","",Productos!C259)</f>
        <v/>
      </c>
      <c r="D259" s="8" t="str">
        <f>IF(Productos!B259="","",Productos!D259)</f>
        <v/>
      </c>
      <c r="E259" s="8" t="str">
        <f>IF(Productos!B259="","",Productos!E259)</f>
        <v/>
      </c>
      <c r="F259" s="8" t="str">
        <f>IF(Productos!B259="","",Productos!F259)</f>
        <v/>
      </c>
      <c r="G259" s="8" t="str">
        <f>IF(Productos!B259="","",Productos!G259)</f>
        <v/>
      </c>
      <c r="H259" s="8" t="str">
        <f>IF(B259="","",SUMIF('Compras Entradas'!$D$5:$D$504,B259,'Compras Entradas'!$F$5:$F$504))</f>
        <v/>
      </c>
      <c r="I259" s="8" t="str">
        <f>IF(B259="","",SUMIF('Ventas Salidas'!$D$5:$D$504,B259,'Ventas Salidas'!$F$5:$F$504))</f>
        <v/>
      </c>
      <c r="J259" s="8" t="str">
        <f t="shared" si="9"/>
        <v/>
      </c>
      <c r="K259" s="8" t="str">
        <f t="shared" si="10"/>
        <v/>
      </c>
      <c r="L259" s="8" t="str">
        <f t="shared" si="11"/>
        <v/>
      </c>
      <c r="M259" s="8"/>
      <c r="N259" s="8" t="str">
        <f>IF(B259="","",IF(OR(K259="Bajo stock",K259="Sin stock"),COUNTIFS($K$5:$K259,"Bajo stock")+COUNTIFS($K$5:$K259,"Sin stock"),""))</f>
        <v/>
      </c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2:30" s="5" customFormat="1" ht="21.75" customHeight="1" x14ac:dyDescent="0.25">
      <c r="B260" s="8" t="str">
        <f>IF(Productos!B260="","",Productos!B260)</f>
        <v/>
      </c>
      <c r="C260" s="8" t="str">
        <f>IF(Productos!B260="","",Productos!C260)</f>
        <v/>
      </c>
      <c r="D260" s="8" t="str">
        <f>IF(Productos!B260="","",Productos!D260)</f>
        <v/>
      </c>
      <c r="E260" s="8" t="str">
        <f>IF(Productos!B260="","",Productos!E260)</f>
        <v/>
      </c>
      <c r="F260" s="8" t="str">
        <f>IF(Productos!B260="","",Productos!F260)</f>
        <v/>
      </c>
      <c r="G260" s="8" t="str">
        <f>IF(Productos!B260="","",Productos!G260)</f>
        <v/>
      </c>
      <c r="H260" s="8" t="str">
        <f>IF(B260="","",SUMIF('Compras Entradas'!$D$5:$D$504,B260,'Compras Entradas'!$F$5:$F$504))</f>
        <v/>
      </c>
      <c r="I260" s="8" t="str">
        <f>IF(B260="","",SUMIF('Ventas Salidas'!$D$5:$D$504,B260,'Ventas Salidas'!$F$5:$F$504))</f>
        <v/>
      </c>
      <c r="J260" s="8" t="str">
        <f t="shared" si="9"/>
        <v/>
      </c>
      <c r="K260" s="8" t="str">
        <f t="shared" si="10"/>
        <v/>
      </c>
      <c r="L260" s="8" t="str">
        <f t="shared" si="11"/>
        <v/>
      </c>
      <c r="M260" s="8"/>
      <c r="N260" s="8" t="str">
        <f>IF(B260="","",IF(OR(K260="Bajo stock",K260="Sin stock"),COUNTIFS($K$5:$K260,"Bajo stock")+COUNTIFS($K$5:$K260,"Sin stock"),""))</f>
        <v/>
      </c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2:30" s="5" customFormat="1" ht="21.75" customHeight="1" x14ac:dyDescent="0.25">
      <c r="B261" s="8" t="str">
        <f>IF(Productos!B261="","",Productos!B261)</f>
        <v/>
      </c>
      <c r="C261" s="8" t="str">
        <f>IF(Productos!B261="","",Productos!C261)</f>
        <v/>
      </c>
      <c r="D261" s="8" t="str">
        <f>IF(Productos!B261="","",Productos!D261)</f>
        <v/>
      </c>
      <c r="E261" s="8" t="str">
        <f>IF(Productos!B261="","",Productos!E261)</f>
        <v/>
      </c>
      <c r="F261" s="8" t="str">
        <f>IF(Productos!B261="","",Productos!F261)</f>
        <v/>
      </c>
      <c r="G261" s="8" t="str">
        <f>IF(Productos!B261="","",Productos!G261)</f>
        <v/>
      </c>
      <c r="H261" s="8" t="str">
        <f>IF(B261="","",SUMIF('Compras Entradas'!$D$5:$D$504,B261,'Compras Entradas'!$F$5:$F$504))</f>
        <v/>
      </c>
      <c r="I261" s="8" t="str">
        <f>IF(B261="","",SUMIF('Ventas Salidas'!$D$5:$D$504,B261,'Ventas Salidas'!$F$5:$F$504))</f>
        <v/>
      </c>
      <c r="J261" s="8" t="str">
        <f t="shared" ref="J261:J324" si="15">IF(B261="","",G261+H261-I261)</f>
        <v/>
      </c>
      <c r="K261" s="8" t="str">
        <f t="shared" ref="K261:K324" si="16">IF(B261="","",IF(J261&lt;=0,"Sin stock",IF(J261&lt;F261,"Bajo stock","OK")))</f>
        <v/>
      </c>
      <c r="L261" s="8" t="str">
        <f t="shared" ref="L261:L324" si="17">IF(B261="","",IF(J261&lt;=0,"Comprar urgente",IF(J261&lt;F261,"Reponer pronto","Stock suficiente")))</f>
        <v/>
      </c>
      <c r="M261" s="8"/>
      <c r="N261" s="8" t="str">
        <f>IF(B261="","",IF(OR(K261="Bajo stock",K261="Sin stock"),COUNTIFS($K$5:$K261,"Bajo stock")+COUNTIFS($K$5:$K261,"Sin stock"),""))</f>
        <v/>
      </c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2:30" s="5" customFormat="1" ht="21.75" customHeight="1" x14ac:dyDescent="0.25">
      <c r="B262" s="8" t="str">
        <f>IF(Productos!B262="","",Productos!B262)</f>
        <v/>
      </c>
      <c r="C262" s="8" t="str">
        <f>IF(Productos!B262="","",Productos!C262)</f>
        <v/>
      </c>
      <c r="D262" s="8" t="str">
        <f>IF(Productos!B262="","",Productos!D262)</f>
        <v/>
      </c>
      <c r="E262" s="8" t="str">
        <f>IF(Productos!B262="","",Productos!E262)</f>
        <v/>
      </c>
      <c r="F262" s="8" t="str">
        <f>IF(Productos!B262="","",Productos!F262)</f>
        <v/>
      </c>
      <c r="G262" s="8" t="str">
        <f>IF(Productos!B262="","",Productos!G262)</f>
        <v/>
      </c>
      <c r="H262" s="8" t="str">
        <f>IF(B262="","",SUMIF('Compras Entradas'!$D$5:$D$504,B262,'Compras Entradas'!$F$5:$F$504))</f>
        <v/>
      </c>
      <c r="I262" s="8" t="str">
        <f>IF(B262="","",SUMIF('Ventas Salidas'!$D$5:$D$504,B262,'Ventas Salidas'!$F$5:$F$504))</f>
        <v/>
      </c>
      <c r="J262" s="8" t="str">
        <f t="shared" si="15"/>
        <v/>
      </c>
      <c r="K262" s="8" t="str">
        <f t="shared" si="16"/>
        <v/>
      </c>
      <c r="L262" s="8" t="str">
        <f t="shared" si="17"/>
        <v/>
      </c>
      <c r="M262" s="8"/>
      <c r="N262" s="8" t="str">
        <f>IF(B262="","",IF(OR(K262="Bajo stock",K262="Sin stock"),COUNTIFS($K$5:$K262,"Bajo stock")+COUNTIFS($K$5:$K262,"Sin stock"),""))</f>
        <v/>
      </c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2:30" s="5" customFormat="1" ht="21.75" customHeight="1" x14ac:dyDescent="0.25">
      <c r="B263" s="8" t="str">
        <f>IF(Productos!B263="","",Productos!B263)</f>
        <v/>
      </c>
      <c r="C263" s="8" t="str">
        <f>IF(Productos!B263="","",Productos!C263)</f>
        <v/>
      </c>
      <c r="D263" s="8" t="str">
        <f>IF(Productos!B263="","",Productos!D263)</f>
        <v/>
      </c>
      <c r="E263" s="8" t="str">
        <f>IF(Productos!B263="","",Productos!E263)</f>
        <v/>
      </c>
      <c r="F263" s="8" t="str">
        <f>IF(Productos!B263="","",Productos!F263)</f>
        <v/>
      </c>
      <c r="G263" s="8" t="str">
        <f>IF(Productos!B263="","",Productos!G263)</f>
        <v/>
      </c>
      <c r="H263" s="8" t="str">
        <f>IF(B263="","",SUMIF('Compras Entradas'!$D$5:$D$504,B263,'Compras Entradas'!$F$5:$F$504))</f>
        <v/>
      </c>
      <c r="I263" s="8" t="str">
        <f>IF(B263="","",SUMIF('Ventas Salidas'!$D$5:$D$504,B263,'Ventas Salidas'!$F$5:$F$504))</f>
        <v/>
      </c>
      <c r="J263" s="8" t="str">
        <f t="shared" si="15"/>
        <v/>
      </c>
      <c r="K263" s="8" t="str">
        <f t="shared" si="16"/>
        <v/>
      </c>
      <c r="L263" s="8" t="str">
        <f t="shared" si="17"/>
        <v/>
      </c>
      <c r="M263" s="8"/>
      <c r="N263" s="8" t="str">
        <f>IF(B263="","",IF(OR(K263="Bajo stock",K263="Sin stock"),COUNTIFS($K$5:$K263,"Bajo stock")+COUNTIFS($K$5:$K263,"Sin stock"),""))</f>
        <v/>
      </c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2:30" s="5" customFormat="1" ht="21.75" customHeight="1" x14ac:dyDescent="0.25">
      <c r="B264" s="8" t="str">
        <f>IF(Productos!B264="","",Productos!B264)</f>
        <v/>
      </c>
      <c r="C264" s="8" t="str">
        <f>IF(Productos!B264="","",Productos!C264)</f>
        <v/>
      </c>
      <c r="D264" s="8" t="str">
        <f>IF(Productos!B264="","",Productos!D264)</f>
        <v/>
      </c>
      <c r="E264" s="8" t="str">
        <f>IF(Productos!B264="","",Productos!E264)</f>
        <v/>
      </c>
      <c r="F264" s="8" t="str">
        <f>IF(Productos!B264="","",Productos!F264)</f>
        <v/>
      </c>
      <c r="G264" s="8" t="str">
        <f>IF(Productos!B264="","",Productos!G264)</f>
        <v/>
      </c>
      <c r="H264" s="8" t="str">
        <f>IF(B264="","",SUMIF('Compras Entradas'!$D$5:$D$504,B264,'Compras Entradas'!$F$5:$F$504))</f>
        <v/>
      </c>
      <c r="I264" s="8" t="str">
        <f>IF(B264="","",SUMIF('Ventas Salidas'!$D$5:$D$504,B264,'Ventas Salidas'!$F$5:$F$504))</f>
        <v/>
      </c>
      <c r="J264" s="8" t="str">
        <f t="shared" si="15"/>
        <v/>
      </c>
      <c r="K264" s="8" t="str">
        <f t="shared" si="16"/>
        <v/>
      </c>
      <c r="L264" s="8" t="str">
        <f t="shared" si="17"/>
        <v/>
      </c>
      <c r="M264" s="8"/>
      <c r="N264" s="8" t="str">
        <f>IF(B264="","",IF(OR(K264="Bajo stock",K264="Sin stock"),COUNTIFS($K$5:$K264,"Bajo stock")+COUNTIFS($K$5:$K264,"Sin stock"),""))</f>
        <v/>
      </c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2:30" s="5" customFormat="1" ht="21.75" customHeight="1" x14ac:dyDescent="0.25">
      <c r="B265" s="8" t="str">
        <f>IF(Productos!B265="","",Productos!B265)</f>
        <v/>
      </c>
      <c r="C265" s="8" t="str">
        <f>IF(Productos!B265="","",Productos!C265)</f>
        <v/>
      </c>
      <c r="D265" s="8" t="str">
        <f>IF(Productos!B265="","",Productos!D265)</f>
        <v/>
      </c>
      <c r="E265" s="8" t="str">
        <f>IF(Productos!B265="","",Productos!E265)</f>
        <v/>
      </c>
      <c r="F265" s="8" t="str">
        <f>IF(Productos!B265="","",Productos!F265)</f>
        <v/>
      </c>
      <c r="G265" s="8" t="str">
        <f>IF(Productos!B265="","",Productos!G265)</f>
        <v/>
      </c>
      <c r="H265" s="8" t="str">
        <f>IF(B265="","",SUMIF('Compras Entradas'!$D$5:$D$504,B265,'Compras Entradas'!$F$5:$F$504))</f>
        <v/>
      </c>
      <c r="I265" s="8" t="str">
        <f>IF(B265="","",SUMIF('Ventas Salidas'!$D$5:$D$504,B265,'Ventas Salidas'!$F$5:$F$504))</f>
        <v/>
      </c>
      <c r="J265" s="8" t="str">
        <f t="shared" si="15"/>
        <v/>
      </c>
      <c r="K265" s="8" t="str">
        <f t="shared" si="16"/>
        <v/>
      </c>
      <c r="L265" s="8" t="str">
        <f t="shared" si="17"/>
        <v/>
      </c>
      <c r="M265" s="8"/>
      <c r="N265" s="8" t="str">
        <f>IF(B265="","",IF(OR(K265="Bajo stock",K265="Sin stock"),COUNTIFS($K$5:$K265,"Bajo stock")+COUNTIFS($K$5:$K265,"Sin stock"),""))</f>
        <v/>
      </c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2:30" s="5" customFormat="1" ht="21.75" customHeight="1" x14ac:dyDescent="0.25">
      <c r="B266" s="8" t="str">
        <f>IF(Productos!B266="","",Productos!B266)</f>
        <v/>
      </c>
      <c r="C266" s="8" t="str">
        <f>IF(Productos!B266="","",Productos!C266)</f>
        <v/>
      </c>
      <c r="D266" s="8" t="str">
        <f>IF(Productos!B266="","",Productos!D266)</f>
        <v/>
      </c>
      <c r="E266" s="8" t="str">
        <f>IF(Productos!B266="","",Productos!E266)</f>
        <v/>
      </c>
      <c r="F266" s="8" t="str">
        <f>IF(Productos!B266="","",Productos!F266)</f>
        <v/>
      </c>
      <c r="G266" s="8" t="str">
        <f>IF(Productos!B266="","",Productos!G266)</f>
        <v/>
      </c>
      <c r="H266" s="8" t="str">
        <f>IF(B266="","",SUMIF('Compras Entradas'!$D$5:$D$504,B266,'Compras Entradas'!$F$5:$F$504))</f>
        <v/>
      </c>
      <c r="I266" s="8" t="str">
        <f>IF(B266="","",SUMIF('Ventas Salidas'!$D$5:$D$504,B266,'Ventas Salidas'!$F$5:$F$504))</f>
        <v/>
      </c>
      <c r="J266" s="8" t="str">
        <f t="shared" si="15"/>
        <v/>
      </c>
      <c r="K266" s="8" t="str">
        <f t="shared" si="16"/>
        <v/>
      </c>
      <c r="L266" s="8" t="str">
        <f t="shared" si="17"/>
        <v/>
      </c>
      <c r="M266" s="8"/>
      <c r="N266" s="8" t="str">
        <f>IF(B266="","",IF(OR(K266="Bajo stock",K266="Sin stock"),COUNTIFS($K$5:$K266,"Bajo stock")+COUNTIFS($K$5:$K266,"Sin stock"),""))</f>
        <v/>
      </c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2:30" s="5" customFormat="1" ht="21.75" customHeight="1" x14ac:dyDescent="0.25">
      <c r="B267" s="8" t="str">
        <f>IF(Productos!B267="","",Productos!B267)</f>
        <v/>
      </c>
      <c r="C267" s="8" t="str">
        <f>IF(Productos!B267="","",Productos!C267)</f>
        <v/>
      </c>
      <c r="D267" s="8" t="str">
        <f>IF(Productos!B267="","",Productos!D267)</f>
        <v/>
      </c>
      <c r="E267" s="8" t="str">
        <f>IF(Productos!B267="","",Productos!E267)</f>
        <v/>
      </c>
      <c r="F267" s="8" t="str">
        <f>IF(Productos!B267="","",Productos!F267)</f>
        <v/>
      </c>
      <c r="G267" s="8" t="str">
        <f>IF(Productos!B267="","",Productos!G267)</f>
        <v/>
      </c>
      <c r="H267" s="8" t="str">
        <f>IF(B267="","",SUMIF('Compras Entradas'!$D$5:$D$504,B267,'Compras Entradas'!$F$5:$F$504))</f>
        <v/>
      </c>
      <c r="I267" s="8" t="str">
        <f>IF(B267="","",SUMIF('Ventas Salidas'!$D$5:$D$504,B267,'Ventas Salidas'!$F$5:$F$504))</f>
        <v/>
      </c>
      <c r="J267" s="8" t="str">
        <f t="shared" si="15"/>
        <v/>
      </c>
      <c r="K267" s="8" t="str">
        <f t="shared" si="16"/>
        <v/>
      </c>
      <c r="L267" s="8" t="str">
        <f t="shared" si="17"/>
        <v/>
      </c>
      <c r="M267" s="8"/>
      <c r="N267" s="8" t="str">
        <f>IF(B267="","",IF(OR(K267="Bajo stock",K267="Sin stock"),COUNTIFS($K$5:$K267,"Bajo stock")+COUNTIFS($K$5:$K267,"Sin stock"),""))</f>
        <v/>
      </c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2:30" s="5" customFormat="1" ht="21.75" customHeight="1" x14ac:dyDescent="0.25">
      <c r="B268" s="8" t="str">
        <f>IF(Productos!B268="","",Productos!B268)</f>
        <v/>
      </c>
      <c r="C268" s="8" t="str">
        <f>IF(Productos!B268="","",Productos!C268)</f>
        <v/>
      </c>
      <c r="D268" s="8" t="str">
        <f>IF(Productos!B268="","",Productos!D268)</f>
        <v/>
      </c>
      <c r="E268" s="8" t="str">
        <f>IF(Productos!B268="","",Productos!E268)</f>
        <v/>
      </c>
      <c r="F268" s="8" t="str">
        <f>IF(Productos!B268="","",Productos!F268)</f>
        <v/>
      </c>
      <c r="G268" s="8" t="str">
        <f>IF(Productos!B268="","",Productos!G268)</f>
        <v/>
      </c>
      <c r="H268" s="8" t="str">
        <f>IF(B268="","",SUMIF('Compras Entradas'!$D$5:$D$504,B268,'Compras Entradas'!$F$5:$F$504))</f>
        <v/>
      </c>
      <c r="I268" s="8" t="str">
        <f>IF(B268="","",SUMIF('Ventas Salidas'!$D$5:$D$504,B268,'Ventas Salidas'!$F$5:$F$504))</f>
        <v/>
      </c>
      <c r="J268" s="8" t="str">
        <f t="shared" si="15"/>
        <v/>
      </c>
      <c r="K268" s="8" t="str">
        <f t="shared" si="16"/>
        <v/>
      </c>
      <c r="L268" s="8" t="str">
        <f t="shared" si="17"/>
        <v/>
      </c>
      <c r="M268" s="8"/>
      <c r="N268" s="8" t="str">
        <f>IF(B268="","",IF(OR(K268="Bajo stock",K268="Sin stock"),COUNTIFS($K$5:$K268,"Bajo stock")+COUNTIFS($K$5:$K268,"Sin stock"),""))</f>
        <v/>
      </c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2:30" s="5" customFormat="1" ht="21.75" customHeight="1" x14ac:dyDescent="0.25">
      <c r="B269" s="8" t="str">
        <f>IF(Productos!B269="","",Productos!B269)</f>
        <v/>
      </c>
      <c r="C269" s="8" t="str">
        <f>IF(Productos!B269="","",Productos!C269)</f>
        <v/>
      </c>
      <c r="D269" s="8" t="str">
        <f>IF(Productos!B269="","",Productos!D269)</f>
        <v/>
      </c>
      <c r="E269" s="8" t="str">
        <f>IF(Productos!B269="","",Productos!E269)</f>
        <v/>
      </c>
      <c r="F269" s="8" t="str">
        <f>IF(Productos!B269="","",Productos!F269)</f>
        <v/>
      </c>
      <c r="G269" s="8" t="str">
        <f>IF(Productos!B269="","",Productos!G269)</f>
        <v/>
      </c>
      <c r="H269" s="8" t="str">
        <f>IF(B269="","",SUMIF('Compras Entradas'!$D$5:$D$504,B269,'Compras Entradas'!$F$5:$F$504))</f>
        <v/>
      </c>
      <c r="I269" s="8" t="str">
        <f>IF(B269="","",SUMIF('Ventas Salidas'!$D$5:$D$504,B269,'Ventas Salidas'!$F$5:$F$504))</f>
        <v/>
      </c>
      <c r="J269" s="8" t="str">
        <f t="shared" si="15"/>
        <v/>
      </c>
      <c r="K269" s="8" t="str">
        <f t="shared" si="16"/>
        <v/>
      </c>
      <c r="L269" s="8" t="str">
        <f t="shared" si="17"/>
        <v/>
      </c>
      <c r="M269" s="8"/>
      <c r="N269" s="8" t="str">
        <f>IF(B269="","",IF(OR(K269="Bajo stock",K269="Sin stock"),COUNTIFS($K$5:$K269,"Bajo stock")+COUNTIFS($K$5:$K269,"Sin stock"),""))</f>
        <v/>
      </c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2:30" s="5" customFormat="1" ht="21.75" customHeight="1" x14ac:dyDescent="0.25">
      <c r="B270" s="8" t="str">
        <f>IF(Productos!B270="","",Productos!B270)</f>
        <v/>
      </c>
      <c r="C270" s="8" t="str">
        <f>IF(Productos!B270="","",Productos!C270)</f>
        <v/>
      </c>
      <c r="D270" s="8" t="str">
        <f>IF(Productos!B270="","",Productos!D270)</f>
        <v/>
      </c>
      <c r="E270" s="8" t="str">
        <f>IF(Productos!B270="","",Productos!E270)</f>
        <v/>
      </c>
      <c r="F270" s="8" t="str">
        <f>IF(Productos!B270="","",Productos!F270)</f>
        <v/>
      </c>
      <c r="G270" s="8" t="str">
        <f>IF(Productos!B270="","",Productos!G270)</f>
        <v/>
      </c>
      <c r="H270" s="8" t="str">
        <f>IF(B270="","",SUMIF('Compras Entradas'!$D$5:$D$504,B270,'Compras Entradas'!$F$5:$F$504))</f>
        <v/>
      </c>
      <c r="I270" s="8" t="str">
        <f>IF(B270="","",SUMIF('Ventas Salidas'!$D$5:$D$504,B270,'Ventas Salidas'!$F$5:$F$504))</f>
        <v/>
      </c>
      <c r="J270" s="8" t="str">
        <f t="shared" si="15"/>
        <v/>
      </c>
      <c r="K270" s="8" t="str">
        <f t="shared" si="16"/>
        <v/>
      </c>
      <c r="L270" s="8" t="str">
        <f t="shared" si="17"/>
        <v/>
      </c>
      <c r="M270" s="8"/>
      <c r="N270" s="8" t="str">
        <f>IF(B270="","",IF(OR(K270="Bajo stock",K270="Sin stock"),COUNTIFS($K$5:$K270,"Bajo stock")+COUNTIFS($K$5:$K270,"Sin stock"),""))</f>
        <v/>
      </c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2:30" s="5" customFormat="1" ht="21.75" customHeight="1" x14ac:dyDescent="0.25">
      <c r="B271" s="8" t="str">
        <f>IF(Productos!B271="","",Productos!B271)</f>
        <v/>
      </c>
      <c r="C271" s="8" t="str">
        <f>IF(Productos!B271="","",Productos!C271)</f>
        <v/>
      </c>
      <c r="D271" s="8" t="str">
        <f>IF(Productos!B271="","",Productos!D271)</f>
        <v/>
      </c>
      <c r="E271" s="8" t="str">
        <f>IF(Productos!B271="","",Productos!E271)</f>
        <v/>
      </c>
      <c r="F271" s="8" t="str">
        <f>IF(Productos!B271="","",Productos!F271)</f>
        <v/>
      </c>
      <c r="G271" s="8" t="str">
        <f>IF(Productos!B271="","",Productos!G271)</f>
        <v/>
      </c>
      <c r="H271" s="8" t="str">
        <f>IF(B271="","",SUMIF('Compras Entradas'!$D$5:$D$504,B271,'Compras Entradas'!$F$5:$F$504))</f>
        <v/>
      </c>
      <c r="I271" s="8" t="str">
        <f>IF(B271="","",SUMIF('Ventas Salidas'!$D$5:$D$504,B271,'Ventas Salidas'!$F$5:$F$504))</f>
        <v/>
      </c>
      <c r="J271" s="8" t="str">
        <f t="shared" si="15"/>
        <v/>
      </c>
      <c r="K271" s="8" t="str">
        <f t="shared" si="16"/>
        <v/>
      </c>
      <c r="L271" s="8" t="str">
        <f t="shared" si="17"/>
        <v/>
      </c>
      <c r="M271" s="8"/>
      <c r="N271" s="8" t="str">
        <f>IF(B271="","",IF(OR(K271="Bajo stock",K271="Sin stock"),COUNTIFS($K$5:$K271,"Bajo stock")+COUNTIFS($K$5:$K271,"Sin stock"),""))</f>
        <v/>
      </c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2:30" s="5" customFormat="1" ht="21.75" customHeight="1" x14ac:dyDescent="0.25">
      <c r="B272" s="8" t="str">
        <f>IF(Productos!B272="","",Productos!B272)</f>
        <v/>
      </c>
      <c r="C272" s="8" t="str">
        <f>IF(Productos!B272="","",Productos!C272)</f>
        <v/>
      </c>
      <c r="D272" s="8" t="str">
        <f>IF(Productos!B272="","",Productos!D272)</f>
        <v/>
      </c>
      <c r="E272" s="8" t="str">
        <f>IF(Productos!B272="","",Productos!E272)</f>
        <v/>
      </c>
      <c r="F272" s="8" t="str">
        <f>IF(Productos!B272="","",Productos!F272)</f>
        <v/>
      </c>
      <c r="G272" s="8" t="str">
        <f>IF(Productos!B272="","",Productos!G272)</f>
        <v/>
      </c>
      <c r="H272" s="8" t="str">
        <f>IF(B272="","",SUMIF('Compras Entradas'!$D$5:$D$504,B272,'Compras Entradas'!$F$5:$F$504))</f>
        <v/>
      </c>
      <c r="I272" s="8" t="str">
        <f>IF(B272="","",SUMIF('Ventas Salidas'!$D$5:$D$504,B272,'Ventas Salidas'!$F$5:$F$504))</f>
        <v/>
      </c>
      <c r="J272" s="8" t="str">
        <f t="shared" si="15"/>
        <v/>
      </c>
      <c r="K272" s="8" t="str">
        <f t="shared" si="16"/>
        <v/>
      </c>
      <c r="L272" s="8" t="str">
        <f t="shared" si="17"/>
        <v/>
      </c>
      <c r="M272" s="8"/>
      <c r="N272" s="8" t="str">
        <f>IF(B272="","",IF(OR(K272="Bajo stock",K272="Sin stock"),COUNTIFS($K$5:$K272,"Bajo stock")+COUNTIFS($K$5:$K272,"Sin stock"),""))</f>
        <v/>
      </c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2:30" s="5" customFormat="1" ht="21.75" customHeight="1" x14ac:dyDescent="0.25">
      <c r="B273" s="8" t="str">
        <f>IF(Productos!B273="","",Productos!B273)</f>
        <v/>
      </c>
      <c r="C273" s="8" t="str">
        <f>IF(Productos!B273="","",Productos!C273)</f>
        <v/>
      </c>
      <c r="D273" s="8" t="str">
        <f>IF(Productos!B273="","",Productos!D273)</f>
        <v/>
      </c>
      <c r="E273" s="8" t="str">
        <f>IF(Productos!B273="","",Productos!E273)</f>
        <v/>
      </c>
      <c r="F273" s="8" t="str">
        <f>IF(Productos!B273="","",Productos!F273)</f>
        <v/>
      </c>
      <c r="G273" s="8" t="str">
        <f>IF(Productos!B273="","",Productos!G273)</f>
        <v/>
      </c>
      <c r="H273" s="8" t="str">
        <f>IF(B273="","",SUMIF('Compras Entradas'!$D$5:$D$504,B273,'Compras Entradas'!$F$5:$F$504))</f>
        <v/>
      </c>
      <c r="I273" s="8" t="str">
        <f>IF(B273="","",SUMIF('Ventas Salidas'!$D$5:$D$504,B273,'Ventas Salidas'!$F$5:$F$504))</f>
        <v/>
      </c>
      <c r="J273" s="8" t="str">
        <f t="shared" si="15"/>
        <v/>
      </c>
      <c r="K273" s="8" t="str">
        <f t="shared" si="16"/>
        <v/>
      </c>
      <c r="L273" s="8" t="str">
        <f t="shared" si="17"/>
        <v/>
      </c>
      <c r="M273" s="8"/>
      <c r="N273" s="8" t="str">
        <f>IF(B273="","",IF(OR(K273="Bajo stock",K273="Sin stock"),COUNTIFS($K$5:$K273,"Bajo stock")+COUNTIFS($K$5:$K273,"Sin stock"),""))</f>
        <v/>
      </c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2:30" s="5" customFormat="1" ht="21.75" customHeight="1" x14ac:dyDescent="0.25">
      <c r="B274" s="8" t="str">
        <f>IF(Productos!B274="","",Productos!B274)</f>
        <v/>
      </c>
      <c r="C274" s="8" t="str">
        <f>IF(Productos!B274="","",Productos!C274)</f>
        <v/>
      </c>
      <c r="D274" s="8" t="str">
        <f>IF(Productos!B274="","",Productos!D274)</f>
        <v/>
      </c>
      <c r="E274" s="8" t="str">
        <f>IF(Productos!B274="","",Productos!E274)</f>
        <v/>
      </c>
      <c r="F274" s="8" t="str">
        <f>IF(Productos!B274="","",Productos!F274)</f>
        <v/>
      </c>
      <c r="G274" s="8" t="str">
        <f>IF(Productos!B274="","",Productos!G274)</f>
        <v/>
      </c>
      <c r="H274" s="8" t="str">
        <f>IF(B274="","",SUMIF('Compras Entradas'!$D$5:$D$504,B274,'Compras Entradas'!$F$5:$F$504))</f>
        <v/>
      </c>
      <c r="I274" s="8" t="str">
        <f>IF(B274="","",SUMIF('Ventas Salidas'!$D$5:$D$504,B274,'Ventas Salidas'!$F$5:$F$504))</f>
        <v/>
      </c>
      <c r="J274" s="8" t="str">
        <f t="shared" si="15"/>
        <v/>
      </c>
      <c r="K274" s="8" t="str">
        <f t="shared" si="16"/>
        <v/>
      </c>
      <c r="L274" s="8" t="str">
        <f t="shared" si="17"/>
        <v/>
      </c>
      <c r="M274" s="8"/>
      <c r="N274" s="8" t="str">
        <f>IF(B274="","",IF(OR(K274="Bajo stock",K274="Sin stock"),COUNTIFS($K$5:$K274,"Bajo stock")+COUNTIFS($K$5:$K274,"Sin stock"),""))</f>
        <v/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2:30" s="5" customFormat="1" ht="21.75" customHeight="1" x14ac:dyDescent="0.25">
      <c r="B275" s="8" t="str">
        <f>IF(Productos!B275="","",Productos!B275)</f>
        <v/>
      </c>
      <c r="C275" s="8" t="str">
        <f>IF(Productos!B275="","",Productos!C275)</f>
        <v/>
      </c>
      <c r="D275" s="8" t="str">
        <f>IF(Productos!B275="","",Productos!D275)</f>
        <v/>
      </c>
      <c r="E275" s="8" t="str">
        <f>IF(Productos!B275="","",Productos!E275)</f>
        <v/>
      </c>
      <c r="F275" s="8" t="str">
        <f>IF(Productos!B275="","",Productos!F275)</f>
        <v/>
      </c>
      <c r="G275" s="8" t="str">
        <f>IF(Productos!B275="","",Productos!G275)</f>
        <v/>
      </c>
      <c r="H275" s="8" t="str">
        <f>IF(B275="","",SUMIF('Compras Entradas'!$D$5:$D$504,B275,'Compras Entradas'!$F$5:$F$504))</f>
        <v/>
      </c>
      <c r="I275" s="8" t="str">
        <f>IF(B275="","",SUMIF('Ventas Salidas'!$D$5:$D$504,B275,'Ventas Salidas'!$F$5:$F$504))</f>
        <v/>
      </c>
      <c r="J275" s="8" t="str">
        <f t="shared" si="15"/>
        <v/>
      </c>
      <c r="K275" s="8" t="str">
        <f t="shared" si="16"/>
        <v/>
      </c>
      <c r="L275" s="8" t="str">
        <f t="shared" si="17"/>
        <v/>
      </c>
      <c r="M275" s="8"/>
      <c r="N275" s="8" t="str">
        <f>IF(B275="","",IF(OR(K275="Bajo stock",K275="Sin stock"),COUNTIFS($K$5:$K275,"Bajo stock")+COUNTIFS($K$5:$K275,"Sin stock"),""))</f>
        <v/>
      </c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2:30" s="5" customFormat="1" ht="21.75" customHeight="1" x14ac:dyDescent="0.25">
      <c r="B276" s="8" t="str">
        <f>IF(Productos!B276="","",Productos!B276)</f>
        <v/>
      </c>
      <c r="C276" s="8" t="str">
        <f>IF(Productos!B276="","",Productos!C276)</f>
        <v/>
      </c>
      <c r="D276" s="8" t="str">
        <f>IF(Productos!B276="","",Productos!D276)</f>
        <v/>
      </c>
      <c r="E276" s="8" t="str">
        <f>IF(Productos!B276="","",Productos!E276)</f>
        <v/>
      </c>
      <c r="F276" s="8" t="str">
        <f>IF(Productos!B276="","",Productos!F276)</f>
        <v/>
      </c>
      <c r="G276" s="8" t="str">
        <f>IF(Productos!B276="","",Productos!G276)</f>
        <v/>
      </c>
      <c r="H276" s="8" t="str">
        <f>IF(B276="","",SUMIF('Compras Entradas'!$D$5:$D$504,B276,'Compras Entradas'!$F$5:$F$504))</f>
        <v/>
      </c>
      <c r="I276" s="8" t="str">
        <f>IF(B276="","",SUMIF('Ventas Salidas'!$D$5:$D$504,B276,'Ventas Salidas'!$F$5:$F$504))</f>
        <v/>
      </c>
      <c r="J276" s="8" t="str">
        <f t="shared" si="15"/>
        <v/>
      </c>
      <c r="K276" s="8" t="str">
        <f t="shared" si="16"/>
        <v/>
      </c>
      <c r="L276" s="8" t="str">
        <f t="shared" si="17"/>
        <v/>
      </c>
      <c r="M276" s="8"/>
      <c r="N276" s="8" t="str">
        <f>IF(B276="","",IF(OR(K276="Bajo stock",K276="Sin stock"),COUNTIFS($K$5:$K276,"Bajo stock")+COUNTIFS($K$5:$K276,"Sin stock"),""))</f>
        <v/>
      </c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2:30" s="5" customFormat="1" ht="21.75" customHeight="1" x14ac:dyDescent="0.25">
      <c r="B277" s="8" t="str">
        <f>IF(Productos!B277="","",Productos!B277)</f>
        <v/>
      </c>
      <c r="C277" s="8" t="str">
        <f>IF(Productos!B277="","",Productos!C277)</f>
        <v/>
      </c>
      <c r="D277" s="8" t="str">
        <f>IF(Productos!B277="","",Productos!D277)</f>
        <v/>
      </c>
      <c r="E277" s="8" t="str">
        <f>IF(Productos!B277="","",Productos!E277)</f>
        <v/>
      </c>
      <c r="F277" s="8" t="str">
        <f>IF(Productos!B277="","",Productos!F277)</f>
        <v/>
      </c>
      <c r="G277" s="8" t="str">
        <f>IF(Productos!B277="","",Productos!G277)</f>
        <v/>
      </c>
      <c r="H277" s="8" t="str">
        <f>IF(B277="","",SUMIF('Compras Entradas'!$D$5:$D$504,B277,'Compras Entradas'!$F$5:$F$504))</f>
        <v/>
      </c>
      <c r="I277" s="8" t="str">
        <f>IF(B277="","",SUMIF('Ventas Salidas'!$D$5:$D$504,B277,'Ventas Salidas'!$F$5:$F$504))</f>
        <v/>
      </c>
      <c r="J277" s="8" t="str">
        <f t="shared" si="15"/>
        <v/>
      </c>
      <c r="K277" s="8" t="str">
        <f t="shared" si="16"/>
        <v/>
      </c>
      <c r="L277" s="8" t="str">
        <f t="shared" si="17"/>
        <v/>
      </c>
      <c r="M277" s="8"/>
      <c r="N277" s="8" t="str">
        <f>IF(B277="","",IF(OR(K277="Bajo stock",K277="Sin stock"),COUNTIFS($K$5:$K277,"Bajo stock")+COUNTIFS($K$5:$K277,"Sin stock"),""))</f>
        <v/>
      </c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2:30" s="5" customFormat="1" ht="21.75" customHeight="1" x14ac:dyDescent="0.25">
      <c r="B278" s="8" t="str">
        <f>IF(Productos!B278="","",Productos!B278)</f>
        <v/>
      </c>
      <c r="C278" s="8" t="str">
        <f>IF(Productos!B278="","",Productos!C278)</f>
        <v/>
      </c>
      <c r="D278" s="8" t="str">
        <f>IF(Productos!B278="","",Productos!D278)</f>
        <v/>
      </c>
      <c r="E278" s="8" t="str">
        <f>IF(Productos!B278="","",Productos!E278)</f>
        <v/>
      </c>
      <c r="F278" s="8" t="str">
        <f>IF(Productos!B278="","",Productos!F278)</f>
        <v/>
      </c>
      <c r="G278" s="8" t="str">
        <f>IF(Productos!B278="","",Productos!G278)</f>
        <v/>
      </c>
      <c r="H278" s="8" t="str">
        <f>IF(B278="","",SUMIF('Compras Entradas'!$D$5:$D$504,B278,'Compras Entradas'!$F$5:$F$504))</f>
        <v/>
      </c>
      <c r="I278" s="8" t="str">
        <f>IF(B278="","",SUMIF('Ventas Salidas'!$D$5:$D$504,B278,'Ventas Salidas'!$F$5:$F$504))</f>
        <v/>
      </c>
      <c r="J278" s="8" t="str">
        <f t="shared" si="15"/>
        <v/>
      </c>
      <c r="K278" s="8" t="str">
        <f t="shared" si="16"/>
        <v/>
      </c>
      <c r="L278" s="8" t="str">
        <f t="shared" si="17"/>
        <v/>
      </c>
      <c r="M278" s="8"/>
      <c r="N278" s="8" t="str">
        <f>IF(B278="","",IF(OR(K278="Bajo stock",K278="Sin stock"),COUNTIFS($K$5:$K278,"Bajo stock")+COUNTIFS($K$5:$K278,"Sin stock"),""))</f>
        <v/>
      </c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2:30" s="5" customFormat="1" ht="21.75" customHeight="1" x14ac:dyDescent="0.25">
      <c r="B279" s="8" t="str">
        <f>IF(Productos!B279="","",Productos!B279)</f>
        <v/>
      </c>
      <c r="C279" s="8" t="str">
        <f>IF(Productos!B279="","",Productos!C279)</f>
        <v/>
      </c>
      <c r="D279" s="8" t="str">
        <f>IF(Productos!B279="","",Productos!D279)</f>
        <v/>
      </c>
      <c r="E279" s="8" t="str">
        <f>IF(Productos!B279="","",Productos!E279)</f>
        <v/>
      </c>
      <c r="F279" s="8" t="str">
        <f>IF(Productos!B279="","",Productos!F279)</f>
        <v/>
      </c>
      <c r="G279" s="8" t="str">
        <f>IF(Productos!B279="","",Productos!G279)</f>
        <v/>
      </c>
      <c r="H279" s="8" t="str">
        <f>IF(B279="","",SUMIF('Compras Entradas'!$D$5:$D$504,B279,'Compras Entradas'!$F$5:$F$504))</f>
        <v/>
      </c>
      <c r="I279" s="8" t="str">
        <f>IF(B279="","",SUMIF('Ventas Salidas'!$D$5:$D$504,B279,'Ventas Salidas'!$F$5:$F$504))</f>
        <v/>
      </c>
      <c r="J279" s="8" t="str">
        <f t="shared" si="15"/>
        <v/>
      </c>
      <c r="K279" s="8" t="str">
        <f t="shared" si="16"/>
        <v/>
      </c>
      <c r="L279" s="8" t="str">
        <f t="shared" si="17"/>
        <v/>
      </c>
      <c r="M279" s="8"/>
      <c r="N279" s="8" t="str">
        <f>IF(B279="","",IF(OR(K279="Bajo stock",K279="Sin stock"),COUNTIFS($K$5:$K279,"Bajo stock")+COUNTIFS($K$5:$K279,"Sin stock"),""))</f>
        <v/>
      </c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2:30" s="5" customFormat="1" ht="21.75" customHeight="1" x14ac:dyDescent="0.25">
      <c r="B280" s="8" t="str">
        <f>IF(Productos!B280="","",Productos!B280)</f>
        <v/>
      </c>
      <c r="C280" s="8" t="str">
        <f>IF(Productos!B280="","",Productos!C280)</f>
        <v/>
      </c>
      <c r="D280" s="8" t="str">
        <f>IF(Productos!B280="","",Productos!D280)</f>
        <v/>
      </c>
      <c r="E280" s="8" t="str">
        <f>IF(Productos!B280="","",Productos!E280)</f>
        <v/>
      </c>
      <c r="F280" s="8" t="str">
        <f>IF(Productos!B280="","",Productos!F280)</f>
        <v/>
      </c>
      <c r="G280" s="8" t="str">
        <f>IF(Productos!B280="","",Productos!G280)</f>
        <v/>
      </c>
      <c r="H280" s="8" t="str">
        <f>IF(B280="","",SUMIF('Compras Entradas'!$D$5:$D$504,B280,'Compras Entradas'!$F$5:$F$504))</f>
        <v/>
      </c>
      <c r="I280" s="8" t="str">
        <f>IF(B280="","",SUMIF('Ventas Salidas'!$D$5:$D$504,B280,'Ventas Salidas'!$F$5:$F$504))</f>
        <v/>
      </c>
      <c r="J280" s="8" t="str">
        <f t="shared" si="15"/>
        <v/>
      </c>
      <c r="K280" s="8" t="str">
        <f t="shared" si="16"/>
        <v/>
      </c>
      <c r="L280" s="8" t="str">
        <f t="shared" si="17"/>
        <v/>
      </c>
      <c r="M280" s="8"/>
      <c r="N280" s="8" t="str">
        <f>IF(B280="","",IF(OR(K280="Bajo stock",K280="Sin stock"),COUNTIFS($K$5:$K280,"Bajo stock")+COUNTIFS($K$5:$K280,"Sin stock"),""))</f>
        <v/>
      </c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2:30" s="5" customFormat="1" ht="21.75" customHeight="1" x14ac:dyDescent="0.25">
      <c r="B281" s="8" t="str">
        <f>IF(Productos!B281="","",Productos!B281)</f>
        <v/>
      </c>
      <c r="C281" s="8" t="str">
        <f>IF(Productos!B281="","",Productos!C281)</f>
        <v/>
      </c>
      <c r="D281" s="8" t="str">
        <f>IF(Productos!B281="","",Productos!D281)</f>
        <v/>
      </c>
      <c r="E281" s="8" t="str">
        <f>IF(Productos!B281="","",Productos!E281)</f>
        <v/>
      </c>
      <c r="F281" s="8" t="str">
        <f>IF(Productos!B281="","",Productos!F281)</f>
        <v/>
      </c>
      <c r="G281" s="8" t="str">
        <f>IF(Productos!B281="","",Productos!G281)</f>
        <v/>
      </c>
      <c r="H281" s="8" t="str">
        <f>IF(B281="","",SUMIF('Compras Entradas'!$D$5:$D$504,B281,'Compras Entradas'!$F$5:$F$504))</f>
        <v/>
      </c>
      <c r="I281" s="8" t="str">
        <f>IF(B281="","",SUMIF('Ventas Salidas'!$D$5:$D$504,B281,'Ventas Salidas'!$F$5:$F$504))</f>
        <v/>
      </c>
      <c r="J281" s="8" t="str">
        <f t="shared" si="15"/>
        <v/>
      </c>
      <c r="K281" s="8" t="str">
        <f t="shared" si="16"/>
        <v/>
      </c>
      <c r="L281" s="8" t="str">
        <f t="shared" si="17"/>
        <v/>
      </c>
      <c r="M281" s="8"/>
      <c r="N281" s="8" t="str">
        <f>IF(B281="","",IF(OR(K281="Bajo stock",K281="Sin stock"),COUNTIFS($K$5:$K281,"Bajo stock")+COUNTIFS($K$5:$K281,"Sin stock"),""))</f>
        <v/>
      </c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2:30" s="5" customFormat="1" ht="21.75" customHeight="1" x14ac:dyDescent="0.25">
      <c r="B282" s="8" t="str">
        <f>IF(Productos!B282="","",Productos!B282)</f>
        <v/>
      </c>
      <c r="C282" s="8" t="str">
        <f>IF(Productos!B282="","",Productos!C282)</f>
        <v/>
      </c>
      <c r="D282" s="8" t="str">
        <f>IF(Productos!B282="","",Productos!D282)</f>
        <v/>
      </c>
      <c r="E282" s="8" t="str">
        <f>IF(Productos!B282="","",Productos!E282)</f>
        <v/>
      </c>
      <c r="F282" s="8" t="str">
        <f>IF(Productos!B282="","",Productos!F282)</f>
        <v/>
      </c>
      <c r="G282" s="8" t="str">
        <f>IF(Productos!B282="","",Productos!G282)</f>
        <v/>
      </c>
      <c r="H282" s="8" t="str">
        <f>IF(B282="","",SUMIF('Compras Entradas'!$D$5:$D$504,B282,'Compras Entradas'!$F$5:$F$504))</f>
        <v/>
      </c>
      <c r="I282" s="8" t="str">
        <f>IF(B282="","",SUMIF('Ventas Salidas'!$D$5:$D$504,B282,'Ventas Salidas'!$F$5:$F$504))</f>
        <v/>
      </c>
      <c r="J282" s="8" t="str">
        <f t="shared" si="15"/>
        <v/>
      </c>
      <c r="K282" s="8" t="str">
        <f t="shared" si="16"/>
        <v/>
      </c>
      <c r="L282" s="8" t="str">
        <f t="shared" si="17"/>
        <v/>
      </c>
      <c r="M282" s="8"/>
      <c r="N282" s="8" t="str">
        <f>IF(B282="","",IF(OR(K282="Bajo stock",K282="Sin stock"),COUNTIFS($K$5:$K282,"Bajo stock")+COUNTIFS($K$5:$K282,"Sin stock"),""))</f>
        <v/>
      </c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2:30" s="5" customFormat="1" ht="21.75" customHeight="1" x14ac:dyDescent="0.25">
      <c r="B283" s="8" t="str">
        <f>IF(Productos!B283="","",Productos!B283)</f>
        <v/>
      </c>
      <c r="C283" s="8" t="str">
        <f>IF(Productos!B283="","",Productos!C283)</f>
        <v/>
      </c>
      <c r="D283" s="8" t="str">
        <f>IF(Productos!B283="","",Productos!D283)</f>
        <v/>
      </c>
      <c r="E283" s="8" t="str">
        <f>IF(Productos!B283="","",Productos!E283)</f>
        <v/>
      </c>
      <c r="F283" s="8" t="str">
        <f>IF(Productos!B283="","",Productos!F283)</f>
        <v/>
      </c>
      <c r="G283" s="8" t="str">
        <f>IF(Productos!B283="","",Productos!G283)</f>
        <v/>
      </c>
      <c r="H283" s="8" t="str">
        <f>IF(B283="","",SUMIF('Compras Entradas'!$D$5:$D$504,B283,'Compras Entradas'!$F$5:$F$504))</f>
        <v/>
      </c>
      <c r="I283" s="8" t="str">
        <f>IF(B283="","",SUMIF('Ventas Salidas'!$D$5:$D$504,B283,'Ventas Salidas'!$F$5:$F$504))</f>
        <v/>
      </c>
      <c r="J283" s="8" t="str">
        <f t="shared" si="15"/>
        <v/>
      </c>
      <c r="K283" s="8" t="str">
        <f t="shared" si="16"/>
        <v/>
      </c>
      <c r="L283" s="8" t="str">
        <f t="shared" si="17"/>
        <v/>
      </c>
      <c r="M283" s="8"/>
      <c r="N283" s="8" t="str">
        <f>IF(B283="","",IF(OR(K283="Bajo stock",K283="Sin stock"),COUNTIFS($K$5:$K283,"Bajo stock")+COUNTIFS($K$5:$K283,"Sin stock"),""))</f>
        <v/>
      </c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2:30" s="5" customFormat="1" ht="21.75" customHeight="1" x14ac:dyDescent="0.25">
      <c r="B284" s="8" t="str">
        <f>IF(Productos!B284="","",Productos!B284)</f>
        <v/>
      </c>
      <c r="C284" s="8" t="str">
        <f>IF(Productos!B284="","",Productos!C284)</f>
        <v/>
      </c>
      <c r="D284" s="8" t="str">
        <f>IF(Productos!B284="","",Productos!D284)</f>
        <v/>
      </c>
      <c r="E284" s="8" t="str">
        <f>IF(Productos!B284="","",Productos!E284)</f>
        <v/>
      </c>
      <c r="F284" s="8" t="str">
        <f>IF(Productos!B284="","",Productos!F284)</f>
        <v/>
      </c>
      <c r="G284" s="8" t="str">
        <f>IF(Productos!B284="","",Productos!G284)</f>
        <v/>
      </c>
      <c r="H284" s="8" t="str">
        <f>IF(B284="","",SUMIF('Compras Entradas'!$D$5:$D$504,B284,'Compras Entradas'!$F$5:$F$504))</f>
        <v/>
      </c>
      <c r="I284" s="8" t="str">
        <f>IF(B284="","",SUMIF('Ventas Salidas'!$D$5:$D$504,B284,'Ventas Salidas'!$F$5:$F$504))</f>
        <v/>
      </c>
      <c r="J284" s="8" t="str">
        <f t="shared" si="15"/>
        <v/>
      </c>
      <c r="K284" s="8" t="str">
        <f t="shared" si="16"/>
        <v/>
      </c>
      <c r="L284" s="8" t="str">
        <f t="shared" si="17"/>
        <v/>
      </c>
      <c r="M284" s="8"/>
      <c r="N284" s="8" t="str">
        <f>IF(B284="","",IF(OR(K284="Bajo stock",K284="Sin stock"),COUNTIFS($K$5:$K284,"Bajo stock")+COUNTIFS($K$5:$K284,"Sin stock"),""))</f>
        <v/>
      </c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2:30" s="5" customFormat="1" ht="21.75" customHeight="1" x14ac:dyDescent="0.25">
      <c r="B285" s="8" t="str">
        <f>IF(Productos!B285="","",Productos!B285)</f>
        <v/>
      </c>
      <c r="C285" s="8" t="str">
        <f>IF(Productos!B285="","",Productos!C285)</f>
        <v/>
      </c>
      <c r="D285" s="8" t="str">
        <f>IF(Productos!B285="","",Productos!D285)</f>
        <v/>
      </c>
      <c r="E285" s="8" t="str">
        <f>IF(Productos!B285="","",Productos!E285)</f>
        <v/>
      </c>
      <c r="F285" s="8" t="str">
        <f>IF(Productos!B285="","",Productos!F285)</f>
        <v/>
      </c>
      <c r="G285" s="8" t="str">
        <f>IF(Productos!B285="","",Productos!G285)</f>
        <v/>
      </c>
      <c r="H285" s="8" t="str">
        <f>IF(B285="","",SUMIF('Compras Entradas'!$D$5:$D$504,B285,'Compras Entradas'!$F$5:$F$504))</f>
        <v/>
      </c>
      <c r="I285" s="8" t="str">
        <f>IF(B285="","",SUMIF('Ventas Salidas'!$D$5:$D$504,B285,'Ventas Salidas'!$F$5:$F$504))</f>
        <v/>
      </c>
      <c r="J285" s="8" t="str">
        <f t="shared" si="15"/>
        <v/>
      </c>
      <c r="K285" s="8" t="str">
        <f t="shared" si="16"/>
        <v/>
      </c>
      <c r="L285" s="8" t="str">
        <f t="shared" si="17"/>
        <v/>
      </c>
      <c r="M285" s="8"/>
      <c r="N285" s="8" t="str">
        <f>IF(B285="","",IF(OR(K285="Bajo stock",K285="Sin stock"),COUNTIFS($K$5:$K285,"Bajo stock")+COUNTIFS($K$5:$K285,"Sin stock"),""))</f>
        <v/>
      </c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2:30" s="5" customFormat="1" ht="21.75" customHeight="1" x14ac:dyDescent="0.25">
      <c r="B286" s="8" t="str">
        <f>IF(Productos!B286="","",Productos!B286)</f>
        <v/>
      </c>
      <c r="C286" s="8" t="str">
        <f>IF(Productos!B286="","",Productos!C286)</f>
        <v/>
      </c>
      <c r="D286" s="8" t="str">
        <f>IF(Productos!B286="","",Productos!D286)</f>
        <v/>
      </c>
      <c r="E286" s="8" t="str">
        <f>IF(Productos!B286="","",Productos!E286)</f>
        <v/>
      </c>
      <c r="F286" s="8" t="str">
        <f>IF(Productos!B286="","",Productos!F286)</f>
        <v/>
      </c>
      <c r="G286" s="8" t="str">
        <f>IF(Productos!B286="","",Productos!G286)</f>
        <v/>
      </c>
      <c r="H286" s="8" t="str">
        <f>IF(B286="","",SUMIF('Compras Entradas'!$D$5:$D$504,B286,'Compras Entradas'!$F$5:$F$504))</f>
        <v/>
      </c>
      <c r="I286" s="8" t="str">
        <f>IF(B286="","",SUMIF('Ventas Salidas'!$D$5:$D$504,B286,'Ventas Salidas'!$F$5:$F$504))</f>
        <v/>
      </c>
      <c r="J286" s="8" t="str">
        <f t="shared" si="15"/>
        <v/>
      </c>
      <c r="K286" s="8" t="str">
        <f t="shared" si="16"/>
        <v/>
      </c>
      <c r="L286" s="8" t="str">
        <f t="shared" si="17"/>
        <v/>
      </c>
      <c r="M286" s="8"/>
      <c r="N286" s="8" t="str">
        <f>IF(B286="","",IF(OR(K286="Bajo stock",K286="Sin stock"),COUNTIFS($K$5:$K286,"Bajo stock")+COUNTIFS($K$5:$K286,"Sin stock"),""))</f>
        <v/>
      </c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2:30" s="5" customFormat="1" ht="21.75" customHeight="1" x14ac:dyDescent="0.25">
      <c r="B287" s="8" t="str">
        <f>IF(Productos!B287="","",Productos!B287)</f>
        <v/>
      </c>
      <c r="C287" s="8" t="str">
        <f>IF(Productos!B287="","",Productos!C287)</f>
        <v/>
      </c>
      <c r="D287" s="8" t="str">
        <f>IF(Productos!B287="","",Productos!D287)</f>
        <v/>
      </c>
      <c r="E287" s="8" t="str">
        <f>IF(Productos!B287="","",Productos!E287)</f>
        <v/>
      </c>
      <c r="F287" s="8" t="str">
        <f>IF(Productos!B287="","",Productos!F287)</f>
        <v/>
      </c>
      <c r="G287" s="8" t="str">
        <f>IF(Productos!B287="","",Productos!G287)</f>
        <v/>
      </c>
      <c r="H287" s="8" t="str">
        <f>IF(B287="","",SUMIF('Compras Entradas'!$D$5:$D$504,B287,'Compras Entradas'!$F$5:$F$504))</f>
        <v/>
      </c>
      <c r="I287" s="8" t="str">
        <f>IF(B287="","",SUMIF('Ventas Salidas'!$D$5:$D$504,B287,'Ventas Salidas'!$F$5:$F$504))</f>
        <v/>
      </c>
      <c r="J287" s="8" t="str">
        <f t="shared" si="15"/>
        <v/>
      </c>
      <c r="K287" s="8" t="str">
        <f t="shared" si="16"/>
        <v/>
      </c>
      <c r="L287" s="8" t="str">
        <f t="shared" si="17"/>
        <v/>
      </c>
      <c r="M287" s="8"/>
      <c r="N287" s="8" t="str">
        <f>IF(B287="","",IF(OR(K287="Bajo stock",K287="Sin stock"),COUNTIFS($K$5:$K287,"Bajo stock")+COUNTIFS($K$5:$K287,"Sin stock"),""))</f>
        <v/>
      </c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2:30" s="5" customFormat="1" ht="21.75" customHeight="1" x14ac:dyDescent="0.25">
      <c r="B288" s="8" t="str">
        <f>IF(Productos!B288="","",Productos!B288)</f>
        <v/>
      </c>
      <c r="C288" s="8" t="str">
        <f>IF(Productos!B288="","",Productos!C288)</f>
        <v/>
      </c>
      <c r="D288" s="8" t="str">
        <f>IF(Productos!B288="","",Productos!D288)</f>
        <v/>
      </c>
      <c r="E288" s="8" t="str">
        <f>IF(Productos!B288="","",Productos!E288)</f>
        <v/>
      </c>
      <c r="F288" s="8" t="str">
        <f>IF(Productos!B288="","",Productos!F288)</f>
        <v/>
      </c>
      <c r="G288" s="8" t="str">
        <f>IF(Productos!B288="","",Productos!G288)</f>
        <v/>
      </c>
      <c r="H288" s="8" t="str">
        <f>IF(B288="","",SUMIF('Compras Entradas'!$D$5:$D$504,B288,'Compras Entradas'!$F$5:$F$504))</f>
        <v/>
      </c>
      <c r="I288" s="8" t="str">
        <f>IF(B288="","",SUMIF('Ventas Salidas'!$D$5:$D$504,B288,'Ventas Salidas'!$F$5:$F$504))</f>
        <v/>
      </c>
      <c r="J288" s="8" t="str">
        <f t="shared" si="15"/>
        <v/>
      </c>
      <c r="K288" s="8" t="str">
        <f t="shared" si="16"/>
        <v/>
      </c>
      <c r="L288" s="8" t="str">
        <f t="shared" si="17"/>
        <v/>
      </c>
      <c r="M288" s="8"/>
      <c r="N288" s="8" t="str">
        <f>IF(B288="","",IF(OR(K288="Bajo stock",K288="Sin stock"),COUNTIFS($K$5:$K288,"Bajo stock")+COUNTIFS($K$5:$K288,"Sin stock"),""))</f>
        <v/>
      </c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2:30" s="5" customFormat="1" ht="21.75" customHeight="1" x14ac:dyDescent="0.25">
      <c r="B289" s="8" t="str">
        <f>IF(Productos!B289="","",Productos!B289)</f>
        <v/>
      </c>
      <c r="C289" s="8" t="str">
        <f>IF(Productos!B289="","",Productos!C289)</f>
        <v/>
      </c>
      <c r="D289" s="8" t="str">
        <f>IF(Productos!B289="","",Productos!D289)</f>
        <v/>
      </c>
      <c r="E289" s="8" t="str">
        <f>IF(Productos!B289="","",Productos!E289)</f>
        <v/>
      </c>
      <c r="F289" s="8" t="str">
        <f>IF(Productos!B289="","",Productos!F289)</f>
        <v/>
      </c>
      <c r="G289" s="8" t="str">
        <f>IF(Productos!B289="","",Productos!G289)</f>
        <v/>
      </c>
      <c r="H289" s="8" t="str">
        <f>IF(B289="","",SUMIF('Compras Entradas'!$D$5:$D$504,B289,'Compras Entradas'!$F$5:$F$504))</f>
        <v/>
      </c>
      <c r="I289" s="8" t="str">
        <f>IF(B289="","",SUMIF('Ventas Salidas'!$D$5:$D$504,B289,'Ventas Salidas'!$F$5:$F$504))</f>
        <v/>
      </c>
      <c r="J289" s="8" t="str">
        <f t="shared" si="15"/>
        <v/>
      </c>
      <c r="K289" s="8" t="str">
        <f t="shared" si="16"/>
        <v/>
      </c>
      <c r="L289" s="8" t="str">
        <f t="shared" si="17"/>
        <v/>
      </c>
      <c r="M289" s="8"/>
      <c r="N289" s="8" t="str">
        <f>IF(B289="","",IF(OR(K289="Bajo stock",K289="Sin stock"),COUNTIFS($K$5:$K289,"Bajo stock")+COUNTIFS($K$5:$K289,"Sin stock"),""))</f>
        <v/>
      </c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2:30" s="5" customFormat="1" ht="21.75" customHeight="1" x14ac:dyDescent="0.25">
      <c r="B290" s="8" t="str">
        <f>IF(Productos!B290="","",Productos!B290)</f>
        <v/>
      </c>
      <c r="C290" s="8" t="str">
        <f>IF(Productos!B290="","",Productos!C290)</f>
        <v/>
      </c>
      <c r="D290" s="8" t="str">
        <f>IF(Productos!B290="","",Productos!D290)</f>
        <v/>
      </c>
      <c r="E290" s="8" t="str">
        <f>IF(Productos!B290="","",Productos!E290)</f>
        <v/>
      </c>
      <c r="F290" s="8" t="str">
        <f>IF(Productos!B290="","",Productos!F290)</f>
        <v/>
      </c>
      <c r="G290" s="8" t="str">
        <f>IF(Productos!B290="","",Productos!G290)</f>
        <v/>
      </c>
      <c r="H290" s="8" t="str">
        <f>IF(B290="","",SUMIF('Compras Entradas'!$D$5:$D$504,B290,'Compras Entradas'!$F$5:$F$504))</f>
        <v/>
      </c>
      <c r="I290" s="8" t="str">
        <f>IF(B290="","",SUMIF('Ventas Salidas'!$D$5:$D$504,B290,'Ventas Salidas'!$F$5:$F$504))</f>
        <v/>
      </c>
      <c r="J290" s="8" t="str">
        <f t="shared" si="15"/>
        <v/>
      </c>
      <c r="K290" s="8" t="str">
        <f t="shared" si="16"/>
        <v/>
      </c>
      <c r="L290" s="8" t="str">
        <f t="shared" si="17"/>
        <v/>
      </c>
      <c r="M290" s="8"/>
      <c r="N290" s="8" t="str">
        <f>IF(B290="","",IF(OR(K290="Bajo stock",K290="Sin stock"),COUNTIFS($K$5:$K290,"Bajo stock")+COUNTIFS($K$5:$K290,"Sin stock"),""))</f>
        <v/>
      </c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2:30" s="5" customFormat="1" ht="21.75" customHeight="1" x14ac:dyDescent="0.25">
      <c r="B291" s="8" t="str">
        <f>IF(Productos!B291="","",Productos!B291)</f>
        <v/>
      </c>
      <c r="C291" s="8" t="str">
        <f>IF(Productos!B291="","",Productos!C291)</f>
        <v/>
      </c>
      <c r="D291" s="8" t="str">
        <f>IF(Productos!B291="","",Productos!D291)</f>
        <v/>
      </c>
      <c r="E291" s="8" t="str">
        <f>IF(Productos!B291="","",Productos!E291)</f>
        <v/>
      </c>
      <c r="F291" s="8" t="str">
        <f>IF(Productos!B291="","",Productos!F291)</f>
        <v/>
      </c>
      <c r="G291" s="8" t="str">
        <f>IF(Productos!B291="","",Productos!G291)</f>
        <v/>
      </c>
      <c r="H291" s="8" t="str">
        <f>IF(B291="","",SUMIF('Compras Entradas'!$D$5:$D$504,B291,'Compras Entradas'!$F$5:$F$504))</f>
        <v/>
      </c>
      <c r="I291" s="8" t="str">
        <f>IF(B291="","",SUMIF('Ventas Salidas'!$D$5:$D$504,B291,'Ventas Salidas'!$F$5:$F$504))</f>
        <v/>
      </c>
      <c r="J291" s="8" t="str">
        <f t="shared" si="15"/>
        <v/>
      </c>
      <c r="K291" s="8" t="str">
        <f t="shared" si="16"/>
        <v/>
      </c>
      <c r="L291" s="8" t="str">
        <f t="shared" si="17"/>
        <v/>
      </c>
      <c r="M291" s="8"/>
      <c r="N291" s="8" t="str">
        <f>IF(B291="","",IF(OR(K291="Bajo stock",K291="Sin stock"),COUNTIFS($K$5:$K291,"Bajo stock")+COUNTIFS($K$5:$K291,"Sin stock"),""))</f>
        <v/>
      </c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2:30" s="5" customFormat="1" ht="21.75" customHeight="1" x14ac:dyDescent="0.25">
      <c r="B292" s="8" t="str">
        <f>IF(Productos!B292="","",Productos!B292)</f>
        <v/>
      </c>
      <c r="C292" s="8" t="str">
        <f>IF(Productos!B292="","",Productos!C292)</f>
        <v/>
      </c>
      <c r="D292" s="8" t="str">
        <f>IF(Productos!B292="","",Productos!D292)</f>
        <v/>
      </c>
      <c r="E292" s="8" t="str">
        <f>IF(Productos!B292="","",Productos!E292)</f>
        <v/>
      </c>
      <c r="F292" s="8" t="str">
        <f>IF(Productos!B292="","",Productos!F292)</f>
        <v/>
      </c>
      <c r="G292" s="8" t="str">
        <f>IF(Productos!B292="","",Productos!G292)</f>
        <v/>
      </c>
      <c r="H292" s="8" t="str">
        <f>IF(B292="","",SUMIF('Compras Entradas'!$D$5:$D$504,B292,'Compras Entradas'!$F$5:$F$504))</f>
        <v/>
      </c>
      <c r="I292" s="8" t="str">
        <f>IF(B292="","",SUMIF('Ventas Salidas'!$D$5:$D$504,B292,'Ventas Salidas'!$F$5:$F$504))</f>
        <v/>
      </c>
      <c r="J292" s="8" t="str">
        <f t="shared" si="15"/>
        <v/>
      </c>
      <c r="K292" s="8" t="str">
        <f t="shared" si="16"/>
        <v/>
      </c>
      <c r="L292" s="8" t="str">
        <f t="shared" si="17"/>
        <v/>
      </c>
      <c r="M292" s="8"/>
      <c r="N292" s="8" t="str">
        <f>IF(B292="","",IF(OR(K292="Bajo stock",K292="Sin stock"),COUNTIFS($K$5:$K292,"Bajo stock")+COUNTIFS($K$5:$K292,"Sin stock"),""))</f>
        <v/>
      </c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2:30" s="5" customFormat="1" ht="21.75" customHeight="1" x14ac:dyDescent="0.25">
      <c r="B293" s="8" t="str">
        <f>IF(Productos!B293="","",Productos!B293)</f>
        <v/>
      </c>
      <c r="C293" s="8" t="str">
        <f>IF(Productos!B293="","",Productos!C293)</f>
        <v/>
      </c>
      <c r="D293" s="8" t="str">
        <f>IF(Productos!B293="","",Productos!D293)</f>
        <v/>
      </c>
      <c r="E293" s="8" t="str">
        <f>IF(Productos!B293="","",Productos!E293)</f>
        <v/>
      </c>
      <c r="F293" s="8" t="str">
        <f>IF(Productos!B293="","",Productos!F293)</f>
        <v/>
      </c>
      <c r="G293" s="8" t="str">
        <f>IF(Productos!B293="","",Productos!G293)</f>
        <v/>
      </c>
      <c r="H293" s="8" t="str">
        <f>IF(B293="","",SUMIF('Compras Entradas'!$D$5:$D$504,B293,'Compras Entradas'!$F$5:$F$504))</f>
        <v/>
      </c>
      <c r="I293" s="8" t="str">
        <f>IF(B293="","",SUMIF('Ventas Salidas'!$D$5:$D$504,B293,'Ventas Salidas'!$F$5:$F$504))</f>
        <v/>
      </c>
      <c r="J293" s="8" t="str">
        <f t="shared" si="15"/>
        <v/>
      </c>
      <c r="K293" s="8" t="str">
        <f t="shared" si="16"/>
        <v/>
      </c>
      <c r="L293" s="8" t="str">
        <f t="shared" si="17"/>
        <v/>
      </c>
      <c r="M293" s="8"/>
      <c r="N293" s="8" t="str">
        <f>IF(B293="","",IF(OR(K293="Bajo stock",K293="Sin stock"),COUNTIFS($K$5:$K293,"Bajo stock")+COUNTIFS($K$5:$K293,"Sin stock"),""))</f>
        <v/>
      </c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2:30" s="5" customFormat="1" ht="21.75" customHeight="1" x14ac:dyDescent="0.25">
      <c r="B294" s="8" t="str">
        <f>IF(Productos!B294="","",Productos!B294)</f>
        <v/>
      </c>
      <c r="C294" s="8" t="str">
        <f>IF(Productos!B294="","",Productos!C294)</f>
        <v/>
      </c>
      <c r="D294" s="8" t="str">
        <f>IF(Productos!B294="","",Productos!D294)</f>
        <v/>
      </c>
      <c r="E294" s="8" t="str">
        <f>IF(Productos!B294="","",Productos!E294)</f>
        <v/>
      </c>
      <c r="F294" s="8" t="str">
        <f>IF(Productos!B294="","",Productos!F294)</f>
        <v/>
      </c>
      <c r="G294" s="8" t="str">
        <f>IF(Productos!B294="","",Productos!G294)</f>
        <v/>
      </c>
      <c r="H294" s="8" t="str">
        <f>IF(B294="","",SUMIF('Compras Entradas'!$D$5:$D$504,B294,'Compras Entradas'!$F$5:$F$504))</f>
        <v/>
      </c>
      <c r="I294" s="8" t="str">
        <f>IF(B294="","",SUMIF('Ventas Salidas'!$D$5:$D$504,B294,'Ventas Salidas'!$F$5:$F$504))</f>
        <v/>
      </c>
      <c r="J294" s="8" t="str">
        <f t="shared" si="15"/>
        <v/>
      </c>
      <c r="K294" s="8" t="str">
        <f t="shared" si="16"/>
        <v/>
      </c>
      <c r="L294" s="8" t="str">
        <f t="shared" si="17"/>
        <v/>
      </c>
      <c r="M294" s="8"/>
      <c r="N294" s="8" t="str">
        <f>IF(B294="","",IF(OR(K294="Bajo stock",K294="Sin stock"),COUNTIFS($K$5:$K294,"Bajo stock")+COUNTIFS($K$5:$K294,"Sin stock"),""))</f>
        <v/>
      </c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2:30" s="5" customFormat="1" ht="21.75" customHeight="1" x14ac:dyDescent="0.25">
      <c r="B295" s="8" t="str">
        <f>IF(Productos!B295="","",Productos!B295)</f>
        <v/>
      </c>
      <c r="C295" s="8" t="str">
        <f>IF(Productos!B295="","",Productos!C295)</f>
        <v/>
      </c>
      <c r="D295" s="8" t="str">
        <f>IF(Productos!B295="","",Productos!D295)</f>
        <v/>
      </c>
      <c r="E295" s="8" t="str">
        <f>IF(Productos!B295="","",Productos!E295)</f>
        <v/>
      </c>
      <c r="F295" s="8" t="str">
        <f>IF(Productos!B295="","",Productos!F295)</f>
        <v/>
      </c>
      <c r="G295" s="8" t="str">
        <f>IF(Productos!B295="","",Productos!G295)</f>
        <v/>
      </c>
      <c r="H295" s="8" t="str">
        <f>IF(B295="","",SUMIF('Compras Entradas'!$D$5:$D$504,B295,'Compras Entradas'!$F$5:$F$504))</f>
        <v/>
      </c>
      <c r="I295" s="8" t="str">
        <f>IF(B295="","",SUMIF('Ventas Salidas'!$D$5:$D$504,B295,'Ventas Salidas'!$F$5:$F$504))</f>
        <v/>
      </c>
      <c r="J295" s="8" t="str">
        <f t="shared" si="15"/>
        <v/>
      </c>
      <c r="K295" s="8" t="str">
        <f t="shared" si="16"/>
        <v/>
      </c>
      <c r="L295" s="8" t="str">
        <f t="shared" si="17"/>
        <v/>
      </c>
      <c r="M295" s="8"/>
      <c r="N295" s="8" t="str">
        <f>IF(B295="","",IF(OR(K295="Bajo stock",K295="Sin stock"),COUNTIFS($K$5:$K295,"Bajo stock")+COUNTIFS($K$5:$K295,"Sin stock"),""))</f>
        <v/>
      </c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2:30" s="5" customFormat="1" ht="21.75" customHeight="1" x14ac:dyDescent="0.25">
      <c r="B296" s="8" t="str">
        <f>IF(Productos!B296="","",Productos!B296)</f>
        <v/>
      </c>
      <c r="C296" s="8" t="str">
        <f>IF(Productos!B296="","",Productos!C296)</f>
        <v/>
      </c>
      <c r="D296" s="8" t="str">
        <f>IF(Productos!B296="","",Productos!D296)</f>
        <v/>
      </c>
      <c r="E296" s="8" t="str">
        <f>IF(Productos!B296="","",Productos!E296)</f>
        <v/>
      </c>
      <c r="F296" s="8" t="str">
        <f>IF(Productos!B296="","",Productos!F296)</f>
        <v/>
      </c>
      <c r="G296" s="8" t="str">
        <f>IF(Productos!B296="","",Productos!G296)</f>
        <v/>
      </c>
      <c r="H296" s="8" t="str">
        <f>IF(B296="","",SUMIF('Compras Entradas'!$D$5:$D$504,B296,'Compras Entradas'!$F$5:$F$504))</f>
        <v/>
      </c>
      <c r="I296" s="8" t="str">
        <f>IF(B296="","",SUMIF('Ventas Salidas'!$D$5:$D$504,B296,'Ventas Salidas'!$F$5:$F$504))</f>
        <v/>
      </c>
      <c r="J296" s="8" t="str">
        <f t="shared" si="15"/>
        <v/>
      </c>
      <c r="K296" s="8" t="str">
        <f t="shared" si="16"/>
        <v/>
      </c>
      <c r="L296" s="8" t="str">
        <f t="shared" si="17"/>
        <v/>
      </c>
      <c r="M296" s="8"/>
      <c r="N296" s="8" t="str">
        <f>IF(B296="","",IF(OR(K296="Bajo stock",K296="Sin stock"),COUNTIFS($K$5:$K296,"Bajo stock")+COUNTIFS($K$5:$K296,"Sin stock"),""))</f>
        <v/>
      </c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2:30" s="5" customFormat="1" ht="21.75" customHeight="1" x14ac:dyDescent="0.25">
      <c r="B297" s="8" t="str">
        <f>IF(Productos!B297="","",Productos!B297)</f>
        <v/>
      </c>
      <c r="C297" s="8" t="str">
        <f>IF(Productos!B297="","",Productos!C297)</f>
        <v/>
      </c>
      <c r="D297" s="8" t="str">
        <f>IF(Productos!B297="","",Productos!D297)</f>
        <v/>
      </c>
      <c r="E297" s="8" t="str">
        <f>IF(Productos!B297="","",Productos!E297)</f>
        <v/>
      </c>
      <c r="F297" s="8" t="str">
        <f>IF(Productos!B297="","",Productos!F297)</f>
        <v/>
      </c>
      <c r="G297" s="8" t="str">
        <f>IF(Productos!B297="","",Productos!G297)</f>
        <v/>
      </c>
      <c r="H297" s="8" t="str">
        <f>IF(B297="","",SUMIF('Compras Entradas'!$D$5:$D$504,B297,'Compras Entradas'!$F$5:$F$504))</f>
        <v/>
      </c>
      <c r="I297" s="8" t="str">
        <f>IF(B297="","",SUMIF('Ventas Salidas'!$D$5:$D$504,B297,'Ventas Salidas'!$F$5:$F$504))</f>
        <v/>
      </c>
      <c r="J297" s="8" t="str">
        <f t="shared" si="15"/>
        <v/>
      </c>
      <c r="K297" s="8" t="str">
        <f t="shared" si="16"/>
        <v/>
      </c>
      <c r="L297" s="8" t="str">
        <f t="shared" si="17"/>
        <v/>
      </c>
      <c r="M297" s="8"/>
      <c r="N297" s="8" t="str">
        <f>IF(B297="","",IF(OR(K297="Bajo stock",K297="Sin stock"),COUNTIFS($K$5:$K297,"Bajo stock")+COUNTIFS($K$5:$K297,"Sin stock"),""))</f>
        <v/>
      </c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2:30" s="5" customFormat="1" ht="21.75" customHeight="1" x14ac:dyDescent="0.25">
      <c r="B298" s="8" t="str">
        <f>IF(Productos!B298="","",Productos!B298)</f>
        <v/>
      </c>
      <c r="C298" s="8" t="str">
        <f>IF(Productos!B298="","",Productos!C298)</f>
        <v/>
      </c>
      <c r="D298" s="8" t="str">
        <f>IF(Productos!B298="","",Productos!D298)</f>
        <v/>
      </c>
      <c r="E298" s="8" t="str">
        <f>IF(Productos!B298="","",Productos!E298)</f>
        <v/>
      </c>
      <c r="F298" s="8" t="str">
        <f>IF(Productos!B298="","",Productos!F298)</f>
        <v/>
      </c>
      <c r="G298" s="8" t="str">
        <f>IF(Productos!B298="","",Productos!G298)</f>
        <v/>
      </c>
      <c r="H298" s="8" t="str">
        <f>IF(B298="","",SUMIF('Compras Entradas'!$D$5:$D$504,B298,'Compras Entradas'!$F$5:$F$504))</f>
        <v/>
      </c>
      <c r="I298" s="8" t="str">
        <f>IF(B298="","",SUMIF('Ventas Salidas'!$D$5:$D$504,B298,'Ventas Salidas'!$F$5:$F$504))</f>
        <v/>
      </c>
      <c r="J298" s="8" t="str">
        <f t="shared" si="15"/>
        <v/>
      </c>
      <c r="K298" s="8" t="str">
        <f t="shared" si="16"/>
        <v/>
      </c>
      <c r="L298" s="8" t="str">
        <f t="shared" si="17"/>
        <v/>
      </c>
      <c r="M298" s="8"/>
      <c r="N298" s="8" t="str">
        <f>IF(B298="","",IF(OR(K298="Bajo stock",K298="Sin stock"),COUNTIFS($K$5:$K298,"Bajo stock")+COUNTIFS($K$5:$K298,"Sin stock"),""))</f>
        <v/>
      </c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2:30" s="5" customFormat="1" ht="21.75" customHeight="1" x14ac:dyDescent="0.25">
      <c r="B299" s="8" t="str">
        <f>IF(Productos!B299="","",Productos!B299)</f>
        <v/>
      </c>
      <c r="C299" s="8" t="str">
        <f>IF(Productos!B299="","",Productos!C299)</f>
        <v/>
      </c>
      <c r="D299" s="8" t="str">
        <f>IF(Productos!B299="","",Productos!D299)</f>
        <v/>
      </c>
      <c r="E299" s="8" t="str">
        <f>IF(Productos!B299="","",Productos!E299)</f>
        <v/>
      </c>
      <c r="F299" s="8" t="str">
        <f>IF(Productos!B299="","",Productos!F299)</f>
        <v/>
      </c>
      <c r="G299" s="8" t="str">
        <f>IF(Productos!B299="","",Productos!G299)</f>
        <v/>
      </c>
      <c r="H299" s="8" t="str">
        <f>IF(B299="","",SUMIF('Compras Entradas'!$D$5:$D$504,B299,'Compras Entradas'!$F$5:$F$504))</f>
        <v/>
      </c>
      <c r="I299" s="8" t="str">
        <f>IF(B299="","",SUMIF('Ventas Salidas'!$D$5:$D$504,B299,'Ventas Salidas'!$F$5:$F$504))</f>
        <v/>
      </c>
      <c r="J299" s="8" t="str">
        <f t="shared" si="15"/>
        <v/>
      </c>
      <c r="K299" s="8" t="str">
        <f t="shared" si="16"/>
        <v/>
      </c>
      <c r="L299" s="8" t="str">
        <f t="shared" si="17"/>
        <v/>
      </c>
      <c r="M299" s="8"/>
      <c r="N299" s="8" t="str">
        <f>IF(B299="","",IF(OR(K299="Bajo stock",K299="Sin stock"),COUNTIFS($K$5:$K299,"Bajo stock")+COUNTIFS($K$5:$K299,"Sin stock"),""))</f>
        <v/>
      </c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2:30" s="5" customFormat="1" ht="21.75" customHeight="1" x14ac:dyDescent="0.25">
      <c r="B300" s="8" t="str">
        <f>IF(Productos!B300="","",Productos!B300)</f>
        <v/>
      </c>
      <c r="C300" s="8" t="str">
        <f>IF(Productos!B300="","",Productos!C300)</f>
        <v/>
      </c>
      <c r="D300" s="8" t="str">
        <f>IF(Productos!B300="","",Productos!D300)</f>
        <v/>
      </c>
      <c r="E300" s="8" t="str">
        <f>IF(Productos!B300="","",Productos!E300)</f>
        <v/>
      </c>
      <c r="F300" s="8" t="str">
        <f>IF(Productos!B300="","",Productos!F300)</f>
        <v/>
      </c>
      <c r="G300" s="8" t="str">
        <f>IF(Productos!B300="","",Productos!G300)</f>
        <v/>
      </c>
      <c r="H300" s="8" t="str">
        <f>IF(B300="","",SUMIF('Compras Entradas'!$D$5:$D$504,B300,'Compras Entradas'!$F$5:$F$504))</f>
        <v/>
      </c>
      <c r="I300" s="8" t="str">
        <f>IF(B300="","",SUMIF('Ventas Salidas'!$D$5:$D$504,B300,'Ventas Salidas'!$F$5:$F$504))</f>
        <v/>
      </c>
      <c r="J300" s="8" t="str">
        <f t="shared" si="15"/>
        <v/>
      </c>
      <c r="K300" s="8" t="str">
        <f t="shared" si="16"/>
        <v/>
      </c>
      <c r="L300" s="8" t="str">
        <f t="shared" si="17"/>
        <v/>
      </c>
      <c r="M300" s="8"/>
      <c r="N300" s="8" t="str">
        <f>IF(B300="","",IF(OR(K300="Bajo stock",K300="Sin stock"),COUNTIFS($K$5:$K300,"Bajo stock")+COUNTIFS($K$5:$K300,"Sin stock"),""))</f>
        <v/>
      </c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2:30" s="5" customFormat="1" ht="21.75" customHeight="1" x14ac:dyDescent="0.25">
      <c r="B301" s="8" t="str">
        <f>IF(Productos!B301="","",Productos!B301)</f>
        <v/>
      </c>
      <c r="C301" s="8" t="str">
        <f>IF(Productos!B301="","",Productos!C301)</f>
        <v/>
      </c>
      <c r="D301" s="8" t="str">
        <f>IF(Productos!B301="","",Productos!D301)</f>
        <v/>
      </c>
      <c r="E301" s="8" t="str">
        <f>IF(Productos!B301="","",Productos!E301)</f>
        <v/>
      </c>
      <c r="F301" s="8" t="str">
        <f>IF(Productos!B301="","",Productos!F301)</f>
        <v/>
      </c>
      <c r="G301" s="8" t="str">
        <f>IF(Productos!B301="","",Productos!G301)</f>
        <v/>
      </c>
      <c r="H301" s="8" t="str">
        <f>IF(B301="","",SUMIF('Compras Entradas'!$D$5:$D$504,B301,'Compras Entradas'!$F$5:$F$504))</f>
        <v/>
      </c>
      <c r="I301" s="8" t="str">
        <f>IF(B301="","",SUMIF('Ventas Salidas'!$D$5:$D$504,B301,'Ventas Salidas'!$F$5:$F$504))</f>
        <v/>
      </c>
      <c r="J301" s="8" t="str">
        <f t="shared" si="15"/>
        <v/>
      </c>
      <c r="K301" s="8" t="str">
        <f t="shared" si="16"/>
        <v/>
      </c>
      <c r="L301" s="8" t="str">
        <f t="shared" si="17"/>
        <v/>
      </c>
      <c r="M301" s="8"/>
      <c r="N301" s="8" t="str">
        <f>IF(B301="","",IF(OR(K301="Bajo stock",K301="Sin stock"),COUNTIFS($K$5:$K301,"Bajo stock")+COUNTIFS($K$5:$K301,"Sin stock"),""))</f>
        <v/>
      </c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2:30" s="5" customFormat="1" ht="21.75" customHeight="1" x14ac:dyDescent="0.25">
      <c r="B302" s="8" t="str">
        <f>IF(Productos!B302="","",Productos!B302)</f>
        <v/>
      </c>
      <c r="C302" s="8" t="str">
        <f>IF(Productos!B302="","",Productos!C302)</f>
        <v/>
      </c>
      <c r="D302" s="8" t="str">
        <f>IF(Productos!B302="","",Productos!D302)</f>
        <v/>
      </c>
      <c r="E302" s="8" t="str">
        <f>IF(Productos!B302="","",Productos!E302)</f>
        <v/>
      </c>
      <c r="F302" s="8" t="str">
        <f>IF(Productos!B302="","",Productos!F302)</f>
        <v/>
      </c>
      <c r="G302" s="8" t="str">
        <f>IF(Productos!B302="","",Productos!G302)</f>
        <v/>
      </c>
      <c r="H302" s="8" t="str">
        <f>IF(B302="","",SUMIF('Compras Entradas'!$D$5:$D$504,B302,'Compras Entradas'!$F$5:$F$504))</f>
        <v/>
      </c>
      <c r="I302" s="8" t="str">
        <f>IF(B302="","",SUMIF('Ventas Salidas'!$D$5:$D$504,B302,'Ventas Salidas'!$F$5:$F$504))</f>
        <v/>
      </c>
      <c r="J302" s="8" t="str">
        <f t="shared" si="15"/>
        <v/>
      </c>
      <c r="K302" s="8" t="str">
        <f t="shared" si="16"/>
        <v/>
      </c>
      <c r="L302" s="8" t="str">
        <f t="shared" si="17"/>
        <v/>
      </c>
      <c r="M302" s="8"/>
      <c r="N302" s="8" t="str">
        <f>IF(B302="","",IF(OR(K302="Bajo stock",K302="Sin stock"),COUNTIFS($K$5:$K302,"Bajo stock")+COUNTIFS($K$5:$K302,"Sin stock"),""))</f>
        <v/>
      </c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2:30" s="5" customFormat="1" ht="21.75" customHeight="1" x14ac:dyDescent="0.25">
      <c r="B303" s="8" t="str">
        <f>IF(Productos!B303="","",Productos!B303)</f>
        <v/>
      </c>
      <c r="C303" s="8" t="str">
        <f>IF(Productos!B303="","",Productos!C303)</f>
        <v/>
      </c>
      <c r="D303" s="8" t="str">
        <f>IF(Productos!B303="","",Productos!D303)</f>
        <v/>
      </c>
      <c r="E303" s="8" t="str">
        <f>IF(Productos!B303="","",Productos!E303)</f>
        <v/>
      </c>
      <c r="F303" s="8" t="str">
        <f>IF(Productos!B303="","",Productos!F303)</f>
        <v/>
      </c>
      <c r="G303" s="8" t="str">
        <f>IF(Productos!B303="","",Productos!G303)</f>
        <v/>
      </c>
      <c r="H303" s="8" t="str">
        <f>IF(B303="","",SUMIF('Compras Entradas'!$D$5:$D$504,B303,'Compras Entradas'!$F$5:$F$504))</f>
        <v/>
      </c>
      <c r="I303" s="8" t="str">
        <f>IF(B303="","",SUMIF('Ventas Salidas'!$D$5:$D$504,B303,'Ventas Salidas'!$F$5:$F$504))</f>
        <v/>
      </c>
      <c r="J303" s="8" t="str">
        <f t="shared" si="15"/>
        <v/>
      </c>
      <c r="K303" s="8" t="str">
        <f t="shared" si="16"/>
        <v/>
      </c>
      <c r="L303" s="8" t="str">
        <f t="shared" si="17"/>
        <v/>
      </c>
      <c r="M303" s="8"/>
      <c r="N303" s="8" t="str">
        <f>IF(B303="","",IF(OR(K303="Bajo stock",K303="Sin stock"),COUNTIFS($K$5:$K303,"Bajo stock")+COUNTIFS($K$5:$K303,"Sin stock"),""))</f>
        <v/>
      </c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2:30" s="5" customFormat="1" ht="21.75" customHeight="1" x14ac:dyDescent="0.25">
      <c r="B304" s="8" t="str">
        <f>IF(Productos!B304="","",Productos!B304)</f>
        <v/>
      </c>
      <c r="C304" s="8" t="str">
        <f>IF(Productos!B304="","",Productos!C304)</f>
        <v/>
      </c>
      <c r="D304" s="8" t="str">
        <f>IF(Productos!B304="","",Productos!D304)</f>
        <v/>
      </c>
      <c r="E304" s="8" t="str">
        <f>IF(Productos!B304="","",Productos!E304)</f>
        <v/>
      </c>
      <c r="F304" s="8" t="str">
        <f>IF(Productos!B304="","",Productos!F304)</f>
        <v/>
      </c>
      <c r="G304" s="8" t="str">
        <f>IF(Productos!B304="","",Productos!G304)</f>
        <v/>
      </c>
      <c r="H304" s="8" t="str">
        <f>IF(B304="","",SUMIF('Compras Entradas'!$D$5:$D$504,B304,'Compras Entradas'!$F$5:$F$504))</f>
        <v/>
      </c>
      <c r="I304" s="8" t="str">
        <f>IF(B304="","",SUMIF('Ventas Salidas'!$D$5:$D$504,B304,'Ventas Salidas'!$F$5:$F$504))</f>
        <v/>
      </c>
      <c r="J304" s="8" t="str">
        <f t="shared" si="15"/>
        <v/>
      </c>
      <c r="K304" s="8" t="str">
        <f t="shared" si="16"/>
        <v/>
      </c>
      <c r="L304" s="8" t="str">
        <f t="shared" si="17"/>
        <v/>
      </c>
      <c r="M304" s="8"/>
      <c r="N304" s="8" t="str">
        <f>IF(B304="","",IF(OR(K304="Bajo stock",K304="Sin stock"),COUNTIFS($K$5:$K304,"Bajo stock")+COUNTIFS($K$5:$K304,"Sin stock"),""))</f>
        <v/>
      </c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2:30" s="5" customFormat="1" ht="21.75" customHeight="1" x14ac:dyDescent="0.25">
      <c r="B305" s="8" t="str">
        <f>IF(Productos!B305="","",Productos!B305)</f>
        <v/>
      </c>
      <c r="C305" s="8" t="str">
        <f>IF(Productos!B305="","",Productos!C305)</f>
        <v/>
      </c>
      <c r="D305" s="8" t="str">
        <f>IF(Productos!B305="","",Productos!D305)</f>
        <v/>
      </c>
      <c r="E305" s="8" t="str">
        <f>IF(Productos!B305="","",Productos!E305)</f>
        <v/>
      </c>
      <c r="F305" s="8" t="str">
        <f>IF(Productos!B305="","",Productos!F305)</f>
        <v/>
      </c>
      <c r="G305" s="8" t="str">
        <f>IF(Productos!B305="","",Productos!G305)</f>
        <v/>
      </c>
      <c r="H305" s="8" t="str">
        <f>IF(B305="","",SUMIF('Compras Entradas'!$D$5:$D$504,B305,'Compras Entradas'!$F$5:$F$504))</f>
        <v/>
      </c>
      <c r="I305" s="8" t="str">
        <f>IF(B305="","",SUMIF('Ventas Salidas'!$D$5:$D$504,B305,'Ventas Salidas'!$F$5:$F$504))</f>
        <v/>
      </c>
      <c r="J305" s="8" t="str">
        <f t="shared" si="15"/>
        <v/>
      </c>
      <c r="K305" s="8" t="str">
        <f t="shared" si="16"/>
        <v/>
      </c>
      <c r="L305" s="8" t="str">
        <f t="shared" si="17"/>
        <v/>
      </c>
      <c r="M305" s="8"/>
      <c r="N305" s="8" t="str">
        <f>IF(B305="","",IF(OR(K305="Bajo stock",K305="Sin stock"),COUNTIFS($K$5:$K305,"Bajo stock")+COUNTIFS($K$5:$K305,"Sin stock"),""))</f>
        <v/>
      </c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2:30" s="5" customFormat="1" ht="21.75" customHeight="1" x14ac:dyDescent="0.25">
      <c r="B306" s="8" t="str">
        <f>IF(Productos!B306="","",Productos!B306)</f>
        <v/>
      </c>
      <c r="C306" s="8" t="str">
        <f>IF(Productos!B306="","",Productos!C306)</f>
        <v/>
      </c>
      <c r="D306" s="8" t="str">
        <f>IF(Productos!B306="","",Productos!D306)</f>
        <v/>
      </c>
      <c r="E306" s="8" t="str">
        <f>IF(Productos!B306="","",Productos!E306)</f>
        <v/>
      </c>
      <c r="F306" s="8" t="str">
        <f>IF(Productos!B306="","",Productos!F306)</f>
        <v/>
      </c>
      <c r="G306" s="8" t="str">
        <f>IF(Productos!B306="","",Productos!G306)</f>
        <v/>
      </c>
      <c r="H306" s="8" t="str">
        <f>IF(B306="","",SUMIF('Compras Entradas'!$D$5:$D$504,B306,'Compras Entradas'!$F$5:$F$504))</f>
        <v/>
      </c>
      <c r="I306" s="8" t="str">
        <f>IF(B306="","",SUMIF('Ventas Salidas'!$D$5:$D$504,B306,'Ventas Salidas'!$F$5:$F$504))</f>
        <v/>
      </c>
      <c r="J306" s="8" t="str">
        <f t="shared" si="15"/>
        <v/>
      </c>
      <c r="K306" s="8" t="str">
        <f t="shared" si="16"/>
        <v/>
      </c>
      <c r="L306" s="8" t="str">
        <f t="shared" si="17"/>
        <v/>
      </c>
      <c r="M306" s="8"/>
      <c r="N306" s="8" t="str">
        <f>IF(B306="","",IF(OR(K306="Bajo stock",K306="Sin stock"),COUNTIFS($K$5:$K306,"Bajo stock")+COUNTIFS($K$5:$K306,"Sin stock"),""))</f>
        <v/>
      </c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2:30" s="5" customFormat="1" ht="21.75" customHeight="1" x14ac:dyDescent="0.25">
      <c r="B307" s="8" t="str">
        <f>IF(Productos!B307="","",Productos!B307)</f>
        <v/>
      </c>
      <c r="C307" s="8" t="str">
        <f>IF(Productos!B307="","",Productos!C307)</f>
        <v/>
      </c>
      <c r="D307" s="8" t="str">
        <f>IF(Productos!B307="","",Productos!D307)</f>
        <v/>
      </c>
      <c r="E307" s="8" t="str">
        <f>IF(Productos!B307="","",Productos!E307)</f>
        <v/>
      </c>
      <c r="F307" s="8" t="str">
        <f>IF(Productos!B307="","",Productos!F307)</f>
        <v/>
      </c>
      <c r="G307" s="8" t="str">
        <f>IF(Productos!B307="","",Productos!G307)</f>
        <v/>
      </c>
      <c r="H307" s="8" t="str">
        <f>IF(B307="","",SUMIF('Compras Entradas'!$D$5:$D$504,B307,'Compras Entradas'!$F$5:$F$504))</f>
        <v/>
      </c>
      <c r="I307" s="8" t="str">
        <f>IF(B307="","",SUMIF('Ventas Salidas'!$D$5:$D$504,B307,'Ventas Salidas'!$F$5:$F$504))</f>
        <v/>
      </c>
      <c r="J307" s="8" t="str">
        <f t="shared" si="15"/>
        <v/>
      </c>
      <c r="K307" s="8" t="str">
        <f t="shared" si="16"/>
        <v/>
      </c>
      <c r="L307" s="8" t="str">
        <f t="shared" si="17"/>
        <v/>
      </c>
      <c r="M307" s="8"/>
      <c r="N307" s="8" t="str">
        <f>IF(B307="","",IF(OR(K307="Bajo stock",K307="Sin stock"),COUNTIFS($K$5:$K307,"Bajo stock")+COUNTIFS($K$5:$K307,"Sin stock"),""))</f>
        <v/>
      </c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2:30" s="5" customFormat="1" ht="21.75" customHeight="1" x14ac:dyDescent="0.25">
      <c r="B308" s="8" t="str">
        <f>IF(Productos!B308="","",Productos!B308)</f>
        <v/>
      </c>
      <c r="C308" s="8" t="str">
        <f>IF(Productos!B308="","",Productos!C308)</f>
        <v/>
      </c>
      <c r="D308" s="8" t="str">
        <f>IF(Productos!B308="","",Productos!D308)</f>
        <v/>
      </c>
      <c r="E308" s="8" t="str">
        <f>IF(Productos!B308="","",Productos!E308)</f>
        <v/>
      </c>
      <c r="F308" s="8" t="str">
        <f>IF(Productos!B308="","",Productos!F308)</f>
        <v/>
      </c>
      <c r="G308" s="8" t="str">
        <f>IF(Productos!B308="","",Productos!G308)</f>
        <v/>
      </c>
      <c r="H308" s="8" t="str">
        <f>IF(B308="","",SUMIF('Compras Entradas'!$D$5:$D$504,B308,'Compras Entradas'!$F$5:$F$504))</f>
        <v/>
      </c>
      <c r="I308" s="8" t="str">
        <f>IF(B308="","",SUMIF('Ventas Salidas'!$D$5:$D$504,B308,'Ventas Salidas'!$F$5:$F$504))</f>
        <v/>
      </c>
      <c r="J308" s="8" t="str">
        <f t="shared" si="15"/>
        <v/>
      </c>
      <c r="K308" s="8" t="str">
        <f t="shared" si="16"/>
        <v/>
      </c>
      <c r="L308" s="8" t="str">
        <f t="shared" si="17"/>
        <v/>
      </c>
      <c r="M308" s="8"/>
      <c r="N308" s="8" t="str">
        <f>IF(B308="","",IF(OR(K308="Bajo stock",K308="Sin stock"),COUNTIFS($K$5:$K308,"Bajo stock")+COUNTIFS($K$5:$K308,"Sin stock"),""))</f>
        <v/>
      </c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2:30" s="5" customFormat="1" ht="21.75" customHeight="1" x14ac:dyDescent="0.25">
      <c r="B309" s="8" t="str">
        <f>IF(Productos!B309="","",Productos!B309)</f>
        <v/>
      </c>
      <c r="C309" s="8" t="str">
        <f>IF(Productos!B309="","",Productos!C309)</f>
        <v/>
      </c>
      <c r="D309" s="8" t="str">
        <f>IF(Productos!B309="","",Productos!D309)</f>
        <v/>
      </c>
      <c r="E309" s="8" t="str">
        <f>IF(Productos!B309="","",Productos!E309)</f>
        <v/>
      </c>
      <c r="F309" s="8" t="str">
        <f>IF(Productos!B309="","",Productos!F309)</f>
        <v/>
      </c>
      <c r="G309" s="8" t="str">
        <f>IF(Productos!B309="","",Productos!G309)</f>
        <v/>
      </c>
      <c r="H309" s="8" t="str">
        <f>IF(B309="","",SUMIF('Compras Entradas'!$D$5:$D$504,B309,'Compras Entradas'!$F$5:$F$504))</f>
        <v/>
      </c>
      <c r="I309" s="8" t="str">
        <f>IF(B309="","",SUMIF('Ventas Salidas'!$D$5:$D$504,B309,'Ventas Salidas'!$F$5:$F$504))</f>
        <v/>
      </c>
      <c r="J309" s="8" t="str">
        <f t="shared" si="15"/>
        <v/>
      </c>
      <c r="K309" s="8" t="str">
        <f t="shared" si="16"/>
        <v/>
      </c>
      <c r="L309" s="8" t="str">
        <f t="shared" si="17"/>
        <v/>
      </c>
      <c r="M309" s="8"/>
      <c r="N309" s="8" t="str">
        <f>IF(B309="","",IF(OR(K309="Bajo stock",K309="Sin stock"),COUNTIFS($K$5:$K309,"Bajo stock")+COUNTIFS($K$5:$K309,"Sin stock"),""))</f>
        <v/>
      </c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2:30" s="5" customFormat="1" ht="21.75" customHeight="1" x14ac:dyDescent="0.25">
      <c r="B310" s="8" t="str">
        <f>IF(Productos!B310="","",Productos!B310)</f>
        <v/>
      </c>
      <c r="C310" s="8" t="str">
        <f>IF(Productos!B310="","",Productos!C310)</f>
        <v/>
      </c>
      <c r="D310" s="8" t="str">
        <f>IF(Productos!B310="","",Productos!D310)</f>
        <v/>
      </c>
      <c r="E310" s="8" t="str">
        <f>IF(Productos!B310="","",Productos!E310)</f>
        <v/>
      </c>
      <c r="F310" s="8" t="str">
        <f>IF(Productos!B310="","",Productos!F310)</f>
        <v/>
      </c>
      <c r="G310" s="8" t="str">
        <f>IF(Productos!B310="","",Productos!G310)</f>
        <v/>
      </c>
      <c r="H310" s="8" t="str">
        <f>IF(B310="","",SUMIF('Compras Entradas'!$D$5:$D$504,B310,'Compras Entradas'!$F$5:$F$504))</f>
        <v/>
      </c>
      <c r="I310" s="8" t="str">
        <f>IF(B310="","",SUMIF('Ventas Salidas'!$D$5:$D$504,B310,'Ventas Salidas'!$F$5:$F$504))</f>
        <v/>
      </c>
      <c r="J310" s="8" t="str">
        <f t="shared" si="15"/>
        <v/>
      </c>
      <c r="K310" s="8" t="str">
        <f t="shared" si="16"/>
        <v/>
      </c>
      <c r="L310" s="8" t="str">
        <f t="shared" si="17"/>
        <v/>
      </c>
      <c r="M310" s="8"/>
      <c r="N310" s="8" t="str">
        <f>IF(B310="","",IF(OR(K310="Bajo stock",K310="Sin stock"),COUNTIFS($K$5:$K310,"Bajo stock")+COUNTIFS($K$5:$K310,"Sin stock"),""))</f>
        <v/>
      </c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2:30" s="5" customFormat="1" ht="21.75" customHeight="1" x14ac:dyDescent="0.25">
      <c r="B311" s="8" t="str">
        <f>IF(Productos!B311="","",Productos!B311)</f>
        <v/>
      </c>
      <c r="C311" s="8" t="str">
        <f>IF(Productos!B311="","",Productos!C311)</f>
        <v/>
      </c>
      <c r="D311" s="8" t="str">
        <f>IF(Productos!B311="","",Productos!D311)</f>
        <v/>
      </c>
      <c r="E311" s="8" t="str">
        <f>IF(Productos!B311="","",Productos!E311)</f>
        <v/>
      </c>
      <c r="F311" s="8" t="str">
        <f>IF(Productos!B311="","",Productos!F311)</f>
        <v/>
      </c>
      <c r="G311" s="8" t="str">
        <f>IF(Productos!B311="","",Productos!G311)</f>
        <v/>
      </c>
      <c r="H311" s="8" t="str">
        <f>IF(B311="","",SUMIF('Compras Entradas'!$D$5:$D$504,B311,'Compras Entradas'!$F$5:$F$504))</f>
        <v/>
      </c>
      <c r="I311" s="8" t="str">
        <f>IF(B311="","",SUMIF('Ventas Salidas'!$D$5:$D$504,B311,'Ventas Salidas'!$F$5:$F$504))</f>
        <v/>
      </c>
      <c r="J311" s="8" t="str">
        <f t="shared" si="15"/>
        <v/>
      </c>
      <c r="K311" s="8" t="str">
        <f t="shared" si="16"/>
        <v/>
      </c>
      <c r="L311" s="8" t="str">
        <f t="shared" si="17"/>
        <v/>
      </c>
      <c r="M311" s="8"/>
      <c r="N311" s="8" t="str">
        <f>IF(B311="","",IF(OR(K311="Bajo stock",K311="Sin stock"),COUNTIFS($K$5:$K311,"Bajo stock")+COUNTIFS($K$5:$K311,"Sin stock"),""))</f>
        <v/>
      </c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2:30" s="5" customFormat="1" ht="21.75" customHeight="1" x14ac:dyDescent="0.25">
      <c r="B312" s="8" t="str">
        <f>IF(Productos!B312="","",Productos!B312)</f>
        <v/>
      </c>
      <c r="C312" s="8" t="str">
        <f>IF(Productos!B312="","",Productos!C312)</f>
        <v/>
      </c>
      <c r="D312" s="8" t="str">
        <f>IF(Productos!B312="","",Productos!D312)</f>
        <v/>
      </c>
      <c r="E312" s="8" t="str">
        <f>IF(Productos!B312="","",Productos!E312)</f>
        <v/>
      </c>
      <c r="F312" s="8" t="str">
        <f>IF(Productos!B312="","",Productos!F312)</f>
        <v/>
      </c>
      <c r="G312" s="8" t="str">
        <f>IF(Productos!B312="","",Productos!G312)</f>
        <v/>
      </c>
      <c r="H312" s="8" t="str">
        <f>IF(B312="","",SUMIF('Compras Entradas'!$D$5:$D$504,B312,'Compras Entradas'!$F$5:$F$504))</f>
        <v/>
      </c>
      <c r="I312" s="8" t="str">
        <f>IF(B312="","",SUMIF('Ventas Salidas'!$D$5:$D$504,B312,'Ventas Salidas'!$F$5:$F$504))</f>
        <v/>
      </c>
      <c r="J312" s="8" t="str">
        <f t="shared" si="15"/>
        <v/>
      </c>
      <c r="K312" s="8" t="str">
        <f t="shared" si="16"/>
        <v/>
      </c>
      <c r="L312" s="8" t="str">
        <f t="shared" si="17"/>
        <v/>
      </c>
      <c r="M312" s="8"/>
      <c r="N312" s="8" t="str">
        <f>IF(B312="","",IF(OR(K312="Bajo stock",K312="Sin stock"),COUNTIFS($K$5:$K312,"Bajo stock")+COUNTIFS($K$5:$K312,"Sin stock"),""))</f>
        <v/>
      </c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2:30" s="5" customFormat="1" ht="21.75" customHeight="1" x14ac:dyDescent="0.25">
      <c r="B313" s="8" t="str">
        <f>IF(Productos!B313="","",Productos!B313)</f>
        <v/>
      </c>
      <c r="C313" s="8" t="str">
        <f>IF(Productos!B313="","",Productos!C313)</f>
        <v/>
      </c>
      <c r="D313" s="8" t="str">
        <f>IF(Productos!B313="","",Productos!D313)</f>
        <v/>
      </c>
      <c r="E313" s="8" t="str">
        <f>IF(Productos!B313="","",Productos!E313)</f>
        <v/>
      </c>
      <c r="F313" s="8" t="str">
        <f>IF(Productos!B313="","",Productos!F313)</f>
        <v/>
      </c>
      <c r="G313" s="8" t="str">
        <f>IF(Productos!B313="","",Productos!G313)</f>
        <v/>
      </c>
      <c r="H313" s="8" t="str">
        <f>IF(B313="","",SUMIF('Compras Entradas'!$D$5:$D$504,B313,'Compras Entradas'!$F$5:$F$504))</f>
        <v/>
      </c>
      <c r="I313" s="8" t="str">
        <f>IF(B313="","",SUMIF('Ventas Salidas'!$D$5:$D$504,B313,'Ventas Salidas'!$F$5:$F$504))</f>
        <v/>
      </c>
      <c r="J313" s="8" t="str">
        <f t="shared" si="15"/>
        <v/>
      </c>
      <c r="K313" s="8" t="str">
        <f t="shared" si="16"/>
        <v/>
      </c>
      <c r="L313" s="8" t="str">
        <f t="shared" si="17"/>
        <v/>
      </c>
      <c r="M313" s="8"/>
      <c r="N313" s="8" t="str">
        <f>IF(B313="","",IF(OR(K313="Bajo stock",K313="Sin stock"),COUNTIFS($K$5:$K313,"Bajo stock")+COUNTIFS($K$5:$K313,"Sin stock"),""))</f>
        <v/>
      </c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2:30" s="5" customFormat="1" ht="21.75" customHeight="1" x14ac:dyDescent="0.25">
      <c r="B314" s="8" t="str">
        <f>IF(Productos!B314="","",Productos!B314)</f>
        <v/>
      </c>
      <c r="C314" s="8" t="str">
        <f>IF(Productos!B314="","",Productos!C314)</f>
        <v/>
      </c>
      <c r="D314" s="8" t="str">
        <f>IF(Productos!B314="","",Productos!D314)</f>
        <v/>
      </c>
      <c r="E314" s="8" t="str">
        <f>IF(Productos!B314="","",Productos!E314)</f>
        <v/>
      </c>
      <c r="F314" s="8" t="str">
        <f>IF(Productos!B314="","",Productos!F314)</f>
        <v/>
      </c>
      <c r="G314" s="8" t="str">
        <f>IF(Productos!B314="","",Productos!G314)</f>
        <v/>
      </c>
      <c r="H314" s="8" t="str">
        <f>IF(B314="","",SUMIF('Compras Entradas'!$D$5:$D$504,B314,'Compras Entradas'!$F$5:$F$504))</f>
        <v/>
      </c>
      <c r="I314" s="8" t="str">
        <f>IF(B314="","",SUMIF('Ventas Salidas'!$D$5:$D$504,B314,'Ventas Salidas'!$F$5:$F$504))</f>
        <v/>
      </c>
      <c r="J314" s="8" t="str">
        <f t="shared" si="15"/>
        <v/>
      </c>
      <c r="K314" s="8" t="str">
        <f t="shared" si="16"/>
        <v/>
      </c>
      <c r="L314" s="8" t="str">
        <f t="shared" si="17"/>
        <v/>
      </c>
      <c r="M314" s="8"/>
      <c r="N314" s="8" t="str">
        <f>IF(B314="","",IF(OR(K314="Bajo stock",K314="Sin stock"),COUNTIFS($K$5:$K314,"Bajo stock")+COUNTIFS($K$5:$K314,"Sin stock"),""))</f>
        <v/>
      </c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2:30" s="5" customFormat="1" ht="21.75" customHeight="1" x14ac:dyDescent="0.25">
      <c r="B315" s="8" t="str">
        <f>IF(Productos!B315="","",Productos!B315)</f>
        <v/>
      </c>
      <c r="C315" s="8" t="str">
        <f>IF(Productos!B315="","",Productos!C315)</f>
        <v/>
      </c>
      <c r="D315" s="8" t="str">
        <f>IF(Productos!B315="","",Productos!D315)</f>
        <v/>
      </c>
      <c r="E315" s="8" t="str">
        <f>IF(Productos!B315="","",Productos!E315)</f>
        <v/>
      </c>
      <c r="F315" s="8" t="str">
        <f>IF(Productos!B315="","",Productos!F315)</f>
        <v/>
      </c>
      <c r="G315" s="8" t="str">
        <f>IF(Productos!B315="","",Productos!G315)</f>
        <v/>
      </c>
      <c r="H315" s="8" t="str">
        <f>IF(B315="","",SUMIF('Compras Entradas'!$D$5:$D$504,B315,'Compras Entradas'!$F$5:$F$504))</f>
        <v/>
      </c>
      <c r="I315" s="8" t="str">
        <f>IF(B315="","",SUMIF('Ventas Salidas'!$D$5:$D$504,B315,'Ventas Salidas'!$F$5:$F$504))</f>
        <v/>
      </c>
      <c r="J315" s="8" t="str">
        <f t="shared" si="15"/>
        <v/>
      </c>
      <c r="K315" s="8" t="str">
        <f t="shared" si="16"/>
        <v/>
      </c>
      <c r="L315" s="8" t="str">
        <f t="shared" si="17"/>
        <v/>
      </c>
      <c r="M315" s="8"/>
      <c r="N315" s="8" t="str">
        <f>IF(B315="","",IF(OR(K315="Bajo stock",K315="Sin stock"),COUNTIFS($K$5:$K315,"Bajo stock")+COUNTIFS($K$5:$K315,"Sin stock"),""))</f>
        <v/>
      </c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2:30" s="5" customFormat="1" ht="21.75" customHeight="1" x14ac:dyDescent="0.25">
      <c r="B316" s="8" t="str">
        <f>IF(Productos!B316="","",Productos!B316)</f>
        <v/>
      </c>
      <c r="C316" s="8" t="str">
        <f>IF(Productos!B316="","",Productos!C316)</f>
        <v/>
      </c>
      <c r="D316" s="8" t="str">
        <f>IF(Productos!B316="","",Productos!D316)</f>
        <v/>
      </c>
      <c r="E316" s="8" t="str">
        <f>IF(Productos!B316="","",Productos!E316)</f>
        <v/>
      </c>
      <c r="F316" s="8" t="str">
        <f>IF(Productos!B316="","",Productos!F316)</f>
        <v/>
      </c>
      <c r="G316" s="8" t="str">
        <f>IF(Productos!B316="","",Productos!G316)</f>
        <v/>
      </c>
      <c r="H316" s="8" t="str">
        <f>IF(B316="","",SUMIF('Compras Entradas'!$D$5:$D$504,B316,'Compras Entradas'!$F$5:$F$504))</f>
        <v/>
      </c>
      <c r="I316" s="8" t="str">
        <f>IF(B316="","",SUMIF('Ventas Salidas'!$D$5:$D$504,B316,'Ventas Salidas'!$F$5:$F$504))</f>
        <v/>
      </c>
      <c r="J316" s="8" t="str">
        <f t="shared" si="15"/>
        <v/>
      </c>
      <c r="K316" s="8" t="str">
        <f t="shared" si="16"/>
        <v/>
      </c>
      <c r="L316" s="8" t="str">
        <f t="shared" si="17"/>
        <v/>
      </c>
      <c r="M316" s="8"/>
      <c r="N316" s="8" t="str">
        <f>IF(B316="","",IF(OR(K316="Bajo stock",K316="Sin stock"),COUNTIFS($K$5:$K316,"Bajo stock")+COUNTIFS($K$5:$K316,"Sin stock"),""))</f>
        <v/>
      </c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2:30" s="5" customFormat="1" ht="21.75" customHeight="1" x14ac:dyDescent="0.25">
      <c r="B317" s="8" t="str">
        <f>IF(Productos!B317="","",Productos!B317)</f>
        <v/>
      </c>
      <c r="C317" s="8" t="str">
        <f>IF(Productos!B317="","",Productos!C317)</f>
        <v/>
      </c>
      <c r="D317" s="8" t="str">
        <f>IF(Productos!B317="","",Productos!D317)</f>
        <v/>
      </c>
      <c r="E317" s="8" t="str">
        <f>IF(Productos!B317="","",Productos!E317)</f>
        <v/>
      </c>
      <c r="F317" s="8" t="str">
        <f>IF(Productos!B317="","",Productos!F317)</f>
        <v/>
      </c>
      <c r="G317" s="8" t="str">
        <f>IF(Productos!B317="","",Productos!G317)</f>
        <v/>
      </c>
      <c r="H317" s="8" t="str">
        <f>IF(B317="","",SUMIF('Compras Entradas'!$D$5:$D$504,B317,'Compras Entradas'!$F$5:$F$504))</f>
        <v/>
      </c>
      <c r="I317" s="8" t="str">
        <f>IF(B317="","",SUMIF('Ventas Salidas'!$D$5:$D$504,B317,'Ventas Salidas'!$F$5:$F$504))</f>
        <v/>
      </c>
      <c r="J317" s="8" t="str">
        <f t="shared" si="15"/>
        <v/>
      </c>
      <c r="K317" s="8" t="str">
        <f t="shared" si="16"/>
        <v/>
      </c>
      <c r="L317" s="8" t="str">
        <f t="shared" si="17"/>
        <v/>
      </c>
      <c r="M317" s="8"/>
      <c r="N317" s="8" t="str">
        <f>IF(B317="","",IF(OR(K317="Bajo stock",K317="Sin stock"),COUNTIFS($K$5:$K317,"Bajo stock")+COUNTIFS($K$5:$K317,"Sin stock"),""))</f>
        <v/>
      </c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2:30" s="5" customFormat="1" ht="21.75" customHeight="1" x14ac:dyDescent="0.25">
      <c r="B318" s="8" t="str">
        <f>IF(Productos!B318="","",Productos!B318)</f>
        <v/>
      </c>
      <c r="C318" s="8" t="str">
        <f>IF(Productos!B318="","",Productos!C318)</f>
        <v/>
      </c>
      <c r="D318" s="8" t="str">
        <f>IF(Productos!B318="","",Productos!D318)</f>
        <v/>
      </c>
      <c r="E318" s="8" t="str">
        <f>IF(Productos!B318="","",Productos!E318)</f>
        <v/>
      </c>
      <c r="F318" s="8" t="str">
        <f>IF(Productos!B318="","",Productos!F318)</f>
        <v/>
      </c>
      <c r="G318" s="8" t="str">
        <f>IF(Productos!B318="","",Productos!G318)</f>
        <v/>
      </c>
      <c r="H318" s="8" t="str">
        <f>IF(B318="","",SUMIF('Compras Entradas'!$D$5:$D$504,B318,'Compras Entradas'!$F$5:$F$504))</f>
        <v/>
      </c>
      <c r="I318" s="8" t="str">
        <f>IF(B318="","",SUMIF('Ventas Salidas'!$D$5:$D$504,B318,'Ventas Salidas'!$F$5:$F$504))</f>
        <v/>
      </c>
      <c r="J318" s="8" t="str">
        <f t="shared" si="15"/>
        <v/>
      </c>
      <c r="K318" s="8" t="str">
        <f t="shared" si="16"/>
        <v/>
      </c>
      <c r="L318" s="8" t="str">
        <f t="shared" si="17"/>
        <v/>
      </c>
      <c r="M318" s="8"/>
      <c r="N318" s="8" t="str">
        <f>IF(B318="","",IF(OR(K318="Bajo stock",K318="Sin stock"),COUNTIFS($K$5:$K318,"Bajo stock")+COUNTIFS($K$5:$K318,"Sin stock"),""))</f>
        <v/>
      </c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2:30" s="5" customFormat="1" ht="21.75" customHeight="1" x14ac:dyDescent="0.25">
      <c r="B319" s="8" t="str">
        <f>IF(Productos!B319="","",Productos!B319)</f>
        <v/>
      </c>
      <c r="C319" s="8" t="str">
        <f>IF(Productos!B319="","",Productos!C319)</f>
        <v/>
      </c>
      <c r="D319" s="8" t="str">
        <f>IF(Productos!B319="","",Productos!D319)</f>
        <v/>
      </c>
      <c r="E319" s="8" t="str">
        <f>IF(Productos!B319="","",Productos!E319)</f>
        <v/>
      </c>
      <c r="F319" s="8" t="str">
        <f>IF(Productos!B319="","",Productos!F319)</f>
        <v/>
      </c>
      <c r="G319" s="8" t="str">
        <f>IF(Productos!B319="","",Productos!G319)</f>
        <v/>
      </c>
      <c r="H319" s="8" t="str">
        <f>IF(B319="","",SUMIF('Compras Entradas'!$D$5:$D$504,B319,'Compras Entradas'!$F$5:$F$504))</f>
        <v/>
      </c>
      <c r="I319" s="8" t="str">
        <f>IF(B319="","",SUMIF('Ventas Salidas'!$D$5:$D$504,B319,'Ventas Salidas'!$F$5:$F$504))</f>
        <v/>
      </c>
      <c r="J319" s="8" t="str">
        <f t="shared" si="15"/>
        <v/>
      </c>
      <c r="K319" s="8" t="str">
        <f t="shared" si="16"/>
        <v/>
      </c>
      <c r="L319" s="8" t="str">
        <f t="shared" si="17"/>
        <v/>
      </c>
      <c r="M319" s="8"/>
      <c r="N319" s="8" t="str">
        <f>IF(B319="","",IF(OR(K319="Bajo stock",K319="Sin stock"),COUNTIFS($K$5:$K319,"Bajo stock")+COUNTIFS($K$5:$K319,"Sin stock"),""))</f>
        <v/>
      </c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2:30" s="5" customFormat="1" ht="21.75" customHeight="1" x14ac:dyDescent="0.25">
      <c r="B320" s="8" t="str">
        <f>IF(Productos!B320="","",Productos!B320)</f>
        <v/>
      </c>
      <c r="C320" s="8" t="str">
        <f>IF(Productos!B320="","",Productos!C320)</f>
        <v/>
      </c>
      <c r="D320" s="8" t="str">
        <f>IF(Productos!B320="","",Productos!D320)</f>
        <v/>
      </c>
      <c r="E320" s="8" t="str">
        <f>IF(Productos!B320="","",Productos!E320)</f>
        <v/>
      </c>
      <c r="F320" s="8" t="str">
        <f>IF(Productos!B320="","",Productos!F320)</f>
        <v/>
      </c>
      <c r="G320" s="8" t="str">
        <f>IF(Productos!B320="","",Productos!G320)</f>
        <v/>
      </c>
      <c r="H320" s="8" t="str">
        <f>IF(B320="","",SUMIF('Compras Entradas'!$D$5:$D$504,B320,'Compras Entradas'!$F$5:$F$504))</f>
        <v/>
      </c>
      <c r="I320" s="8" t="str">
        <f>IF(B320="","",SUMIF('Ventas Salidas'!$D$5:$D$504,B320,'Ventas Salidas'!$F$5:$F$504))</f>
        <v/>
      </c>
      <c r="J320" s="8" t="str">
        <f t="shared" si="15"/>
        <v/>
      </c>
      <c r="K320" s="8" t="str">
        <f t="shared" si="16"/>
        <v/>
      </c>
      <c r="L320" s="8" t="str">
        <f t="shared" si="17"/>
        <v/>
      </c>
      <c r="M320" s="8"/>
      <c r="N320" s="8" t="str">
        <f>IF(B320="","",IF(OR(K320="Bajo stock",K320="Sin stock"),COUNTIFS($K$5:$K320,"Bajo stock")+COUNTIFS($K$5:$K320,"Sin stock"),""))</f>
        <v/>
      </c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2:30" s="5" customFormat="1" ht="21.75" customHeight="1" x14ac:dyDescent="0.25">
      <c r="B321" s="8" t="str">
        <f>IF(Productos!B321="","",Productos!B321)</f>
        <v/>
      </c>
      <c r="C321" s="8" t="str">
        <f>IF(Productos!B321="","",Productos!C321)</f>
        <v/>
      </c>
      <c r="D321" s="8" t="str">
        <f>IF(Productos!B321="","",Productos!D321)</f>
        <v/>
      </c>
      <c r="E321" s="8" t="str">
        <f>IF(Productos!B321="","",Productos!E321)</f>
        <v/>
      </c>
      <c r="F321" s="8" t="str">
        <f>IF(Productos!B321="","",Productos!F321)</f>
        <v/>
      </c>
      <c r="G321" s="8" t="str">
        <f>IF(Productos!B321="","",Productos!G321)</f>
        <v/>
      </c>
      <c r="H321" s="8" t="str">
        <f>IF(B321="","",SUMIF('Compras Entradas'!$D$5:$D$504,B321,'Compras Entradas'!$F$5:$F$504))</f>
        <v/>
      </c>
      <c r="I321" s="8" t="str">
        <f>IF(B321="","",SUMIF('Ventas Salidas'!$D$5:$D$504,B321,'Ventas Salidas'!$F$5:$F$504))</f>
        <v/>
      </c>
      <c r="J321" s="8" t="str">
        <f t="shared" si="15"/>
        <v/>
      </c>
      <c r="K321" s="8" t="str">
        <f t="shared" si="16"/>
        <v/>
      </c>
      <c r="L321" s="8" t="str">
        <f t="shared" si="17"/>
        <v/>
      </c>
      <c r="M321" s="8"/>
      <c r="N321" s="8" t="str">
        <f>IF(B321="","",IF(OR(K321="Bajo stock",K321="Sin stock"),COUNTIFS($K$5:$K321,"Bajo stock")+COUNTIFS($K$5:$K321,"Sin stock"),""))</f>
        <v/>
      </c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2:30" s="5" customFormat="1" ht="21.75" customHeight="1" x14ac:dyDescent="0.25">
      <c r="B322" s="8" t="str">
        <f>IF(Productos!B322="","",Productos!B322)</f>
        <v/>
      </c>
      <c r="C322" s="8" t="str">
        <f>IF(Productos!B322="","",Productos!C322)</f>
        <v/>
      </c>
      <c r="D322" s="8" t="str">
        <f>IF(Productos!B322="","",Productos!D322)</f>
        <v/>
      </c>
      <c r="E322" s="8" t="str">
        <f>IF(Productos!B322="","",Productos!E322)</f>
        <v/>
      </c>
      <c r="F322" s="8" t="str">
        <f>IF(Productos!B322="","",Productos!F322)</f>
        <v/>
      </c>
      <c r="G322" s="8" t="str">
        <f>IF(Productos!B322="","",Productos!G322)</f>
        <v/>
      </c>
      <c r="H322" s="8" t="str">
        <f>IF(B322="","",SUMIF('Compras Entradas'!$D$5:$D$504,B322,'Compras Entradas'!$F$5:$F$504))</f>
        <v/>
      </c>
      <c r="I322" s="8" t="str">
        <f>IF(B322="","",SUMIF('Ventas Salidas'!$D$5:$D$504,B322,'Ventas Salidas'!$F$5:$F$504))</f>
        <v/>
      </c>
      <c r="J322" s="8" t="str">
        <f t="shared" si="15"/>
        <v/>
      </c>
      <c r="K322" s="8" t="str">
        <f t="shared" si="16"/>
        <v/>
      </c>
      <c r="L322" s="8" t="str">
        <f t="shared" si="17"/>
        <v/>
      </c>
      <c r="M322" s="8"/>
      <c r="N322" s="8" t="str">
        <f>IF(B322="","",IF(OR(K322="Bajo stock",K322="Sin stock"),COUNTIFS($K$5:$K322,"Bajo stock")+COUNTIFS($K$5:$K322,"Sin stock"),""))</f>
        <v/>
      </c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2:30" s="5" customFormat="1" ht="21.75" customHeight="1" x14ac:dyDescent="0.25">
      <c r="B323" s="8" t="str">
        <f>IF(Productos!B323="","",Productos!B323)</f>
        <v/>
      </c>
      <c r="C323" s="8" t="str">
        <f>IF(Productos!B323="","",Productos!C323)</f>
        <v/>
      </c>
      <c r="D323" s="8" t="str">
        <f>IF(Productos!B323="","",Productos!D323)</f>
        <v/>
      </c>
      <c r="E323" s="8" t="str">
        <f>IF(Productos!B323="","",Productos!E323)</f>
        <v/>
      </c>
      <c r="F323" s="8" t="str">
        <f>IF(Productos!B323="","",Productos!F323)</f>
        <v/>
      </c>
      <c r="G323" s="8" t="str">
        <f>IF(Productos!B323="","",Productos!G323)</f>
        <v/>
      </c>
      <c r="H323" s="8" t="str">
        <f>IF(B323="","",SUMIF('Compras Entradas'!$D$5:$D$504,B323,'Compras Entradas'!$F$5:$F$504))</f>
        <v/>
      </c>
      <c r="I323" s="8" t="str">
        <f>IF(B323="","",SUMIF('Ventas Salidas'!$D$5:$D$504,B323,'Ventas Salidas'!$F$5:$F$504))</f>
        <v/>
      </c>
      <c r="J323" s="8" t="str">
        <f t="shared" si="15"/>
        <v/>
      </c>
      <c r="K323" s="8" t="str">
        <f t="shared" si="16"/>
        <v/>
      </c>
      <c r="L323" s="8" t="str">
        <f t="shared" si="17"/>
        <v/>
      </c>
      <c r="M323" s="8"/>
      <c r="N323" s="8" t="str">
        <f>IF(B323="","",IF(OR(K323="Bajo stock",K323="Sin stock"),COUNTIFS($K$5:$K323,"Bajo stock")+COUNTIFS($K$5:$K323,"Sin stock"),""))</f>
        <v/>
      </c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2:30" s="5" customFormat="1" ht="21.75" customHeight="1" x14ac:dyDescent="0.25">
      <c r="B324" s="8" t="str">
        <f>IF(Productos!B324="","",Productos!B324)</f>
        <v/>
      </c>
      <c r="C324" s="8" t="str">
        <f>IF(Productos!B324="","",Productos!C324)</f>
        <v/>
      </c>
      <c r="D324" s="8" t="str">
        <f>IF(Productos!B324="","",Productos!D324)</f>
        <v/>
      </c>
      <c r="E324" s="8" t="str">
        <f>IF(Productos!B324="","",Productos!E324)</f>
        <v/>
      </c>
      <c r="F324" s="8" t="str">
        <f>IF(Productos!B324="","",Productos!F324)</f>
        <v/>
      </c>
      <c r="G324" s="8" t="str">
        <f>IF(Productos!B324="","",Productos!G324)</f>
        <v/>
      </c>
      <c r="H324" s="8" t="str">
        <f>IF(B324="","",SUMIF('Compras Entradas'!$D$5:$D$504,B324,'Compras Entradas'!$F$5:$F$504))</f>
        <v/>
      </c>
      <c r="I324" s="8" t="str">
        <f>IF(B324="","",SUMIF('Ventas Salidas'!$D$5:$D$504,B324,'Ventas Salidas'!$F$5:$F$504))</f>
        <v/>
      </c>
      <c r="J324" s="8" t="str">
        <f t="shared" si="15"/>
        <v/>
      </c>
      <c r="K324" s="8" t="str">
        <f t="shared" si="16"/>
        <v/>
      </c>
      <c r="L324" s="8" t="str">
        <f t="shared" si="17"/>
        <v/>
      </c>
      <c r="M324" s="8"/>
      <c r="N324" s="8" t="str">
        <f>IF(B324="","",IF(OR(K324="Bajo stock",K324="Sin stock"),COUNTIFS($K$5:$K324,"Bajo stock")+COUNTIFS($K$5:$K324,"Sin stock"),""))</f>
        <v/>
      </c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2:30" s="5" customFormat="1" ht="21.75" customHeight="1" x14ac:dyDescent="0.25">
      <c r="B325" s="8" t="str">
        <f>IF(Productos!B325="","",Productos!B325)</f>
        <v/>
      </c>
      <c r="C325" s="8" t="str">
        <f>IF(Productos!B325="","",Productos!C325)</f>
        <v/>
      </c>
      <c r="D325" s="8" t="str">
        <f>IF(Productos!B325="","",Productos!D325)</f>
        <v/>
      </c>
      <c r="E325" s="8" t="str">
        <f>IF(Productos!B325="","",Productos!E325)</f>
        <v/>
      </c>
      <c r="F325" s="8" t="str">
        <f>IF(Productos!B325="","",Productos!F325)</f>
        <v/>
      </c>
      <c r="G325" s="8" t="str">
        <f>IF(Productos!B325="","",Productos!G325)</f>
        <v/>
      </c>
      <c r="H325" s="8" t="str">
        <f>IF(B325="","",SUMIF('Compras Entradas'!$D$5:$D$504,B325,'Compras Entradas'!$F$5:$F$504))</f>
        <v/>
      </c>
      <c r="I325" s="8" t="str">
        <f>IF(B325="","",SUMIF('Ventas Salidas'!$D$5:$D$504,B325,'Ventas Salidas'!$F$5:$F$504))</f>
        <v/>
      </c>
      <c r="J325" s="8" t="str">
        <f t="shared" ref="J325:J388" si="18">IF(B325="","",G325+H325-I325)</f>
        <v/>
      </c>
      <c r="K325" s="8" t="str">
        <f t="shared" ref="K325:K388" si="19">IF(B325="","",IF(J325&lt;=0,"Sin stock",IF(J325&lt;F325,"Bajo stock","OK")))</f>
        <v/>
      </c>
      <c r="L325" s="8" t="str">
        <f t="shared" ref="L325:L388" si="20">IF(B325="","",IF(J325&lt;=0,"Comprar urgente",IF(J325&lt;F325,"Reponer pronto","Stock suficiente")))</f>
        <v/>
      </c>
      <c r="M325" s="8"/>
      <c r="N325" s="8" t="str">
        <f>IF(B325="","",IF(OR(K325="Bajo stock",K325="Sin stock"),COUNTIFS($K$5:$K325,"Bajo stock")+COUNTIFS($K$5:$K325,"Sin stock"),""))</f>
        <v/>
      </c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2:30" s="5" customFormat="1" ht="21.75" customHeight="1" x14ac:dyDescent="0.25">
      <c r="B326" s="8" t="str">
        <f>IF(Productos!B326="","",Productos!B326)</f>
        <v/>
      </c>
      <c r="C326" s="8" t="str">
        <f>IF(Productos!B326="","",Productos!C326)</f>
        <v/>
      </c>
      <c r="D326" s="8" t="str">
        <f>IF(Productos!B326="","",Productos!D326)</f>
        <v/>
      </c>
      <c r="E326" s="8" t="str">
        <f>IF(Productos!B326="","",Productos!E326)</f>
        <v/>
      </c>
      <c r="F326" s="8" t="str">
        <f>IF(Productos!B326="","",Productos!F326)</f>
        <v/>
      </c>
      <c r="G326" s="8" t="str">
        <f>IF(Productos!B326="","",Productos!G326)</f>
        <v/>
      </c>
      <c r="H326" s="8" t="str">
        <f>IF(B326="","",SUMIF('Compras Entradas'!$D$5:$D$504,B326,'Compras Entradas'!$F$5:$F$504))</f>
        <v/>
      </c>
      <c r="I326" s="8" t="str">
        <f>IF(B326="","",SUMIF('Ventas Salidas'!$D$5:$D$504,B326,'Ventas Salidas'!$F$5:$F$504))</f>
        <v/>
      </c>
      <c r="J326" s="8" t="str">
        <f t="shared" si="18"/>
        <v/>
      </c>
      <c r="K326" s="8" t="str">
        <f t="shared" si="19"/>
        <v/>
      </c>
      <c r="L326" s="8" t="str">
        <f t="shared" si="20"/>
        <v/>
      </c>
      <c r="M326" s="8"/>
      <c r="N326" s="8" t="str">
        <f>IF(B326="","",IF(OR(K326="Bajo stock",K326="Sin stock"),COUNTIFS($K$5:$K326,"Bajo stock")+COUNTIFS($K$5:$K326,"Sin stock"),""))</f>
        <v/>
      </c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2:30" s="5" customFormat="1" ht="21.75" customHeight="1" x14ac:dyDescent="0.25">
      <c r="B327" s="8" t="str">
        <f>IF(Productos!B327="","",Productos!B327)</f>
        <v/>
      </c>
      <c r="C327" s="8" t="str">
        <f>IF(Productos!B327="","",Productos!C327)</f>
        <v/>
      </c>
      <c r="D327" s="8" t="str">
        <f>IF(Productos!B327="","",Productos!D327)</f>
        <v/>
      </c>
      <c r="E327" s="8" t="str">
        <f>IF(Productos!B327="","",Productos!E327)</f>
        <v/>
      </c>
      <c r="F327" s="8" t="str">
        <f>IF(Productos!B327="","",Productos!F327)</f>
        <v/>
      </c>
      <c r="G327" s="8" t="str">
        <f>IF(Productos!B327="","",Productos!G327)</f>
        <v/>
      </c>
      <c r="H327" s="8" t="str">
        <f>IF(B327="","",SUMIF('Compras Entradas'!$D$5:$D$504,B327,'Compras Entradas'!$F$5:$F$504))</f>
        <v/>
      </c>
      <c r="I327" s="8" t="str">
        <f>IF(B327="","",SUMIF('Ventas Salidas'!$D$5:$D$504,B327,'Ventas Salidas'!$F$5:$F$504))</f>
        <v/>
      </c>
      <c r="J327" s="8" t="str">
        <f t="shared" si="18"/>
        <v/>
      </c>
      <c r="K327" s="8" t="str">
        <f t="shared" si="19"/>
        <v/>
      </c>
      <c r="L327" s="8" t="str">
        <f t="shared" si="20"/>
        <v/>
      </c>
      <c r="M327" s="8"/>
      <c r="N327" s="8" t="str">
        <f>IF(B327="","",IF(OR(K327="Bajo stock",K327="Sin stock"),COUNTIFS($K$5:$K327,"Bajo stock")+COUNTIFS($K$5:$K327,"Sin stock"),""))</f>
        <v/>
      </c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2:30" s="5" customFormat="1" ht="21.75" customHeight="1" x14ac:dyDescent="0.25">
      <c r="B328" s="8" t="str">
        <f>IF(Productos!B328="","",Productos!B328)</f>
        <v/>
      </c>
      <c r="C328" s="8" t="str">
        <f>IF(Productos!B328="","",Productos!C328)</f>
        <v/>
      </c>
      <c r="D328" s="8" t="str">
        <f>IF(Productos!B328="","",Productos!D328)</f>
        <v/>
      </c>
      <c r="E328" s="8" t="str">
        <f>IF(Productos!B328="","",Productos!E328)</f>
        <v/>
      </c>
      <c r="F328" s="8" t="str">
        <f>IF(Productos!B328="","",Productos!F328)</f>
        <v/>
      </c>
      <c r="G328" s="8" t="str">
        <f>IF(Productos!B328="","",Productos!G328)</f>
        <v/>
      </c>
      <c r="H328" s="8" t="str">
        <f>IF(B328="","",SUMIF('Compras Entradas'!$D$5:$D$504,B328,'Compras Entradas'!$F$5:$F$504))</f>
        <v/>
      </c>
      <c r="I328" s="8" t="str">
        <f>IF(B328="","",SUMIF('Ventas Salidas'!$D$5:$D$504,B328,'Ventas Salidas'!$F$5:$F$504))</f>
        <v/>
      </c>
      <c r="J328" s="8" t="str">
        <f t="shared" si="18"/>
        <v/>
      </c>
      <c r="K328" s="8" t="str">
        <f t="shared" si="19"/>
        <v/>
      </c>
      <c r="L328" s="8" t="str">
        <f t="shared" si="20"/>
        <v/>
      </c>
      <c r="M328" s="8"/>
      <c r="N328" s="8" t="str">
        <f>IF(B328="","",IF(OR(K328="Bajo stock",K328="Sin stock"),COUNTIFS($K$5:$K328,"Bajo stock")+COUNTIFS($K$5:$K328,"Sin stock"),""))</f>
        <v/>
      </c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2:30" s="5" customFormat="1" ht="21.75" customHeight="1" x14ac:dyDescent="0.25">
      <c r="B329" s="8" t="str">
        <f>IF(Productos!B329="","",Productos!B329)</f>
        <v/>
      </c>
      <c r="C329" s="8" t="str">
        <f>IF(Productos!B329="","",Productos!C329)</f>
        <v/>
      </c>
      <c r="D329" s="8" t="str">
        <f>IF(Productos!B329="","",Productos!D329)</f>
        <v/>
      </c>
      <c r="E329" s="8" t="str">
        <f>IF(Productos!B329="","",Productos!E329)</f>
        <v/>
      </c>
      <c r="F329" s="8" t="str">
        <f>IF(Productos!B329="","",Productos!F329)</f>
        <v/>
      </c>
      <c r="G329" s="8" t="str">
        <f>IF(Productos!B329="","",Productos!G329)</f>
        <v/>
      </c>
      <c r="H329" s="8" t="str">
        <f>IF(B329="","",SUMIF('Compras Entradas'!$D$5:$D$504,B329,'Compras Entradas'!$F$5:$F$504))</f>
        <v/>
      </c>
      <c r="I329" s="8" t="str">
        <f>IF(B329="","",SUMIF('Ventas Salidas'!$D$5:$D$504,B329,'Ventas Salidas'!$F$5:$F$504))</f>
        <v/>
      </c>
      <c r="J329" s="8" t="str">
        <f t="shared" si="18"/>
        <v/>
      </c>
      <c r="K329" s="8" t="str">
        <f t="shared" si="19"/>
        <v/>
      </c>
      <c r="L329" s="8" t="str">
        <f t="shared" si="20"/>
        <v/>
      </c>
      <c r="M329" s="8"/>
      <c r="N329" s="8" t="str">
        <f>IF(B329="","",IF(OR(K329="Bajo stock",K329="Sin stock"),COUNTIFS($K$5:$K329,"Bajo stock")+COUNTIFS($K$5:$K329,"Sin stock"),""))</f>
        <v/>
      </c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2:30" s="5" customFormat="1" ht="21.75" customHeight="1" x14ac:dyDescent="0.25">
      <c r="B330" s="8" t="str">
        <f>IF(Productos!B330="","",Productos!B330)</f>
        <v/>
      </c>
      <c r="C330" s="8" t="str">
        <f>IF(Productos!B330="","",Productos!C330)</f>
        <v/>
      </c>
      <c r="D330" s="8" t="str">
        <f>IF(Productos!B330="","",Productos!D330)</f>
        <v/>
      </c>
      <c r="E330" s="8" t="str">
        <f>IF(Productos!B330="","",Productos!E330)</f>
        <v/>
      </c>
      <c r="F330" s="8" t="str">
        <f>IF(Productos!B330="","",Productos!F330)</f>
        <v/>
      </c>
      <c r="G330" s="8" t="str">
        <f>IF(Productos!B330="","",Productos!G330)</f>
        <v/>
      </c>
      <c r="H330" s="8" t="str">
        <f>IF(B330="","",SUMIF('Compras Entradas'!$D$5:$D$504,B330,'Compras Entradas'!$F$5:$F$504))</f>
        <v/>
      </c>
      <c r="I330" s="8" t="str">
        <f>IF(B330="","",SUMIF('Ventas Salidas'!$D$5:$D$504,B330,'Ventas Salidas'!$F$5:$F$504))</f>
        <v/>
      </c>
      <c r="J330" s="8" t="str">
        <f t="shared" si="18"/>
        <v/>
      </c>
      <c r="K330" s="8" t="str">
        <f t="shared" si="19"/>
        <v/>
      </c>
      <c r="L330" s="8" t="str">
        <f t="shared" si="20"/>
        <v/>
      </c>
      <c r="M330" s="8"/>
      <c r="N330" s="8" t="str">
        <f>IF(B330="","",IF(OR(K330="Bajo stock",K330="Sin stock"),COUNTIFS($K$5:$K330,"Bajo stock")+COUNTIFS($K$5:$K330,"Sin stock"),""))</f>
        <v/>
      </c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2:30" s="5" customFormat="1" ht="21.75" customHeight="1" x14ac:dyDescent="0.25">
      <c r="B331" s="8" t="str">
        <f>IF(Productos!B331="","",Productos!B331)</f>
        <v/>
      </c>
      <c r="C331" s="8" t="str">
        <f>IF(Productos!B331="","",Productos!C331)</f>
        <v/>
      </c>
      <c r="D331" s="8" t="str">
        <f>IF(Productos!B331="","",Productos!D331)</f>
        <v/>
      </c>
      <c r="E331" s="8" t="str">
        <f>IF(Productos!B331="","",Productos!E331)</f>
        <v/>
      </c>
      <c r="F331" s="8" t="str">
        <f>IF(Productos!B331="","",Productos!F331)</f>
        <v/>
      </c>
      <c r="G331" s="8" t="str">
        <f>IF(Productos!B331="","",Productos!G331)</f>
        <v/>
      </c>
      <c r="H331" s="8" t="str">
        <f>IF(B331="","",SUMIF('Compras Entradas'!$D$5:$D$504,B331,'Compras Entradas'!$F$5:$F$504))</f>
        <v/>
      </c>
      <c r="I331" s="8" t="str">
        <f>IF(B331="","",SUMIF('Ventas Salidas'!$D$5:$D$504,B331,'Ventas Salidas'!$F$5:$F$504))</f>
        <v/>
      </c>
      <c r="J331" s="8" t="str">
        <f t="shared" si="18"/>
        <v/>
      </c>
      <c r="K331" s="8" t="str">
        <f t="shared" si="19"/>
        <v/>
      </c>
      <c r="L331" s="8" t="str">
        <f t="shared" si="20"/>
        <v/>
      </c>
      <c r="M331" s="8"/>
      <c r="N331" s="8" t="str">
        <f>IF(B331="","",IF(OR(K331="Bajo stock",K331="Sin stock"),COUNTIFS($K$5:$K331,"Bajo stock")+COUNTIFS($K$5:$K331,"Sin stock"),""))</f>
        <v/>
      </c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2:30" s="5" customFormat="1" ht="21.75" customHeight="1" x14ac:dyDescent="0.25">
      <c r="B332" s="8" t="str">
        <f>IF(Productos!B332="","",Productos!B332)</f>
        <v/>
      </c>
      <c r="C332" s="8" t="str">
        <f>IF(Productos!B332="","",Productos!C332)</f>
        <v/>
      </c>
      <c r="D332" s="8" t="str">
        <f>IF(Productos!B332="","",Productos!D332)</f>
        <v/>
      </c>
      <c r="E332" s="8" t="str">
        <f>IF(Productos!B332="","",Productos!E332)</f>
        <v/>
      </c>
      <c r="F332" s="8" t="str">
        <f>IF(Productos!B332="","",Productos!F332)</f>
        <v/>
      </c>
      <c r="G332" s="8" t="str">
        <f>IF(Productos!B332="","",Productos!G332)</f>
        <v/>
      </c>
      <c r="H332" s="8" t="str">
        <f>IF(B332="","",SUMIF('Compras Entradas'!$D$5:$D$504,B332,'Compras Entradas'!$F$5:$F$504))</f>
        <v/>
      </c>
      <c r="I332" s="8" t="str">
        <f>IF(B332="","",SUMIF('Ventas Salidas'!$D$5:$D$504,B332,'Ventas Salidas'!$F$5:$F$504))</f>
        <v/>
      </c>
      <c r="J332" s="8" t="str">
        <f t="shared" si="18"/>
        <v/>
      </c>
      <c r="K332" s="8" t="str">
        <f t="shared" si="19"/>
        <v/>
      </c>
      <c r="L332" s="8" t="str">
        <f t="shared" si="20"/>
        <v/>
      </c>
      <c r="M332" s="8"/>
      <c r="N332" s="8" t="str">
        <f>IF(B332="","",IF(OR(K332="Bajo stock",K332="Sin stock"),COUNTIFS($K$5:$K332,"Bajo stock")+COUNTIFS($K$5:$K332,"Sin stock"),""))</f>
        <v/>
      </c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2:30" s="5" customFormat="1" ht="21.75" customHeight="1" x14ac:dyDescent="0.25">
      <c r="B333" s="8" t="str">
        <f>IF(Productos!B333="","",Productos!B333)</f>
        <v/>
      </c>
      <c r="C333" s="8" t="str">
        <f>IF(Productos!B333="","",Productos!C333)</f>
        <v/>
      </c>
      <c r="D333" s="8" t="str">
        <f>IF(Productos!B333="","",Productos!D333)</f>
        <v/>
      </c>
      <c r="E333" s="8" t="str">
        <f>IF(Productos!B333="","",Productos!E333)</f>
        <v/>
      </c>
      <c r="F333" s="8" t="str">
        <f>IF(Productos!B333="","",Productos!F333)</f>
        <v/>
      </c>
      <c r="G333" s="8" t="str">
        <f>IF(Productos!B333="","",Productos!G333)</f>
        <v/>
      </c>
      <c r="H333" s="8" t="str">
        <f>IF(B333="","",SUMIF('Compras Entradas'!$D$5:$D$504,B333,'Compras Entradas'!$F$5:$F$504))</f>
        <v/>
      </c>
      <c r="I333" s="8" t="str">
        <f>IF(B333="","",SUMIF('Ventas Salidas'!$D$5:$D$504,B333,'Ventas Salidas'!$F$5:$F$504))</f>
        <v/>
      </c>
      <c r="J333" s="8" t="str">
        <f t="shared" si="18"/>
        <v/>
      </c>
      <c r="K333" s="8" t="str">
        <f t="shared" si="19"/>
        <v/>
      </c>
      <c r="L333" s="8" t="str">
        <f t="shared" si="20"/>
        <v/>
      </c>
      <c r="M333" s="8"/>
      <c r="N333" s="8" t="str">
        <f>IF(B333="","",IF(OR(K333="Bajo stock",K333="Sin stock"),COUNTIFS($K$5:$K333,"Bajo stock")+COUNTIFS($K$5:$K333,"Sin stock"),""))</f>
        <v/>
      </c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2:30" s="5" customFormat="1" ht="21.75" customHeight="1" x14ac:dyDescent="0.25">
      <c r="B334" s="8" t="str">
        <f>IF(Productos!B334="","",Productos!B334)</f>
        <v/>
      </c>
      <c r="C334" s="8" t="str">
        <f>IF(Productos!B334="","",Productos!C334)</f>
        <v/>
      </c>
      <c r="D334" s="8" t="str">
        <f>IF(Productos!B334="","",Productos!D334)</f>
        <v/>
      </c>
      <c r="E334" s="8" t="str">
        <f>IF(Productos!B334="","",Productos!E334)</f>
        <v/>
      </c>
      <c r="F334" s="8" t="str">
        <f>IF(Productos!B334="","",Productos!F334)</f>
        <v/>
      </c>
      <c r="G334" s="8" t="str">
        <f>IF(Productos!B334="","",Productos!G334)</f>
        <v/>
      </c>
      <c r="H334" s="8" t="str">
        <f>IF(B334="","",SUMIF('Compras Entradas'!$D$5:$D$504,B334,'Compras Entradas'!$F$5:$F$504))</f>
        <v/>
      </c>
      <c r="I334" s="8" t="str">
        <f>IF(B334="","",SUMIF('Ventas Salidas'!$D$5:$D$504,B334,'Ventas Salidas'!$F$5:$F$504))</f>
        <v/>
      </c>
      <c r="J334" s="8" t="str">
        <f t="shared" si="18"/>
        <v/>
      </c>
      <c r="K334" s="8" t="str">
        <f t="shared" si="19"/>
        <v/>
      </c>
      <c r="L334" s="8" t="str">
        <f t="shared" si="20"/>
        <v/>
      </c>
      <c r="M334" s="8"/>
      <c r="N334" s="8" t="str">
        <f>IF(B334="","",IF(OR(K334="Bajo stock",K334="Sin stock"),COUNTIFS($K$5:$K334,"Bajo stock")+COUNTIFS($K$5:$K334,"Sin stock"),""))</f>
        <v/>
      </c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2:30" s="5" customFormat="1" ht="21.75" customHeight="1" x14ac:dyDescent="0.25">
      <c r="B335" s="8" t="str">
        <f>IF(Productos!B335="","",Productos!B335)</f>
        <v/>
      </c>
      <c r="C335" s="8" t="str">
        <f>IF(Productos!B335="","",Productos!C335)</f>
        <v/>
      </c>
      <c r="D335" s="8" t="str">
        <f>IF(Productos!B335="","",Productos!D335)</f>
        <v/>
      </c>
      <c r="E335" s="8" t="str">
        <f>IF(Productos!B335="","",Productos!E335)</f>
        <v/>
      </c>
      <c r="F335" s="8" t="str">
        <f>IF(Productos!B335="","",Productos!F335)</f>
        <v/>
      </c>
      <c r="G335" s="8" t="str">
        <f>IF(Productos!B335="","",Productos!G335)</f>
        <v/>
      </c>
      <c r="H335" s="8" t="str">
        <f>IF(B335="","",SUMIF('Compras Entradas'!$D$5:$D$504,B335,'Compras Entradas'!$F$5:$F$504))</f>
        <v/>
      </c>
      <c r="I335" s="8" t="str">
        <f>IF(B335="","",SUMIF('Ventas Salidas'!$D$5:$D$504,B335,'Ventas Salidas'!$F$5:$F$504))</f>
        <v/>
      </c>
      <c r="J335" s="8" t="str">
        <f t="shared" si="18"/>
        <v/>
      </c>
      <c r="K335" s="8" t="str">
        <f t="shared" si="19"/>
        <v/>
      </c>
      <c r="L335" s="8" t="str">
        <f t="shared" si="20"/>
        <v/>
      </c>
      <c r="M335" s="8"/>
      <c r="N335" s="8" t="str">
        <f>IF(B335="","",IF(OR(K335="Bajo stock",K335="Sin stock"),COUNTIFS($K$5:$K335,"Bajo stock")+COUNTIFS($K$5:$K335,"Sin stock"),""))</f>
        <v/>
      </c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2:30" s="5" customFormat="1" ht="21.75" customHeight="1" x14ac:dyDescent="0.25">
      <c r="B336" s="8" t="str">
        <f>IF(Productos!B336="","",Productos!B336)</f>
        <v/>
      </c>
      <c r="C336" s="8" t="str">
        <f>IF(Productos!B336="","",Productos!C336)</f>
        <v/>
      </c>
      <c r="D336" s="8" t="str">
        <f>IF(Productos!B336="","",Productos!D336)</f>
        <v/>
      </c>
      <c r="E336" s="8" t="str">
        <f>IF(Productos!B336="","",Productos!E336)</f>
        <v/>
      </c>
      <c r="F336" s="8" t="str">
        <f>IF(Productos!B336="","",Productos!F336)</f>
        <v/>
      </c>
      <c r="G336" s="8" t="str">
        <f>IF(Productos!B336="","",Productos!G336)</f>
        <v/>
      </c>
      <c r="H336" s="8" t="str">
        <f>IF(B336="","",SUMIF('Compras Entradas'!$D$5:$D$504,B336,'Compras Entradas'!$F$5:$F$504))</f>
        <v/>
      </c>
      <c r="I336" s="8" t="str">
        <f>IF(B336="","",SUMIF('Ventas Salidas'!$D$5:$D$504,B336,'Ventas Salidas'!$F$5:$F$504))</f>
        <v/>
      </c>
      <c r="J336" s="8" t="str">
        <f t="shared" si="18"/>
        <v/>
      </c>
      <c r="K336" s="8" t="str">
        <f t="shared" si="19"/>
        <v/>
      </c>
      <c r="L336" s="8" t="str">
        <f t="shared" si="20"/>
        <v/>
      </c>
      <c r="M336" s="8"/>
      <c r="N336" s="8" t="str">
        <f>IF(B336="","",IF(OR(K336="Bajo stock",K336="Sin stock"),COUNTIFS($K$5:$K336,"Bajo stock")+COUNTIFS($K$5:$K336,"Sin stock"),""))</f>
        <v/>
      </c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2:30" s="5" customFormat="1" ht="21.75" customHeight="1" x14ac:dyDescent="0.25">
      <c r="B337" s="8" t="str">
        <f>IF(Productos!B337="","",Productos!B337)</f>
        <v/>
      </c>
      <c r="C337" s="8" t="str">
        <f>IF(Productos!B337="","",Productos!C337)</f>
        <v/>
      </c>
      <c r="D337" s="8" t="str">
        <f>IF(Productos!B337="","",Productos!D337)</f>
        <v/>
      </c>
      <c r="E337" s="8" t="str">
        <f>IF(Productos!B337="","",Productos!E337)</f>
        <v/>
      </c>
      <c r="F337" s="8" t="str">
        <f>IF(Productos!B337="","",Productos!F337)</f>
        <v/>
      </c>
      <c r="G337" s="8" t="str">
        <f>IF(Productos!B337="","",Productos!G337)</f>
        <v/>
      </c>
      <c r="H337" s="8" t="str">
        <f>IF(B337="","",SUMIF('Compras Entradas'!$D$5:$D$504,B337,'Compras Entradas'!$F$5:$F$504))</f>
        <v/>
      </c>
      <c r="I337" s="8" t="str">
        <f>IF(B337="","",SUMIF('Ventas Salidas'!$D$5:$D$504,B337,'Ventas Salidas'!$F$5:$F$504))</f>
        <v/>
      </c>
      <c r="J337" s="8" t="str">
        <f t="shared" si="18"/>
        <v/>
      </c>
      <c r="K337" s="8" t="str">
        <f t="shared" si="19"/>
        <v/>
      </c>
      <c r="L337" s="8" t="str">
        <f t="shared" si="20"/>
        <v/>
      </c>
      <c r="M337" s="8"/>
      <c r="N337" s="8" t="str">
        <f>IF(B337="","",IF(OR(K337="Bajo stock",K337="Sin stock"),COUNTIFS($K$5:$K337,"Bajo stock")+COUNTIFS($K$5:$K337,"Sin stock"),""))</f>
        <v/>
      </c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2:30" s="5" customFormat="1" ht="21.75" customHeight="1" x14ac:dyDescent="0.25">
      <c r="B338" s="8" t="str">
        <f>IF(Productos!B338="","",Productos!B338)</f>
        <v/>
      </c>
      <c r="C338" s="8" t="str">
        <f>IF(Productos!B338="","",Productos!C338)</f>
        <v/>
      </c>
      <c r="D338" s="8" t="str">
        <f>IF(Productos!B338="","",Productos!D338)</f>
        <v/>
      </c>
      <c r="E338" s="8" t="str">
        <f>IF(Productos!B338="","",Productos!E338)</f>
        <v/>
      </c>
      <c r="F338" s="8" t="str">
        <f>IF(Productos!B338="","",Productos!F338)</f>
        <v/>
      </c>
      <c r="G338" s="8" t="str">
        <f>IF(Productos!B338="","",Productos!G338)</f>
        <v/>
      </c>
      <c r="H338" s="8" t="str">
        <f>IF(B338="","",SUMIF('Compras Entradas'!$D$5:$D$504,B338,'Compras Entradas'!$F$5:$F$504))</f>
        <v/>
      </c>
      <c r="I338" s="8" t="str">
        <f>IF(B338="","",SUMIF('Ventas Salidas'!$D$5:$D$504,B338,'Ventas Salidas'!$F$5:$F$504))</f>
        <v/>
      </c>
      <c r="J338" s="8" t="str">
        <f t="shared" si="18"/>
        <v/>
      </c>
      <c r="K338" s="8" t="str">
        <f t="shared" si="19"/>
        <v/>
      </c>
      <c r="L338" s="8" t="str">
        <f t="shared" si="20"/>
        <v/>
      </c>
      <c r="M338" s="8"/>
      <c r="N338" s="8" t="str">
        <f>IF(B338="","",IF(OR(K338="Bajo stock",K338="Sin stock"),COUNTIFS($K$5:$K338,"Bajo stock")+COUNTIFS($K$5:$K338,"Sin stock"),""))</f>
        <v/>
      </c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2:30" s="5" customFormat="1" ht="21.75" customHeight="1" x14ac:dyDescent="0.25">
      <c r="B339" s="8" t="str">
        <f>IF(Productos!B339="","",Productos!B339)</f>
        <v/>
      </c>
      <c r="C339" s="8" t="str">
        <f>IF(Productos!B339="","",Productos!C339)</f>
        <v/>
      </c>
      <c r="D339" s="8" t="str">
        <f>IF(Productos!B339="","",Productos!D339)</f>
        <v/>
      </c>
      <c r="E339" s="8" t="str">
        <f>IF(Productos!B339="","",Productos!E339)</f>
        <v/>
      </c>
      <c r="F339" s="8" t="str">
        <f>IF(Productos!B339="","",Productos!F339)</f>
        <v/>
      </c>
      <c r="G339" s="8" t="str">
        <f>IF(Productos!B339="","",Productos!G339)</f>
        <v/>
      </c>
      <c r="H339" s="8" t="str">
        <f>IF(B339="","",SUMIF('Compras Entradas'!$D$5:$D$504,B339,'Compras Entradas'!$F$5:$F$504))</f>
        <v/>
      </c>
      <c r="I339" s="8" t="str">
        <f>IF(B339="","",SUMIF('Ventas Salidas'!$D$5:$D$504,B339,'Ventas Salidas'!$F$5:$F$504))</f>
        <v/>
      </c>
      <c r="J339" s="8" t="str">
        <f t="shared" si="18"/>
        <v/>
      </c>
      <c r="K339" s="8" t="str">
        <f t="shared" si="19"/>
        <v/>
      </c>
      <c r="L339" s="8" t="str">
        <f t="shared" si="20"/>
        <v/>
      </c>
      <c r="M339" s="8"/>
      <c r="N339" s="8" t="str">
        <f>IF(B339="","",IF(OR(K339="Bajo stock",K339="Sin stock"),COUNTIFS($K$5:$K339,"Bajo stock")+COUNTIFS($K$5:$K339,"Sin stock"),""))</f>
        <v/>
      </c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2:30" s="5" customFormat="1" ht="21.75" customHeight="1" x14ac:dyDescent="0.25">
      <c r="B340" s="8" t="str">
        <f>IF(Productos!B340="","",Productos!B340)</f>
        <v/>
      </c>
      <c r="C340" s="8" t="str">
        <f>IF(Productos!B340="","",Productos!C340)</f>
        <v/>
      </c>
      <c r="D340" s="8" t="str">
        <f>IF(Productos!B340="","",Productos!D340)</f>
        <v/>
      </c>
      <c r="E340" s="8" t="str">
        <f>IF(Productos!B340="","",Productos!E340)</f>
        <v/>
      </c>
      <c r="F340" s="8" t="str">
        <f>IF(Productos!B340="","",Productos!F340)</f>
        <v/>
      </c>
      <c r="G340" s="8" t="str">
        <f>IF(Productos!B340="","",Productos!G340)</f>
        <v/>
      </c>
      <c r="H340" s="8" t="str">
        <f>IF(B340="","",SUMIF('Compras Entradas'!$D$5:$D$504,B340,'Compras Entradas'!$F$5:$F$504))</f>
        <v/>
      </c>
      <c r="I340" s="8" t="str">
        <f>IF(B340="","",SUMIF('Ventas Salidas'!$D$5:$D$504,B340,'Ventas Salidas'!$F$5:$F$504))</f>
        <v/>
      </c>
      <c r="J340" s="8" t="str">
        <f t="shared" si="18"/>
        <v/>
      </c>
      <c r="K340" s="8" t="str">
        <f t="shared" si="19"/>
        <v/>
      </c>
      <c r="L340" s="8" t="str">
        <f t="shared" si="20"/>
        <v/>
      </c>
      <c r="M340" s="8"/>
      <c r="N340" s="8" t="str">
        <f>IF(B340="","",IF(OR(K340="Bajo stock",K340="Sin stock"),COUNTIFS($K$5:$K340,"Bajo stock")+COUNTIFS($K$5:$K340,"Sin stock"),""))</f>
        <v/>
      </c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2:30" s="5" customFormat="1" ht="21.75" customHeight="1" x14ac:dyDescent="0.25">
      <c r="B341" s="8" t="str">
        <f>IF(Productos!B341="","",Productos!B341)</f>
        <v/>
      </c>
      <c r="C341" s="8" t="str">
        <f>IF(Productos!B341="","",Productos!C341)</f>
        <v/>
      </c>
      <c r="D341" s="8" t="str">
        <f>IF(Productos!B341="","",Productos!D341)</f>
        <v/>
      </c>
      <c r="E341" s="8" t="str">
        <f>IF(Productos!B341="","",Productos!E341)</f>
        <v/>
      </c>
      <c r="F341" s="8" t="str">
        <f>IF(Productos!B341="","",Productos!F341)</f>
        <v/>
      </c>
      <c r="G341" s="8" t="str">
        <f>IF(Productos!B341="","",Productos!G341)</f>
        <v/>
      </c>
      <c r="H341" s="8" t="str">
        <f>IF(B341="","",SUMIF('Compras Entradas'!$D$5:$D$504,B341,'Compras Entradas'!$F$5:$F$504))</f>
        <v/>
      </c>
      <c r="I341" s="8" t="str">
        <f>IF(B341="","",SUMIF('Ventas Salidas'!$D$5:$D$504,B341,'Ventas Salidas'!$F$5:$F$504))</f>
        <v/>
      </c>
      <c r="J341" s="8" t="str">
        <f t="shared" si="18"/>
        <v/>
      </c>
      <c r="K341" s="8" t="str">
        <f t="shared" si="19"/>
        <v/>
      </c>
      <c r="L341" s="8" t="str">
        <f t="shared" si="20"/>
        <v/>
      </c>
      <c r="M341" s="8"/>
      <c r="N341" s="8" t="str">
        <f>IF(B341="","",IF(OR(K341="Bajo stock",K341="Sin stock"),COUNTIFS($K$5:$K341,"Bajo stock")+COUNTIFS($K$5:$K341,"Sin stock"),""))</f>
        <v/>
      </c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2:30" s="5" customFormat="1" ht="21.75" customHeight="1" x14ac:dyDescent="0.25">
      <c r="B342" s="8" t="str">
        <f>IF(Productos!B342="","",Productos!B342)</f>
        <v/>
      </c>
      <c r="C342" s="8" t="str">
        <f>IF(Productos!B342="","",Productos!C342)</f>
        <v/>
      </c>
      <c r="D342" s="8" t="str">
        <f>IF(Productos!B342="","",Productos!D342)</f>
        <v/>
      </c>
      <c r="E342" s="8" t="str">
        <f>IF(Productos!B342="","",Productos!E342)</f>
        <v/>
      </c>
      <c r="F342" s="8" t="str">
        <f>IF(Productos!B342="","",Productos!F342)</f>
        <v/>
      </c>
      <c r="G342" s="8" t="str">
        <f>IF(Productos!B342="","",Productos!G342)</f>
        <v/>
      </c>
      <c r="H342" s="8" t="str">
        <f>IF(B342="","",SUMIF('Compras Entradas'!$D$5:$D$504,B342,'Compras Entradas'!$F$5:$F$504))</f>
        <v/>
      </c>
      <c r="I342" s="8" t="str">
        <f>IF(B342="","",SUMIF('Ventas Salidas'!$D$5:$D$504,B342,'Ventas Salidas'!$F$5:$F$504))</f>
        <v/>
      </c>
      <c r="J342" s="8" t="str">
        <f t="shared" si="18"/>
        <v/>
      </c>
      <c r="K342" s="8" t="str">
        <f t="shared" si="19"/>
        <v/>
      </c>
      <c r="L342" s="8" t="str">
        <f t="shared" si="20"/>
        <v/>
      </c>
      <c r="M342" s="8"/>
      <c r="N342" s="8" t="str">
        <f>IF(B342="","",IF(OR(K342="Bajo stock",K342="Sin stock"),COUNTIFS($K$5:$K342,"Bajo stock")+COUNTIFS($K$5:$K342,"Sin stock"),""))</f>
        <v/>
      </c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2:30" s="5" customFormat="1" ht="21.75" customHeight="1" x14ac:dyDescent="0.25">
      <c r="B343" s="8" t="str">
        <f>IF(Productos!B343="","",Productos!B343)</f>
        <v/>
      </c>
      <c r="C343" s="8" t="str">
        <f>IF(Productos!B343="","",Productos!C343)</f>
        <v/>
      </c>
      <c r="D343" s="8" t="str">
        <f>IF(Productos!B343="","",Productos!D343)</f>
        <v/>
      </c>
      <c r="E343" s="8" t="str">
        <f>IF(Productos!B343="","",Productos!E343)</f>
        <v/>
      </c>
      <c r="F343" s="8" t="str">
        <f>IF(Productos!B343="","",Productos!F343)</f>
        <v/>
      </c>
      <c r="G343" s="8" t="str">
        <f>IF(Productos!B343="","",Productos!G343)</f>
        <v/>
      </c>
      <c r="H343" s="8" t="str">
        <f>IF(B343="","",SUMIF('Compras Entradas'!$D$5:$D$504,B343,'Compras Entradas'!$F$5:$F$504))</f>
        <v/>
      </c>
      <c r="I343" s="8" t="str">
        <f>IF(B343="","",SUMIF('Ventas Salidas'!$D$5:$D$504,B343,'Ventas Salidas'!$F$5:$F$504))</f>
        <v/>
      </c>
      <c r="J343" s="8" t="str">
        <f t="shared" si="18"/>
        <v/>
      </c>
      <c r="K343" s="8" t="str">
        <f t="shared" si="19"/>
        <v/>
      </c>
      <c r="L343" s="8" t="str">
        <f t="shared" si="20"/>
        <v/>
      </c>
      <c r="M343" s="8"/>
      <c r="N343" s="8" t="str">
        <f>IF(B343="","",IF(OR(K343="Bajo stock",K343="Sin stock"),COUNTIFS($K$5:$K343,"Bajo stock")+COUNTIFS($K$5:$K343,"Sin stock"),""))</f>
        <v/>
      </c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2:30" s="5" customFormat="1" ht="21.75" customHeight="1" x14ac:dyDescent="0.25">
      <c r="B344" s="8" t="str">
        <f>IF(Productos!B344="","",Productos!B344)</f>
        <v/>
      </c>
      <c r="C344" s="8" t="str">
        <f>IF(Productos!B344="","",Productos!C344)</f>
        <v/>
      </c>
      <c r="D344" s="8" t="str">
        <f>IF(Productos!B344="","",Productos!D344)</f>
        <v/>
      </c>
      <c r="E344" s="8" t="str">
        <f>IF(Productos!B344="","",Productos!E344)</f>
        <v/>
      </c>
      <c r="F344" s="8" t="str">
        <f>IF(Productos!B344="","",Productos!F344)</f>
        <v/>
      </c>
      <c r="G344" s="8" t="str">
        <f>IF(Productos!B344="","",Productos!G344)</f>
        <v/>
      </c>
      <c r="H344" s="8" t="str">
        <f>IF(B344="","",SUMIF('Compras Entradas'!$D$5:$D$504,B344,'Compras Entradas'!$F$5:$F$504))</f>
        <v/>
      </c>
      <c r="I344" s="8" t="str">
        <f>IF(B344="","",SUMIF('Ventas Salidas'!$D$5:$D$504,B344,'Ventas Salidas'!$F$5:$F$504))</f>
        <v/>
      </c>
      <c r="J344" s="8" t="str">
        <f t="shared" si="18"/>
        <v/>
      </c>
      <c r="K344" s="8" t="str">
        <f t="shared" si="19"/>
        <v/>
      </c>
      <c r="L344" s="8" t="str">
        <f t="shared" si="20"/>
        <v/>
      </c>
      <c r="M344" s="8"/>
      <c r="N344" s="8" t="str">
        <f>IF(B344="","",IF(OR(K344="Bajo stock",K344="Sin stock"),COUNTIFS($K$5:$K344,"Bajo stock")+COUNTIFS($K$5:$K344,"Sin stock"),""))</f>
        <v/>
      </c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2:30" s="5" customFormat="1" ht="21.75" customHeight="1" x14ac:dyDescent="0.25">
      <c r="B345" s="8" t="str">
        <f>IF(Productos!B345="","",Productos!B345)</f>
        <v/>
      </c>
      <c r="C345" s="8" t="str">
        <f>IF(Productos!B345="","",Productos!C345)</f>
        <v/>
      </c>
      <c r="D345" s="8" t="str">
        <f>IF(Productos!B345="","",Productos!D345)</f>
        <v/>
      </c>
      <c r="E345" s="8" t="str">
        <f>IF(Productos!B345="","",Productos!E345)</f>
        <v/>
      </c>
      <c r="F345" s="8" t="str">
        <f>IF(Productos!B345="","",Productos!F345)</f>
        <v/>
      </c>
      <c r="G345" s="8" t="str">
        <f>IF(Productos!B345="","",Productos!G345)</f>
        <v/>
      </c>
      <c r="H345" s="8" t="str">
        <f>IF(B345="","",SUMIF('Compras Entradas'!$D$5:$D$504,B345,'Compras Entradas'!$F$5:$F$504))</f>
        <v/>
      </c>
      <c r="I345" s="8" t="str">
        <f>IF(B345="","",SUMIF('Ventas Salidas'!$D$5:$D$504,B345,'Ventas Salidas'!$F$5:$F$504))</f>
        <v/>
      </c>
      <c r="J345" s="8" t="str">
        <f t="shared" si="18"/>
        <v/>
      </c>
      <c r="K345" s="8" t="str">
        <f t="shared" si="19"/>
        <v/>
      </c>
      <c r="L345" s="8" t="str">
        <f t="shared" si="20"/>
        <v/>
      </c>
      <c r="M345" s="8"/>
      <c r="N345" s="8" t="str">
        <f>IF(B345="","",IF(OR(K345="Bajo stock",K345="Sin stock"),COUNTIFS($K$5:$K345,"Bajo stock")+COUNTIFS($K$5:$K345,"Sin stock"),""))</f>
        <v/>
      </c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2:30" s="5" customFormat="1" ht="21.75" customHeight="1" x14ac:dyDescent="0.25">
      <c r="B346" s="8" t="str">
        <f>IF(Productos!B346="","",Productos!B346)</f>
        <v/>
      </c>
      <c r="C346" s="8" t="str">
        <f>IF(Productos!B346="","",Productos!C346)</f>
        <v/>
      </c>
      <c r="D346" s="8" t="str">
        <f>IF(Productos!B346="","",Productos!D346)</f>
        <v/>
      </c>
      <c r="E346" s="8" t="str">
        <f>IF(Productos!B346="","",Productos!E346)</f>
        <v/>
      </c>
      <c r="F346" s="8" t="str">
        <f>IF(Productos!B346="","",Productos!F346)</f>
        <v/>
      </c>
      <c r="G346" s="8" t="str">
        <f>IF(Productos!B346="","",Productos!G346)</f>
        <v/>
      </c>
      <c r="H346" s="8" t="str">
        <f>IF(B346="","",SUMIF('Compras Entradas'!$D$5:$D$504,B346,'Compras Entradas'!$F$5:$F$504))</f>
        <v/>
      </c>
      <c r="I346" s="8" t="str">
        <f>IF(B346="","",SUMIF('Ventas Salidas'!$D$5:$D$504,B346,'Ventas Salidas'!$F$5:$F$504))</f>
        <v/>
      </c>
      <c r="J346" s="8" t="str">
        <f t="shared" si="18"/>
        <v/>
      </c>
      <c r="K346" s="8" t="str">
        <f t="shared" si="19"/>
        <v/>
      </c>
      <c r="L346" s="8" t="str">
        <f t="shared" si="20"/>
        <v/>
      </c>
      <c r="M346" s="8"/>
      <c r="N346" s="8" t="str">
        <f>IF(B346="","",IF(OR(K346="Bajo stock",K346="Sin stock"),COUNTIFS($K$5:$K346,"Bajo stock")+COUNTIFS($K$5:$K346,"Sin stock"),""))</f>
        <v/>
      </c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2:30" s="5" customFormat="1" ht="21.75" customHeight="1" x14ac:dyDescent="0.25">
      <c r="B347" s="8" t="str">
        <f>IF(Productos!B347="","",Productos!B347)</f>
        <v/>
      </c>
      <c r="C347" s="8" t="str">
        <f>IF(Productos!B347="","",Productos!C347)</f>
        <v/>
      </c>
      <c r="D347" s="8" t="str">
        <f>IF(Productos!B347="","",Productos!D347)</f>
        <v/>
      </c>
      <c r="E347" s="8" t="str">
        <f>IF(Productos!B347="","",Productos!E347)</f>
        <v/>
      </c>
      <c r="F347" s="8" t="str">
        <f>IF(Productos!B347="","",Productos!F347)</f>
        <v/>
      </c>
      <c r="G347" s="8" t="str">
        <f>IF(Productos!B347="","",Productos!G347)</f>
        <v/>
      </c>
      <c r="H347" s="8" t="str">
        <f>IF(B347="","",SUMIF('Compras Entradas'!$D$5:$D$504,B347,'Compras Entradas'!$F$5:$F$504))</f>
        <v/>
      </c>
      <c r="I347" s="8" t="str">
        <f>IF(B347="","",SUMIF('Ventas Salidas'!$D$5:$D$504,B347,'Ventas Salidas'!$F$5:$F$504))</f>
        <v/>
      </c>
      <c r="J347" s="8" t="str">
        <f t="shared" si="18"/>
        <v/>
      </c>
      <c r="K347" s="8" t="str">
        <f t="shared" si="19"/>
        <v/>
      </c>
      <c r="L347" s="8" t="str">
        <f t="shared" si="20"/>
        <v/>
      </c>
      <c r="M347" s="8"/>
      <c r="N347" s="8" t="str">
        <f>IF(B347="","",IF(OR(K347="Bajo stock",K347="Sin stock"),COUNTIFS($K$5:$K347,"Bajo stock")+COUNTIFS($K$5:$K347,"Sin stock"),""))</f>
        <v/>
      </c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2:30" s="5" customFormat="1" ht="21.75" customHeight="1" x14ac:dyDescent="0.25">
      <c r="B348" s="8" t="str">
        <f>IF(Productos!B348="","",Productos!B348)</f>
        <v/>
      </c>
      <c r="C348" s="8" t="str">
        <f>IF(Productos!B348="","",Productos!C348)</f>
        <v/>
      </c>
      <c r="D348" s="8" t="str">
        <f>IF(Productos!B348="","",Productos!D348)</f>
        <v/>
      </c>
      <c r="E348" s="8" t="str">
        <f>IF(Productos!B348="","",Productos!E348)</f>
        <v/>
      </c>
      <c r="F348" s="8" t="str">
        <f>IF(Productos!B348="","",Productos!F348)</f>
        <v/>
      </c>
      <c r="G348" s="8" t="str">
        <f>IF(Productos!B348="","",Productos!G348)</f>
        <v/>
      </c>
      <c r="H348" s="8" t="str">
        <f>IF(B348="","",SUMIF('Compras Entradas'!$D$5:$D$504,B348,'Compras Entradas'!$F$5:$F$504))</f>
        <v/>
      </c>
      <c r="I348" s="8" t="str">
        <f>IF(B348="","",SUMIF('Ventas Salidas'!$D$5:$D$504,B348,'Ventas Salidas'!$F$5:$F$504))</f>
        <v/>
      </c>
      <c r="J348" s="8" t="str">
        <f t="shared" si="18"/>
        <v/>
      </c>
      <c r="K348" s="8" t="str">
        <f t="shared" si="19"/>
        <v/>
      </c>
      <c r="L348" s="8" t="str">
        <f t="shared" si="20"/>
        <v/>
      </c>
      <c r="M348" s="8"/>
      <c r="N348" s="8" t="str">
        <f>IF(B348="","",IF(OR(K348="Bajo stock",K348="Sin stock"),COUNTIFS($K$5:$K348,"Bajo stock")+COUNTIFS($K$5:$K348,"Sin stock"),""))</f>
        <v/>
      </c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2:30" s="5" customFormat="1" ht="21.75" customHeight="1" x14ac:dyDescent="0.25">
      <c r="B349" s="8" t="str">
        <f>IF(Productos!B349="","",Productos!B349)</f>
        <v/>
      </c>
      <c r="C349" s="8" t="str">
        <f>IF(Productos!B349="","",Productos!C349)</f>
        <v/>
      </c>
      <c r="D349" s="8" t="str">
        <f>IF(Productos!B349="","",Productos!D349)</f>
        <v/>
      </c>
      <c r="E349" s="8" t="str">
        <f>IF(Productos!B349="","",Productos!E349)</f>
        <v/>
      </c>
      <c r="F349" s="8" t="str">
        <f>IF(Productos!B349="","",Productos!F349)</f>
        <v/>
      </c>
      <c r="G349" s="8" t="str">
        <f>IF(Productos!B349="","",Productos!G349)</f>
        <v/>
      </c>
      <c r="H349" s="8" t="str">
        <f>IF(B349="","",SUMIF('Compras Entradas'!$D$5:$D$504,B349,'Compras Entradas'!$F$5:$F$504))</f>
        <v/>
      </c>
      <c r="I349" s="8" t="str">
        <f>IF(B349="","",SUMIF('Ventas Salidas'!$D$5:$D$504,B349,'Ventas Salidas'!$F$5:$F$504))</f>
        <v/>
      </c>
      <c r="J349" s="8" t="str">
        <f t="shared" si="18"/>
        <v/>
      </c>
      <c r="K349" s="8" t="str">
        <f t="shared" si="19"/>
        <v/>
      </c>
      <c r="L349" s="8" t="str">
        <f t="shared" si="20"/>
        <v/>
      </c>
      <c r="M349" s="8"/>
      <c r="N349" s="8" t="str">
        <f>IF(B349="","",IF(OR(K349="Bajo stock",K349="Sin stock"),COUNTIFS($K$5:$K349,"Bajo stock")+COUNTIFS($K$5:$K349,"Sin stock"),""))</f>
        <v/>
      </c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2:30" s="5" customFormat="1" ht="21.75" customHeight="1" x14ac:dyDescent="0.25">
      <c r="B350" s="8" t="str">
        <f>IF(Productos!B350="","",Productos!B350)</f>
        <v/>
      </c>
      <c r="C350" s="8" t="str">
        <f>IF(Productos!B350="","",Productos!C350)</f>
        <v/>
      </c>
      <c r="D350" s="8" t="str">
        <f>IF(Productos!B350="","",Productos!D350)</f>
        <v/>
      </c>
      <c r="E350" s="8" t="str">
        <f>IF(Productos!B350="","",Productos!E350)</f>
        <v/>
      </c>
      <c r="F350" s="8" t="str">
        <f>IF(Productos!B350="","",Productos!F350)</f>
        <v/>
      </c>
      <c r="G350" s="8" t="str">
        <f>IF(Productos!B350="","",Productos!G350)</f>
        <v/>
      </c>
      <c r="H350" s="8" t="str">
        <f>IF(B350="","",SUMIF('Compras Entradas'!$D$5:$D$504,B350,'Compras Entradas'!$F$5:$F$504))</f>
        <v/>
      </c>
      <c r="I350" s="8" t="str">
        <f>IF(B350="","",SUMIF('Ventas Salidas'!$D$5:$D$504,B350,'Ventas Salidas'!$F$5:$F$504))</f>
        <v/>
      </c>
      <c r="J350" s="8" t="str">
        <f t="shared" si="18"/>
        <v/>
      </c>
      <c r="K350" s="8" t="str">
        <f t="shared" si="19"/>
        <v/>
      </c>
      <c r="L350" s="8" t="str">
        <f t="shared" si="20"/>
        <v/>
      </c>
      <c r="M350" s="8"/>
      <c r="N350" s="8" t="str">
        <f>IF(B350="","",IF(OR(K350="Bajo stock",K350="Sin stock"),COUNTIFS($K$5:$K350,"Bajo stock")+COUNTIFS($K$5:$K350,"Sin stock"),""))</f>
        <v/>
      </c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2:30" s="5" customFormat="1" ht="21.75" customHeight="1" x14ac:dyDescent="0.25">
      <c r="B351" s="8" t="str">
        <f>IF(Productos!B351="","",Productos!B351)</f>
        <v/>
      </c>
      <c r="C351" s="8" t="str">
        <f>IF(Productos!B351="","",Productos!C351)</f>
        <v/>
      </c>
      <c r="D351" s="8" t="str">
        <f>IF(Productos!B351="","",Productos!D351)</f>
        <v/>
      </c>
      <c r="E351" s="8" t="str">
        <f>IF(Productos!B351="","",Productos!E351)</f>
        <v/>
      </c>
      <c r="F351" s="8" t="str">
        <f>IF(Productos!B351="","",Productos!F351)</f>
        <v/>
      </c>
      <c r="G351" s="8" t="str">
        <f>IF(Productos!B351="","",Productos!G351)</f>
        <v/>
      </c>
      <c r="H351" s="8" t="str">
        <f>IF(B351="","",SUMIF('Compras Entradas'!$D$5:$D$504,B351,'Compras Entradas'!$F$5:$F$504))</f>
        <v/>
      </c>
      <c r="I351" s="8" t="str">
        <f>IF(B351="","",SUMIF('Ventas Salidas'!$D$5:$D$504,B351,'Ventas Salidas'!$F$5:$F$504))</f>
        <v/>
      </c>
      <c r="J351" s="8" t="str">
        <f t="shared" si="18"/>
        <v/>
      </c>
      <c r="K351" s="8" t="str">
        <f t="shared" si="19"/>
        <v/>
      </c>
      <c r="L351" s="8" t="str">
        <f t="shared" si="20"/>
        <v/>
      </c>
      <c r="M351" s="8"/>
      <c r="N351" s="8" t="str">
        <f>IF(B351="","",IF(OR(K351="Bajo stock",K351="Sin stock"),COUNTIFS($K$5:$K351,"Bajo stock")+COUNTIFS($K$5:$K351,"Sin stock"),""))</f>
        <v/>
      </c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2:30" s="5" customFormat="1" ht="21.75" customHeight="1" x14ac:dyDescent="0.25">
      <c r="B352" s="8" t="str">
        <f>IF(Productos!B352="","",Productos!B352)</f>
        <v/>
      </c>
      <c r="C352" s="8" t="str">
        <f>IF(Productos!B352="","",Productos!C352)</f>
        <v/>
      </c>
      <c r="D352" s="8" t="str">
        <f>IF(Productos!B352="","",Productos!D352)</f>
        <v/>
      </c>
      <c r="E352" s="8" t="str">
        <f>IF(Productos!B352="","",Productos!E352)</f>
        <v/>
      </c>
      <c r="F352" s="8" t="str">
        <f>IF(Productos!B352="","",Productos!F352)</f>
        <v/>
      </c>
      <c r="G352" s="8" t="str">
        <f>IF(Productos!B352="","",Productos!G352)</f>
        <v/>
      </c>
      <c r="H352" s="8" t="str">
        <f>IF(B352="","",SUMIF('Compras Entradas'!$D$5:$D$504,B352,'Compras Entradas'!$F$5:$F$504))</f>
        <v/>
      </c>
      <c r="I352" s="8" t="str">
        <f>IF(B352="","",SUMIF('Ventas Salidas'!$D$5:$D$504,B352,'Ventas Salidas'!$F$5:$F$504))</f>
        <v/>
      </c>
      <c r="J352" s="8" t="str">
        <f t="shared" si="18"/>
        <v/>
      </c>
      <c r="K352" s="8" t="str">
        <f t="shared" si="19"/>
        <v/>
      </c>
      <c r="L352" s="8" t="str">
        <f t="shared" si="20"/>
        <v/>
      </c>
      <c r="M352" s="8"/>
      <c r="N352" s="8" t="str">
        <f>IF(B352="","",IF(OR(K352="Bajo stock",K352="Sin stock"),COUNTIFS($K$5:$K352,"Bajo stock")+COUNTIFS($K$5:$K352,"Sin stock"),""))</f>
        <v/>
      </c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2:30" s="5" customFormat="1" ht="21.75" customHeight="1" x14ac:dyDescent="0.25">
      <c r="B353" s="8" t="str">
        <f>IF(Productos!B353="","",Productos!B353)</f>
        <v/>
      </c>
      <c r="C353" s="8" t="str">
        <f>IF(Productos!B353="","",Productos!C353)</f>
        <v/>
      </c>
      <c r="D353" s="8" t="str">
        <f>IF(Productos!B353="","",Productos!D353)</f>
        <v/>
      </c>
      <c r="E353" s="8" t="str">
        <f>IF(Productos!B353="","",Productos!E353)</f>
        <v/>
      </c>
      <c r="F353" s="8" t="str">
        <f>IF(Productos!B353="","",Productos!F353)</f>
        <v/>
      </c>
      <c r="G353" s="8" t="str">
        <f>IF(Productos!B353="","",Productos!G353)</f>
        <v/>
      </c>
      <c r="H353" s="8" t="str">
        <f>IF(B353="","",SUMIF('Compras Entradas'!$D$5:$D$504,B353,'Compras Entradas'!$F$5:$F$504))</f>
        <v/>
      </c>
      <c r="I353" s="8" t="str">
        <f>IF(B353="","",SUMIF('Ventas Salidas'!$D$5:$D$504,B353,'Ventas Salidas'!$F$5:$F$504))</f>
        <v/>
      </c>
      <c r="J353" s="8" t="str">
        <f t="shared" si="18"/>
        <v/>
      </c>
      <c r="K353" s="8" t="str">
        <f t="shared" si="19"/>
        <v/>
      </c>
      <c r="L353" s="8" t="str">
        <f t="shared" si="20"/>
        <v/>
      </c>
      <c r="M353" s="8"/>
      <c r="N353" s="8" t="str">
        <f>IF(B353="","",IF(OR(K353="Bajo stock",K353="Sin stock"),COUNTIFS($K$5:$K353,"Bajo stock")+COUNTIFS($K$5:$K353,"Sin stock"),""))</f>
        <v/>
      </c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2:30" s="5" customFormat="1" ht="21.75" customHeight="1" x14ac:dyDescent="0.25">
      <c r="B354" s="8" t="str">
        <f>IF(Productos!B354="","",Productos!B354)</f>
        <v/>
      </c>
      <c r="C354" s="8" t="str">
        <f>IF(Productos!B354="","",Productos!C354)</f>
        <v/>
      </c>
      <c r="D354" s="8" t="str">
        <f>IF(Productos!B354="","",Productos!D354)</f>
        <v/>
      </c>
      <c r="E354" s="8" t="str">
        <f>IF(Productos!B354="","",Productos!E354)</f>
        <v/>
      </c>
      <c r="F354" s="8" t="str">
        <f>IF(Productos!B354="","",Productos!F354)</f>
        <v/>
      </c>
      <c r="G354" s="8" t="str">
        <f>IF(Productos!B354="","",Productos!G354)</f>
        <v/>
      </c>
      <c r="H354" s="8" t="str">
        <f>IF(B354="","",SUMIF('Compras Entradas'!$D$5:$D$504,B354,'Compras Entradas'!$F$5:$F$504))</f>
        <v/>
      </c>
      <c r="I354" s="8" t="str">
        <f>IF(B354="","",SUMIF('Ventas Salidas'!$D$5:$D$504,B354,'Ventas Salidas'!$F$5:$F$504))</f>
        <v/>
      </c>
      <c r="J354" s="8" t="str">
        <f t="shared" si="18"/>
        <v/>
      </c>
      <c r="K354" s="8" t="str">
        <f t="shared" si="19"/>
        <v/>
      </c>
      <c r="L354" s="8" t="str">
        <f t="shared" si="20"/>
        <v/>
      </c>
      <c r="M354" s="8"/>
      <c r="N354" s="8" t="str">
        <f>IF(B354="","",IF(OR(K354="Bajo stock",K354="Sin stock"),COUNTIFS($K$5:$K354,"Bajo stock")+COUNTIFS($K$5:$K354,"Sin stock"),""))</f>
        <v/>
      </c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2:30" s="5" customFormat="1" ht="21.75" customHeight="1" x14ac:dyDescent="0.25">
      <c r="B355" s="8" t="str">
        <f>IF(Productos!B355="","",Productos!B355)</f>
        <v/>
      </c>
      <c r="C355" s="8" t="str">
        <f>IF(Productos!B355="","",Productos!C355)</f>
        <v/>
      </c>
      <c r="D355" s="8" t="str">
        <f>IF(Productos!B355="","",Productos!D355)</f>
        <v/>
      </c>
      <c r="E355" s="8" t="str">
        <f>IF(Productos!B355="","",Productos!E355)</f>
        <v/>
      </c>
      <c r="F355" s="8" t="str">
        <f>IF(Productos!B355="","",Productos!F355)</f>
        <v/>
      </c>
      <c r="G355" s="8" t="str">
        <f>IF(Productos!B355="","",Productos!G355)</f>
        <v/>
      </c>
      <c r="H355" s="8" t="str">
        <f>IF(B355="","",SUMIF('Compras Entradas'!$D$5:$D$504,B355,'Compras Entradas'!$F$5:$F$504))</f>
        <v/>
      </c>
      <c r="I355" s="8" t="str">
        <f>IF(B355="","",SUMIF('Ventas Salidas'!$D$5:$D$504,B355,'Ventas Salidas'!$F$5:$F$504))</f>
        <v/>
      </c>
      <c r="J355" s="8" t="str">
        <f t="shared" si="18"/>
        <v/>
      </c>
      <c r="K355" s="8" t="str">
        <f t="shared" si="19"/>
        <v/>
      </c>
      <c r="L355" s="8" t="str">
        <f t="shared" si="20"/>
        <v/>
      </c>
      <c r="M355" s="8"/>
      <c r="N355" s="8" t="str">
        <f>IF(B355="","",IF(OR(K355="Bajo stock",K355="Sin stock"),COUNTIFS($K$5:$K355,"Bajo stock")+COUNTIFS($K$5:$K355,"Sin stock"),""))</f>
        <v/>
      </c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2:30" s="5" customFormat="1" ht="21.75" customHeight="1" x14ac:dyDescent="0.25">
      <c r="B356" s="8" t="str">
        <f>IF(Productos!B356="","",Productos!B356)</f>
        <v/>
      </c>
      <c r="C356" s="8" t="str">
        <f>IF(Productos!B356="","",Productos!C356)</f>
        <v/>
      </c>
      <c r="D356" s="8" t="str">
        <f>IF(Productos!B356="","",Productos!D356)</f>
        <v/>
      </c>
      <c r="E356" s="8" t="str">
        <f>IF(Productos!B356="","",Productos!E356)</f>
        <v/>
      </c>
      <c r="F356" s="8" t="str">
        <f>IF(Productos!B356="","",Productos!F356)</f>
        <v/>
      </c>
      <c r="G356" s="8" t="str">
        <f>IF(Productos!B356="","",Productos!G356)</f>
        <v/>
      </c>
      <c r="H356" s="8" t="str">
        <f>IF(B356="","",SUMIF('Compras Entradas'!$D$5:$D$504,B356,'Compras Entradas'!$F$5:$F$504))</f>
        <v/>
      </c>
      <c r="I356" s="8" t="str">
        <f>IF(B356="","",SUMIF('Ventas Salidas'!$D$5:$D$504,B356,'Ventas Salidas'!$F$5:$F$504))</f>
        <v/>
      </c>
      <c r="J356" s="8" t="str">
        <f t="shared" si="18"/>
        <v/>
      </c>
      <c r="K356" s="8" t="str">
        <f t="shared" si="19"/>
        <v/>
      </c>
      <c r="L356" s="8" t="str">
        <f t="shared" si="20"/>
        <v/>
      </c>
      <c r="M356" s="8"/>
      <c r="N356" s="8" t="str">
        <f>IF(B356="","",IF(OR(K356="Bajo stock",K356="Sin stock"),COUNTIFS($K$5:$K356,"Bajo stock")+COUNTIFS($K$5:$K356,"Sin stock"),""))</f>
        <v/>
      </c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2:30" s="5" customFormat="1" ht="21.75" customHeight="1" x14ac:dyDescent="0.25">
      <c r="B357" s="8" t="str">
        <f>IF(Productos!B357="","",Productos!B357)</f>
        <v/>
      </c>
      <c r="C357" s="8" t="str">
        <f>IF(Productos!B357="","",Productos!C357)</f>
        <v/>
      </c>
      <c r="D357" s="8" t="str">
        <f>IF(Productos!B357="","",Productos!D357)</f>
        <v/>
      </c>
      <c r="E357" s="8" t="str">
        <f>IF(Productos!B357="","",Productos!E357)</f>
        <v/>
      </c>
      <c r="F357" s="8" t="str">
        <f>IF(Productos!B357="","",Productos!F357)</f>
        <v/>
      </c>
      <c r="G357" s="8" t="str">
        <f>IF(Productos!B357="","",Productos!G357)</f>
        <v/>
      </c>
      <c r="H357" s="8" t="str">
        <f>IF(B357="","",SUMIF('Compras Entradas'!$D$5:$D$504,B357,'Compras Entradas'!$F$5:$F$504))</f>
        <v/>
      </c>
      <c r="I357" s="8" t="str">
        <f>IF(B357="","",SUMIF('Ventas Salidas'!$D$5:$D$504,B357,'Ventas Salidas'!$F$5:$F$504))</f>
        <v/>
      </c>
      <c r="J357" s="8" t="str">
        <f t="shared" si="18"/>
        <v/>
      </c>
      <c r="K357" s="8" t="str">
        <f t="shared" si="19"/>
        <v/>
      </c>
      <c r="L357" s="8" t="str">
        <f t="shared" si="20"/>
        <v/>
      </c>
      <c r="M357" s="8"/>
      <c r="N357" s="8" t="str">
        <f>IF(B357="","",IF(OR(K357="Bajo stock",K357="Sin stock"),COUNTIFS($K$5:$K357,"Bajo stock")+COUNTIFS($K$5:$K357,"Sin stock"),""))</f>
        <v/>
      </c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2:30" s="5" customFormat="1" ht="21.75" customHeight="1" x14ac:dyDescent="0.25">
      <c r="B358" s="8" t="str">
        <f>IF(Productos!B358="","",Productos!B358)</f>
        <v/>
      </c>
      <c r="C358" s="8" t="str">
        <f>IF(Productos!B358="","",Productos!C358)</f>
        <v/>
      </c>
      <c r="D358" s="8" t="str">
        <f>IF(Productos!B358="","",Productos!D358)</f>
        <v/>
      </c>
      <c r="E358" s="8" t="str">
        <f>IF(Productos!B358="","",Productos!E358)</f>
        <v/>
      </c>
      <c r="F358" s="8" t="str">
        <f>IF(Productos!B358="","",Productos!F358)</f>
        <v/>
      </c>
      <c r="G358" s="8" t="str">
        <f>IF(Productos!B358="","",Productos!G358)</f>
        <v/>
      </c>
      <c r="H358" s="8" t="str">
        <f>IF(B358="","",SUMIF('Compras Entradas'!$D$5:$D$504,B358,'Compras Entradas'!$F$5:$F$504))</f>
        <v/>
      </c>
      <c r="I358" s="8" t="str">
        <f>IF(B358="","",SUMIF('Ventas Salidas'!$D$5:$D$504,B358,'Ventas Salidas'!$F$5:$F$504))</f>
        <v/>
      </c>
      <c r="J358" s="8" t="str">
        <f t="shared" si="18"/>
        <v/>
      </c>
      <c r="K358" s="8" t="str">
        <f t="shared" si="19"/>
        <v/>
      </c>
      <c r="L358" s="8" t="str">
        <f t="shared" si="20"/>
        <v/>
      </c>
      <c r="M358" s="8"/>
      <c r="N358" s="8" t="str">
        <f>IF(B358="","",IF(OR(K358="Bajo stock",K358="Sin stock"),COUNTIFS($K$5:$K358,"Bajo stock")+COUNTIFS($K$5:$K358,"Sin stock"),""))</f>
        <v/>
      </c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2:30" s="5" customFormat="1" ht="21.75" customHeight="1" x14ac:dyDescent="0.25">
      <c r="B359" s="8" t="str">
        <f>IF(Productos!B359="","",Productos!B359)</f>
        <v/>
      </c>
      <c r="C359" s="8" t="str">
        <f>IF(Productos!B359="","",Productos!C359)</f>
        <v/>
      </c>
      <c r="D359" s="8" t="str">
        <f>IF(Productos!B359="","",Productos!D359)</f>
        <v/>
      </c>
      <c r="E359" s="8" t="str">
        <f>IF(Productos!B359="","",Productos!E359)</f>
        <v/>
      </c>
      <c r="F359" s="8" t="str">
        <f>IF(Productos!B359="","",Productos!F359)</f>
        <v/>
      </c>
      <c r="G359" s="8" t="str">
        <f>IF(Productos!B359="","",Productos!G359)</f>
        <v/>
      </c>
      <c r="H359" s="8" t="str">
        <f>IF(B359="","",SUMIF('Compras Entradas'!$D$5:$D$504,B359,'Compras Entradas'!$F$5:$F$504))</f>
        <v/>
      </c>
      <c r="I359" s="8" t="str">
        <f>IF(B359="","",SUMIF('Ventas Salidas'!$D$5:$D$504,B359,'Ventas Salidas'!$F$5:$F$504))</f>
        <v/>
      </c>
      <c r="J359" s="8" t="str">
        <f t="shared" si="18"/>
        <v/>
      </c>
      <c r="K359" s="8" t="str">
        <f t="shared" si="19"/>
        <v/>
      </c>
      <c r="L359" s="8" t="str">
        <f t="shared" si="20"/>
        <v/>
      </c>
      <c r="M359" s="8"/>
      <c r="N359" s="8" t="str">
        <f>IF(B359="","",IF(OR(K359="Bajo stock",K359="Sin stock"),COUNTIFS($K$5:$K359,"Bajo stock")+COUNTIFS($K$5:$K359,"Sin stock"),""))</f>
        <v/>
      </c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2:30" s="5" customFormat="1" ht="21.75" customHeight="1" x14ac:dyDescent="0.25">
      <c r="B360" s="8" t="str">
        <f>IF(Productos!B360="","",Productos!B360)</f>
        <v/>
      </c>
      <c r="C360" s="8" t="str">
        <f>IF(Productos!B360="","",Productos!C360)</f>
        <v/>
      </c>
      <c r="D360" s="8" t="str">
        <f>IF(Productos!B360="","",Productos!D360)</f>
        <v/>
      </c>
      <c r="E360" s="8" t="str">
        <f>IF(Productos!B360="","",Productos!E360)</f>
        <v/>
      </c>
      <c r="F360" s="8" t="str">
        <f>IF(Productos!B360="","",Productos!F360)</f>
        <v/>
      </c>
      <c r="G360" s="8" t="str">
        <f>IF(Productos!B360="","",Productos!G360)</f>
        <v/>
      </c>
      <c r="H360" s="8" t="str">
        <f>IF(B360="","",SUMIF('Compras Entradas'!$D$5:$D$504,B360,'Compras Entradas'!$F$5:$F$504))</f>
        <v/>
      </c>
      <c r="I360" s="8" t="str">
        <f>IF(B360="","",SUMIF('Ventas Salidas'!$D$5:$D$504,B360,'Ventas Salidas'!$F$5:$F$504))</f>
        <v/>
      </c>
      <c r="J360" s="8" t="str">
        <f t="shared" si="18"/>
        <v/>
      </c>
      <c r="K360" s="8" t="str">
        <f t="shared" si="19"/>
        <v/>
      </c>
      <c r="L360" s="8" t="str">
        <f t="shared" si="20"/>
        <v/>
      </c>
      <c r="M360" s="8"/>
      <c r="N360" s="8" t="str">
        <f>IF(B360="","",IF(OR(K360="Bajo stock",K360="Sin stock"),COUNTIFS($K$5:$K360,"Bajo stock")+COUNTIFS($K$5:$K360,"Sin stock"),""))</f>
        <v/>
      </c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2:30" s="5" customFormat="1" ht="21.75" customHeight="1" x14ac:dyDescent="0.25">
      <c r="B361" s="8" t="str">
        <f>IF(Productos!B361="","",Productos!B361)</f>
        <v/>
      </c>
      <c r="C361" s="8" t="str">
        <f>IF(Productos!B361="","",Productos!C361)</f>
        <v/>
      </c>
      <c r="D361" s="8" t="str">
        <f>IF(Productos!B361="","",Productos!D361)</f>
        <v/>
      </c>
      <c r="E361" s="8" t="str">
        <f>IF(Productos!B361="","",Productos!E361)</f>
        <v/>
      </c>
      <c r="F361" s="8" t="str">
        <f>IF(Productos!B361="","",Productos!F361)</f>
        <v/>
      </c>
      <c r="G361" s="8" t="str">
        <f>IF(Productos!B361="","",Productos!G361)</f>
        <v/>
      </c>
      <c r="H361" s="8" t="str">
        <f>IF(B361="","",SUMIF('Compras Entradas'!$D$5:$D$504,B361,'Compras Entradas'!$F$5:$F$504))</f>
        <v/>
      </c>
      <c r="I361" s="8" t="str">
        <f>IF(B361="","",SUMIF('Ventas Salidas'!$D$5:$D$504,B361,'Ventas Salidas'!$F$5:$F$504))</f>
        <v/>
      </c>
      <c r="J361" s="8" t="str">
        <f t="shared" si="18"/>
        <v/>
      </c>
      <c r="K361" s="8" t="str">
        <f t="shared" si="19"/>
        <v/>
      </c>
      <c r="L361" s="8" t="str">
        <f t="shared" si="20"/>
        <v/>
      </c>
      <c r="M361" s="8"/>
      <c r="N361" s="8" t="str">
        <f>IF(B361="","",IF(OR(K361="Bajo stock",K361="Sin stock"),COUNTIFS($K$5:$K361,"Bajo stock")+COUNTIFS($K$5:$K361,"Sin stock"),""))</f>
        <v/>
      </c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2:30" s="5" customFormat="1" ht="21.75" customHeight="1" x14ac:dyDescent="0.25">
      <c r="B362" s="8" t="str">
        <f>IF(Productos!B362="","",Productos!B362)</f>
        <v/>
      </c>
      <c r="C362" s="8" t="str">
        <f>IF(Productos!B362="","",Productos!C362)</f>
        <v/>
      </c>
      <c r="D362" s="8" t="str">
        <f>IF(Productos!B362="","",Productos!D362)</f>
        <v/>
      </c>
      <c r="E362" s="8" t="str">
        <f>IF(Productos!B362="","",Productos!E362)</f>
        <v/>
      </c>
      <c r="F362" s="8" t="str">
        <f>IF(Productos!B362="","",Productos!F362)</f>
        <v/>
      </c>
      <c r="G362" s="8" t="str">
        <f>IF(Productos!B362="","",Productos!G362)</f>
        <v/>
      </c>
      <c r="H362" s="8" t="str">
        <f>IF(B362="","",SUMIF('Compras Entradas'!$D$5:$D$504,B362,'Compras Entradas'!$F$5:$F$504))</f>
        <v/>
      </c>
      <c r="I362" s="8" t="str">
        <f>IF(B362="","",SUMIF('Ventas Salidas'!$D$5:$D$504,B362,'Ventas Salidas'!$F$5:$F$504))</f>
        <v/>
      </c>
      <c r="J362" s="8" t="str">
        <f t="shared" si="18"/>
        <v/>
      </c>
      <c r="K362" s="8" t="str">
        <f t="shared" si="19"/>
        <v/>
      </c>
      <c r="L362" s="8" t="str">
        <f t="shared" si="20"/>
        <v/>
      </c>
      <c r="M362" s="8"/>
      <c r="N362" s="8" t="str">
        <f>IF(B362="","",IF(OR(K362="Bajo stock",K362="Sin stock"),COUNTIFS($K$5:$K362,"Bajo stock")+COUNTIFS($K$5:$K362,"Sin stock"),""))</f>
        <v/>
      </c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2:30" s="5" customFormat="1" ht="21.75" customHeight="1" x14ac:dyDescent="0.25">
      <c r="B363" s="8" t="str">
        <f>IF(Productos!B363="","",Productos!B363)</f>
        <v/>
      </c>
      <c r="C363" s="8" t="str">
        <f>IF(Productos!B363="","",Productos!C363)</f>
        <v/>
      </c>
      <c r="D363" s="8" t="str">
        <f>IF(Productos!B363="","",Productos!D363)</f>
        <v/>
      </c>
      <c r="E363" s="8" t="str">
        <f>IF(Productos!B363="","",Productos!E363)</f>
        <v/>
      </c>
      <c r="F363" s="8" t="str">
        <f>IF(Productos!B363="","",Productos!F363)</f>
        <v/>
      </c>
      <c r="G363" s="8" t="str">
        <f>IF(Productos!B363="","",Productos!G363)</f>
        <v/>
      </c>
      <c r="H363" s="8" t="str">
        <f>IF(B363="","",SUMIF('Compras Entradas'!$D$5:$D$504,B363,'Compras Entradas'!$F$5:$F$504))</f>
        <v/>
      </c>
      <c r="I363" s="8" t="str">
        <f>IF(B363="","",SUMIF('Ventas Salidas'!$D$5:$D$504,B363,'Ventas Salidas'!$F$5:$F$504))</f>
        <v/>
      </c>
      <c r="J363" s="8" t="str">
        <f t="shared" si="18"/>
        <v/>
      </c>
      <c r="K363" s="8" t="str">
        <f t="shared" si="19"/>
        <v/>
      </c>
      <c r="L363" s="8" t="str">
        <f t="shared" si="20"/>
        <v/>
      </c>
      <c r="M363" s="8"/>
      <c r="N363" s="8" t="str">
        <f>IF(B363="","",IF(OR(K363="Bajo stock",K363="Sin stock"),COUNTIFS($K$5:$K363,"Bajo stock")+COUNTIFS($K$5:$K363,"Sin stock"),""))</f>
        <v/>
      </c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2:30" s="5" customFormat="1" ht="21.75" customHeight="1" x14ac:dyDescent="0.25">
      <c r="B364" s="8" t="str">
        <f>IF(Productos!B364="","",Productos!B364)</f>
        <v/>
      </c>
      <c r="C364" s="8" t="str">
        <f>IF(Productos!B364="","",Productos!C364)</f>
        <v/>
      </c>
      <c r="D364" s="8" t="str">
        <f>IF(Productos!B364="","",Productos!D364)</f>
        <v/>
      </c>
      <c r="E364" s="8" t="str">
        <f>IF(Productos!B364="","",Productos!E364)</f>
        <v/>
      </c>
      <c r="F364" s="8" t="str">
        <f>IF(Productos!B364="","",Productos!F364)</f>
        <v/>
      </c>
      <c r="G364" s="8" t="str">
        <f>IF(Productos!B364="","",Productos!G364)</f>
        <v/>
      </c>
      <c r="H364" s="8" t="str">
        <f>IF(B364="","",SUMIF('Compras Entradas'!$D$5:$D$504,B364,'Compras Entradas'!$F$5:$F$504))</f>
        <v/>
      </c>
      <c r="I364" s="8" t="str">
        <f>IF(B364="","",SUMIF('Ventas Salidas'!$D$5:$D$504,B364,'Ventas Salidas'!$F$5:$F$504))</f>
        <v/>
      </c>
      <c r="J364" s="8" t="str">
        <f t="shared" si="18"/>
        <v/>
      </c>
      <c r="K364" s="8" t="str">
        <f t="shared" si="19"/>
        <v/>
      </c>
      <c r="L364" s="8" t="str">
        <f t="shared" si="20"/>
        <v/>
      </c>
      <c r="M364" s="8"/>
      <c r="N364" s="8" t="str">
        <f>IF(B364="","",IF(OR(K364="Bajo stock",K364="Sin stock"),COUNTIFS($K$5:$K364,"Bajo stock")+COUNTIFS($K$5:$K364,"Sin stock"),""))</f>
        <v/>
      </c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2:30" s="5" customFormat="1" ht="21.75" customHeight="1" x14ac:dyDescent="0.25">
      <c r="B365" s="8" t="str">
        <f>IF(Productos!B365="","",Productos!B365)</f>
        <v/>
      </c>
      <c r="C365" s="8" t="str">
        <f>IF(Productos!B365="","",Productos!C365)</f>
        <v/>
      </c>
      <c r="D365" s="8" t="str">
        <f>IF(Productos!B365="","",Productos!D365)</f>
        <v/>
      </c>
      <c r="E365" s="8" t="str">
        <f>IF(Productos!B365="","",Productos!E365)</f>
        <v/>
      </c>
      <c r="F365" s="8" t="str">
        <f>IF(Productos!B365="","",Productos!F365)</f>
        <v/>
      </c>
      <c r="G365" s="8" t="str">
        <f>IF(Productos!B365="","",Productos!G365)</f>
        <v/>
      </c>
      <c r="H365" s="8" t="str">
        <f>IF(B365="","",SUMIF('Compras Entradas'!$D$5:$D$504,B365,'Compras Entradas'!$F$5:$F$504))</f>
        <v/>
      </c>
      <c r="I365" s="8" t="str">
        <f>IF(B365="","",SUMIF('Ventas Salidas'!$D$5:$D$504,B365,'Ventas Salidas'!$F$5:$F$504))</f>
        <v/>
      </c>
      <c r="J365" s="8" t="str">
        <f t="shared" si="18"/>
        <v/>
      </c>
      <c r="K365" s="8" t="str">
        <f t="shared" si="19"/>
        <v/>
      </c>
      <c r="L365" s="8" t="str">
        <f t="shared" si="20"/>
        <v/>
      </c>
      <c r="M365" s="8"/>
      <c r="N365" s="8" t="str">
        <f>IF(B365="","",IF(OR(K365="Bajo stock",K365="Sin stock"),COUNTIFS($K$5:$K365,"Bajo stock")+COUNTIFS($K$5:$K365,"Sin stock"),""))</f>
        <v/>
      </c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2:30" s="5" customFormat="1" ht="21.75" customHeight="1" x14ac:dyDescent="0.25">
      <c r="B366" s="8" t="str">
        <f>IF(Productos!B366="","",Productos!B366)</f>
        <v/>
      </c>
      <c r="C366" s="8" t="str">
        <f>IF(Productos!B366="","",Productos!C366)</f>
        <v/>
      </c>
      <c r="D366" s="8" t="str">
        <f>IF(Productos!B366="","",Productos!D366)</f>
        <v/>
      </c>
      <c r="E366" s="8" t="str">
        <f>IF(Productos!B366="","",Productos!E366)</f>
        <v/>
      </c>
      <c r="F366" s="8" t="str">
        <f>IF(Productos!B366="","",Productos!F366)</f>
        <v/>
      </c>
      <c r="G366" s="8" t="str">
        <f>IF(Productos!B366="","",Productos!G366)</f>
        <v/>
      </c>
      <c r="H366" s="8" t="str">
        <f>IF(B366="","",SUMIF('Compras Entradas'!$D$5:$D$504,B366,'Compras Entradas'!$F$5:$F$504))</f>
        <v/>
      </c>
      <c r="I366" s="8" t="str">
        <f>IF(B366="","",SUMIF('Ventas Salidas'!$D$5:$D$504,B366,'Ventas Salidas'!$F$5:$F$504))</f>
        <v/>
      </c>
      <c r="J366" s="8" t="str">
        <f t="shared" si="18"/>
        <v/>
      </c>
      <c r="K366" s="8" t="str">
        <f t="shared" si="19"/>
        <v/>
      </c>
      <c r="L366" s="8" t="str">
        <f t="shared" si="20"/>
        <v/>
      </c>
      <c r="M366" s="8"/>
      <c r="N366" s="8" t="str">
        <f>IF(B366="","",IF(OR(K366="Bajo stock",K366="Sin stock"),COUNTIFS($K$5:$K366,"Bajo stock")+COUNTIFS($K$5:$K366,"Sin stock"),""))</f>
        <v/>
      </c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2:30" s="5" customFormat="1" ht="21.75" customHeight="1" x14ac:dyDescent="0.25">
      <c r="B367" s="8" t="str">
        <f>IF(Productos!B367="","",Productos!B367)</f>
        <v/>
      </c>
      <c r="C367" s="8" t="str">
        <f>IF(Productos!B367="","",Productos!C367)</f>
        <v/>
      </c>
      <c r="D367" s="8" t="str">
        <f>IF(Productos!B367="","",Productos!D367)</f>
        <v/>
      </c>
      <c r="E367" s="8" t="str">
        <f>IF(Productos!B367="","",Productos!E367)</f>
        <v/>
      </c>
      <c r="F367" s="8" t="str">
        <f>IF(Productos!B367="","",Productos!F367)</f>
        <v/>
      </c>
      <c r="G367" s="8" t="str">
        <f>IF(Productos!B367="","",Productos!G367)</f>
        <v/>
      </c>
      <c r="H367" s="8" t="str">
        <f>IF(B367="","",SUMIF('Compras Entradas'!$D$5:$D$504,B367,'Compras Entradas'!$F$5:$F$504))</f>
        <v/>
      </c>
      <c r="I367" s="8" t="str">
        <f>IF(B367="","",SUMIF('Ventas Salidas'!$D$5:$D$504,B367,'Ventas Salidas'!$F$5:$F$504))</f>
        <v/>
      </c>
      <c r="J367" s="8" t="str">
        <f t="shared" si="18"/>
        <v/>
      </c>
      <c r="K367" s="8" t="str">
        <f t="shared" si="19"/>
        <v/>
      </c>
      <c r="L367" s="8" t="str">
        <f t="shared" si="20"/>
        <v/>
      </c>
      <c r="M367" s="8"/>
      <c r="N367" s="8" t="str">
        <f>IF(B367="","",IF(OR(K367="Bajo stock",K367="Sin stock"),COUNTIFS($K$5:$K367,"Bajo stock")+COUNTIFS($K$5:$K367,"Sin stock"),""))</f>
        <v/>
      </c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2:30" s="5" customFormat="1" ht="21.75" customHeight="1" x14ac:dyDescent="0.25">
      <c r="B368" s="8" t="str">
        <f>IF(Productos!B368="","",Productos!B368)</f>
        <v/>
      </c>
      <c r="C368" s="8" t="str">
        <f>IF(Productos!B368="","",Productos!C368)</f>
        <v/>
      </c>
      <c r="D368" s="8" t="str">
        <f>IF(Productos!B368="","",Productos!D368)</f>
        <v/>
      </c>
      <c r="E368" s="8" t="str">
        <f>IF(Productos!B368="","",Productos!E368)</f>
        <v/>
      </c>
      <c r="F368" s="8" t="str">
        <f>IF(Productos!B368="","",Productos!F368)</f>
        <v/>
      </c>
      <c r="G368" s="8" t="str">
        <f>IF(Productos!B368="","",Productos!G368)</f>
        <v/>
      </c>
      <c r="H368" s="8" t="str">
        <f>IF(B368="","",SUMIF('Compras Entradas'!$D$5:$D$504,B368,'Compras Entradas'!$F$5:$F$504))</f>
        <v/>
      </c>
      <c r="I368" s="8" t="str">
        <f>IF(B368="","",SUMIF('Ventas Salidas'!$D$5:$D$504,B368,'Ventas Salidas'!$F$5:$F$504))</f>
        <v/>
      </c>
      <c r="J368" s="8" t="str">
        <f t="shared" si="18"/>
        <v/>
      </c>
      <c r="K368" s="8" t="str">
        <f t="shared" si="19"/>
        <v/>
      </c>
      <c r="L368" s="8" t="str">
        <f t="shared" si="20"/>
        <v/>
      </c>
      <c r="M368" s="8"/>
      <c r="N368" s="8" t="str">
        <f>IF(B368="","",IF(OR(K368="Bajo stock",K368="Sin stock"),COUNTIFS($K$5:$K368,"Bajo stock")+COUNTIFS($K$5:$K368,"Sin stock"),""))</f>
        <v/>
      </c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2:30" s="5" customFormat="1" ht="21.75" customHeight="1" x14ac:dyDescent="0.25">
      <c r="B369" s="8" t="str">
        <f>IF(Productos!B369="","",Productos!B369)</f>
        <v/>
      </c>
      <c r="C369" s="8" t="str">
        <f>IF(Productos!B369="","",Productos!C369)</f>
        <v/>
      </c>
      <c r="D369" s="8" t="str">
        <f>IF(Productos!B369="","",Productos!D369)</f>
        <v/>
      </c>
      <c r="E369" s="8" t="str">
        <f>IF(Productos!B369="","",Productos!E369)</f>
        <v/>
      </c>
      <c r="F369" s="8" t="str">
        <f>IF(Productos!B369="","",Productos!F369)</f>
        <v/>
      </c>
      <c r="G369" s="8" t="str">
        <f>IF(Productos!B369="","",Productos!G369)</f>
        <v/>
      </c>
      <c r="H369" s="8" t="str">
        <f>IF(B369="","",SUMIF('Compras Entradas'!$D$5:$D$504,B369,'Compras Entradas'!$F$5:$F$504))</f>
        <v/>
      </c>
      <c r="I369" s="8" t="str">
        <f>IF(B369="","",SUMIF('Ventas Salidas'!$D$5:$D$504,B369,'Ventas Salidas'!$F$5:$F$504))</f>
        <v/>
      </c>
      <c r="J369" s="8" t="str">
        <f t="shared" si="18"/>
        <v/>
      </c>
      <c r="K369" s="8" t="str">
        <f t="shared" si="19"/>
        <v/>
      </c>
      <c r="L369" s="8" t="str">
        <f t="shared" si="20"/>
        <v/>
      </c>
      <c r="M369" s="8"/>
      <c r="N369" s="8" t="str">
        <f>IF(B369="","",IF(OR(K369="Bajo stock",K369="Sin stock"),COUNTIFS($K$5:$K369,"Bajo stock")+COUNTIFS($K$5:$K369,"Sin stock"),""))</f>
        <v/>
      </c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2:30" s="5" customFormat="1" ht="21.75" customHeight="1" x14ac:dyDescent="0.25">
      <c r="B370" s="8" t="str">
        <f>IF(Productos!B370="","",Productos!B370)</f>
        <v/>
      </c>
      <c r="C370" s="8" t="str">
        <f>IF(Productos!B370="","",Productos!C370)</f>
        <v/>
      </c>
      <c r="D370" s="8" t="str">
        <f>IF(Productos!B370="","",Productos!D370)</f>
        <v/>
      </c>
      <c r="E370" s="8" t="str">
        <f>IF(Productos!B370="","",Productos!E370)</f>
        <v/>
      </c>
      <c r="F370" s="8" t="str">
        <f>IF(Productos!B370="","",Productos!F370)</f>
        <v/>
      </c>
      <c r="G370" s="8" t="str">
        <f>IF(Productos!B370="","",Productos!G370)</f>
        <v/>
      </c>
      <c r="H370" s="8" t="str">
        <f>IF(B370="","",SUMIF('Compras Entradas'!$D$5:$D$504,B370,'Compras Entradas'!$F$5:$F$504))</f>
        <v/>
      </c>
      <c r="I370" s="8" t="str">
        <f>IF(B370="","",SUMIF('Ventas Salidas'!$D$5:$D$504,B370,'Ventas Salidas'!$F$5:$F$504))</f>
        <v/>
      </c>
      <c r="J370" s="8" t="str">
        <f t="shared" si="18"/>
        <v/>
      </c>
      <c r="K370" s="8" t="str">
        <f t="shared" si="19"/>
        <v/>
      </c>
      <c r="L370" s="8" t="str">
        <f t="shared" si="20"/>
        <v/>
      </c>
      <c r="M370" s="8"/>
      <c r="N370" s="8" t="str">
        <f>IF(B370="","",IF(OR(K370="Bajo stock",K370="Sin stock"),COUNTIFS($K$5:$K370,"Bajo stock")+COUNTIFS($K$5:$K370,"Sin stock"),""))</f>
        <v/>
      </c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2:30" s="5" customFormat="1" ht="21.75" customHeight="1" x14ac:dyDescent="0.25">
      <c r="B371" s="8" t="str">
        <f>IF(Productos!B371="","",Productos!B371)</f>
        <v/>
      </c>
      <c r="C371" s="8" t="str">
        <f>IF(Productos!B371="","",Productos!C371)</f>
        <v/>
      </c>
      <c r="D371" s="8" t="str">
        <f>IF(Productos!B371="","",Productos!D371)</f>
        <v/>
      </c>
      <c r="E371" s="8" t="str">
        <f>IF(Productos!B371="","",Productos!E371)</f>
        <v/>
      </c>
      <c r="F371" s="8" t="str">
        <f>IF(Productos!B371="","",Productos!F371)</f>
        <v/>
      </c>
      <c r="G371" s="8" t="str">
        <f>IF(Productos!B371="","",Productos!G371)</f>
        <v/>
      </c>
      <c r="H371" s="8" t="str">
        <f>IF(B371="","",SUMIF('Compras Entradas'!$D$5:$D$504,B371,'Compras Entradas'!$F$5:$F$504))</f>
        <v/>
      </c>
      <c r="I371" s="8" t="str">
        <f>IF(B371="","",SUMIF('Ventas Salidas'!$D$5:$D$504,B371,'Ventas Salidas'!$F$5:$F$504))</f>
        <v/>
      </c>
      <c r="J371" s="8" t="str">
        <f t="shared" si="18"/>
        <v/>
      </c>
      <c r="K371" s="8" t="str">
        <f t="shared" si="19"/>
        <v/>
      </c>
      <c r="L371" s="8" t="str">
        <f t="shared" si="20"/>
        <v/>
      </c>
      <c r="M371" s="8"/>
      <c r="N371" s="8" t="str">
        <f>IF(B371="","",IF(OR(K371="Bajo stock",K371="Sin stock"),COUNTIFS($K$5:$K371,"Bajo stock")+COUNTIFS($K$5:$K371,"Sin stock"),""))</f>
        <v/>
      </c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2:30" s="5" customFormat="1" ht="21.75" customHeight="1" x14ac:dyDescent="0.25">
      <c r="B372" s="8" t="str">
        <f>IF(Productos!B372="","",Productos!B372)</f>
        <v/>
      </c>
      <c r="C372" s="8" t="str">
        <f>IF(Productos!B372="","",Productos!C372)</f>
        <v/>
      </c>
      <c r="D372" s="8" t="str">
        <f>IF(Productos!B372="","",Productos!D372)</f>
        <v/>
      </c>
      <c r="E372" s="8" t="str">
        <f>IF(Productos!B372="","",Productos!E372)</f>
        <v/>
      </c>
      <c r="F372" s="8" t="str">
        <f>IF(Productos!B372="","",Productos!F372)</f>
        <v/>
      </c>
      <c r="G372" s="8" t="str">
        <f>IF(Productos!B372="","",Productos!G372)</f>
        <v/>
      </c>
      <c r="H372" s="8" t="str">
        <f>IF(B372="","",SUMIF('Compras Entradas'!$D$5:$D$504,B372,'Compras Entradas'!$F$5:$F$504))</f>
        <v/>
      </c>
      <c r="I372" s="8" t="str">
        <f>IF(B372="","",SUMIF('Ventas Salidas'!$D$5:$D$504,B372,'Ventas Salidas'!$F$5:$F$504))</f>
        <v/>
      </c>
      <c r="J372" s="8" t="str">
        <f t="shared" si="18"/>
        <v/>
      </c>
      <c r="K372" s="8" t="str">
        <f t="shared" si="19"/>
        <v/>
      </c>
      <c r="L372" s="8" t="str">
        <f t="shared" si="20"/>
        <v/>
      </c>
      <c r="M372" s="8"/>
      <c r="N372" s="8" t="str">
        <f>IF(B372="","",IF(OR(K372="Bajo stock",K372="Sin stock"),COUNTIFS($K$5:$K372,"Bajo stock")+COUNTIFS($K$5:$K372,"Sin stock"),""))</f>
        <v/>
      </c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2:30" s="5" customFormat="1" ht="21.75" customHeight="1" x14ac:dyDescent="0.25">
      <c r="B373" s="8" t="str">
        <f>IF(Productos!B373="","",Productos!B373)</f>
        <v/>
      </c>
      <c r="C373" s="8" t="str">
        <f>IF(Productos!B373="","",Productos!C373)</f>
        <v/>
      </c>
      <c r="D373" s="8" t="str">
        <f>IF(Productos!B373="","",Productos!D373)</f>
        <v/>
      </c>
      <c r="E373" s="8" t="str">
        <f>IF(Productos!B373="","",Productos!E373)</f>
        <v/>
      </c>
      <c r="F373" s="8" t="str">
        <f>IF(Productos!B373="","",Productos!F373)</f>
        <v/>
      </c>
      <c r="G373" s="8" t="str">
        <f>IF(Productos!B373="","",Productos!G373)</f>
        <v/>
      </c>
      <c r="H373" s="8" t="str">
        <f>IF(B373="","",SUMIF('Compras Entradas'!$D$5:$D$504,B373,'Compras Entradas'!$F$5:$F$504))</f>
        <v/>
      </c>
      <c r="I373" s="8" t="str">
        <f>IF(B373="","",SUMIF('Ventas Salidas'!$D$5:$D$504,B373,'Ventas Salidas'!$F$5:$F$504))</f>
        <v/>
      </c>
      <c r="J373" s="8" t="str">
        <f t="shared" si="18"/>
        <v/>
      </c>
      <c r="K373" s="8" t="str">
        <f t="shared" si="19"/>
        <v/>
      </c>
      <c r="L373" s="8" t="str">
        <f t="shared" si="20"/>
        <v/>
      </c>
      <c r="M373" s="8"/>
      <c r="N373" s="8" t="str">
        <f>IF(B373="","",IF(OR(K373="Bajo stock",K373="Sin stock"),COUNTIFS($K$5:$K373,"Bajo stock")+COUNTIFS($K$5:$K373,"Sin stock"),""))</f>
        <v/>
      </c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2:30" s="5" customFormat="1" ht="21.75" customHeight="1" x14ac:dyDescent="0.25">
      <c r="B374" s="8" t="str">
        <f>IF(Productos!B374="","",Productos!B374)</f>
        <v/>
      </c>
      <c r="C374" s="8" t="str">
        <f>IF(Productos!B374="","",Productos!C374)</f>
        <v/>
      </c>
      <c r="D374" s="8" t="str">
        <f>IF(Productos!B374="","",Productos!D374)</f>
        <v/>
      </c>
      <c r="E374" s="8" t="str">
        <f>IF(Productos!B374="","",Productos!E374)</f>
        <v/>
      </c>
      <c r="F374" s="8" t="str">
        <f>IF(Productos!B374="","",Productos!F374)</f>
        <v/>
      </c>
      <c r="G374" s="8" t="str">
        <f>IF(Productos!B374="","",Productos!G374)</f>
        <v/>
      </c>
      <c r="H374" s="8" t="str">
        <f>IF(B374="","",SUMIF('Compras Entradas'!$D$5:$D$504,B374,'Compras Entradas'!$F$5:$F$504))</f>
        <v/>
      </c>
      <c r="I374" s="8" t="str">
        <f>IF(B374="","",SUMIF('Ventas Salidas'!$D$5:$D$504,B374,'Ventas Salidas'!$F$5:$F$504))</f>
        <v/>
      </c>
      <c r="J374" s="8" t="str">
        <f t="shared" si="18"/>
        <v/>
      </c>
      <c r="K374" s="8" t="str">
        <f t="shared" si="19"/>
        <v/>
      </c>
      <c r="L374" s="8" t="str">
        <f t="shared" si="20"/>
        <v/>
      </c>
      <c r="M374" s="8"/>
      <c r="N374" s="8" t="str">
        <f>IF(B374="","",IF(OR(K374="Bajo stock",K374="Sin stock"),COUNTIFS($K$5:$K374,"Bajo stock")+COUNTIFS($K$5:$K374,"Sin stock"),""))</f>
        <v/>
      </c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2:30" s="5" customFormat="1" ht="21.75" customHeight="1" x14ac:dyDescent="0.25">
      <c r="B375" s="8" t="str">
        <f>IF(Productos!B375="","",Productos!B375)</f>
        <v/>
      </c>
      <c r="C375" s="8" t="str">
        <f>IF(Productos!B375="","",Productos!C375)</f>
        <v/>
      </c>
      <c r="D375" s="8" t="str">
        <f>IF(Productos!B375="","",Productos!D375)</f>
        <v/>
      </c>
      <c r="E375" s="8" t="str">
        <f>IF(Productos!B375="","",Productos!E375)</f>
        <v/>
      </c>
      <c r="F375" s="8" t="str">
        <f>IF(Productos!B375="","",Productos!F375)</f>
        <v/>
      </c>
      <c r="G375" s="8" t="str">
        <f>IF(Productos!B375="","",Productos!G375)</f>
        <v/>
      </c>
      <c r="H375" s="8" t="str">
        <f>IF(B375="","",SUMIF('Compras Entradas'!$D$5:$D$504,B375,'Compras Entradas'!$F$5:$F$504))</f>
        <v/>
      </c>
      <c r="I375" s="8" t="str">
        <f>IF(B375="","",SUMIF('Ventas Salidas'!$D$5:$D$504,B375,'Ventas Salidas'!$F$5:$F$504))</f>
        <v/>
      </c>
      <c r="J375" s="8" t="str">
        <f t="shared" si="18"/>
        <v/>
      </c>
      <c r="K375" s="8" t="str">
        <f t="shared" si="19"/>
        <v/>
      </c>
      <c r="L375" s="8" t="str">
        <f t="shared" si="20"/>
        <v/>
      </c>
      <c r="M375" s="8"/>
      <c r="N375" s="8" t="str">
        <f>IF(B375="","",IF(OR(K375="Bajo stock",K375="Sin stock"),COUNTIFS($K$5:$K375,"Bajo stock")+COUNTIFS($K$5:$K375,"Sin stock"),""))</f>
        <v/>
      </c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2:30" s="5" customFormat="1" ht="21.75" customHeight="1" x14ac:dyDescent="0.25">
      <c r="B376" s="8" t="str">
        <f>IF(Productos!B376="","",Productos!B376)</f>
        <v/>
      </c>
      <c r="C376" s="8" t="str">
        <f>IF(Productos!B376="","",Productos!C376)</f>
        <v/>
      </c>
      <c r="D376" s="8" t="str">
        <f>IF(Productos!B376="","",Productos!D376)</f>
        <v/>
      </c>
      <c r="E376" s="8" t="str">
        <f>IF(Productos!B376="","",Productos!E376)</f>
        <v/>
      </c>
      <c r="F376" s="8" t="str">
        <f>IF(Productos!B376="","",Productos!F376)</f>
        <v/>
      </c>
      <c r="G376" s="8" t="str">
        <f>IF(Productos!B376="","",Productos!G376)</f>
        <v/>
      </c>
      <c r="H376" s="8" t="str">
        <f>IF(B376="","",SUMIF('Compras Entradas'!$D$5:$D$504,B376,'Compras Entradas'!$F$5:$F$504))</f>
        <v/>
      </c>
      <c r="I376" s="8" t="str">
        <f>IF(B376="","",SUMIF('Ventas Salidas'!$D$5:$D$504,B376,'Ventas Salidas'!$F$5:$F$504))</f>
        <v/>
      </c>
      <c r="J376" s="8" t="str">
        <f t="shared" si="18"/>
        <v/>
      </c>
      <c r="K376" s="8" t="str">
        <f t="shared" si="19"/>
        <v/>
      </c>
      <c r="L376" s="8" t="str">
        <f t="shared" si="20"/>
        <v/>
      </c>
      <c r="M376" s="8"/>
      <c r="N376" s="8" t="str">
        <f>IF(B376="","",IF(OR(K376="Bajo stock",K376="Sin stock"),COUNTIFS($K$5:$K376,"Bajo stock")+COUNTIFS($K$5:$K376,"Sin stock"),""))</f>
        <v/>
      </c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2:30" s="5" customFormat="1" ht="21.75" customHeight="1" x14ac:dyDescent="0.25">
      <c r="B377" s="8" t="str">
        <f>IF(Productos!B377="","",Productos!B377)</f>
        <v/>
      </c>
      <c r="C377" s="8" t="str">
        <f>IF(Productos!B377="","",Productos!C377)</f>
        <v/>
      </c>
      <c r="D377" s="8" t="str">
        <f>IF(Productos!B377="","",Productos!D377)</f>
        <v/>
      </c>
      <c r="E377" s="8" t="str">
        <f>IF(Productos!B377="","",Productos!E377)</f>
        <v/>
      </c>
      <c r="F377" s="8" t="str">
        <f>IF(Productos!B377="","",Productos!F377)</f>
        <v/>
      </c>
      <c r="G377" s="8" t="str">
        <f>IF(Productos!B377="","",Productos!G377)</f>
        <v/>
      </c>
      <c r="H377" s="8" t="str">
        <f>IF(B377="","",SUMIF('Compras Entradas'!$D$5:$D$504,B377,'Compras Entradas'!$F$5:$F$504))</f>
        <v/>
      </c>
      <c r="I377" s="8" t="str">
        <f>IF(B377="","",SUMIF('Ventas Salidas'!$D$5:$D$504,B377,'Ventas Salidas'!$F$5:$F$504))</f>
        <v/>
      </c>
      <c r="J377" s="8" t="str">
        <f t="shared" si="18"/>
        <v/>
      </c>
      <c r="K377" s="8" t="str">
        <f t="shared" si="19"/>
        <v/>
      </c>
      <c r="L377" s="8" t="str">
        <f t="shared" si="20"/>
        <v/>
      </c>
      <c r="M377" s="8"/>
      <c r="N377" s="8" t="str">
        <f>IF(B377="","",IF(OR(K377="Bajo stock",K377="Sin stock"),COUNTIFS($K$5:$K377,"Bajo stock")+COUNTIFS($K$5:$K377,"Sin stock"),""))</f>
        <v/>
      </c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2:30" s="5" customFormat="1" ht="21.75" customHeight="1" x14ac:dyDescent="0.25">
      <c r="B378" s="8" t="str">
        <f>IF(Productos!B378="","",Productos!B378)</f>
        <v/>
      </c>
      <c r="C378" s="8" t="str">
        <f>IF(Productos!B378="","",Productos!C378)</f>
        <v/>
      </c>
      <c r="D378" s="8" t="str">
        <f>IF(Productos!B378="","",Productos!D378)</f>
        <v/>
      </c>
      <c r="E378" s="8" t="str">
        <f>IF(Productos!B378="","",Productos!E378)</f>
        <v/>
      </c>
      <c r="F378" s="8" t="str">
        <f>IF(Productos!B378="","",Productos!F378)</f>
        <v/>
      </c>
      <c r="G378" s="8" t="str">
        <f>IF(Productos!B378="","",Productos!G378)</f>
        <v/>
      </c>
      <c r="H378" s="8" t="str">
        <f>IF(B378="","",SUMIF('Compras Entradas'!$D$5:$D$504,B378,'Compras Entradas'!$F$5:$F$504))</f>
        <v/>
      </c>
      <c r="I378" s="8" t="str">
        <f>IF(B378="","",SUMIF('Ventas Salidas'!$D$5:$D$504,B378,'Ventas Salidas'!$F$5:$F$504))</f>
        <v/>
      </c>
      <c r="J378" s="8" t="str">
        <f t="shared" si="18"/>
        <v/>
      </c>
      <c r="K378" s="8" t="str">
        <f t="shared" si="19"/>
        <v/>
      </c>
      <c r="L378" s="8" t="str">
        <f t="shared" si="20"/>
        <v/>
      </c>
      <c r="M378" s="8"/>
      <c r="N378" s="8" t="str">
        <f>IF(B378="","",IF(OR(K378="Bajo stock",K378="Sin stock"),COUNTIFS($K$5:$K378,"Bajo stock")+COUNTIFS($K$5:$K378,"Sin stock"),""))</f>
        <v/>
      </c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2:30" s="5" customFormat="1" ht="21.75" customHeight="1" x14ac:dyDescent="0.25">
      <c r="B379" s="8" t="str">
        <f>IF(Productos!B379="","",Productos!B379)</f>
        <v/>
      </c>
      <c r="C379" s="8" t="str">
        <f>IF(Productos!B379="","",Productos!C379)</f>
        <v/>
      </c>
      <c r="D379" s="8" t="str">
        <f>IF(Productos!B379="","",Productos!D379)</f>
        <v/>
      </c>
      <c r="E379" s="8" t="str">
        <f>IF(Productos!B379="","",Productos!E379)</f>
        <v/>
      </c>
      <c r="F379" s="8" t="str">
        <f>IF(Productos!B379="","",Productos!F379)</f>
        <v/>
      </c>
      <c r="G379" s="8" t="str">
        <f>IF(Productos!B379="","",Productos!G379)</f>
        <v/>
      </c>
      <c r="H379" s="8" t="str">
        <f>IF(B379="","",SUMIF('Compras Entradas'!$D$5:$D$504,B379,'Compras Entradas'!$F$5:$F$504))</f>
        <v/>
      </c>
      <c r="I379" s="8" t="str">
        <f>IF(B379="","",SUMIF('Ventas Salidas'!$D$5:$D$504,B379,'Ventas Salidas'!$F$5:$F$504))</f>
        <v/>
      </c>
      <c r="J379" s="8" t="str">
        <f t="shared" si="18"/>
        <v/>
      </c>
      <c r="K379" s="8" t="str">
        <f t="shared" si="19"/>
        <v/>
      </c>
      <c r="L379" s="8" t="str">
        <f t="shared" si="20"/>
        <v/>
      </c>
      <c r="M379" s="8"/>
      <c r="N379" s="8" t="str">
        <f>IF(B379="","",IF(OR(K379="Bajo stock",K379="Sin stock"),COUNTIFS($K$5:$K379,"Bajo stock")+COUNTIFS($K$5:$K379,"Sin stock"),""))</f>
        <v/>
      </c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2:30" s="5" customFormat="1" ht="21.75" customHeight="1" x14ac:dyDescent="0.25">
      <c r="B380" s="8" t="str">
        <f>IF(Productos!B380="","",Productos!B380)</f>
        <v/>
      </c>
      <c r="C380" s="8" t="str">
        <f>IF(Productos!B380="","",Productos!C380)</f>
        <v/>
      </c>
      <c r="D380" s="8" t="str">
        <f>IF(Productos!B380="","",Productos!D380)</f>
        <v/>
      </c>
      <c r="E380" s="8" t="str">
        <f>IF(Productos!B380="","",Productos!E380)</f>
        <v/>
      </c>
      <c r="F380" s="8" t="str">
        <f>IF(Productos!B380="","",Productos!F380)</f>
        <v/>
      </c>
      <c r="G380" s="8" t="str">
        <f>IF(Productos!B380="","",Productos!G380)</f>
        <v/>
      </c>
      <c r="H380" s="8" t="str">
        <f>IF(B380="","",SUMIF('Compras Entradas'!$D$5:$D$504,B380,'Compras Entradas'!$F$5:$F$504))</f>
        <v/>
      </c>
      <c r="I380" s="8" t="str">
        <f>IF(B380="","",SUMIF('Ventas Salidas'!$D$5:$D$504,B380,'Ventas Salidas'!$F$5:$F$504))</f>
        <v/>
      </c>
      <c r="J380" s="8" t="str">
        <f t="shared" si="18"/>
        <v/>
      </c>
      <c r="K380" s="8" t="str">
        <f t="shared" si="19"/>
        <v/>
      </c>
      <c r="L380" s="8" t="str">
        <f t="shared" si="20"/>
        <v/>
      </c>
      <c r="M380" s="8"/>
      <c r="N380" s="8" t="str">
        <f>IF(B380="","",IF(OR(K380="Bajo stock",K380="Sin stock"),COUNTIFS($K$5:$K380,"Bajo stock")+COUNTIFS($K$5:$K380,"Sin stock"),""))</f>
        <v/>
      </c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2:30" s="5" customFormat="1" ht="21.75" customHeight="1" x14ac:dyDescent="0.25">
      <c r="B381" s="8" t="str">
        <f>IF(Productos!B381="","",Productos!B381)</f>
        <v/>
      </c>
      <c r="C381" s="8" t="str">
        <f>IF(Productos!B381="","",Productos!C381)</f>
        <v/>
      </c>
      <c r="D381" s="8" t="str">
        <f>IF(Productos!B381="","",Productos!D381)</f>
        <v/>
      </c>
      <c r="E381" s="8" t="str">
        <f>IF(Productos!B381="","",Productos!E381)</f>
        <v/>
      </c>
      <c r="F381" s="8" t="str">
        <f>IF(Productos!B381="","",Productos!F381)</f>
        <v/>
      </c>
      <c r="G381" s="8" t="str">
        <f>IF(Productos!B381="","",Productos!G381)</f>
        <v/>
      </c>
      <c r="H381" s="8" t="str">
        <f>IF(B381="","",SUMIF('Compras Entradas'!$D$5:$D$504,B381,'Compras Entradas'!$F$5:$F$504))</f>
        <v/>
      </c>
      <c r="I381" s="8" t="str">
        <f>IF(B381="","",SUMIF('Ventas Salidas'!$D$5:$D$504,B381,'Ventas Salidas'!$F$5:$F$504))</f>
        <v/>
      </c>
      <c r="J381" s="8" t="str">
        <f t="shared" si="18"/>
        <v/>
      </c>
      <c r="K381" s="8" t="str">
        <f t="shared" si="19"/>
        <v/>
      </c>
      <c r="L381" s="8" t="str">
        <f t="shared" si="20"/>
        <v/>
      </c>
      <c r="M381" s="8"/>
      <c r="N381" s="8" t="str">
        <f>IF(B381="","",IF(OR(K381="Bajo stock",K381="Sin stock"),COUNTIFS($K$5:$K381,"Bajo stock")+COUNTIFS($K$5:$K381,"Sin stock"),""))</f>
        <v/>
      </c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2:30" s="5" customFormat="1" ht="21.75" customHeight="1" x14ac:dyDescent="0.25">
      <c r="B382" s="8" t="str">
        <f>IF(Productos!B382="","",Productos!B382)</f>
        <v/>
      </c>
      <c r="C382" s="8" t="str">
        <f>IF(Productos!B382="","",Productos!C382)</f>
        <v/>
      </c>
      <c r="D382" s="8" t="str">
        <f>IF(Productos!B382="","",Productos!D382)</f>
        <v/>
      </c>
      <c r="E382" s="8" t="str">
        <f>IF(Productos!B382="","",Productos!E382)</f>
        <v/>
      </c>
      <c r="F382" s="8" t="str">
        <f>IF(Productos!B382="","",Productos!F382)</f>
        <v/>
      </c>
      <c r="G382" s="8" t="str">
        <f>IF(Productos!B382="","",Productos!G382)</f>
        <v/>
      </c>
      <c r="H382" s="8" t="str">
        <f>IF(B382="","",SUMIF('Compras Entradas'!$D$5:$D$504,B382,'Compras Entradas'!$F$5:$F$504))</f>
        <v/>
      </c>
      <c r="I382" s="8" t="str">
        <f>IF(B382="","",SUMIF('Ventas Salidas'!$D$5:$D$504,B382,'Ventas Salidas'!$F$5:$F$504))</f>
        <v/>
      </c>
      <c r="J382" s="8" t="str">
        <f t="shared" si="18"/>
        <v/>
      </c>
      <c r="K382" s="8" t="str">
        <f t="shared" si="19"/>
        <v/>
      </c>
      <c r="L382" s="8" t="str">
        <f t="shared" si="20"/>
        <v/>
      </c>
      <c r="M382" s="8"/>
      <c r="N382" s="8" t="str">
        <f>IF(B382="","",IF(OR(K382="Bajo stock",K382="Sin stock"),COUNTIFS($K$5:$K382,"Bajo stock")+COUNTIFS($K$5:$K382,"Sin stock"),""))</f>
        <v/>
      </c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2:30" s="5" customFormat="1" ht="21.75" customHeight="1" x14ac:dyDescent="0.25">
      <c r="B383" s="8" t="str">
        <f>IF(Productos!B383="","",Productos!B383)</f>
        <v/>
      </c>
      <c r="C383" s="8" t="str">
        <f>IF(Productos!B383="","",Productos!C383)</f>
        <v/>
      </c>
      <c r="D383" s="8" t="str">
        <f>IF(Productos!B383="","",Productos!D383)</f>
        <v/>
      </c>
      <c r="E383" s="8" t="str">
        <f>IF(Productos!B383="","",Productos!E383)</f>
        <v/>
      </c>
      <c r="F383" s="8" t="str">
        <f>IF(Productos!B383="","",Productos!F383)</f>
        <v/>
      </c>
      <c r="G383" s="8" t="str">
        <f>IF(Productos!B383="","",Productos!G383)</f>
        <v/>
      </c>
      <c r="H383" s="8" t="str">
        <f>IF(B383="","",SUMIF('Compras Entradas'!$D$5:$D$504,B383,'Compras Entradas'!$F$5:$F$504))</f>
        <v/>
      </c>
      <c r="I383" s="8" t="str">
        <f>IF(B383="","",SUMIF('Ventas Salidas'!$D$5:$D$504,B383,'Ventas Salidas'!$F$5:$F$504))</f>
        <v/>
      </c>
      <c r="J383" s="8" t="str">
        <f t="shared" si="18"/>
        <v/>
      </c>
      <c r="K383" s="8" t="str">
        <f t="shared" si="19"/>
        <v/>
      </c>
      <c r="L383" s="8" t="str">
        <f t="shared" si="20"/>
        <v/>
      </c>
      <c r="M383" s="8"/>
      <c r="N383" s="8" t="str">
        <f>IF(B383="","",IF(OR(K383="Bajo stock",K383="Sin stock"),COUNTIFS($K$5:$K383,"Bajo stock")+COUNTIFS($K$5:$K383,"Sin stock"),""))</f>
        <v/>
      </c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2:30" s="5" customFormat="1" ht="21.75" customHeight="1" x14ac:dyDescent="0.25">
      <c r="B384" s="8" t="str">
        <f>IF(Productos!B384="","",Productos!B384)</f>
        <v/>
      </c>
      <c r="C384" s="8" t="str">
        <f>IF(Productos!B384="","",Productos!C384)</f>
        <v/>
      </c>
      <c r="D384" s="8" t="str">
        <f>IF(Productos!B384="","",Productos!D384)</f>
        <v/>
      </c>
      <c r="E384" s="8" t="str">
        <f>IF(Productos!B384="","",Productos!E384)</f>
        <v/>
      </c>
      <c r="F384" s="8" t="str">
        <f>IF(Productos!B384="","",Productos!F384)</f>
        <v/>
      </c>
      <c r="G384" s="8" t="str">
        <f>IF(Productos!B384="","",Productos!G384)</f>
        <v/>
      </c>
      <c r="H384" s="8" t="str">
        <f>IF(B384="","",SUMIF('Compras Entradas'!$D$5:$D$504,B384,'Compras Entradas'!$F$5:$F$504))</f>
        <v/>
      </c>
      <c r="I384" s="8" t="str">
        <f>IF(B384="","",SUMIF('Ventas Salidas'!$D$5:$D$504,B384,'Ventas Salidas'!$F$5:$F$504))</f>
        <v/>
      </c>
      <c r="J384" s="8" t="str">
        <f t="shared" si="18"/>
        <v/>
      </c>
      <c r="K384" s="8" t="str">
        <f t="shared" si="19"/>
        <v/>
      </c>
      <c r="L384" s="8" t="str">
        <f t="shared" si="20"/>
        <v/>
      </c>
      <c r="M384" s="8"/>
      <c r="N384" s="8" t="str">
        <f>IF(B384="","",IF(OR(K384="Bajo stock",K384="Sin stock"),COUNTIFS($K$5:$K384,"Bajo stock")+COUNTIFS($K$5:$K384,"Sin stock"),""))</f>
        <v/>
      </c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2:30" s="5" customFormat="1" ht="21.75" customHeight="1" x14ac:dyDescent="0.25">
      <c r="B385" s="8" t="str">
        <f>IF(Productos!B385="","",Productos!B385)</f>
        <v/>
      </c>
      <c r="C385" s="8" t="str">
        <f>IF(Productos!B385="","",Productos!C385)</f>
        <v/>
      </c>
      <c r="D385" s="8" t="str">
        <f>IF(Productos!B385="","",Productos!D385)</f>
        <v/>
      </c>
      <c r="E385" s="8" t="str">
        <f>IF(Productos!B385="","",Productos!E385)</f>
        <v/>
      </c>
      <c r="F385" s="8" t="str">
        <f>IF(Productos!B385="","",Productos!F385)</f>
        <v/>
      </c>
      <c r="G385" s="8" t="str">
        <f>IF(Productos!B385="","",Productos!G385)</f>
        <v/>
      </c>
      <c r="H385" s="8" t="str">
        <f>IF(B385="","",SUMIF('Compras Entradas'!$D$5:$D$504,B385,'Compras Entradas'!$F$5:$F$504))</f>
        <v/>
      </c>
      <c r="I385" s="8" t="str">
        <f>IF(B385="","",SUMIF('Ventas Salidas'!$D$5:$D$504,B385,'Ventas Salidas'!$F$5:$F$504))</f>
        <v/>
      </c>
      <c r="J385" s="8" t="str">
        <f t="shared" si="18"/>
        <v/>
      </c>
      <c r="K385" s="8" t="str">
        <f t="shared" si="19"/>
        <v/>
      </c>
      <c r="L385" s="8" t="str">
        <f t="shared" si="20"/>
        <v/>
      </c>
      <c r="M385" s="8"/>
      <c r="N385" s="8" t="str">
        <f>IF(B385="","",IF(OR(K385="Bajo stock",K385="Sin stock"),COUNTIFS($K$5:$K385,"Bajo stock")+COUNTIFS($K$5:$K385,"Sin stock"),""))</f>
        <v/>
      </c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2:30" s="5" customFormat="1" ht="21.75" customHeight="1" x14ac:dyDescent="0.25">
      <c r="B386" s="8" t="str">
        <f>IF(Productos!B386="","",Productos!B386)</f>
        <v/>
      </c>
      <c r="C386" s="8" t="str">
        <f>IF(Productos!B386="","",Productos!C386)</f>
        <v/>
      </c>
      <c r="D386" s="8" t="str">
        <f>IF(Productos!B386="","",Productos!D386)</f>
        <v/>
      </c>
      <c r="E386" s="8" t="str">
        <f>IF(Productos!B386="","",Productos!E386)</f>
        <v/>
      </c>
      <c r="F386" s="8" t="str">
        <f>IF(Productos!B386="","",Productos!F386)</f>
        <v/>
      </c>
      <c r="G386" s="8" t="str">
        <f>IF(Productos!B386="","",Productos!G386)</f>
        <v/>
      </c>
      <c r="H386" s="8" t="str">
        <f>IF(B386="","",SUMIF('Compras Entradas'!$D$5:$D$504,B386,'Compras Entradas'!$F$5:$F$504))</f>
        <v/>
      </c>
      <c r="I386" s="8" t="str">
        <f>IF(B386="","",SUMIF('Ventas Salidas'!$D$5:$D$504,B386,'Ventas Salidas'!$F$5:$F$504))</f>
        <v/>
      </c>
      <c r="J386" s="8" t="str">
        <f t="shared" si="18"/>
        <v/>
      </c>
      <c r="K386" s="8" t="str">
        <f t="shared" si="19"/>
        <v/>
      </c>
      <c r="L386" s="8" t="str">
        <f t="shared" si="20"/>
        <v/>
      </c>
      <c r="M386" s="8"/>
      <c r="N386" s="8" t="str">
        <f>IF(B386="","",IF(OR(K386="Bajo stock",K386="Sin stock"),COUNTIFS($K$5:$K386,"Bajo stock")+COUNTIFS($K$5:$K386,"Sin stock"),""))</f>
        <v/>
      </c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2:30" s="5" customFormat="1" ht="21.75" customHeight="1" x14ac:dyDescent="0.25">
      <c r="B387" s="8" t="str">
        <f>IF(Productos!B387="","",Productos!B387)</f>
        <v/>
      </c>
      <c r="C387" s="8" t="str">
        <f>IF(Productos!B387="","",Productos!C387)</f>
        <v/>
      </c>
      <c r="D387" s="8" t="str">
        <f>IF(Productos!B387="","",Productos!D387)</f>
        <v/>
      </c>
      <c r="E387" s="8" t="str">
        <f>IF(Productos!B387="","",Productos!E387)</f>
        <v/>
      </c>
      <c r="F387" s="8" t="str">
        <f>IF(Productos!B387="","",Productos!F387)</f>
        <v/>
      </c>
      <c r="G387" s="8" t="str">
        <f>IF(Productos!B387="","",Productos!G387)</f>
        <v/>
      </c>
      <c r="H387" s="8" t="str">
        <f>IF(B387="","",SUMIF('Compras Entradas'!$D$5:$D$504,B387,'Compras Entradas'!$F$5:$F$504))</f>
        <v/>
      </c>
      <c r="I387" s="8" t="str">
        <f>IF(B387="","",SUMIF('Ventas Salidas'!$D$5:$D$504,B387,'Ventas Salidas'!$F$5:$F$504))</f>
        <v/>
      </c>
      <c r="J387" s="8" t="str">
        <f t="shared" si="18"/>
        <v/>
      </c>
      <c r="K387" s="8" t="str">
        <f t="shared" si="19"/>
        <v/>
      </c>
      <c r="L387" s="8" t="str">
        <f t="shared" si="20"/>
        <v/>
      </c>
      <c r="M387" s="8"/>
      <c r="N387" s="8" t="str">
        <f>IF(B387="","",IF(OR(K387="Bajo stock",K387="Sin stock"),COUNTIFS($K$5:$K387,"Bajo stock")+COUNTIFS($K$5:$K387,"Sin stock"),""))</f>
        <v/>
      </c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2:30" s="5" customFormat="1" ht="21.75" customHeight="1" x14ac:dyDescent="0.25">
      <c r="B388" s="8" t="str">
        <f>IF(Productos!B388="","",Productos!B388)</f>
        <v/>
      </c>
      <c r="C388" s="8" t="str">
        <f>IF(Productos!B388="","",Productos!C388)</f>
        <v/>
      </c>
      <c r="D388" s="8" t="str">
        <f>IF(Productos!B388="","",Productos!D388)</f>
        <v/>
      </c>
      <c r="E388" s="8" t="str">
        <f>IF(Productos!B388="","",Productos!E388)</f>
        <v/>
      </c>
      <c r="F388" s="8" t="str">
        <f>IF(Productos!B388="","",Productos!F388)</f>
        <v/>
      </c>
      <c r="G388" s="8" t="str">
        <f>IF(Productos!B388="","",Productos!G388)</f>
        <v/>
      </c>
      <c r="H388" s="8" t="str">
        <f>IF(B388="","",SUMIF('Compras Entradas'!$D$5:$D$504,B388,'Compras Entradas'!$F$5:$F$504))</f>
        <v/>
      </c>
      <c r="I388" s="8" t="str">
        <f>IF(B388="","",SUMIF('Ventas Salidas'!$D$5:$D$504,B388,'Ventas Salidas'!$F$5:$F$504))</f>
        <v/>
      </c>
      <c r="J388" s="8" t="str">
        <f t="shared" si="18"/>
        <v/>
      </c>
      <c r="K388" s="8" t="str">
        <f t="shared" si="19"/>
        <v/>
      </c>
      <c r="L388" s="8" t="str">
        <f t="shared" si="20"/>
        <v/>
      </c>
      <c r="M388" s="8"/>
      <c r="N388" s="8" t="str">
        <f>IF(B388="","",IF(OR(K388="Bajo stock",K388="Sin stock"),COUNTIFS($K$5:$K388,"Bajo stock")+COUNTIFS($K$5:$K388,"Sin stock"),""))</f>
        <v/>
      </c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2:30" s="5" customFormat="1" ht="21.75" customHeight="1" x14ac:dyDescent="0.25">
      <c r="B389" s="8" t="str">
        <f>IF(Productos!B389="","",Productos!B389)</f>
        <v/>
      </c>
      <c r="C389" s="8" t="str">
        <f>IF(Productos!B389="","",Productos!C389)</f>
        <v/>
      </c>
      <c r="D389" s="8" t="str">
        <f>IF(Productos!B389="","",Productos!D389)</f>
        <v/>
      </c>
      <c r="E389" s="8" t="str">
        <f>IF(Productos!B389="","",Productos!E389)</f>
        <v/>
      </c>
      <c r="F389" s="8" t="str">
        <f>IF(Productos!B389="","",Productos!F389)</f>
        <v/>
      </c>
      <c r="G389" s="8" t="str">
        <f>IF(Productos!B389="","",Productos!G389)</f>
        <v/>
      </c>
      <c r="H389" s="8" t="str">
        <f>IF(B389="","",SUMIF('Compras Entradas'!$D$5:$D$504,B389,'Compras Entradas'!$F$5:$F$504))</f>
        <v/>
      </c>
      <c r="I389" s="8" t="str">
        <f>IF(B389="","",SUMIF('Ventas Salidas'!$D$5:$D$504,B389,'Ventas Salidas'!$F$5:$F$504))</f>
        <v/>
      </c>
      <c r="J389" s="8" t="str">
        <f t="shared" ref="J389:J452" si="21">IF(B389="","",G389+H389-I389)</f>
        <v/>
      </c>
      <c r="K389" s="8" t="str">
        <f t="shared" ref="K389:K452" si="22">IF(B389="","",IF(J389&lt;=0,"Sin stock",IF(J389&lt;F389,"Bajo stock","OK")))</f>
        <v/>
      </c>
      <c r="L389" s="8" t="str">
        <f t="shared" ref="L389:L452" si="23">IF(B389="","",IF(J389&lt;=0,"Comprar urgente",IF(J389&lt;F389,"Reponer pronto","Stock suficiente")))</f>
        <v/>
      </c>
      <c r="M389" s="8"/>
      <c r="N389" s="8" t="str">
        <f>IF(B389="","",IF(OR(K389="Bajo stock",K389="Sin stock"),COUNTIFS($K$5:$K389,"Bajo stock")+COUNTIFS($K$5:$K389,"Sin stock"),""))</f>
        <v/>
      </c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2:30" s="5" customFormat="1" ht="21.75" customHeight="1" x14ac:dyDescent="0.25">
      <c r="B390" s="8" t="str">
        <f>IF(Productos!B390="","",Productos!B390)</f>
        <v/>
      </c>
      <c r="C390" s="8" t="str">
        <f>IF(Productos!B390="","",Productos!C390)</f>
        <v/>
      </c>
      <c r="D390" s="8" t="str">
        <f>IF(Productos!B390="","",Productos!D390)</f>
        <v/>
      </c>
      <c r="E390" s="8" t="str">
        <f>IF(Productos!B390="","",Productos!E390)</f>
        <v/>
      </c>
      <c r="F390" s="8" t="str">
        <f>IF(Productos!B390="","",Productos!F390)</f>
        <v/>
      </c>
      <c r="G390" s="8" t="str">
        <f>IF(Productos!B390="","",Productos!G390)</f>
        <v/>
      </c>
      <c r="H390" s="8" t="str">
        <f>IF(B390="","",SUMIF('Compras Entradas'!$D$5:$D$504,B390,'Compras Entradas'!$F$5:$F$504))</f>
        <v/>
      </c>
      <c r="I390" s="8" t="str">
        <f>IF(B390="","",SUMIF('Ventas Salidas'!$D$5:$D$504,B390,'Ventas Salidas'!$F$5:$F$504))</f>
        <v/>
      </c>
      <c r="J390" s="8" t="str">
        <f t="shared" si="21"/>
        <v/>
      </c>
      <c r="K390" s="8" t="str">
        <f t="shared" si="22"/>
        <v/>
      </c>
      <c r="L390" s="8" t="str">
        <f t="shared" si="23"/>
        <v/>
      </c>
      <c r="M390" s="8"/>
      <c r="N390" s="8" t="str">
        <f>IF(B390="","",IF(OR(K390="Bajo stock",K390="Sin stock"),COUNTIFS($K$5:$K390,"Bajo stock")+COUNTIFS($K$5:$K390,"Sin stock"),""))</f>
        <v/>
      </c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2:30" s="5" customFormat="1" ht="21.75" customHeight="1" x14ac:dyDescent="0.25">
      <c r="B391" s="8" t="str">
        <f>IF(Productos!B391="","",Productos!B391)</f>
        <v/>
      </c>
      <c r="C391" s="8" t="str">
        <f>IF(Productos!B391="","",Productos!C391)</f>
        <v/>
      </c>
      <c r="D391" s="8" t="str">
        <f>IF(Productos!B391="","",Productos!D391)</f>
        <v/>
      </c>
      <c r="E391" s="8" t="str">
        <f>IF(Productos!B391="","",Productos!E391)</f>
        <v/>
      </c>
      <c r="F391" s="8" t="str">
        <f>IF(Productos!B391="","",Productos!F391)</f>
        <v/>
      </c>
      <c r="G391" s="8" t="str">
        <f>IF(Productos!B391="","",Productos!G391)</f>
        <v/>
      </c>
      <c r="H391" s="8" t="str">
        <f>IF(B391="","",SUMIF('Compras Entradas'!$D$5:$D$504,B391,'Compras Entradas'!$F$5:$F$504))</f>
        <v/>
      </c>
      <c r="I391" s="8" t="str">
        <f>IF(B391="","",SUMIF('Ventas Salidas'!$D$5:$D$504,B391,'Ventas Salidas'!$F$5:$F$504))</f>
        <v/>
      </c>
      <c r="J391" s="8" t="str">
        <f t="shared" si="21"/>
        <v/>
      </c>
      <c r="K391" s="8" t="str">
        <f t="shared" si="22"/>
        <v/>
      </c>
      <c r="L391" s="8" t="str">
        <f t="shared" si="23"/>
        <v/>
      </c>
      <c r="M391" s="8"/>
      <c r="N391" s="8" t="str">
        <f>IF(B391="","",IF(OR(K391="Bajo stock",K391="Sin stock"),COUNTIFS($K$5:$K391,"Bajo stock")+COUNTIFS($K$5:$K391,"Sin stock"),""))</f>
        <v/>
      </c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2:30" s="5" customFormat="1" ht="21.75" customHeight="1" x14ac:dyDescent="0.25">
      <c r="B392" s="8" t="str">
        <f>IF(Productos!B392="","",Productos!B392)</f>
        <v/>
      </c>
      <c r="C392" s="8" t="str">
        <f>IF(Productos!B392="","",Productos!C392)</f>
        <v/>
      </c>
      <c r="D392" s="8" t="str">
        <f>IF(Productos!B392="","",Productos!D392)</f>
        <v/>
      </c>
      <c r="E392" s="8" t="str">
        <f>IF(Productos!B392="","",Productos!E392)</f>
        <v/>
      </c>
      <c r="F392" s="8" t="str">
        <f>IF(Productos!B392="","",Productos!F392)</f>
        <v/>
      </c>
      <c r="G392" s="8" t="str">
        <f>IF(Productos!B392="","",Productos!G392)</f>
        <v/>
      </c>
      <c r="H392" s="8" t="str">
        <f>IF(B392="","",SUMIF('Compras Entradas'!$D$5:$D$504,B392,'Compras Entradas'!$F$5:$F$504))</f>
        <v/>
      </c>
      <c r="I392" s="8" t="str">
        <f>IF(B392="","",SUMIF('Ventas Salidas'!$D$5:$D$504,B392,'Ventas Salidas'!$F$5:$F$504))</f>
        <v/>
      </c>
      <c r="J392" s="8" t="str">
        <f t="shared" si="21"/>
        <v/>
      </c>
      <c r="K392" s="8" t="str">
        <f t="shared" si="22"/>
        <v/>
      </c>
      <c r="L392" s="8" t="str">
        <f t="shared" si="23"/>
        <v/>
      </c>
      <c r="M392" s="8"/>
      <c r="N392" s="8" t="str">
        <f>IF(B392="","",IF(OR(K392="Bajo stock",K392="Sin stock"),COUNTIFS($K$5:$K392,"Bajo stock")+COUNTIFS($K$5:$K392,"Sin stock"),""))</f>
        <v/>
      </c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2:30" s="5" customFormat="1" ht="21.75" customHeight="1" x14ac:dyDescent="0.25">
      <c r="B393" s="8" t="str">
        <f>IF(Productos!B393="","",Productos!B393)</f>
        <v/>
      </c>
      <c r="C393" s="8" t="str">
        <f>IF(Productos!B393="","",Productos!C393)</f>
        <v/>
      </c>
      <c r="D393" s="8" t="str">
        <f>IF(Productos!B393="","",Productos!D393)</f>
        <v/>
      </c>
      <c r="E393" s="8" t="str">
        <f>IF(Productos!B393="","",Productos!E393)</f>
        <v/>
      </c>
      <c r="F393" s="8" t="str">
        <f>IF(Productos!B393="","",Productos!F393)</f>
        <v/>
      </c>
      <c r="G393" s="8" t="str">
        <f>IF(Productos!B393="","",Productos!G393)</f>
        <v/>
      </c>
      <c r="H393" s="8" t="str">
        <f>IF(B393="","",SUMIF('Compras Entradas'!$D$5:$D$504,B393,'Compras Entradas'!$F$5:$F$504))</f>
        <v/>
      </c>
      <c r="I393" s="8" t="str">
        <f>IF(B393="","",SUMIF('Ventas Salidas'!$D$5:$D$504,B393,'Ventas Salidas'!$F$5:$F$504))</f>
        <v/>
      </c>
      <c r="J393" s="8" t="str">
        <f t="shared" si="21"/>
        <v/>
      </c>
      <c r="K393" s="8" t="str">
        <f t="shared" si="22"/>
        <v/>
      </c>
      <c r="L393" s="8" t="str">
        <f t="shared" si="23"/>
        <v/>
      </c>
      <c r="M393" s="8"/>
      <c r="N393" s="8" t="str">
        <f>IF(B393="","",IF(OR(K393="Bajo stock",K393="Sin stock"),COUNTIFS($K$5:$K393,"Bajo stock")+COUNTIFS($K$5:$K393,"Sin stock"),""))</f>
        <v/>
      </c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2:30" s="5" customFormat="1" ht="21.75" customHeight="1" x14ac:dyDescent="0.25">
      <c r="B394" s="8" t="str">
        <f>IF(Productos!B394="","",Productos!B394)</f>
        <v/>
      </c>
      <c r="C394" s="8" t="str">
        <f>IF(Productos!B394="","",Productos!C394)</f>
        <v/>
      </c>
      <c r="D394" s="8" t="str">
        <f>IF(Productos!B394="","",Productos!D394)</f>
        <v/>
      </c>
      <c r="E394" s="8" t="str">
        <f>IF(Productos!B394="","",Productos!E394)</f>
        <v/>
      </c>
      <c r="F394" s="8" t="str">
        <f>IF(Productos!B394="","",Productos!F394)</f>
        <v/>
      </c>
      <c r="G394" s="8" t="str">
        <f>IF(Productos!B394="","",Productos!G394)</f>
        <v/>
      </c>
      <c r="H394" s="8" t="str">
        <f>IF(B394="","",SUMIF('Compras Entradas'!$D$5:$D$504,B394,'Compras Entradas'!$F$5:$F$504))</f>
        <v/>
      </c>
      <c r="I394" s="8" t="str">
        <f>IF(B394="","",SUMIF('Ventas Salidas'!$D$5:$D$504,B394,'Ventas Salidas'!$F$5:$F$504))</f>
        <v/>
      </c>
      <c r="J394" s="8" t="str">
        <f t="shared" si="21"/>
        <v/>
      </c>
      <c r="K394" s="8" t="str">
        <f t="shared" si="22"/>
        <v/>
      </c>
      <c r="L394" s="8" t="str">
        <f t="shared" si="23"/>
        <v/>
      </c>
      <c r="M394" s="8"/>
      <c r="N394" s="8" t="str">
        <f>IF(B394="","",IF(OR(K394="Bajo stock",K394="Sin stock"),COUNTIFS($K$5:$K394,"Bajo stock")+COUNTIFS($K$5:$K394,"Sin stock"),""))</f>
        <v/>
      </c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2:30" s="5" customFormat="1" ht="21.75" customHeight="1" x14ac:dyDescent="0.25">
      <c r="B395" s="8" t="str">
        <f>IF(Productos!B395="","",Productos!B395)</f>
        <v/>
      </c>
      <c r="C395" s="8" t="str">
        <f>IF(Productos!B395="","",Productos!C395)</f>
        <v/>
      </c>
      <c r="D395" s="8" t="str">
        <f>IF(Productos!B395="","",Productos!D395)</f>
        <v/>
      </c>
      <c r="E395" s="8" t="str">
        <f>IF(Productos!B395="","",Productos!E395)</f>
        <v/>
      </c>
      <c r="F395" s="8" t="str">
        <f>IF(Productos!B395="","",Productos!F395)</f>
        <v/>
      </c>
      <c r="G395" s="8" t="str">
        <f>IF(Productos!B395="","",Productos!G395)</f>
        <v/>
      </c>
      <c r="H395" s="8" t="str">
        <f>IF(B395="","",SUMIF('Compras Entradas'!$D$5:$D$504,B395,'Compras Entradas'!$F$5:$F$504))</f>
        <v/>
      </c>
      <c r="I395" s="8" t="str">
        <f>IF(B395="","",SUMIF('Ventas Salidas'!$D$5:$D$504,B395,'Ventas Salidas'!$F$5:$F$504))</f>
        <v/>
      </c>
      <c r="J395" s="8" t="str">
        <f t="shared" si="21"/>
        <v/>
      </c>
      <c r="K395" s="8" t="str">
        <f t="shared" si="22"/>
        <v/>
      </c>
      <c r="L395" s="8" t="str">
        <f t="shared" si="23"/>
        <v/>
      </c>
      <c r="M395" s="8"/>
      <c r="N395" s="8" t="str">
        <f>IF(B395="","",IF(OR(K395="Bajo stock",K395="Sin stock"),COUNTIFS($K$5:$K395,"Bajo stock")+COUNTIFS($K$5:$K395,"Sin stock"),""))</f>
        <v/>
      </c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2:30" s="5" customFormat="1" ht="21.75" customHeight="1" x14ac:dyDescent="0.25">
      <c r="B396" s="8" t="str">
        <f>IF(Productos!B396="","",Productos!B396)</f>
        <v/>
      </c>
      <c r="C396" s="8" t="str">
        <f>IF(Productos!B396="","",Productos!C396)</f>
        <v/>
      </c>
      <c r="D396" s="8" t="str">
        <f>IF(Productos!B396="","",Productos!D396)</f>
        <v/>
      </c>
      <c r="E396" s="8" t="str">
        <f>IF(Productos!B396="","",Productos!E396)</f>
        <v/>
      </c>
      <c r="F396" s="8" t="str">
        <f>IF(Productos!B396="","",Productos!F396)</f>
        <v/>
      </c>
      <c r="G396" s="8" t="str">
        <f>IF(Productos!B396="","",Productos!G396)</f>
        <v/>
      </c>
      <c r="H396" s="8" t="str">
        <f>IF(B396="","",SUMIF('Compras Entradas'!$D$5:$D$504,B396,'Compras Entradas'!$F$5:$F$504))</f>
        <v/>
      </c>
      <c r="I396" s="8" t="str">
        <f>IF(B396="","",SUMIF('Ventas Salidas'!$D$5:$D$504,B396,'Ventas Salidas'!$F$5:$F$504))</f>
        <v/>
      </c>
      <c r="J396" s="8" t="str">
        <f t="shared" si="21"/>
        <v/>
      </c>
      <c r="K396" s="8" t="str">
        <f t="shared" si="22"/>
        <v/>
      </c>
      <c r="L396" s="8" t="str">
        <f t="shared" si="23"/>
        <v/>
      </c>
      <c r="M396" s="8"/>
      <c r="N396" s="8" t="str">
        <f>IF(B396="","",IF(OR(K396="Bajo stock",K396="Sin stock"),COUNTIFS($K$5:$K396,"Bajo stock")+COUNTIFS($K$5:$K396,"Sin stock"),""))</f>
        <v/>
      </c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2:30" s="5" customFormat="1" ht="21.75" customHeight="1" x14ac:dyDescent="0.25">
      <c r="B397" s="8" t="str">
        <f>IF(Productos!B397="","",Productos!B397)</f>
        <v/>
      </c>
      <c r="C397" s="8" t="str">
        <f>IF(Productos!B397="","",Productos!C397)</f>
        <v/>
      </c>
      <c r="D397" s="8" t="str">
        <f>IF(Productos!B397="","",Productos!D397)</f>
        <v/>
      </c>
      <c r="E397" s="8" t="str">
        <f>IF(Productos!B397="","",Productos!E397)</f>
        <v/>
      </c>
      <c r="F397" s="8" t="str">
        <f>IF(Productos!B397="","",Productos!F397)</f>
        <v/>
      </c>
      <c r="G397" s="8" t="str">
        <f>IF(Productos!B397="","",Productos!G397)</f>
        <v/>
      </c>
      <c r="H397" s="8" t="str">
        <f>IF(B397="","",SUMIF('Compras Entradas'!$D$5:$D$504,B397,'Compras Entradas'!$F$5:$F$504))</f>
        <v/>
      </c>
      <c r="I397" s="8" t="str">
        <f>IF(B397="","",SUMIF('Ventas Salidas'!$D$5:$D$504,B397,'Ventas Salidas'!$F$5:$F$504))</f>
        <v/>
      </c>
      <c r="J397" s="8" t="str">
        <f t="shared" si="21"/>
        <v/>
      </c>
      <c r="K397" s="8" t="str">
        <f t="shared" si="22"/>
        <v/>
      </c>
      <c r="L397" s="8" t="str">
        <f t="shared" si="23"/>
        <v/>
      </c>
      <c r="M397" s="8"/>
      <c r="N397" s="8" t="str">
        <f>IF(B397="","",IF(OR(K397="Bajo stock",K397="Sin stock"),COUNTIFS($K$5:$K397,"Bajo stock")+COUNTIFS($K$5:$K397,"Sin stock"),""))</f>
        <v/>
      </c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2:30" s="5" customFormat="1" ht="21.75" customHeight="1" x14ac:dyDescent="0.25">
      <c r="B398" s="8" t="str">
        <f>IF(Productos!B398="","",Productos!B398)</f>
        <v/>
      </c>
      <c r="C398" s="8" t="str">
        <f>IF(Productos!B398="","",Productos!C398)</f>
        <v/>
      </c>
      <c r="D398" s="8" t="str">
        <f>IF(Productos!B398="","",Productos!D398)</f>
        <v/>
      </c>
      <c r="E398" s="8" t="str">
        <f>IF(Productos!B398="","",Productos!E398)</f>
        <v/>
      </c>
      <c r="F398" s="8" t="str">
        <f>IF(Productos!B398="","",Productos!F398)</f>
        <v/>
      </c>
      <c r="G398" s="8" t="str">
        <f>IF(Productos!B398="","",Productos!G398)</f>
        <v/>
      </c>
      <c r="H398" s="8" t="str">
        <f>IF(B398="","",SUMIF('Compras Entradas'!$D$5:$D$504,B398,'Compras Entradas'!$F$5:$F$504))</f>
        <v/>
      </c>
      <c r="I398" s="8" t="str">
        <f>IF(B398="","",SUMIF('Ventas Salidas'!$D$5:$D$504,B398,'Ventas Salidas'!$F$5:$F$504))</f>
        <v/>
      </c>
      <c r="J398" s="8" t="str">
        <f t="shared" si="21"/>
        <v/>
      </c>
      <c r="K398" s="8" t="str">
        <f t="shared" si="22"/>
        <v/>
      </c>
      <c r="L398" s="8" t="str">
        <f t="shared" si="23"/>
        <v/>
      </c>
      <c r="M398" s="8"/>
      <c r="N398" s="8" t="str">
        <f>IF(B398="","",IF(OR(K398="Bajo stock",K398="Sin stock"),COUNTIFS($K$5:$K398,"Bajo stock")+COUNTIFS($K$5:$K398,"Sin stock"),""))</f>
        <v/>
      </c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2:30" s="5" customFormat="1" ht="21.75" customHeight="1" x14ac:dyDescent="0.25">
      <c r="B399" s="8" t="str">
        <f>IF(Productos!B399="","",Productos!B399)</f>
        <v/>
      </c>
      <c r="C399" s="8" t="str">
        <f>IF(Productos!B399="","",Productos!C399)</f>
        <v/>
      </c>
      <c r="D399" s="8" t="str">
        <f>IF(Productos!B399="","",Productos!D399)</f>
        <v/>
      </c>
      <c r="E399" s="8" t="str">
        <f>IF(Productos!B399="","",Productos!E399)</f>
        <v/>
      </c>
      <c r="F399" s="8" t="str">
        <f>IF(Productos!B399="","",Productos!F399)</f>
        <v/>
      </c>
      <c r="G399" s="8" t="str">
        <f>IF(Productos!B399="","",Productos!G399)</f>
        <v/>
      </c>
      <c r="H399" s="8" t="str">
        <f>IF(B399="","",SUMIF('Compras Entradas'!$D$5:$D$504,B399,'Compras Entradas'!$F$5:$F$504))</f>
        <v/>
      </c>
      <c r="I399" s="8" t="str">
        <f>IF(B399="","",SUMIF('Ventas Salidas'!$D$5:$D$504,B399,'Ventas Salidas'!$F$5:$F$504))</f>
        <v/>
      </c>
      <c r="J399" s="8" t="str">
        <f t="shared" si="21"/>
        <v/>
      </c>
      <c r="K399" s="8" t="str">
        <f t="shared" si="22"/>
        <v/>
      </c>
      <c r="L399" s="8" t="str">
        <f t="shared" si="23"/>
        <v/>
      </c>
      <c r="M399" s="8"/>
      <c r="N399" s="8" t="str">
        <f>IF(B399="","",IF(OR(K399="Bajo stock",K399="Sin stock"),COUNTIFS($K$5:$K399,"Bajo stock")+COUNTIFS($K$5:$K399,"Sin stock"),""))</f>
        <v/>
      </c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2:30" s="5" customFormat="1" ht="21.75" customHeight="1" x14ac:dyDescent="0.25">
      <c r="B400" s="8" t="str">
        <f>IF(Productos!B400="","",Productos!B400)</f>
        <v/>
      </c>
      <c r="C400" s="8" t="str">
        <f>IF(Productos!B400="","",Productos!C400)</f>
        <v/>
      </c>
      <c r="D400" s="8" t="str">
        <f>IF(Productos!B400="","",Productos!D400)</f>
        <v/>
      </c>
      <c r="E400" s="8" t="str">
        <f>IF(Productos!B400="","",Productos!E400)</f>
        <v/>
      </c>
      <c r="F400" s="8" t="str">
        <f>IF(Productos!B400="","",Productos!F400)</f>
        <v/>
      </c>
      <c r="G400" s="8" t="str">
        <f>IF(Productos!B400="","",Productos!G400)</f>
        <v/>
      </c>
      <c r="H400" s="8" t="str">
        <f>IF(B400="","",SUMIF('Compras Entradas'!$D$5:$D$504,B400,'Compras Entradas'!$F$5:$F$504))</f>
        <v/>
      </c>
      <c r="I400" s="8" t="str">
        <f>IF(B400="","",SUMIF('Ventas Salidas'!$D$5:$D$504,B400,'Ventas Salidas'!$F$5:$F$504))</f>
        <v/>
      </c>
      <c r="J400" s="8" t="str">
        <f t="shared" si="21"/>
        <v/>
      </c>
      <c r="K400" s="8" t="str">
        <f t="shared" si="22"/>
        <v/>
      </c>
      <c r="L400" s="8" t="str">
        <f t="shared" si="23"/>
        <v/>
      </c>
      <c r="M400" s="8"/>
      <c r="N400" s="8" t="str">
        <f>IF(B400="","",IF(OR(K400="Bajo stock",K400="Sin stock"),COUNTIFS($K$5:$K400,"Bajo stock")+COUNTIFS($K$5:$K400,"Sin stock"),""))</f>
        <v/>
      </c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2:30" s="5" customFormat="1" ht="21.75" customHeight="1" x14ac:dyDescent="0.25">
      <c r="B401" s="8" t="str">
        <f>IF(Productos!B401="","",Productos!B401)</f>
        <v/>
      </c>
      <c r="C401" s="8" t="str">
        <f>IF(Productos!B401="","",Productos!C401)</f>
        <v/>
      </c>
      <c r="D401" s="8" t="str">
        <f>IF(Productos!B401="","",Productos!D401)</f>
        <v/>
      </c>
      <c r="E401" s="8" t="str">
        <f>IF(Productos!B401="","",Productos!E401)</f>
        <v/>
      </c>
      <c r="F401" s="8" t="str">
        <f>IF(Productos!B401="","",Productos!F401)</f>
        <v/>
      </c>
      <c r="G401" s="8" t="str">
        <f>IF(Productos!B401="","",Productos!G401)</f>
        <v/>
      </c>
      <c r="H401" s="8" t="str">
        <f>IF(B401="","",SUMIF('Compras Entradas'!$D$5:$D$504,B401,'Compras Entradas'!$F$5:$F$504))</f>
        <v/>
      </c>
      <c r="I401" s="8" t="str">
        <f>IF(B401="","",SUMIF('Ventas Salidas'!$D$5:$D$504,B401,'Ventas Salidas'!$F$5:$F$504))</f>
        <v/>
      </c>
      <c r="J401" s="8" t="str">
        <f t="shared" si="21"/>
        <v/>
      </c>
      <c r="K401" s="8" t="str">
        <f t="shared" si="22"/>
        <v/>
      </c>
      <c r="L401" s="8" t="str">
        <f t="shared" si="23"/>
        <v/>
      </c>
      <c r="M401" s="8"/>
      <c r="N401" s="8" t="str">
        <f>IF(B401="","",IF(OR(K401="Bajo stock",K401="Sin stock"),COUNTIFS($K$5:$K401,"Bajo stock")+COUNTIFS($K$5:$K401,"Sin stock"),""))</f>
        <v/>
      </c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2:30" s="5" customFormat="1" ht="21.75" customHeight="1" x14ac:dyDescent="0.25">
      <c r="B402" s="8" t="str">
        <f>IF(Productos!B402="","",Productos!B402)</f>
        <v/>
      </c>
      <c r="C402" s="8" t="str">
        <f>IF(Productos!B402="","",Productos!C402)</f>
        <v/>
      </c>
      <c r="D402" s="8" t="str">
        <f>IF(Productos!B402="","",Productos!D402)</f>
        <v/>
      </c>
      <c r="E402" s="8" t="str">
        <f>IF(Productos!B402="","",Productos!E402)</f>
        <v/>
      </c>
      <c r="F402" s="8" t="str">
        <f>IF(Productos!B402="","",Productos!F402)</f>
        <v/>
      </c>
      <c r="G402" s="8" t="str">
        <f>IF(Productos!B402="","",Productos!G402)</f>
        <v/>
      </c>
      <c r="H402" s="8" t="str">
        <f>IF(B402="","",SUMIF('Compras Entradas'!$D$5:$D$504,B402,'Compras Entradas'!$F$5:$F$504))</f>
        <v/>
      </c>
      <c r="I402" s="8" t="str">
        <f>IF(B402="","",SUMIF('Ventas Salidas'!$D$5:$D$504,B402,'Ventas Salidas'!$F$5:$F$504))</f>
        <v/>
      </c>
      <c r="J402" s="8" t="str">
        <f t="shared" si="21"/>
        <v/>
      </c>
      <c r="K402" s="8" t="str">
        <f t="shared" si="22"/>
        <v/>
      </c>
      <c r="L402" s="8" t="str">
        <f t="shared" si="23"/>
        <v/>
      </c>
      <c r="M402" s="8"/>
      <c r="N402" s="8" t="str">
        <f>IF(B402="","",IF(OR(K402="Bajo stock",K402="Sin stock"),COUNTIFS($K$5:$K402,"Bajo stock")+COUNTIFS($K$5:$K402,"Sin stock"),""))</f>
        <v/>
      </c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2:30" s="5" customFormat="1" ht="21.75" customHeight="1" x14ac:dyDescent="0.25">
      <c r="B403" s="8" t="str">
        <f>IF(Productos!B403="","",Productos!B403)</f>
        <v/>
      </c>
      <c r="C403" s="8" t="str">
        <f>IF(Productos!B403="","",Productos!C403)</f>
        <v/>
      </c>
      <c r="D403" s="8" t="str">
        <f>IF(Productos!B403="","",Productos!D403)</f>
        <v/>
      </c>
      <c r="E403" s="8" t="str">
        <f>IF(Productos!B403="","",Productos!E403)</f>
        <v/>
      </c>
      <c r="F403" s="8" t="str">
        <f>IF(Productos!B403="","",Productos!F403)</f>
        <v/>
      </c>
      <c r="G403" s="8" t="str">
        <f>IF(Productos!B403="","",Productos!G403)</f>
        <v/>
      </c>
      <c r="H403" s="8" t="str">
        <f>IF(B403="","",SUMIF('Compras Entradas'!$D$5:$D$504,B403,'Compras Entradas'!$F$5:$F$504))</f>
        <v/>
      </c>
      <c r="I403" s="8" t="str">
        <f>IF(B403="","",SUMIF('Ventas Salidas'!$D$5:$D$504,B403,'Ventas Salidas'!$F$5:$F$504))</f>
        <v/>
      </c>
      <c r="J403" s="8" t="str">
        <f t="shared" si="21"/>
        <v/>
      </c>
      <c r="K403" s="8" t="str">
        <f t="shared" si="22"/>
        <v/>
      </c>
      <c r="L403" s="8" t="str">
        <f t="shared" si="23"/>
        <v/>
      </c>
      <c r="M403" s="8"/>
      <c r="N403" s="8" t="str">
        <f>IF(B403="","",IF(OR(K403="Bajo stock",K403="Sin stock"),COUNTIFS($K$5:$K403,"Bajo stock")+COUNTIFS($K$5:$K403,"Sin stock"),""))</f>
        <v/>
      </c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2:30" s="5" customFormat="1" ht="21.75" customHeight="1" x14ac:dyDescent="0.25">
      <c r="B404" s="8" t="str">
        <f>IF(Productos!B404="","",Productos!B404)</f>
        <v/>
      </c>
      <c r="C404" s="8" t="str">
        <f>IF(Productos!B404="","",Productos!C404)</f>
        <v/>
      </c>
      <c r="D404" s="8" t="str">
        <f>IF(Productos!B404="","",Productos!D404)</f>
        <v/>
      </c>
      <c r="E404" s="8" t="str">
        <f>IF(Productos!B404="","",Productos!E404)</f>
        <v/>
      </c>
      <c r="F404" s="8" t="str">
        <f>IF(Productos!B404="","",Productos!F404)</f>
        <v/>
      </c>
      <c r="G404" s="8" t="str">
        <f>IF(Productos!B404="","",Productos!G404)</f>
        <v/>
      </c>
      <c r="H404" s="8" t="str">
        <f>IF(B404="","",SUMIF('Compras Entradas'!$D$5:$D$504,B404,'Compras Entradas'!$F$5:$F$504))</f>
        <v/>
      </c>
      <c r="I404" s="8" t="str">
        <f>IF(B404="","",SUMIF('Ventas Salidas'!$D$5:$D$504,B404,'Ventas Salidas'!$F$5:$F$504))</f>
        <v/>
      </c>
      <c r="J404" s="8" t="str">
        <f t="shared" si="21"/>
        <v/>
      </c>
      <c r="K404" s="8" t="str">
        <f t="shared" si="22"/>
        <v/>
      </c>
      <c r="L404" s="8" t="str">
        <f t="shared" si="23"/>
        <v/>
      </c>
      <c r="M404" s="8"/>
      <c r="N404" s="8" t="str">
        <f>IF(B404="","",IF(OR(K404="Bajo stock",K404="Sin stock"),COUNTIFS($K$5:$K404,"Bajo stock")+COUNTIFS($K$5:$K404,"Sin stock"),""))</f>
        <v/>
      </c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2:30" s="5" customFormat="1" ht="21.75" customHeight="1" x14ac:dyDescent="0.25">
      <c r="B405" s="8" t="str">
        <f>IF(Productos!B405="","",Productos!B405)</f>
        <v/>
      </c>
      <c r="C405" s="8" t="str">
        <f>IF(Productos!B405="","",Productos!C405)</f>
        <v/>
      </c>
      <c r="D405" s="8" t="str">
        <f>IF(Productos!B405="","",Productos!D405)</f>
        <v/>
      </c>
      <c r="E405" s="8" t="str">
        <f>IF(Productos!B405="","",Productos!E405)</f>
        <v/>
      </c>
      <c r="F405" s="8" t="str">
        <f>IF(Productos!B405="","",Productos!F405)</f>
        <v/>
      </c>
      <c r="G405" s="8" t="str">
        <f>IF(Productos!B405="","",Productos!G405)</f>
        <v/>
      </c>
      <c r="H405" s="8" t="str">
        <f>IF(B405="","",SUMIF('Compras Entradas'!$D$5:$D$504,B405,'Compras Entradas'!$F$5:$F$504))</f>
        <v/>
      </c>
      <c r="I405" s="8" t="str">
        <f>IF(B405="","",SUMIF('Ventas Salidas'!$D$5:$D$504,B405,'Ventas Salidas'!$F$5:$F$504))</f>
        <v/>
      </c>
      <c r="J405" s="8" t="str">
        <f t="shared" si="21"/>
        <v/>
      </c>
      <c r="K405" s="8" t="str">
        <f t="shared" si="22"/>
        <v/>
      </c>
      <c r="L405" s="8" t="str">
        <f t="shared" si="23"/>
        <v/>
      </c>
      <c r="M405" s="8"/>
      <c r="N405" s="8" t="str">
        <f>IF(B405="","",IF(OR(K405="Bajo stock",K405="Sin stock"),COUNTIFS($K$5:$K405,"Bajo stock")+COUNTIFS($K$5:$K405,"Sin stock"),""))</f>
        <v/>
      </c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2:30" s="5" customFormat="1" ht="21.75" customHeight="1" x14ac:dyDescent="0.25">
      <c r="B406" s="8" t="str">
        <f>IF(Productos!B406="","",Productos!B406)</f>
        <v/>
      </c>
      <c r="C406" s="8" t="str">
        <f>IF(Productos!B406="","",Productos!C406)</f>
        <v/>
      </c>
      <c r="D406" s="8" t="str">
        <f>IF(Productos!B406="","",Productos!D406)</f>
        <v/>
      </c>
      <c r="E406" s="8" t="str">
        <f>IF(Productos!B406="","",Productos!E406)</f>
        <v/>
      </c>
      <c r="F406" s="8" t="str">
        <f>IF(Productos!B406="","",Productos!F406)</f>
        <v/>
      </c>
      <c r="G406" s="8" t="str">
        <f>IF(Productos!B406="","",Productos!G406)</f>
        <v/>
      </c>
      <c r="H406" s="8" t="str">
        <f>IF(B406="","",SUMIF('Compras Entradas'!$D$5:$D$504,B406,'Compras Entradas'!$F$5:$F$504))</f>
        <v/>
      </c>
      <c r="I406" s="8" t="str">
        <f>IF(B406="","",SUMIF('Ventas Salidas'!$D$5:$D$504,B406,'Ventas Salidas'!$F$5:$F$504))</f>
        <v/>
      </c>
      <c r="J406" s="8" t="str">
        <f t="shared" si="21"/>
        <v/>
      </c>
      <c r="K406" s="8" t="str">
        <f t="shared" si="22"/>
        <v/>
      </c>
      <c r="L406" s="8" t="str">
        <f t="shared" si="23"/>
        <v/>
      </c>
      <c r="M406" s="8"/>
      <c r="N406" s="8" t="str">
        <f>IF(B406="","",IF(OR(K406="Bajo stock",K406="Sin stock"),COUNTIFS($K$5:$K406,"Bajo stock")+COUNTIFS($K$5:$K406,"Sin stock"),""))</f>
        <v/>
      </c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2:30" s="5" customFormat="1" ht="21.75" customHeight="1" x14ac:dyDescent="0.25">
      <c r="B407" s="8" t="str">
        <f>IF(Productos!B407="","",Productos!B407)</f>
        <v/>
      </c>
      <c r="C407" s="8" t="str">
        <f>IF(Productos!B407="","",Productos!C407)</f>
        <v/>
      </c>
      <c r="D407" s="8" t="str">
        <f>IF(Productos!B407="","",Productos!D407)</f>
        <v/>
      </c>
      <c r="E407" s="8" t="str">
        <f>IF(Productos!B407="","",Productos!E407)</f>
        <v/>
      </c>
      <c r="F407" s="8" t="str">
        <f>IF(Productos!B407="","",Productos!F407)</f>
        <v/>
      </c>
      <c r="G407" s="8" t="str">
        <f>IF(Productos!B407="","",Productos!G407)</f>
        <v/>
      </c>
      <c r="H407" s="8" t="str">
        <f>IF(B407="","",SUMIF('Compras Entradas'!$D$5:$D$504,B407,'Compras Entradas'!$F$5:$F$504))</f>
        <v/>
      </c>
      <c r="I407" s="8" t="str">
        <f>IF(B407="","",SUMIF('Ventas Salidas'!$D$5:$D$504,B407,'Ventas Salidas'!$F$5:$F$504))</f>
        <v/>
      </c>
      <c r="J407" s="8" t="str">
        <f t="shared" si="21"/>
        <v/>
      </c>
      <c r="K407" s="8" t="str">
        <f t="shared" si="22"/>
        <v/>
      </c>
      <c r="L407" s="8" t="str">
        <f t="shared" si="23"/>
        <v/>
      </c>
      <c r="M407" s="8"/>
      <c r="N407" s="8" t="str">
        <f>IF(B407="","",IF(OR(K407="Bajo stock",K407="Sin stock"),COUNTIFS($K$5:$K407,"Bajo stock")+COUNTIFS($K$5:$K407,"Sin stock"),""))</f>
        <v/>
      </c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2:30" s="5" customFormat="1" ht="21.75" customHeight="1" x14ac:dyDescent="0.25">
      <c r="B408" s="8" t="str">
        <f>IF(Productos!B408="","",Productos!B408)</f>
        <v/>
      </c>
      <c r="C408" s="8" t="str">
        <f>IF(Productos!B408="","",Productos!C408)</f>
        <v/>
      </c>
      <c r="D408" s="8" t="str">
        <f>IF(Productos!B408="","",Productos!D408)</f>
        <v/>
      </c>
      <c r="E408" s="8" t="str">
        <f>IF(Productos!B408="","",Productos!E408)</f>
        <v/>
      </c>
      <c r="F408" s="8" t="str">
        <f>IF(Productos!B408="","",Productos!F408)</f>
        <v/>
      </c>
      <c r="G408" s="8" t="str">
        <f>IF(Productos!B408="","",Productos!G408)</f>
        <v/>
      </c>
      <c r="H408" s="8" t="str">
        <f>IF(B408="","",SUMIF('Compras Entradas'!$D$5:$D$504,B408,'Compras Entradas'!$F$5:$F$504))</f>
        <v/>
      </c>
      <c r="I408" s="8" t="str">
        <f>IF(B408="","",SUMIF('Ventas Salidas'!$D$5:$D$504,B408,'Ventas Salidas'!$F$5:$F$504))</f>
        <v/>
      </c>
      <c r="J408" s="8" t="str">
        <f t="shared" si="21"/>
        <v/>
      </c>
      <c r="K408" s="8" t="str">
        <f t="shared" si="22"/>
        <v/>
      </c>
      <c r="L408" s="8" t="str">
        <f t="shared" si="23"/>
        <v/>
      </c>
      <c r="M408" s="8"/>
      <c r="N408" s="8" t="str">
        <f>IF(B408="","",IF(OR(K408="Bajo stock",K408="Sin stock"),COUNTIFS($K$5:$K408,"Bajo stock")+COUNTIFS($K$5:$K408,"Sin stock"),""))</f>
        <v/>
      </c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2:30" s="5" customFormat="1" ht="21.75" customHeight="1" x14ac:dyDescent="0.25">
      <c r="B409" s="8" t="str">
        <f>IF(Productos!B409="","",Productos!B409)</f>
        <v/>
      </c>
      <c r="C409" s="8" t="str">
        <f>IF(Productos!B409="","",Productos!C409)</f>
        <v/>
      </c>
      <c r="D409" s="8" t="str">
        <f>IF(Productos!B409="","",Productos!D409)</f>
        <v/>
      </c>
      <c r="E409" s="8" t="str">
        <f>IF(Productos!B409="","",Productos!E409)</f>
        <v/>
      </c>
      <c r="F409" s="8" t="str">
        <f>IF(Productos!B409="","",Productos!F409)</f>
        <v/>
      </c>
      <c r="G409" s="8" t="str">
        <f>IF(Productos!B409="","",Productos!G409)</f>
        <v/>
      </c>
      <c r="H409" s="8" t="str">
        <f>IF(B409="","",SUMIF('Compras Entradas'!$D$5:$D$504,B409,'Compras Entradas'!$F$5:$F$504))</f>
        <v/>
      </c>
      <c r="I409" s="8" t="str">
        <f>IF(B409="","",SUMIF('Ventas Salidas'!$D$5:$D$504,B409,'Ventas Salidas'!$F$5:$F$504))</f>
        <v/>
      </c>
      <c r="J409" s="8" t="str">
        <f t="shared" si="21"/>
        <v/>
      </c>
      <c r="K409" s="8" t="str">
        <f t="shared" si="22"/>
        <v/>
      </c>
      <c r="L409" s="8" t="str">
        <f t="shared" si="23"/>
        <v/>
      </c>
      <c r="M409" s="8"/>
      <c r="N409" s="8" t="str">
        <f>IF(B409="","",IF(OR(K409="Bajo stock",K409="Sin stock"),COUNTIFS($K$5:$K409,"Bajo stock")+COUNTIFS($K$5:$K409,"Sin stock"),""))</f>
        <v/>
      </c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2:30" s="5" customFormat="1" ht="21.75" customHeight="1" x14ac:dyDescent="0.25">
      <c r="B410" s="8" t="str">
        <f>IF(Productos!B410="","",Productos!B410)</f>
        <v/>
      </c>
      <c r="C410" s="8" t="str">
        <f>IF(Productos!B410="","",Productos!C410)</f>
        <v/>
      </c>
      <c r="D410" s="8" t="str">
        <f>IF(Productos!B410="","",Productos!D410)</f>
        <v/>
      </c>
      <c r="E410" s="8" t="str">
        <f>IF(Productos!B410="","",Productos!E410)</f>
        <v/>
      </c>
      <c r="F410" s="8" t="str">
        <f>IF(Productos!B410="","",Productos!F410)</f>
        <v/>
      </c>
      <c r="G410" s="8" t="str">
        <f>IF(Productos!B410="","",Productos!G410)</f>
        <v/>
      </c>
      <c r="H410" s="8" t="str">
        <f>IF(B410="","",SUMIF('Compras Entradas'!$D$5:$D$504,B410,'Compras Entradas'!$F$5:$F$504))</f>
        <v/>
      </c>
      <c r="I410" s="8" t="str">
        <f>IF(B410="","",SUMIF('Ventas Salidas'!$D$5:$D$504,B410,'Ventas Salidas'!$F$5:$F$504))</f>
        <v/>
      </c>
      <c r="J410" s="8" t="str">
        <f t="shared" si="21"/>
        <v/>
      </c>
      <c r="K410" s="8" t="str">
        <f t="shared" si="22"/>
        <v/>
      </c>
      <c r="L410" s="8" t="str">
        <f t="shared" si="23"/>
        <v/>
      </c>
      <c r="M410" s="8"/>
      <c r="N410" s="8" t="str">
        <f>IF(B410="","",IF(OR(K410="Bajo stock",K410="Sin stock"),COUNTIFS($K$5:$K410,"Bajo stock")+COUNTIFS($K$5:$K410,"Sin stock"),""))</f>
        <v/>
      </c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2:30" s="5" customFormat="1" ht="21.75" customHeight="1" x14ac:dyDescent="0.25">
      <c r="B411" s="8" t="str">
        <f>IF(Productos!B411="","",Productos!B411)</f>
        <v/>
      </c>
      <c r="C411" s="8" t="str">
        <f>IF(Productos!B411="","",Productos!C411)</f>
        <v/>
      </c>
      <c r="D411" s="8" t="str">
        <f>IF(Productos!B411="","",Productos!D411)</f>
        <v/>
      </c>
      <c r="E411" s="8" t="str">
        <f>IF(Productos!B411="","",Productos!E411)</f>
        <v/>
      </c>
      <c r="F411" s="8" t="str">
        <f>IF(Productos!B411="","",Productos!F411)</f>
        <v/>
      </c>
      <c r="G411" s="8" t="str">
        <f>IF(Productos!B411="","",Productos!G411)</f>
        <v/>
      </c>
      <c r="H411" s="8" t="str">
        <f>IF(B411="","",SUMIF('Compras Entradas'!$D$5:$D$504,B411,'Compras Entradas'!$F$5:$F$504))</f>
        <v/>
      </c>
      <c r="I411" s="8" t="str">
        <f>IF(B411="","",SUMIF('Ventas Salidas'!$D$5:$D$504,B411,'Ventas Salidas'!$F$5:$F$504))</f>
        <v/>
      </c>
      <c r="J411" s="8" t="str">
        <f t="shared" si="21"/>
        <v/>
      </c>
      <c r="K411" s="8" t="str">
        <f t="shared" si="22"/>
        <v/>
      </c>
      <c r="L411" s="8" t="str">
        <f t="shared" si="23"/>
        <v/>
      </c>
      <c r="M411" s="8"/>
      <c r="N411" s="8" t="str">
        <f>IF(B411="","",IF(OR(K411="Bajo stock",K411="Sin stock"),COUNTIFS($K$5:$K411,"Bajo stock")+COUNTIFS($K$5:$K411,"Sin stock"),""))</f>
        <v/>
      </c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2:30" s="5" customFormat="1" ht="21.75" customHeight="1" x14ac:dyDescent="0.25">
      <c r="B412" s="8" t="str">
        <f>IF(Productos!B412="","",Productos!B412)</f>
        <v/>
      </c>
      <c r="C412" s="8" t="str">
        <f>IF(Productos!B412="","",Productos!C412)</f>
        <v/>
      </c>
      <c r="D412" s="8" t="str">
        <f>IF(Productos!B412="","",Productos!D412)</f>
        <v/>
      </c>
      <c r="E412" s="8" t="str">
        <f>IF(Productos!B412="","",Productos!E412)</f>
        <v/>
      </c>
      <c r="F412" s="8" t="str">
        <f>IF(Productos!B412="","",Productos!F412)</f>
        <v/>
      </c>
      <c r="G412" s="8" t="str">
        <f>IF(Productos!B412="","",Productos!G412)</f>
        <v/>
      </c>
      <c r="H412" s="8" t="str">
        <f>IF(B412="","",SUMIF('Compras Entradas'!$D$5:$D$504,B412,'Compras Entradas'!$F$5:$F$504))</f>
        <v/>
      </c>
      <c r="I412" s="8" t="str">
        <f>IF(B412="","",SUMIF('Ventas Salidas'!$D$5:$D$504,B412,'Ventas Salidas'!$F$5:$F$504))</f>
        <v/>
      </c>
      <c r="J412" s="8" t="str">
        <f t="shared" si="21"/>
        <v/>
      </c>
      <c r="K412" s="8" t="str">
        <f t="shared" si="22"/>
        <v/>
      </c>
      <c r="L412" s="8" t="str">
        <f t="shared" si="23"/>
        <v/>
      </c>
      <c r="M412" s="8"/>
      <c r="N412" s="8" t="str">
        <f>IF(B412="","",IF(OR(K412="Bajo stock",K412="Sin stock"),COUNTIFS($K$5:$K412,"Bajo stock")+COUNTIFS($K$5:$K412,"Sin stock"),""))</f>
        <v/>
      </c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2:30" s="5" customFormat="1" ht="21.75" customHeight="1" x14ac:dyDescent="0.25">
      <c r="B413" s="8" t="str">
        <f>IF(Productos!B413="","",Productos!B413)</f>
        <v/>
      </c>
      <c r="C413" s="8" t="str">
        <f>IF(Productos!B413="","",Productos!C413)</f>
        <v/>
      </c>
      <c r="D413" s="8" t="str">
        <f>IF(Productos!B413="","",Productos!D413)</f>
        <v/>
      </c>
      <c r="E413" s="8" t="str">
        <f>IF(Productos!B413="","",Productos!E413)</f>
        <v/>
      </c>
      <c r="F413" s="8" t="str">
        <f>IF(Productos!B413="","",Productos!F413)</f>
        <v/>
      </c>
      <c r="G413" s="8" t="str">
        <f>IF(Productos!B413="","",Productos!G413)</f>
        <v/>
      </c>
      <c r="H413" s="8" t="str">
        <f>IF(B413="","",SUMIF('Compras Entradas'!$D$5:$D$504,B413,'Compras Entradas'!$F$5:$F$504))</f>
        <v/>
      </c>
      <c r="I413" s="8" t="str">
        <f>IF(B413="","",SUMIF('Ventas Salidas'!$D$5:$D$504,B413,'Ventas Salidas'!$F$5:$F$504))</f>
        <v/>
      </c>
      <c r="J413" s="8" t="str">
        <f t="shared" si="21"/>
        <v/>
      </c>
      <c r="K413" s="8" t="str">
        <f t="shared" si="22"/>
        <v/>
      </c>
      <c r="L413" s="8" t="str">
        <f t="shared" si="23"/>
        <v/>
      </c>
      <c r="M413" s="8"/>
      <c r="N413" s="8" t="str">
        <f>IF(B413="","",IF(OR(K413="Bajo stock",K413="Sin stock"),COUNTIFS($K$5:$K413,"Bajo stock")+COUNTIFS($K$5:$K413,"Sin stock"),""))</f>
        <v/>
      </c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2:30" s="5" customFormat="1" ht="21.75" customHeight="1" x14ac:dyDescent="0.25">
      <c r="B414" s="5" t="str">
        <f>IF(Productos!B414="","",Productos!B414)</f>
        <v/>
      </c>
      <c r="C414" s="5" t="str">
        <f>IF(Productos!B414="","",Productos!C414)</f>
        <v/>
      </c>
      <c r="D414" s="5" t="str">
        <f>IF(Productos!B414="","",Productos!D414)</f>
        <v/>
      </c>
      <c r="E414" s="5" t="str">
        <f>IF(Productos!B414="","",Productos!E414)</f>
        <v/>
      </c>
      <c r="F414" s="5" t="str">
        <f>IF(Productos!B414="","",Productos!F414)</f>
        <v/>
      </c>
      <c r="G414" s="5" t="str">
        <f>IF(Productos!B414="","",Productos!G414)</f>
        <v/>
      </c>
      <c r="H414" s="5" t="str">
        <f>IF(B414="","",SUMIF('Compras Entradas'!$D$5:$D$504,B414,'Compras Entradas'!$F$5:$F$504))</f>
        <v/>
      </c>
      <c r="I414" s="5" t="str">
        <f>IF(B414="","",SUMIF('Ventas Salidas'!$D$5:$D$504,B414,'Ventas Salidas'!$F$5:$F$504))</f>
        <v/>
      </c>
      <c r="J414" s="5" t="str">
        <f t="shared" si="21"/>
        <v/>
      </c>
      <c r="K414" s="5" t="str">
        <f t="shared" si="22"/>
        <v/>
      </c>
      <c r="L414" s="5" t="str">
        <f t="shared" si="23"/>
        <v/>
      </c>
      <c r="M414" s="8"/>
      <c r="N414" s="8" t="str">
        <f>IF(B414="","",IF(OR(K414="Bajo stock",K414="Sin stock"),COUNTIFS($K$5:$K414,"Bajo stock")+COUNTIFS($K$5:$K414,"Sin stock"),""))</f>
        <v/>
      </c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2:30" s="5" customFormat="1" ht="21.75" customHeight="1" x14ac:dyDescent="0.25">
      <c r="B415" s="5" t="str">
        <f>IF(Productos!B415="","",Productos!B415)</f>
        <v/>
      </c>
      <c r="C415" s="5" t="str">
        <f>IF(Productos!B415="","",Productos!C415)</f>
        <v/>
      </c>
      <c r="D415" s="5" t="str">
        <f>IF(Productos!B415="","",Productos!D415)</f>
        <v/>
      </c>
      <c r="E415" s="5" t="str">
        <f>IF(Productos!B415="","",Productos!E415)</f>
        <v/>
      </c>
      <c r="F415" s="5" t="str">
        <f>IF(Productos!B415="","",Productos!F415)</f>
        <v/>
      </c>
      <c r="G415" s="5" t="str">
        <f>IF(Productos!B415="","",Productos!G415)</f>
        <v/>
      </c>
      <c r="H415" s="5" t="str">
        <f>IF(B415="","",SUMIF('Compras Entradas'!$D$5:$D$504,B415,'Compras Entradas'!$F$5:$F$504))</f>
        <v/>
      </c>
      <c r="I415" s="5" t="str">
        <f>IF(B415="","",SUMIF('Ventas Salidas'!$D$5:$D$504,B415,'Ventas Salidas'!$F$5:$F$504))</f>
        <v/>
      </c>
      <c r="J415" s="5" t="str">
        <f t="shared" si="21"/>
        <v/>
      </c>
      <c r="K415" s="5" t="str">
        <f t="shared" si="22"/>
        <v/>
      </c>
      <c r="L415" s="5" t="str">
        <f t="shared" si="23"/>
        <v/>
      </c>
      <c r="M415" s="8"/>
      <c r="N415" s="8" t="str">
        <f>IF(B415="","",IF(OR(K415="Bajo stock",K415="Sin stock"),COUNTIFS($K$5:$K415,"Bajo stock")+COUNTIFS($K$5:$K415,"Sin stock"),""))</f>
        <v/>
      </c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2:30" s="5" customFormat="1" ht="21.75" customHeight="1" x14ac:dyDescent="0.25">
      <c r="B416" s="5" t="str">
        <f>IF(Productos!B416="","",Productos!B416)</f>
        <v/>
      </c>
      <c r="C416" s="5" t="str">
        <f>IF(Productos!B416="","",Productos!C416)</f>
        <v/>
      </c>
      <c r="D416" s="5" t="str">
        <f>IF(Productos!B416="","",Productos!D416)</f>
        <v/>
      </c>
      <c r="E416" s="5" t="str">
        <f>IF(Productos!B416="","",Productos!E416)</f>
        <v/>
      </c>
      <c r="F416" s="5" t="str">
        <f>IF(Productos!B416="","",Productos!F416)</f>
        <v/>
      </c>
      <c r="G416" s="5" t="str">
        <f>IF(Productos!B416="","",Productos!G416)</f>
        <v/>
      </c>
      <c r="H416" s="5" t="str">
        <f>IF(B416="","",SUMIF('Compras Entradas'!$D$5:$D$504,B416,'Compras Entradas'!$F$5:$F$504))</f>
        <v/>
      </c>
      <c r="I416" s="5" t="str">
        <f>IF(B416="","",SUMIF('Ventas Salidas'!$D$5:$D$504,B416,'Ventas Salidas'!$F$5:$F$504))</f>
        <v/>
      </c>
      <c r="J416" s="5" t="str">
        <f t="shared" si="21"/>
        <v/>
      </c>
      <c r="K416" s="5" t="str">
        <f t="shared" si="22"/>
        <v/>
      </c>
      <c r="L416" s="5" t="str">
        <f t="shared" si="23"/>
        <v/>
      </c>
      <c r="M416" s="8"/>
      <c r="N416" s="8" t="str">
        <f>IF(B416="","",IF(OR(K416="Bajo stock",K416="Sin stock"),COUNTIFS($K$5:$K416,"Bajo stock")+COUNTIFS($K$5:$K416,"Sin stock"),""))</f>
        <v/>
      </c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2:30" s="5" customFormat="1" ht="21.75" customHeight="1" x14ac:dyDescent="0.25">
      <c r="B417" s="5" t="str">
        <f>IF(Productos!B417="","",Productos!B417)</f>
        <v/>
      </c>
      <c r="C417" s="5" t="str">
        <f>IF(Productos!B417="","",Productos!C417)</f>
        <v/>
      </c>
      <c r="D417" s="5" t="str">
        <f>IF(Productos!B417="","",Productos!D417)</f>
        <v/>
      </c>
      <c r="E417" s="5" t="str">
        <f>IF(Productos!B417="","",Productos!E417)</f>
        <v/>
      </c>
      <c r="F417" s="5" t="str">
        <f>IF(Productos!B417="","",Productos!F417)</f>
        <v/>
      </c>
      <c r="G417" s="5" t="str">
        <f>IF(Productos!B417="","",Productos!G417)</f>
        <v/>
      </c>
      <c r="H417" s="5" t="str">
        <f>IF(B417="","",SUMIF('Compras Entradas'!$D$5:$D$504,B417,'Compras Entradas'!$F$5:$F$504))</f>
        <v/>
      </c>
      <c r="I417" s="5" t="str">
        <f>IF(B417="","",SUMIF('Ventas Salidas'!$D$5:$D$504,B417,'Ventas Salidas'!$F$5:$F$504))</f>
        <v/>
      </c>
      <c r="J417" s="5" t="str">
        <f t="shared" si="21"/>
        <v/>
      </c>
      <c r="K417" s="5" t="str">
        <f t="shared" si="22"/>
        <v/>
      </c>
      <c r="L417" s="5" t="str">
        <f t="shared" si="23"/>
        <v/>
      </c>
      <c r="M417" s="8"/>
      <c r="N417" s="8" t="str">
        <f>IF(B417="","",IF(OR(K417="Bajo stock",K417="Sin stock"),COUNTIFS($K$5:$K417,"Bajo stock")+COUNTIFS($K$5:$K417,"Sin stock"),""))</f>
        <v/>
      </c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2:30" s="5" customFormat="1" ht="21.75" customHeight="1" x14ac:dyDescent="0.25">
      <c r="B418" s="5" t="str">
        <f>IF(Productos!B418="","",Productos!B418)</f>
        <v/>
      </c>
      <c r="C418" s="5" t="str">
        <f>IF(Productos!B418="","",Productos!C418)</f>
        <v/>
      </c>
      <c r="D418" s="5" t="str">
        <f>IF(Productos!B418="","",Productos!D418)</f>
        <v/>
      </c>
      <c r="E418" s="5" t="str">
        <f>IF(Productos!B418="","",Productos!E418)</f>
        <v/>
      </c>
      <c r="F418" s="5" t="str">
        <f>IF(Productos!B418="","",Productos!F418)</f>
        <v/>
      </c>
      <c r="G418" s="5" t="str">
        <f>IF(Productos!B418="","",Productos!G418)</f>
        <v/>
      </c>
      <c r="H418" s="5" t="str">
        <f>IF(B418="","",SUMIF('Compras Entradas'!$D$5:$D$504,B418,'Compras Entradas'!$F$5:$F$504))</f>
        <v/>
      </c>
      <c r="I418" s="5" t="str">
        <f>IF(B418="","",SUMIF('Ventas Salidas'!$D$5:$D$504,B418,'Ventas Salidas'!$F$5:$F$504))</f>
        <v/>
      </c>
      <c r="J418" s="5" t="str">
        <f t="shared" si="21"/>
        <v/>
      </c>
      <c r="K418" s="5" t="str">
        <f t="shared" si="22"/>
        <v/>
      </c>
      <c r="L418" s="5" t="str">
        <f t="shared" si="23"/>
        <v/>
      </c>
      <c r="M418" s="8"/>
      <c r="N418" s="8" t="str">
        <f>IF(B418="","",IF(OR(K418="Bajo stock",K418="Sin stock"),COUNTIFS($K$5:$K418,"Bajo stock")+COUNTIFS($K$5:$K418,"Sin stock"),""))</f>
        <v/>
      </c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2:30" s="5" customFormat="1" ht="21.75" customHeight="1" x14ac:dyDescent="0.25">
      <c r="B419" s="5" t="str">
        <f>IF(Productos!B419="","",Productos!B419)</f>
        <v/>
      </c>
      <c r="C419" s="5" t="str">
        <f>IF(Productos!B419="","",Productos!C419)</f>
        <v/>
      </c>
      <c r="D419" s="5" t="str">
        <f>IF(Productos!B419="","",Productos!D419)</f>
        <v/>
      </c>
      <c r="E419" s="5" t="str">
        <f>IF(Productos!B419="","",Productos!E419)</f>
        <v/>
      </c>
      <c r="F419" s="5" t="str">
        <f>IF(Productos!B419="","",Productos!F419)</f>
        <v/>
      </c>
      <c r="G419" s="5" t="str">
        <f>IF(Productos!B419="","",Productos!G419)</f>
        <v/>
      </c>
      <c r="H419" s="5" t="str">
        <f>IF(B419="","",SUMIF('Compras Entradas'!$D$5:$D$504,B419,'Compras Entradas'!$F$5:$F$504))</f>
        <v/>
      </c>
      <c r="I419" s="5" t="str">
        <f>IF(B419="","",SUMIF('Ventas Salidas'!$D$5:$D$504,B419,'Ventas Salidas'!$F$5:$F$504))</f>
        <v/>
      </c>
      <c r="J419" s="5" t="str">
        <f t="shared" si="21"/>
        <v/>
      </c>
      <c r="K419" s="5" t="str">
        <f t="shared" si="22"/>
        <v/>
      </c>
      <c r="L419" s="5" t="str">
        <f t="shared" si="23"/>
        <v/>
      </c>
      <c r="M419" s="8"/>
      <c r="N419" s="8" t="str">
        <f>IF(B419="","",IF(OR(K419="Bajo stock",K419="Sin stock"),COUNTIFS($K$5:$K419,"Bajo stock")+COUNTIFS($K$5:$K419,"Sin stock"),""))</f>
        <v/>
      </c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2:30" s="5" customFormat="1" ht="21.75" customHeight="1" x14ac:dyDescent="0.25">
      <c r="B420" s="5" t="str">
        <f>IF(Productos!B420="","",Productos!B420)</f>
        <v/>
      </c>
      <c r="C420" s="5" t="str">
        <f>IF(Productos!B420="","",Productos!C420)</f>
        <v/>
      </c>
      <c r="D420" s="5" t="str">
        <f>IF(Productos!B420="","",Productos!D420)</f>
        <v/>
      </c>
      <c r="E420" s="5" t="str">
        <f>IF(Productos!B420="","",Productos!E420)</f>
        <v/>
      </c>
      <c r="F420" s="5" t="str">
        <f>IF(Productos!B420="","",Productos!F420)</f>
        <v/>
      </c>
      <c r="G420" s="5" t="str">
        <f>IF(Productos!B420="","",Productos!G420)</f>
        <v/>
      </c>
      <c r="H420" s="5" t="str">
        <f>IF(B420="","",SUMIF('Compras Entradas'!$D$5:$D$504,B420,'Compras Entradas'!$F$5:$F$504))</f>
        <v/>
      </c>
      <c r="I420" s="5" t="str">
        <f>IF(B420="","",SUMIF('Ventas Salidas'!$D$5:$D$504,B420,'Ventas Salidas'!$F$5:$F$504))</f>
        <v/>
      </c>
      <c r="J420" s="5" t="str">
        <f t="shared" si="21"/>
        <v/>
      </c>
      <c r="K420" s="5" t="str">
        <f t="shared" si="22"/>
        <v/>
      </c>
      <c r="L420" s="5" t="str">
        <f t="shared" si="23"/>
        <v/>
      </c>
      <c r="M420" s="8"/>
      <c r="N420" s="8" t="str">
        <f>IF(B420="","",IF(OR(K420="Bajo stock",K420="Sin stock"),COUNTIFS($K$5:$K420,"Bajo stock")+COUNTIFS($K$5:$K420,"Sin stock"),""))</f>
        <v/>
      </c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2:30" s="5" customFormat="1" ht="21.75" customHeight="1" x14ac:dyDescent="0.25">
      <c r="B421" s="5" t="str">
        <f>IF(Productos!B421="","",Productos!B421)</f>
        <v/>
      </c>
      <c r="C421" s="5" t="str">
        <f>IF(Productos!B421="","",Productos!C421)</f>
        <v/>
      </c>
      <c r="D421" s="5" t="str">
        <f>IF(Productos!B421="","",Productos!D421)</f>
        <v/>
      </c>
      <c r="E421" s="5" t="str">
        <f>IF(Productos!B421="","",Productos!E421)</f>
        <v/>
      </c>
      <c r="F421" s="5" t="str">
        <f>IF(Productos!B421="","",Productos!F421)</f>
        <v/>
      </c>
      <c r="G421" s="5" t="str">
        <f>IF(Productos!B421="","",Productos!G421)</f>
        <v/>
      </c>
      <c r="H421" s="5" t="str">
        <f>IF(B421="","",SUMIF('Compras Entradas'!$D$5:$D$504,B421,'Compras Entradas'!$F$5:$F$504))</f>
        <v/>
      </c>
      <c r="I421" s="5" t="str">
        <f>IF(B421="","",SUMIF('Ventas Salidas'!$D$5:$D$504,B421,'Ventas Salidas'!$F$5:$F$504))</f>
        <v/>
      </c>
      <c r="J421" s="5" t="str">
        <f t="shared" si="21"/>
        <v/>
      </c>
      <c r="K421" s="5" t="str">
        <f t="shared" si="22"/>
        <v/>
      </c>
      <c r="L421" s="5" t="str">
        <f t="shared" si="23"/>
        <v/>
      </c>
      <c r="M421" s="8"/>
      <c r="N421" s="8" t="str">
        <f>IF(B421="","",IF(OR(K421="Bajo stock",K421="Sin stock"),COUNTIFS($K$5:$K421,"Bajo stock")+COUNTIFS($K$5:$K421,"Sin stock"),""))</f>
        <v/>
      </c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2:30" s="5" customFormat="1" ht="21.75" customHeight="1" x14ac:dyDescent="0.25">
      <c r="B422" s="5" t="str">
        <f>IF(Productos!B422="","",Productos!B422)</f>
        <v/>
      </c>
      <c r="C422" s="5" t="str">
        <f>IF(Productos!B422="","",Productos!C422)</f>
        <v/>
      </c>
      <c r="D422" s="5" t="str">
        <f>IF(Productos!B422="","",Productos!D422)</f>
        <v/>
      </c>
      <c r="E422" s="5" t="str">
        <f>IF(Productos!B422="","",Productos!E422)</f>
        <v/>
      </c>
      <c r="F422" s="5" t="str">
        <f>IF(Productos!B422="","",Productos!F422)</f>
        <v/>
      </c>
      <c r="G422" s="5" t="str">
        <f>IF(Productos!B422="","",Productos!G422)</f>
        <v/>
      </c>
      <c r="H422" s="5" t="str">
        <f>IF(B422="","",SUMIF('Compras Entradas'!$D$5:$D$504,B422,'Compras Entradas'!$F$5:$F$504))</f>
        <v/>
      </c>
      <c r="I422" s="5" t="str">
        <f>IF(B422="","",SUMIF('Ventas Salidas'!$D$5:$D$504,B422,'Ventas Salidas'!$F$5:$F$504))</f>
        <v/>
      </c>
      <c r="J422" s="5" t="str">
        <f t="shared" si="21"/>
        <v/>
      </c>
      <c r="K422" s="5" t="str">
        <f t="shared" si="22"/>
        <v/>
      </c>
      <c r="L422" s="5" t="str">
        <f t="shared" si="23"/>
        <v/>
      </c>
      <c r="M422" s="8"/>
      <c r="N422" s="8" t="str">
        <f>IF(B422="","",IF(OR(K422="Bajo stock",K422="Sin stock"),COUNTIFS($K$5:$K422,"Bajo stock")+COUNTIFS($K$5:$K422,"Sin stock"),""))</f>
        <v/>
      </c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2:30" s="5" customFormat="1" ht="21.75" customHeight="1" x14ac:dyDescent="0.25">
      <c r="B423" s="5" t="str">
        <f>IF(Productos!B423="","",Productos!B423)</f>
        <v/>
      </c>
      <c r="C423" s="5" t="str">
        <f>IF(Productos!B423="","",Productos!C423)</f>
        <v/>
      </c>
      <c r="D423" s="5" t="str">
        <f>IF(Productos!B423="","",Productos!D423)</f>
        <v/>
      </c>
      <c r="E423" s="5" t="str">
        <f>IF(Productos!B423="","",Productos!E423)</f>
        <v/>
      </c>
      <c r="F423" s="5" t="str">
        <f>IF(Productos!B423="","",Productos!F423)</f>
        <v/>
      </c>
      <c r="G423" s="5" t="str">
        <f>IF(Productos!B423="","",Productos!G423)</f>
        <v/>
      </c>
      <c r="H423" s="5" t="str">
        <f>IF(B423="","",SUMIF('Compras Entradas'!$D$5:$D$504,B423,'Compras Entradas'!$F$5:$F$504))</f>
        <v/>
      </c>
      <c r="I423" s="5" t="str">
        <f>IF(B423="","",SUMIF('Ventas Salidas'!$D$5:$D$504,B423,'Ventas Salidas'!$F$5:$F$504))</f>
        <v/>
      </c>
      <c r="J423" s="5" t="str">
        <f t="shared" si="21"/>
        <v/>
      </c>
      <c r="K423" s="5" t="str">
        <f t="shared" si="22"/>
        <v/>
      </c>
      <c r="L423" s="5" t="str">
        <f t="shared" si="23"/>
        <v/>
      </c>
      <c r="M423" s="8"/>
      <c r="N423" s="8" t="str">
        <f>IF(B423="","",IF(OR(K423="Bajo stock",K423="Sin stock"),COUNTIFS($K$5:$K423,"Bajo stock")+COUNTIFS($K$5:$K423,"Sin stock"),""))</f>
        <v/>
      </c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2:30" s="5" customFormat="1" ht="21.75" customHeight="1" x14ac:dyDescent="0.25">
      <c r="B424" s="5" t="str">
        <f>IF(Productos!B424="","",Productos!B424)</f>
        <v/>
      </c>
      <c r="C424" s="5" t="str">
        <f>IF(Productos!B424="","",Productos!C424)</f>
        <v/>
      </c>
      <c r="D424" s="5" t="str">
        <f>IF(Productos!B424="","",Productos!D424)</f>
        <v/>
      </c>
      <c r="E424" s="5" t="str">
        <f>IF(Productos!B424="","",Productos!E424)</f>
        <v/>
      </c>
      <c r="F424" s="5" t="str">
        <f>IF(Productos!B424="","",Productos!F424)</f>
        <v/>
      </c>
      <c r="G424" s="5" t="str">
        <f>IF(Productos!B424="","",Productos!G424)</f>
        <v/>
      </c>
      <c r="H424" s="5" t="str">
        <f>IF(B424="","",SUMIF('Compras Entradas'!$D$5:$D$504,B424,'Compras Entradas'!$F$5:$F$504))</f>
        <v/>
      </c>
      <c r="I424" s="5" t="str">
        <f>IF(B424="","",SUMIF('Ventas Salidas'!$D$5:$D$504,B424,'Ventas Salidas'!$F$5:$F$504))</f>
        <v/>
      </c>
      <c r="J424" s="5" t="str">
        <f t="shared" si="21"/>
        <v/>
      </c>
      <c r="K424" s="5" t="str">
        <f t="shared" si="22"/>
        <v/>
      </c>
      <c r="L424" s="5" t="str">
        <f t="shared" si="23"/>
        <v/>
      </c>
      <c r="M424" s="8"/>
      <c r="N424" s="8" t="str">
        <f>IF(B424="","",IF(OR(K424="Bajo stock",K424="Sin stock"),COUNTIFS($K$5:$K424,"Bajo stock")+COUNTIFS($K$5:$K424,"Sin stock"),""))</f>
        <v/>
      </c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2:30" s="5" customFormat="1" ht="21.75" customHeight="1" x14ac:dyDescent="0.25">
      <c r="B425" s="5" t="str">
        <f>IF(Productos!B425="","",Productos!B425)</f>
        <v/>
      </c>
      <c r="C425" s="5" t="str">
        <f>IF(Productos!B425="","",Productos!C425)</f>
        <v/>
      </c>
      <c r="D425" s="5" t="str">
        <f>IF(Productos!B425="","",Productos!D425)</f>
        <v/>
      </c>
      <c r="E425" s="5" t="str">
        <f>IF(Productos!B425="","",Productos!E425)</f>
        <v/>
      </c>
      <c r="F425" s="5" t="str">
        <f>IF(Productos!B425="","",Productos!F425)</f>
        <v/>
      </c>
      <c r="G425" s="5" t="str">
        <f>IF(Productos!B425="","",Productos!G425)</f>
        <v/>
      </c>
      <c r="H425" s="5" t="str">
        <f>IF(B425="","",SUMIF('Compras Entradas'!$D$5:$D$504,B425,'Compras Entradas'!$F$5:$F$504))</f>
        <v/>
      </c>
      <c r="I425" s="5" t="str">
        <f>IF(B425="","",SUMIF('Ventas Salidas'!$D$5:$D$504,B425,'Ventas Salidas'!$F$5:$F$504))</f>
        <v/>
      </c>
      <c r="J425" s="5" t="str">
        <f t="shared" si="21"/>
        <v/>
      </c>
      <c r="K425" s="5" t="str">
        <f t="shared" si="22"/>
        <v/>
      </c>
      <c r="L425" s="5" t="str">
        <f t="shared" si="23"/>
        <v/>
      </c>
      <c r="M425" s="8"/>
      <c r="N425" s="8" t="str">
        <f>IF(B425="","",IF(OR(K425="Bajo stock",K425="Sin stock"),COUNTIFS($K$5:$K425,"Bajo stock")+COUNTIFS($K$5:$K425,"Sin stock"),""))</f>
        <v/>
      </c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2:30" s="5" customFormat="1" ht="21.75" customHeight="1" x14ac:dyDescent="0.25">
      <c r="B426" s="5" t="str">
        <f>IF(Productos!B426="","",Productos!B426)</f>
        <v/>
      </c>
      <c r="C426" s="5" t="str">
        <f>IF(Productos!B426="","",Productos!C426)</f>
        <v/>
      </c>
      <c r="D426" s="5" t="str">
        <f>IF(Productos!B426="","",Productos!D426)</f>
        <v/>
      </c>
      <c r="E426" s="5" t="str">
        <f>IF(Productos!B426="","",Productos!E426)</f>
        <v/>
      </c>
      <c r="F426" s="5" t="str">
        <f>IF(Productos!B426="","",Productos!F426)</f>
        <v/>
      </c>
      <c r="G426" s="5" t="str">
        <f>IF(Productos!B426="","",Productos!G426)</f>
        <v/>
      </c>
      <c r="H426" s="5" t="str">
        <f>IF(B426="","",SUMIF('Compras Entradas'!$D$5:$D$504,B426,'Compras Entradas'!$F$5:$F$504))</f>
        <v/>
      </c>
      <c r="I426" s="5" t="str">
        <f>IF(B426="","",SUMIF('Ventas Salidas'!$D$5:$D$504,B426,'Ventas Salidas'!$F$5:$F$504))</f>
        <v/>
      </c>
      <c r="J426" s="5" t="str">
        <f t="shared" si="21"/>
        <v/>
      </c>
      <c r="K426" s="5" t="str">
        <f t="shared" si="22"/>
        <v/>
      </c>
      <c r="L426" s="5" t="str">
        <f t="shared" si="23"/>
        <v/>
      </c>
      <c r="M426" s="8"/>
      <c r="N426" s="8" t="str">
        <f>IF(B426="","",IF(OR(K426="Bajo stock",K426="Sin stock"),COUNTIFS($K$5:$K426,"Bajo stock")+COUNTIFS($K$5:$K426,"Sin stock"),""))</f>
        <v/>
      </c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2:30" s="5" customFormat="1" ht="21.75" customHeight="1" x14ac:dyDescent="0.25">
      <c r="B427" s="5" t="str">
        <f>IF(Productos!B427="","",Productos!B427)</f>
        <v/>
      </c>
      <c r="C427" s="5" t="str">
        <f>IF(Productos!B427="","",Productos!C427)</f>
        <v/>
      </c>
      <c r="D427" s="5" t="str">
        <f>IF(Productos!B427="","",Productos!D427)</f>
        <v/>
      </c>
      <c r="E427" s="5" t="str">
        <f>IF(Productos!B427="","",Productos!E427)</f>
        <v/>
      </c>
      <c r="F427" s="5" t="str">
        <f>IF(Productos!B427="","",Productos!F427)</f>
        <v/>
      </c>
      <c r="G427" s="5" t="str">
        <f>IF(Productos!B427="","",Productos!G427)</f>
        <v/>
      </c>
      <c r="H427" s="5" t="str">
        <f>IF(B427="","",SUMIF('Compras Entradas'!$D$5:$D$504,B427,'Compras Entradas'!$F$5:$F$504))</f>
        <v/>
      </c>
      <c r="I427" s="5" t="str">
        <f>IF(B427="","",SUMIF('Ventas Salidas'!$D$5:$D$504,B427,'Ventas Salidas'!$F$5:$F$504))</f>
        <v/>
      </c>
      <c r="J427" s="5" t="str">
        <f t="shared" si="21"/>
        <v/>
      </c>
      <c r="K427" s="5" t="str">
        <f t="shared" si="22"/>
        <v/>
      </c>
      <c r="L427" s="5" t="str">
        <f t="shared" si="23"/>
        <v/>
      </c>
      <c r="M427" s="8"/>
      <c r="N427" s="8" t="str">
        <f>IF(B427="","",IF(OR(K427="Bajo stock",K427="Sin stock"),COUNTIFS($K$5:$K427,"Bajo stock")+COUNTIFS($K$5:$K427,"Sin stock"),""))</f>
        <v/>
      </c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2:30" s="5" customFormat="1" ht="21.75" customHeight="1" x14ac:dyDescent="0.25">
      <c r="B428" s="5" t="str">
        <f>IF(Productos!B428="","",Productos!B428)</f>
        <v/>
      </c>
      <c r="C428" s="5" t="str">
        <f>IF(Productos!B428="","",Productos!C428)</f>
        <v/>
      </c>
      <c r="D428" s="5" t="str">
        <f>IF(Productos!B428="","",Productos!D428)</f>
        <v/>
      </c>
      <c r="E428" s="5" t="str">
        <f>IF(Productos!B428="","",Productos!E428)</f>
        <v/>
      </c>
      <c r="F428" s="5" t="str">
        <f>IF(Productos!B428="","",Productos!F428)</f>
        <v/>
      </c>
      <c r="G428" s="5" t="str">
        <f>IF(Productos!B428="","",Productos!G428)</f>
        <v/>
      </c>
      <c r="H428" s="5" t="str">
        <f>IF(B428="","",SUMIF('Compras Entradas'!$D$5:$D$504,B428,'Compras Entradas'!$F$5:$F$504))</f>
        <v/>
      </c>
      <c r="I428" s="5" t="str">
        <f>IF(B428="","",SUMIF('Ventas Salidas'!$D$5:$D$504,B428,'Ventas Salidas'!$F$5:$F$504))</f>
        <v/>
      </c>
      <c r="J428" s="5" t="str">
        <f t="shared" si="21"/>
        <v/>
      </c>
      <c r="K428" s="5" t="str">
        <f t="shared" si="22"/>
        <v/>
      </c>
      <c r="L428" s="5" t="str">
        <f t="shared" si="23"/>
        <v/>
      </c>
      <c r="M428" s="8"/>
      <c r="N428" s="8" t="str">
        <f>IF(B428="","",IF(OR(K428="Bajo stock",K428="Sin stock"),COUNTIFS($K$5:$K428,"Bajo stock")+COUNTIFS($K$5:$K428,"Sin stock"),""))</f>
        <v/>
      </c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2:30" s="5" customFormat="1" ht="21.75" customHeight="1" x14ac:dyDescent="0.25">
      <c r="B429" s="5" t="str">
        <f>IF(Productos!B429="","",Productos!B429)</f>
        <v/>
      </c>
      <c r="C429" s="5" t="str">
        <f>IF(Productos!B429="","",Productos!C429)</f>
        <v/>
      </c>
      <c r="D429" s="5" t="str">
        <f>IF(Productos!B429="","",Productos!D429)</f>
        <v/>
      </c>
      <c r="E429" s="5" t="str">
        <f>IF(Productos!B429="","",Productos!E429)</f>
        <v/>
      </c>
      <c r="F429" s="5" t="str">
        <f>IF(Productos!B429="","",Productos!F429)</f>
        <v/>
      </c>
      <c r="G429" s="5" t="str">
        <f>IF(Productos!B429="","",Productos!G429)</f>
        <v/>
      </c>
      <c r="H429" s="5" t="str">
        <f>IF(B429="","",SUMIF('Compras Entradas'!$D$5:$D$504,B429,'Compras Entradas'!$F$5:$F$504))</f>
        <v/>
      </c>
      <c r="I429" s="5" t="str">
        <f>IF(B429="","",SUMIF('Ventas Salidas'!$D$5:$D$504,B429,'Ventas Salidas'!$F$5:$F$504))</f>
        <v/>
      </c>
      <c r="J429" s="5" t="str">
        <f t="shared" si="21"/>
        <v/>
      </c>
      <c r="K429" s="5" t="str">
        <f t="shared" si="22"/>
        <v/>
      </c>
      <c r="L429" s="5" t="str">
        <f t="shared" si="23"/>
        <v/>
      </c>
      <c r="M429" s="8"/>
      <c r="N429" s="8" t="str">
        <f>IF(B429="","",IF(OR(K429="Bajo stock",K429="Sin stock"),COUNTIFS($K$5:$K429,"Bajo stock")+COUNTIFS($K$5:$K429,"Sin stock"),""))</f>
        <v/>
      </c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2:30" s="5" customFormat="1" ht="21.75" customHeight="1" x14ac:dyDescent="0.25">
      <c r="B430" s="5" t="str">
        <f>IF(Productos!B430="","",Productos!B430)</f>
        <v/>
      </c>
      <c r="C430" s="5" t="str">
        <f>IF(Productos!B430="","",Productos!C430)</f>
        <v/>
      </c>
      <c r="D430" s="5" t="str">
        <f>IF(Productos!B430="","",Productos!D430)</f>
        <v/>
      </c>
      <c r="E430" s="5" t="str">
        <f>IF(Productos!B430="","",Productos!E430)</f>
        <v/>
      </c>
      <c r="F430" s="5" t="str">
        <f>IF(Productos!B430="","",Productos!F430)</f>
        <v/>
      </c>
      <c r="G430" s="5" t="str">
        <f>IF(Productos!B430="","",Productos!G430)</f>
        <v/>
      </c>
      <c r="H430" s="5" t="str">
        <f>IF(B430="","",SUMIF('Compras Entradas'!$D$5:$D$504,B430,'Compras Entradas'!$F$5:$F$504))</f>
        <v/>
      </c>
      <c r="I430" s="5" t="str">
        <f>IF(B430="","",SUMIF('Ventas Salidas'!$D$5:$D$504,B430,'Ventas Salidas'!$F$5:$F$504))</f>
        <v/>
      </c>
      <c r="J430" s="5" t="str">
        <f t="shared" si="21"/>
        <v/>
      </c>
      <c r="K430" s="5" t="str">
        <f t="shared" si="22"/>
        <v/>
      </c>
      <c r="L430" s="5" t="str">
        <f t="shared" si="23"/>
        <v/>
      </c>
      <c r="M430" s="8"/>
      <c r="N430" s="8" t="str">
        <f>IF(B430="","",IF(OR(K430="Bajo stock",K430="Sin stock"),COUNTIFS($K$5:$K430,"Bajo stock")+COUNTIFS($K$5:$K430,"Sin stock"),""))</f>
        <v/>
      </c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2:30" s="5" customFormat="1" ht="21.75" customHeight="1" x14ac:dyDescent="0.25">
      <c r="B431" s="5" t="str">
        <f>IF(Productos!B431="","",Productos!B431)</f>
        <v/>
      </c>
      <c r="C431" s="5" t="str">
        <f>IF(Productos!B431="","",Productos!C431)</f>
        <v/>
      </c>
      <c r="D431" s="5" t="str">
        <f>IF(Productos!B431="","",Productos!D431)</f>
        <v/>
      </c>
      <c r="E431" s="5" t="str">
        <f>IF(Productos!B431="","",Productos!E431)</f>
        <v/>
      </c>
      <c r="F431" s="5" t="str">
        <f>IF(Productos!B431="","",Productos!F431)</f>
        <v/>
      </c>
      <c r="G431" s="5" t="str">
        <f>IF(Productos!B431="","",Productos!G431)</f>
        <v/>
      </c>
      <c r="H431" s="5" t="str">
        <f>IF(B431="","",SUMIF('Compras Entradas'!$D$5:$D$504,B431,'Compras Entradas'!$F$5:$F$504))</f>
        <v/>
      </c>
      <c r="I431" s="5" t="str">
        <f>IF(B431="","",SUMIF('Ventas Salidas'!$D$5:$D$504,B431,'Ventas Salidas'!$F$5:$F$504))</f>
        <v/>
      </c>
      <c r="J431" s="5" t="str">
        <f t="shared" si="21"/>
        <v/>
      </c>
      <c r="K431" s="5" t="str">
        <f t="shared" si="22"/>
        <v/>
      </c>
      <c r="L431" s="5" t="str">
        <f t="shared" si="23"/>
        <v/>
      </c>
      <c r="M431" s="8"/>
      <c r="N431" s="8" t="str">
        <f>IF(B431="","",IF(OR(K431="Bajo stock",K431="Sin stock"),COUNTIFS($K$5:$K431,"Bajo stock")+COUNTIFS($K$5:$K431,"Sin stock"),""))</f>
        <v/>
      </c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2:30" s="5" customFormat="1" ht="21.75" customHeight="1" x14ac:dyDescent="0.25">
      <c r="B432" s="5" t="str">
        <f>IF(Productos!B432="","",Productos!B432)</f>
        <v/>
      </c>
      <c r="C432" s="5" t="str">
        <f>IF(Productos!B432="","",Productos!C432)</f>
        <v/>
      </c>
      <c r="D432" s="5" t="str">
        <f>IF(Productos!B432="","",Productos!D432)</f>
        <v/>
      </c>
      <c r="E432" s="5" t="str">
        <f>IF(Productos!B432="","",Productos!E432)</f>
        <v/>
      </c>
      <c r="F432" s="5" t="str">
        <f>IF(Productos!B432="","",Productos!F432)</f>
        <v/>
      </c>
      <c r="G432" s="5" t="str">
        <f>IF(Productos!B432="","",Productos!G432)</f>
        <v/>
      </c>
      <c r="H432" s="5" t="str">
        <f>IF(B432="","",SUMIF('Compras Entradas'!$D$5:$D$504,B432,'Compras Entradas'!$F$5:$F$504))</f>
        <v/>
      </c>
      <c r="I432" s="5" t="str">
        <f>IF(B432="","",SUMIF('Ventas Salidas'!$D$5:$D$504,B432,'Ventas Salidas'!$F$5:$F$504))</f>
        <v/>
      </c>
      <c r="J432" s="5" t="str">
        <f t="shared" si="21"/>
        <v/>
      </c>
      <c r="K432" s="5" t="str">
        <f t="shared" si="22"/>
        <v/>
      </c>
      <c r="L432" s="5" t="str">
        <f t="shared" si="23"/>
        <v/>
      </c>
      <c r="M432" s="8"/>
      <c r="N432" s="8" t="str">
        <f>IF(B432="","",IF(OR(K432="Bajo stock",K432="Sin stock"),COUNTIFS($K$5:$K432,"Bajo stock")+COUNTIFS($K$5:$K432,"Sin stock"),""))</f>
        <v/>
      </c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2:30" s="5" customFormat="1" ht="21.75" customHeight="1" x14ac:dyDescent="0.25">
      <c r="B433" s="5" t="str">
        <f>IF(Productos!B433="","",Productos!B433)</f>
        <v/>
      </c>
      <c r="C433" s="5" t="str">
        <f>IF(Productos!B433="","",Productos!C433)</f>
        <v/>
      </c>
      <c r="D433" s="5" t="str">
        <f>IF(Productos!B433="","",Productos!D433)</f>
        <v/>
      </c>
      <c r="E433" s="5" t="str">
        <f>IF(Productos!B433="","",Productos!E433)</f>
        <v/>
      </c>
      <c r="F433" s="5" t="str">
        <f>IF(Productos!B433="","",Productos!F433)</f>
        <v/>
      </c>
      <c r="G433" s="5" t="str">
        <f>IF(Productos!B433="","",Productos!G433)</f>
        <v/>
      </c>
      <c r="H433" s="5" t="str">
        <f>IF(B433="","",SUMIF('Compras Entradas'!$D$5:$D$504,B433,'Compras Entradas'!$F$5:$F$504))</f>
        <v/>
      </c>
      <c r="I433" s="5" t="str">
        <f>IF(B433="","",SUMIF('Ventas Salidas'!$D$5:$D$504,B433,'Ventas Salidas'!$F$5:$F$504))</f>
        <v/>
      </c>
      <c r="J433" s="5" t="str">
        <f t="shared" si="21"/>
        <v/>
      </c>
      <c r="K433" s="5" t="str">
        <f t="shared" si="22"/>
        <v/>
      </c>
      <c r="L433" s="5" t="str">
        <f t="shared" si="23"/>
        <v/>
      </c>
      <c r="M433" s="8"/>
      <c r="N433" s="8" t="str">
        <f>IF(B433="","",IF(OR(K433="Bajo stock",K433="Sin stock"),COUNTIFS($K$5:$K433,"Bajo stock")+COUNTIFS($K$5:$K433,"Sin stock"),""))</f>
        <v/>
      </c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2:30" s="5" customFormat="1" ht="21.75" customHeight="1" x14ac:dyDescent="0.25">
      <c r="B434" s="5" t="str">
        <f>IF(Productos!B434="","",Productos!B434)</f>
        <v/>
      </c>
      <c r="C434" s="5" t="str">
        <f>IF(Productos!B434="","",Productos!C434)</f>
        <v/>
      </c>
      <c r="D434" s="5" t="str">
        <f>IF(Productos!B434="","",Productos!D434)</f>
        <v/>
      </c>
      <c r="E434" s="5" t="str">
        <f>IF(Productos!B434="","",Productos!E434)</f>
        <v/>
      </c>
      <c r="F434" s="5" t="str">
        <f>IF(Productos!B434="","",Productos!F434)</f>
        <v/>
      </c>
      <c r="G434" s="5" t="str">
        <f>IF(Productos!B434="","",Productos!G434)</f>
        <v/>
      </c>
      <c r="H434" s="5" t="str">
        <f>IF(B434="","",SUMIF('Compras Entradas'!$D$5:$D$504,B434,'Compras Entradas'!$F$5:$F$504))</f>
        <v/>
      </c>
      <c r="I434" s="5" t="str">
        <f>IF(B434="","",SUMIF('Ventas Salidas'!$D$5:$D$504,B434,'Ventas Salidas'!$F$5:$F$504))</f>
        <v/>
      </c>
      <c r="J434" s="5" t="str">
        <f t="shared" si="21"/>
        <v/>
      </c>
      <c r="K434" s="5" t="str">
        <f t="shared" si="22"/>
        <v/>
      </c>
      <c r="L434" s="5" t="str">
        <f t="shared" si="23"/>
        <v/>
      </c>
      <c r="M434" s="8"/>
      <c r="N434" s="8" t="str">
        <f>IF(B434="","",IF(OR(K434="Bajo stock",K434="Sin stock"),COUNTIFS($K$5:$K434,"Bajo stock")+COUNTIFS($K$5:$K434,"Sin stock"),""))</f>
        <v/>
      </c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2:30" s="5" customFormat="1" ht="21.75" customHeight="1" x14ac:dyDescent="0.25">
      <c r="B435" s="5" t="str">
        <f>IF(Productos!B435="","",Productos!B435)</f>
        <v/>
      </c>
      <c r="C435" s="5" t="str">
        <f>IF(Productos!B435="","",Productos!C435)</f>
        <v/>
      </c>
      <c r="D435" s="5" t="str">
        <f>IF(Productos!B435="","",Productos!D435)</f>
        <v/>
      </c>
      <c r="E435" s="5" t="str">
        <f>IF(Productos!B435="","",Productos!E435)</f>
        <v/>
      </c>
      <c r="F435" s="5" t="str">
        <f>IF(Productos!B435="","",Productos!F435)</f>
        <v/>
      </c>
      <c r="G435" s="5" t="str">
        <f>IF(Productos!B435="","",Productos!G435)</f>
        <v/>
      </c>
      <c r="H435" s="5" t="str">
        <f>IF(B435="","",SUMIF('Compras Entradas'!$D$5:$D$504,B435,'Compras Entradas'!$F$5:$F$504))</f>
        <v/>
      </c>
      <c r="I435" s="5" t="str">
        <f>IF(B435="","",SUMIF('Ventas Salidas'!$D$5:$D$504,B435,'Ventas Salidas'!$F$5:$F$504))</f>
        <v/>
      </c>
      <c r="J435" s="5" t="str">
        <f t="shared" si="21"/>
        <v/>
      </c>
      <c r="K435" s="5" t="str">
        <f t="shared" si="22"/>
        <v/>
      </c>
      <c r="L435" s="5" t="str">
        <f t="shared" si="23"/>
        <v/>
      </c>
      <c r="M435" s="8"/>
      <c r="N435" s="8" t="str">
        <f>IF(B435="","",IF(OR(K435="Bajo stock",K435="Sin stock"),COUNTIFS($K$5:$K435,"Bajo stock")+COUNTIFS($K$5:$K435,"Sin stock"),""))</f>
        <v/>
      </c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2:30" s="5" customFormat="1" ht="21.75" customHeight="1" x14ac:dyDescent="0.25">
      <c r="B436" s="5" t="str">
        <f>IF(Productos!B436="","",Productos!B436)</f>
        <v/>
      </c>
      <c r="C436" s="5" t="str">
        <f>IF(Productos!B436="","",Productos!C436)</f>
        <v/>
      </c>
      <c r="D436" s="5" t="str">
        <f>IF(Productos!B436="","",Productos!D436)</f>
        <v/>
      </c>
      <c r="E436" s="5" t="str">
        <f>IF(Productos!B436="","",Productos!E436)</f>
        <v/>
      </c>
      <c r="F436" s="5" t="str">
        <f>IF(Productos!B436="","",Productos!F436)</f>
        <v/>
      </c>
      <c r="G436" s="5" t="str">
        <f>IF(Productos!B436="","",Productos!G436)</f>
        <v/>
      </c>
      <c r="H436" s="5" t="str">
        <f>IF(B436="","",SUMIF('Compras Entradas'!$D$5:$D$504,B436,'Compras Entradas'!$F$5:$F$504))</f>
        <v/>
      </c>
      <c r="I436" s="5" t="str">
        <f>IF(B436="","",SUMIF('Ventas Salidas'!$D$5:$D$504,B436,'Ventas Salidas'!$F$5:$F$504))</f>
        <v/>
      </c>
      <c r="J436" s="5" t="str">
        <f t="shared" si="21"/>
        <v/>
      </c>
      <c r="K436" s="5" t="str">
        <f t="shared" si="22"/>
        <v/>
      </c>
      <c r="L436" s="5" t="str">
        <f t="shared" si="23"/>
        <v/>
      </c>
      <c r="M436" s="8"/>
      <c r="N436" s="8" t="str">
        <f>IF(B436="","",IF(OR(K436="Bajo stock",K436="Sin stock"),COUNTIFS($K$5:$K436,"Bajo stock")+COUNTIFS($K$5:$K436,"Sin stock"),""))</f>
        <v/>
      </c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2:30" s="5" customFormat="1" ht="21.75" customHeight="1" x14ac:dyDescent="0.25">
      <c r="B437" s="5" t="str">
        <f>IF(Productos!B437="","",Productos!B437)</f>
        <v/>
      </c>
      <c r="C437" s="5" t="str">
        <f>IF(Productos!B437="","",Productos!C437)</f>
        <v/>
      </c>
      <c r="D437" s="5" t="str">
        <f>IF(Productos!B437="","",Productos!D437)</f>
        <v/>
      </c>
      <c r="E437" s="5" t="str">
        <f>IF(Productos!B437="","",Productos!E437)</f>
        <v/>
      </c>
      <c r="F437" s="5" t="str">
        <f>IF(Productos!B437="","",Productos!F437)</f>
        <v/>
      </c>
      <c r="G437" s="5" t="str">
        <f>IF(Productos!B437="","",Productos!G437)</f>
        <v/>
      </c>
      <c r="H437" s="5" t="str">
        <f>IF(B437="","",SUMIF('Compras Entradas'!$D$5:$D$504,B437,'Compras Entradas'!$F$5:$F$504))</f>
        <v/>
      </c>
      <c r="I437" s="5" t="str">
        <f>IF(B437="","",SUMIF('Ventas Salidas'!$D$5:$D$504,B437,'Ventas Salidas'!$F$5:$F$504))</f>
        <v/>
      </c>
      <c r="J437" s="5" t="str">
        <f t="shared" si="21"/>
        <v/>
      </c>
      <c r="K437" s="5" t="str">
        <f t="shared" si="22"/>
        <v/>
      </c>
      <c r="L437" s="5" t="str">
        <f t="shared" si="23"/>
        <v/>
      </c>
      <c r="M437" s="8"/>
      <c r="N437" s="8" t="str">
        <f>IF(B437="","",IF(OR(K437="Bajo stock",K437="Sin stock"),COUNTIFS($K$5:$K437,"Bajo stock")+COUNTIFS($K$5:$K437,"Sin stock"),""))</f>
        <v/>
      </c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2:30" s="5" customFormat="1" ht="21.75" customHeight="1" x14ac:dyDescent="0.25">
      <c r="B438" s="5" t="str">
        <f>IF(Productos!B438="","",Productos!B438)</f>
        <v/>
      </c>
      <c r="C438" s="5" t="str">
        <f>IF(Productos!B438="","",Productos!C438)</f>
        <v/>
      </c>
      <c r="D438" s="5" t="str">
        <f>IF(Productos!B438="","",Productos!D438)</f>
        <v/>
      </c>
      <c r="E438" s="5" t="str">
        <f>IF(Productos!B438="","",Productos!E438)</f>
        <v/>
      </c>
      <c r="F438" s="5" t="str">
        <f>IF(Productos!B438="","",Productos!F438)</f>
        <v/>
      </c>
      <c r="G438" s="5" t="str">
        <f>IF(Productos!B438="","",Productos!G438)</f>
        <v/>
      </c>
      <c r="H438" s="5" t="str">
        <f>IF(B438="","",SUMIF('Compras Entradas'!$D$5:$D$504,B438,'Compras Entradas'!$F$5:$F$504))</f>
        <v/>
      </c>
      <c r="I438" s="5" t="str">
        <f>IF(B438="","",SUMIF('Ventas Salidas'!$D$5:$D$504,B438,'Ventas Salidas'!$F$5:$F$504))</f>
        <v/>
      </c>
      <c r="J438" s="5" t="str">
        <f t="shared" si="21"/>
        <v/>
      </c>
      <c r="K438" s="5" t="str">
        <f t="shared" si="22"/>
        <v/>
      </c>
      <c r="L438" s="5" t="str">
        <f t="shared" si="23"/>
        <v/>
      </c>
      <c r="M438" s="8"/>
      <c r="N438" s="8" t="str">
        <f>IF(B438="","",IF(OR(K438="Bajo stock",K438="Sin stock"),COUNTIFS($K$5:$K438,"Bajo stock")+COUNTIFS($K$5:$K438,"Sin stock"),""))</f>
        <v/>
      </c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2:30" s="5" customFormat="1" ht="21.75" customHeight="1" x14ac:dyDescent="0.25">
      <c r="B439" s="5" t="str">
        <f>IF(Productos!B439="","",Productos!B439)</f>
        <v/>
      </c>
      <c r="C439" s="5" t="str">
        <f>IF(Productos!B439="","",Productos!C439)</f>
        <v/>
      </c>
      <c r="D439" s="5" t="str">
        <f>IF(Productos!B439="","",Productos!D439)</f>
        <v/>
      </c>
      <c r="E439" s="5" t="str">
        <f>IF(Productos!B439="","",Productos!E439)</f>
        <v/>
      </c>
      <c r="F439" s="5" t="str">
        <f>IF(Productos!B439="","",Productos!F439)</f>
        <v/>
      </c>
      <c r="G439" s="5" t="str">
        <f>IF(Productos!B439="","",Productos!G439)</f>
        <v/>
      </c>
      <c r="H439" s="5" t="str">
        <f>IF(B439="","",SUMIF('Compras Entradas'!$D$5:$D$504,B439,'Compras Entradas'!$F$5:$F$504))</f>
        <v/>
      </c>
      <c r="I439" s="5" t="str">
        <f>IF(B439="","",SUMIF('Ventas Salidas'!$D$5:$D$504,B439,'Ventas Salidas'!$F$5:$F$504))</f>
        <v/>
      </c>
      <c r="J439" s="5" t="str">
        <f t="shared" si="21"/>
        <v/>
      </c>
      <c r="K439" s="5" t="str">
        <f t="shared" si="22"/>
        <v/>
      </c>
      <c r="L439" s="5" t="str">
        <f t="shared" si="23"/>
        <v/>
      </c>
      <c r="M439" s="8"/>
      <c r="N439" s="8" t="str">
        <f>IF(B439="","",IF(OR(K439="Bajo stock",K439="Sin stock"),COUNTIFS($K$5:$K439,"Bajo stock")+COUNTIFS($K$5:$K439,"Sin stock"),""))</f>
        <v/>
      </c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2:30" s="5" customFormat="1" ht="21.75" customHeight="1" x14ac:dyDescent="0.25">
      <c r="B440" s="5" t="str">
        <f>IF(Productos!B440="","",Productos!B440)</f>
        <v/>
      </c>
      <c r="C440" s="5" t="str">
        <f>IF(Productos!B440="","",Productos!C440)</f>
        <v/>
      </c>
      <c r="D440" s="5" t="str">
        <f>IF(Productos!B440="","",Productos!D440)</f>
        <v/>
      </c>
      <c r="E440" s="5" t="str">
        <f>IF(Productos!B440="","",Productos!E440)</f>
        <v/>
      </c>
      <c r="F440" s="5" t="str">
        <f>IF(Productos!B440="","",Productos!F440)</f>
        <v/>
      </c>
      <c r="G440" s="5" t="str">
        <f>IF(Productos!B440="","",Productos!G440)</f>
        <v/>
      </c>
      <c r="H440" s="5" t="str">
        <f>IF(B440="","",SUMIF('Compras Entradas'!$D$5:$D$504,B440,'Compras Entradas'!$F$5:$F$504))</f>
        <v/>
      </c>
      <c r="I440" s="5" t="str">
        <f>IF(B440="","",SUMIF('Ventas Salidas'!$D$5:$D$504,B440,'Ventas Salidas'!$F$5:$F$504))</f>
        <v/>
      </c>
      <c r="J440" s="5" t="str">
        <f t="shared" si="21"/>
        <v/>
      </c>
      <c r="K440" s="5" t="str">
        <f t="shared" si="22"/>
        <v/>
      </c>
      <c r="L440" s="5" t="str">
        <f t="shared" si="23"/>
        <v/>
      </c>
      <c r="M440" s="8"/>
      <c r="N440" s="8" t="str">
        <f>IF(B440="","",IF(OR(K440="Bajo stock",K440="Sin stock"),COUNTIFS($K$5:$K440,"Bajo stock")+COUNTIFS($K$5:$K440,"Sin stock"),""))</f>
        <v/>
      </c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2:30" s="5" customFormat="1" ht="21.75" customHeight="1" x14ac:dyDescent="0.25">
      <c r="B441" s="5" t="str">
        <f>IF(Productos!B441="","",Productos!B441)</f>
        <v/>
      </c>
      <c r="C441" s="5" t="str">
        <f>IF(Productos!B441="","",Productos!C441)</f>
        <v/>
      </c>
      <c r="D441" s="5" t="str">
        <f>IF(Productos!B441="","",Productos!D441)</f>
        <v/>
      </c>
      <c r="E441" s="5" t="str">
        <f>IF(Productos!B441="","",Productos!E441)</f>
        <v/>
      </c>
      <c r="F441" s="5" t="str">
        <f>IF(Productos!B441="","",Productos!F441)</f>
        <v/>
      </c>
      <c r="G441" s="5" t="str">
        <f>IF(Productos!B441="","",Productos!G441)</f>
        <v/>
      </c>
      <c r="H441" s="5" t="str">
        <f>IF(B441="","",SUMIF('Compras Entradas'!$D$5:$D$504,B441,'Compras Entradas'!$F$5:$F$504))</f>
        <v/>
      </c>
      <c r="I441" s="5" t="str">
        <f>IF(B441="","",SUMIF('Ventas Salidas'!$D$5:$D$504,B441,'Ventas Salidas'!$F$5:$F$504))</f>
        <v/>
      </c>
      <c r="J441" s="5" t="str">
        <f t="shared" si="21"/>
        <v/>
      </c>
      <c r="K441" s="5" t="str">
        <f t="shared" si="22"/>
        <v/>
      </c>
      <c r="L441" s="5" t="str">
        <f t="shared" si="23"/>
        <v/>
      </c>
      <c r="M441" s="8"/>
      <c r="N441" s="8" t="str">
        <f>IF(B441="","",IF(OR(K441="Bajo stock",K441="Sin stock"),COUNTIFS($K$5:$K441,"Bajo stock")+COUNTIFS($K$5:$K441,"Sin stock"),""))</f>
        <v/>
      </c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2:30" s="5" customFormat="1" ht="21.75" customHeight="1" x14ac:dyDescent="0.25">
      <c r="B442" s="5" t="str">
        <f>IF(Productos!B442="","",Productos!B442)</f>
        <v/>
      </c>
      <c r="C442" s="5" t="str">
        <f>IF(Productos!B442="","",Productos!C442)</f>
        <v/>
      </c>
      <c r="D442" s="5" t="str">
        <f>IF(Productos!B442="","",Productos!D442)</f>
        <v/>
      </c>
      <c r="E442" s="5" t="str">
        <f>IF(Productos!B442="","",Productos!E442)</f>
        <v/>
      </c>
      <c r="F442" s="5" t="str">
        <f>IF(Productos!B442="","",Productos!F442)</f>
        <v/>
      </c>
      <c r="G442" s="5" t="str">
        <f>IF(Productos!B442="","",Productos!G442)</f>
        <v/>
      </c>
      <c r="H442" s="5" t="str">
        <f>IF(B442="","",SUMIF('Compras Entradas'!$D$5:$D$504,B442,'Compras Entradas'!$F$5:$F$504))</f>
        <v/>
      </c>
      <c r="I442" s="5" t="str">
        <f>IF(B442="","",SUMIF('Ventas Salidas'!$D$5:$D$504,B442,'Ventas Salidas'!$F$5:$F$504))</f>
        <v/>
      </c>
      <c r="J442" s="5" t="str">
        <f t="shared" si="21"/>
        <v/>
      </c>
      <c r="K442" s="5" t="str">
        <f t="shared" si="22"/>
        <v/>
      </c>
      <c r="L442" s="5" t="str">
        <f t="shared" si="23"/>
        <v/>
      </c>
      <c r="M442" s="8"/>
      <c r="N442" s="8" t="str">
        <f>IF(B442="","",IF(OR(K442="Bajo stock",K442="Sin stock"),COUNTIFS($K$5:$K442,"Bajo stock")+COUNTIFS($K$5:$K442,"Sin stock"),""))</f>
        <v/>
      </c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2:30" s="5" customFormat="1" ht="21.75" customHeight="1" x14ac:dyDescent="0.25">
      <c r="B443" s="5" t="str">
        <f>IF(Productos!B443="","",Productos!B443)</f>
        <v/>
      </c>
      <c r="C443" s="5" t="str">
        <f>IF(Productos!B443="","",Productos!C443)</f>
        <v/>
      </c>
      <c r="D443" s="5" t="str">
        <f>IF(Productos!B443="","",Productos!D443)</f>
        <v/>
      </c>
      <c r="E443" s="5" t="str">
        <f>IF(Productos!B443="","",Productos!E443)</f>
        <v/>
      </c>
      <c r="F443" s="5" t="str">
        <f>IF(Productos!B443="","",Productos!F443)</f>
        <v/>
      </c>
      <c r="G443" s="5" t="str">
        <f>IF(Productos!B443="","",Productos!G443)</f>
        <v/>
      </c>
      <c r="H443" s="5" t="str">
        <f>IF(B443="","",SUMIF('Compras Entradas'!$D$5:$D$504,B443,'Compras Entradas'!$F$5:$F$504))</f>
        <v/>
      </c>
      <c r="I443" s="5" t="str">
        <f>IF(B443="","",SUMIF('Ventas Salidas'!$D$5:$D$504,B443,'Ventas Salidas'!$F$5:$F$504))</f>
        <v/>
      </c>
      <c r="J443" s="5" t="str">
        <f t="shared" si="21"/>
        <v/>
      </c>
      <c r="K443" s="5" t="str">
        <f t="shared" si="22"/>
        <v/>
      </c>
      <c r="L443" s="5" t="str">
        <f t="shared" si="23"/>
        <v/>
      </c>
      <c r="M443" s="8"/>
      <c r="N443" s="8" t="str">
        <f>IF(B443="","",IF(OR(K443="Bajo stock",K443="Sin stock"),COUNTIFS($K$5:$K443,"Bajo stock")+COUNTIFS($K$5:$K443,"Sin stock"),""))</f>
        <v/>
      </c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2:30" s="5" customFormat="1" ht="21.75" customHeight="1" x14ac:dyDescent="0.25">
      <c r="B444" s="5" t="str">
        <f>IF(Productos!B444="","",Productos!B444)</f>
        <v/>
      </c>
      <c r="C444" s="5" t="str">
        <f>IF(Productos!B444="","",Productos!C444)</f>
        <v/>
      </c>
      <c r="D444" s="5" t="str">
        <f>IF(Productos!B444="","",Productos!D444)</f>
        <v/>
      </c>
      <c r="E444" s="5" t="str">
        <f>IF(Productos!B444="","",Productos!E444)</f>
        <v/>
      </c>
      <c r="F444" s="5" t="str">
        <f>IF(Productos!B444="","",Productos!F444)</f>
        <v/>
      </c>
      <c r="G444" s="5" t="str">
        <f>IF(Productos!B444="","",Productos!G444)</f>
        <v/>
      </c>
      <c r="H444" s="5" t="str">
        <f>IF(B444="","",SUMIF('Compras Entradas'!$D$5:$D$504,B444,'Compras Entradas'!$F$5:$F$504))</f>
        <v/>
      </c>
      <c r="I444" s="5" t="str">
        <f>IF(B444="","",SUMIF('Ventas Salidas'!$D$5:$D$504,B444,'Ventas Salidas'!$F$5:$F$504))</f>
        <v/>
      </c>
      <c r="J444" s="5" t="str">
        <f t="shared" si="21"/>
        <v/>
      </c>
      <c r="K444" s="5" t="str">
        <f t="shared" si="22"/>
        <v/>
      </c>
      <c r="L444" s="5" t="str">
        <f t="shared" si="23"/>
        <v/>
      </c>
      <c r="M444" s="8"/>
      <c r="N444" s="8" t="str">
        <f>IF(B444="","",IF(OR(K444="Bajo stock",K444="Sin stock"),COUNTIFS($K$5:$K444,"Bajo stock")+COUNTIFS($K$5:$K444,"Sin stock"),""))</f>
        <v/>
      </c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2:30" s="5" customFormat="1" ht="21.75" customHeight="1" x14ac:dyDescent="0.25">
      <c r="B445" s="5" t="str">
        <f>IF(Productos!B445="","",Productos!B445)</f>
        <v/>
      </c>
      <c r="C445" s="5" t="str">
        <f>IF(Productos!B445="","",Productos!C445)</f>
        <v/>
      </c>
      <c r="D445" s="5" t="str">
        <f>IF(Productos!B445="","",Productos!D445)</f>
        <v/>
      </c>
      <c r="E445" s="5" t="str">
        <f>IF(Productos!B445="","",Productos!E445)</f>
        <v/>
      </c>
      <c r="F445" s="5" t="str">
        <f>IF(Productos!B445="","",Productos!F445)</f>
        <v/>
      </c>
      <c r="G445" s="5" t="str">
        <f>IF(Productos!B445="","",Productos!G445)</f>
        <v/>
      </c>
      <c r="H445" s="5" t="str">
        <f>IF(B445="","",SUMIF('Compras Entradas'!$D$5:$D$504,B445,'Compras Entradas'!$F$5:$F$504))</f>
        <v/>
      </c>
      <c r="I445" s="5" t="str">
        <f>IF(B445="","",SUMIF('Ventas Salidas'!$D$5:$D$504,B445,'Ventas Salidas'!$F$5:$F$504))</f>
        <v/>
      </c>
      <c r="J445" s="5" t="str">
        <f t="shared" si="21"/>
        <v/>
      </c>
      <c r="K445" s="5" t="str">
        <f t="shared" si="22"/>
        <v/>
      </c>
      <c r="L445" s="5" t="str">
        <f t="shared" si="23"/>
        <v/>
      </c>
      <c r="M445" s="8"/>
      <c r="N445" s="8" t="str">
        <f>IF(B445="","",IF(OR(K445="Bajo stock",K445="Sin stock"),COUNTIFS($K$5:$K445,"Bajo stock")+COUNTIFS($K$5:$K445,"Sin stock"),""))</f>
        <v/>
      </c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2:30" s="5" customFormat="1" ht="21.75" customHeight="1" x14ac:dyDescent="0.25">
      <c r="B446" s="5" t="str">
        <f>IF(Productos!B446="","",Productos!B446)</f>
        <v/>
      </c>
      <c r="C446" s="5" t="str">
        <f>IF(Productos!B446="","",Productos!C446)</f>
        <v/>
      </c>
      <c r="D446" s="5" t="str">
        <f>IF(Productos!B446="","",Productos!D446)</f>
        <v/>
      </c>
      <c r="E446" s="5" t="str">
        <f>IF(Productos!B446="","",Productos!E446)</f>
        <v/>
      </c>
      <c r="F446" s="5" t="str">
        <f>IF(Productos!B446="","",Productos!F446)</f>
        <v/>
      </c>
      <c r="G446" s="5" t="str">
        <f>IF(Productos!B446="","",Productos!G446)</f>
        <v/>
      </c>
      <c r="H446" s="5" t="str">
        <f>IF(B446="","",SUMIF('Compras Entradas'!$D$5:$D$504,B446,'Compras Entradas'!$F$5:$F$504))</f>
        <v/>
      </c>
      <c r="I446" s="5" t="str">
        <f>IF(B446="","",SUMIF('Ventas Salidas'!$D$5:$D$504,B446,'Ventas Salidas'!$F$5:$F$504))</f>
        <v/>
      </c>
      <c r="J446" s="5" t="str">
        <f t="shared" si="21"/>
        <v/>
      </c>
      <c r="K446" s="5" t="str">
        <f t="shared" si="22"/>
        <v/>
      </c>
      <c r="L446" s="5" t="str">
        <f t="shared" si="23"/>
        <v/>
      </c>
      <c r="M446" s="8"/>
      <c r="N446" s="8" t="str">
        <f>IF(B446="","",IF(OR(K446="Bajo stock",K446="Sin stock"),COUNTIFS($K$5:$K446,"Bajo stock")+COUNTIFS($K$5:$K446,"Sin stock"),""))</f>
        <v/>
      </c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2:30" s="5" customFormat="1" ht="21.75" customHeight="1" x14ac:dyDescent="0.25">
      <c r="B447" s="5" t="str">
        <f>IF(Productos!B447="","",Productos!B447)</f>
        <v/>
      </c>
      <c r="C447" s="5" t="str">
        <f>IF(Productos!B447="","",Productos!C447)</f>
        <v/>
      </c>
      <c r="D447" s="5" t="str">
        <f>IF(Productos!B447="","",Productos!D447)</f>
        <v/>
      </c>
      <c r="E447" s="5" t="str">
        <f>IF(Productos!B447="","",Productos!E447)</f>
        <v/>
      </c>
      <c r="F447" s="5" t="str">
        <f>IF(Productos!B447="","",Productos!F447)</f>
        <v/>
      </c>
      <c r="G447" s="5" t="str">
        <f>IF(Productos!B447="","",Productos!G447)</f>
        <v/>
      </c>
      <c r="H447" s="5" t="str">
        <f>IF(B447="","",SUMIF('Compras Entradas'!$D$5:$D$504,B447,'Compras Entradas'!$F$5:$F$504))</f>
        <v/>
      </c>
      <c r="I447" s="5" t="str">
        <f>IF(B447="","",SUMIF('Ventas Salidas'!$D$5:$D$504,B447,'Ventas Salidas'!$F$5:$F$504))</f>
        <v/>
      </c>
      <c r="J447" s="5" t="str">
        <f t="shared" si="21"/>
        <v/>
      </c>
      <c r="K447" s="5" t="str">
        <f t="shared" si="22"/>
        <v/>
      </c>
      <c r="L447" s="5" t="str">
        <f t="shared" si="23"/>
        <v/>
      </c>
      <c r="M447" s="8"/>
      <c r="N447" s="8" t="str">
        <f>IF(B447="","",IF(OR(K447="Bajo stock",K447="Sin stock"),COUNTIFS($K$5:$K447,"Bajo stock")+COUNTIFS($K$5:$K447,"Sin stock"),""))</f>
        <v/>
      </c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2:30" s="5" customFormat="1" ht="21.75" customHeight="1" x14ac:dyDescent="0.25">
      <c r="B448" s="5" t="str">
        <f>IF(Productos!B448="","",Productos!B448)</f>
        <v/>
      </c>
      <c r="C448" s="5" t="str">
        <f>IF(Productos!B448="","",Productos!C448)</f>
        <v/>
      </c>
      <c r="D448" s="5" t="str">
        <f>IF(Productos!B448="","",Productos!D448)</f>
        <v/>
      </c>
      <c r="E448" s="5" t="str">
        <f>IF(Productos!B448="","",Productos!E448)</f>
        <v/>
      </c>
      <c r="F448" s="5" t="str">
        <f>IF(Productos!B448="","",Productos!F448)</f>
        <v/>
      </c>
      <c r="G448" s="5" t="str">
        <f>IF(Productos!B448="","",Productos!G448)</f>
        <v/>
      </c>
      <c r="H448" s="5" t="str">
        <f>IF(B448="","",SUMIF('Compras Entradas'!$D$5:$D$504,B448,'Compras Entradas'!$F$5:$F$504))</f>
        <v/>
      </c>
      <c r="I448" s="5" t="str">
        <f>IF(B448="","",SUMIF('Ventas Salidas'!$D$5:$D$504,B448,'Ventas Salidas'!$F$5:$F$504))</f>
        <v/>
      </c>
      <c r="J448" s="5" t="str">
        <f t="shared" si="21"/>
        <v/>
      </c>
      <c r="K448" s="5" t="str">
        <f t="shared" si="22"/>
        <v/>
      </c>
      <c r="L448" s="5" t="str">
        <f t="shared" si="23"/>
        <v/>
      </c>
      <c r="M448" s="8"/>
      <c r="N448" s="8" t="str">
        <f>IF(B448="","",IF(OR(K448="Bajo stock",K448="Sin stock"),COUNTIFS($K$5:$K448,"Bajo stock")+COUNTIFS($K$5:$K448,"Sin stock"),""))</f>
        <v/>
      </c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2:30" s="5" customFormat="1" ht="21.75" customHeight="1" x14ac:dyDescent="0.25">
      <c r="B449" s="5" t="str">
        <f>IF(Productos!B449="","",Productos!B449)</f>
        <v/>
      </c>
      <c r="C449" s="5" t="str">
        <f>IF(Productos!B449="","",Productos!C449)</f>
        <v/>
      </c>
      <c r="D449" s="5" t="str">
        <f>IF(Productos!B449="","",Productos!D449)</f>
        <v/>
      </c>
      <c r="E449" s="5" t="str">
        <f>IF(Productos!B449="","",Productos!E449)</f>
        <v/>
      </c>
      <c r="F449" s="5" t="str">
        <f>IF(Productos!B449="","",Productos!F449)</f>
        <v/>
      </c>
      <c r="G449" s="5" t="str">
        <f>IF(Productos!B449="","",Productos!G449)</f>
        <v/>
      </c>
      <c r="H449" s="5" t="str">
        <f>IF(B449="","",SUMIF('Compras Entradas'!$D$5:$D$504,B449,'Compras Entradas'!$F$5:$F$504))</f>
        <v/>
      </c>
      <c r="I449" s="5" t="str">
        <f>IF(B449="","",SUMIF('Ventas Salidas'!$D$5:$D$504,B449,'Ventas Salidas'!$F$5:$F$504))</f>
        <v/>
      </c>
      <c r="J449" s="5" t="str">
        <f t="shared" si="21"/>
        <v/>
      </c>
      <c r="K449" s="5" t="str">
        <f t="shared" si="22"/>
        <v/>
      </c>
      <c r="L449" s="5" t="str">
        <f t="shared" si="23"/>
        <v/>
      </c>
      <c r="M449" s="8"/>
      <c r="N449" s="8" t="str">
        <f>IF(B449="","",IF(OR(K449="Bajo stock",K449="Sin stock"),COUNTIFS($K$5:$K449,"Bajo stock")+COUNTIFS($K$5:$K449,"Sin stock"),""))</f>
        <v/>
      </c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2:30" s="5" customFormat="1" ht="21.75" customHeight="1" x14ac:dyDescent="0.25">
      <c r="B450" s="5" t="str">
        <f>IF(Productos!B450="","",Productos!B450)</f>
        <v/>
      </c>
      <c r="C450" s="5" t="str">
        <f>IF(Productos!B450="","",Productos!C450)</f>
        <v/>
      </c>
      <c r="D450" s="5" t="str">
        <f>IF(Productos!B450="","",Productos!D450)</f>
        <v/>
      </c>
      <c r="E450" s="5" t="str">
        <f>IF(Productos!B450="","",Productos!E450)</f>
        <v/>
      </c>
      <c r="F450" s="5" t="str">
        <f>IF(Productos!B450="","",Productos!F450)</f>
        <v/>
      </c>
      <c r="G450" s="5" t="str">
        <f>IF(Productos!B450="","",Productos!G450)</f>
        <v/>
      </c>
      <c r="H450" s="5" t="str">
        <f>IF(B450="","",SUMIF('Compras Entradas'!$D$5:$D$504,B450,'Compras Entradas'!$F$5:$F$504))</f>
        <v/>
      </c>
      <c r="I450" s="5" t="str">
        <f>IF(B450="","",SUMIF('Ventas Salidas'!$D$5:$D$504,B450,'Ventas Salidas'!$F$5:$F$504))</f>
        <v/>
      </c>
      <c r="J450" s="5" t="str">
        <f t="shared" si="21"/>
        <v/>
      </c>
      <c r="K450" s="5" t="str">
        <f t="shared" si="22"/>
        <v/>
      </c>
      <c r="L450" s="5" t="str">
        <f t="shared" si="23"/>
        <v/>
      </c>
      <c r="M450" s="8"/>
      <c r="N450" s="8" t="str">
        <f>IF(B450="","",IF(OR(K450="Bajo stock",K450="Sin stock"),COUNTIFS($K$5:$K450,"Bajo stock")+COUNTIFS($K$5:$K450,"Sin stock"),""))</f>
        <v/>
      </c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2:30" s="5" customFormat="1" ht="21.75" customHeight="1" x14ac:dyDescent="0.25">
      <c r="B451" s="5" t="str">
        <f>IF(Productos!B451="","",Productos!B451)</f>
        <v/>
      </c>
      <c r="C451" s="5" t="str">
        <f>IF(Productos!B451="","",Productos!C451)</f>
        <v/>
      </c>
      <c r="D451" s="5" t="str">
        <f>IF(Productos!B451="","",Productos!D451)</f>
        <v/>
      </c>
      <c r="E451" s="5" t="str">
        <f>IF(Productos!B451="","",Productos!E451)</f>
        <v/>
      </c>
      <c r="F451" s="5" t="str">
        <f>IF(Productos!B451="","",Productos!F451)</f>
        <v/>
      </c>
      <c r="G451" s="5" t="str">
        <f>IF(Productos!B451="","",Productos!G451)</f>
        <v/>
      </c>
      <c r="H451" s="5" t="str">
        <f>IF(B451="","",SUMIF('Compras Entradas'!$D$5:$D$504,B451,'Compras Entradas'!$F$5:$F$504))</f>
        <v/>
      </c>
      <c r="I451" s="5" t="str">
        <f>IF(B451="","",SUMIF('Ventas Salidas'!$D$5:$D$504,B451,'Ventas Salidas'!$F$5:$F$504))</f>
        <v/>
      </c>
      <c r="J451" s="5" t="str">
        <f t="shared" si="21"/>
        <v/>
      </c>
      <c r="K451" s="5" t="str">
        <f t="shared" si="22"/>
        <v/>
      </c>
      <c r="L451" s="5" t="str">
        <f t="shared" si="23"/>
        <v/>
      </c>
      <c r="M451" s="8"/>
      <c r="N451" s="8" t="str">
        <f>IF(B451="","",IF(OR(K451="Bajo stock",K451="Sin stock"),COUNTIFS($K$5:$K451,"Bajo stock")+COUNTIFS($K$5:$K451,"Sin stock"),""))</f>
        <v/>
      </c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2:30" s="5" customFormat="1" ht="21.75" customHeight="1" x14ac:dyDescent="0.25">
      <c r="B452" s="5" t="str">
        <f>IF(Productos!B452="","",Productos!B452)</f>
        <v/>
      </c>
      <c r="C452" s="5" t="str">
        <f>IF(Productos!B452="","",Productos!C452)</f>
        <v/>
      </c>
      <c r="D452" s="5" t="str">
        <f>IF(Productos!B452="","",Productos!D452)</f>
        <v/>
      </c>
      <c r="E452" s="5" t="str">
        <f>IF(Productos!B452="","",Productos!E452)</f>
        <v/>
      </c>
      <c r="F452" s="5" t="str">
        <f>IF(Productos!B452="","",Productos!F452)</f>
        <v/>
      </c>
      <c r="G452" s="5" t="str">
        <f>IF(Productos!B452="","",Productos!G452)</f>
        <v/>
      </c>
      <c r="H452" s="5" t="str">
        <f>IF(B452="","",SUMIF('Compras Entradas'!$D$5:$D$504,B452,'Compras Entradas'!$F$5:$F$504))</f>
        <v/>
      </c>
      <c r="I452" s="5" t="str">
        <f>IF(B452="","",SUMIF('Ventas Salidas'!$D$5:$D$504,B452,'Ventas Salidas'!$F$5:$F$504))</f>
        <v/>
      </c>
      <c r="J452" s="5" t="str">
        <f t="shared" si="21"/>
        <v/>
      </c>
      <c r="K452" s="5" t="str">
        <f t="shared" si="22"/>
        <v/>
      </c>
      <c r="L452" s="5" t="str">
        <f t="shared" si="23"/>
        <v/>
      </c>
      <c r="M452" s="8"/>
      <c r="N452" s="8" t="str">
        <f>IF(B452="","",IF(OR(K452="Bajo stock",K452="Sin stock"),COUNTIFS($K$5:$K452,"Bajo stock")+COUNTIFS($K$5:$K452,"Sin stock"),""))</f>
        <v/>
      </c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2:30" s="5" customFormat="1" ht="21.75" customHeight="1" x14ac:dyDescent="0.25">
      <c r="B453" s="5" t="str">
        <f>IF(Productos!B453="","",Productos!B453)</f>
        <v/>
      </c>
      <c r="C453" s="5" t="str">
        <f>IF(Productos!B453="","",Productos!C453)</f>
        <v/>
      </c>
      <c r="D453" s="5" t="str">
        <f>IF(Productos!B453="","",Productos!D453)</f>
        <v/>
      </c>
      <c r="E453" s="5" t="str">
        <f>IF(Productos!B453="","",Productos!E453)</f>
        <v/>
      </c>
      <c r="F453" s="5" t="str">
        <f>IF(Productos!B453="","",Productos!F453)</f>
        <v/>
      </c>
      <c r="G453" s="5" t="str">
        <f>IF(Productos!B453="","",Productos!G453)</f>
        <v/>
      </c>
      <c r="H453" s="5" t="str">
        <f>IF(B453="","",SUMIF('Compras Entradas'!$D$5:$D$504,B453,'Compras Entradas'!$F$5:$F$504))</f>
        <v/>
      </c>
      <c r="I453" s="5" t="str">
        <f>IF(B453="","",SUMIF('Ventas Salidas'!$D$5:$D$504,B453,'Ventas Salidas'!$F$5:$F$504))</f>
        <v/>
      </c>
      <c r="J453" s="5" t="str">
        <f t="shared" ref="J453:J504" si="24">IF(B453="","",G453+H453-I453)</f>
        <v/>
      </c>
      <c r="K453" s="5" t="str">
        <f t="shared" ref="K453:K504" si="25">IF(B453="","",IF(J453&lt;=0,"Sin stock",IF(J453&lt;F453,"Bajo stock","OK")))</f>
        <v/>
      </c>
      <c r="L453" s="5" t="str">
        <f t="shared" ref="L453:L504" si="26">IF(B453="","",IF(J453&lt;=0,"Comprar urgente",IF(J453&lt;F453,"Reponer pronto","Stock suficiente")))</f>
        <v/>
      </c>
      <c r="M453" s="8"/>
      <c r="N453" s="8" t="str">
        <f>IF(B453="","",IF(OR(K453="Bajo stock",K453="Sin stock"),COUNTIFS($K$5:$K453,"Bajo stock")+COUNTIFS($K$5:$K453,"Sin stock"),""))</f>
        <v/>
      </c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2:30" s="5" customFormat="1" ht="21.75" customHeight="1" x14ac:dyDescent="0.25">
      <c r="B454" s="5" t="str">
        <f>IF(Productos!B454="","",Productos!B454)</f>
        <v/>
      </c>
      <c r="C454" s="5" t="str">
        <f>IF(Productos!B454="","",Productos!C454)</f>
        <v/>
      </c>
      <c r="D454" s="5" t="str">
        <f>IF(Productos!B454="","",Productos!D454)</f>
        <v/>
      </c>
      <c r="E454" s="5" t="str">
        <f>IF(Productos!B454="","",Productos!E454)</f>
        <v/>
      </c>
      <c r="F454" s="5" t="str">
        <f>IF(Productos!B454="","",Productos!F454)</f>
        <v/>
      </c>
      <c r="G454" s="5" t="str">
        <f>IF(Productos!B454="","",Productos!G454)</f>
        <v/>
      </c>
      <c r="H454" s="5" t="str">
        <f>IF(B454="","",SUMIF('Compras Entradas'!$D$5:$D$504,B454,'Compras Entradas'!$F$5:$F$504))</f>
        <v/>
      </c>
      <c r="I454" s="5" t="str">
        <f>IF(B454="","",SUMIF('Ventas Salidas'!$D$5:$D$504,B454,'Ventas Salidas'!$F$5:$F$504))</f>
        <v/>
      </c>
      <c r="J454" s="5" t="str">
        <f t="shared" si="24"/>
        <v/>
      </c>
      <c r="K454" s="5" t="str">
        <f t="shared" si="25"/>
        <v/>
      </c>
      <c r="L454" s="5" t="str">
        <f t="shared" si="26"/>
        <v/>
      </c>
      <c r="M454" s="8"/>
      <c r="N454" s="8" t="str">
        <f>IF(B454="","",IF(OR(K454="Bajo stock",K454="Sin stock"),COUNTIFS($K$5:$K454,"Bajo stock")+COUNTIFS($K$5:$K454,"Sin stock"),""))</f>
        <v/>
      </c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2:30" s="5" customFormat="1" ht="21.75" customHeight="1" x14ac:dyDescent="0.25">
      <c r="B455" s="5" t="str">
        <f>IF(Productos!B455="","",Productos!B455)</f>
        <v/>
      </c>
      <c r="C455" s="5" t="str">
        <f>IF(Productos!B455="","",Productos!C455)</f>
        <v/>
      </c>
      <c r="D455" s="5" t="str">
        <f>IF(Productos!B455="","",Productos!D455)</f>
        <v/>
      </c>
      <c r="E455" s="5" t="str">
        <f>IF(Productos!B455="","",Productos!E455)</f>
        <v/>
      </c>
      <c r="F455" s="5" t="str">
        <f>IF(Productos!B455="","",Productos!F455)</f>
        <v/>
      </c>
      <c r="G455" s="5" t="str">
        <f>IF(Productos!B455="","",Productos!G455)</f>
        <v/>
      </c>
      <c r="H455" s="5" t="str">
        <f>IF(B455="","",SUMIF('Compras Entradas'!$D$5:$D$504,B455,'Compras Entradas'!$F$5:$F$504))</f>
        <v/>
      </c>
      <c r="I455" s="5" t="str">
        <f>IF(B455="","",SUMIF('Ventas Salidas'!$D$5:$D$504,B455,'Ventas Salidas'!$F$5:$F$504))</f>
        <v/>
      </c>
      <c r="J455" s="5" t="str">
        <f t="shared" si="24"/>
        <v/>
      </c>
      <c r="K455" s="5" t="str">
        <f t="shared" si="25"/>
        <v/>
      </c>
      <c r="L455" s="5" t="str">
        <f t="shared" si="26"/>
        <v/>
      </c>
      <c r="M455" s="8"/>
      <c r="N455" s="8" t="str">
        <f>IF(B455="","",IF(OR(K455="Bajo stock",K455="Sin stock"),COUNTIFS($K$5:$K455,"Bajo stock")+COUNTIFS($K$5:$K455,"Sin stock"),""))</f>
        <v/>
      </c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2:30" s="5" customFormat="1" ht="21.75" customHeight="1" x14ac:dyDescent="0.25">
      <c r="B456" s="5" t="str">
        <f>IF(Productos!B456="","",Productos!B456)</f>
        <v/>
      </c>
      <c r="C456" s="5" t="str">
        <f>IF(Productos!B456="","",Productos!C456)</f>
        <v/>
      </c>
      <c r="D456" s="5" t="str">
        <f>IF(Productos!B456="","",Productos!D456)</f>
        <v/>
      </c>
      <c r="E456" s="5" t="str">
        <f>IF(Productos!B456="","",Productos!E456)</f>
        <v/>
      </c>
      <c r="F456" s="5" t="str">
        <f>IF(Productos!B456="","",Productos!F456)</f>
        <v/>
      </c>
      <c r="G456" s="5" t="str">
        <f>IF(Productos!B456="","",Productos!G456)</f>
        <v/>
      </c>
      <c r="H456" s="5" t="str">
        <f>IF(B456="","",SUMIF('Compras Entradas'!$D$5:$D$504,B456,'Compras Entradas'!$F$5:$F$504))</f>
        <v/>
      </c>
      <c r="I456" s="5" t="str">
        <f>IF(B456="","",SUMIF('Ventas Salidas'!$D$5:$D$504,B456,'Ventas Salidas'!$F$5:$F$504))</f>
        <v/>
      </c>
      <c r="J456" s="5" t="str">
        <f t="shared" si="24"/>
        <v/>
      </c>
      <c r="K456" s="5" t="str">
        <f t="shared" si="25"/>
        <v/>
      </c>
      <c r="L456" s="5" t="str">
        <f t="shared" si="26"/>
        <v/>
      </c>
      <c r="M456" s="8"/>
      <c r="N456" s="8" t="str">
        <f>IF(B456="","",IF(OR(K456="Bajo stock",K456="Sin stock"),COUNTIFS($K$5:$K456,"Bajo stock")+COUNTIFS($K$5:$K456,"Sin stock"),""))</f>
        <v/>
      </c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2:30" s="5" customFormat="1" ht="21.75" customHeight="1" x14ac:dyDescent="0.25">
      <c r="B457" s="5" t="str">
        <f>IF(Productos!B457="","",Productos!B457)</f>
        <v/>
      </c>
      <c r="C457" s="5" t="str">
        <f>IF(Productos!B457="","",Productos!C457)</f>
        <v/>
      </c>
      <c r="D457" s="5" t="str">
        <f>IF(Productos!B457="","",Productos!D457)</f>
        <v/>
      </c>
      <c r="E457" s="5" t="str">
        <f>IF(Productos!B457="","",Productos!E457)</f>
        <v/>
      </c>
      <c r="F457" s="5" t="str">
        <f>IF(Productos!B457="","",Productos!F457)</f>
        <v/>
      </c>
      <c r="G457" s="5" t="str">
        <f>IF(Productos!B457="","",Productos!G457)</f>
        <v/>
      </c>
      <c r="H457" s="5" t="str">
        <f>IF(B457="","",SUMIF('Compras Entradas'!$D$5:$D$504,B457,'Compras Entradas'!$F$5:$F$504))</f>
        <v/>
      </c>
      <c r="I457" s="5" t="str">
        <f>IF(B457="","",SUMIF('Ventas Salidas'!$D$5:$D$504,B457,'Ventas Salidas'!$F$5:$F$504))</f>
        <v/>
      </c>
      <c r="J457" s="5" t="str">
        <f t="shared" si="24"/>
        <v/>
      </c>
      <c r="K457" s="5" t="str">
        <f t="shared" si="25"/>
        <v/>
      </c>
      <c r="L457" s="5" t="str">
        <f t="shared" si="26"/>
        <v/>
      </c>
      <c r="M457" s="8"/>
      <c r="N457" s="8" t="str">
        <f>IF(B457="","",IF(OR(K457="Bajo stock",K457="Sin stock"),COUNTIFS($K$5:$K457,"Bajo stock")+COUNTIFS($K$5:$K457,"Sin stock"),""))</f>
        <v/>
      </c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2:30" s="5" customFormat="1" ht="21.75" customHeight="1" x14ac:dyDescent="0.25">
      <c r="B458" s="5" t="str">
        <f>IF(Productos!B458="","",Productos!B458)</f>
        <v/>
      </c>
      <c r="C458" s="5" t="str">
        <f>IF(Productos!B458="","",Productos!C458)</f>
        <v/>
      </c>
      <c r="D458" s="5" t="str">
        <f>IF(Productos!B458="","",Productos!D458)</f>
        <v/>
      </c>
      <c r="E458" s="5" t="str">
        <f>IF(Productos!B458="","",Productos!E458)</f>
        <v/>
      </c>
      <c r="F458" s="5" t="str">
        <f>IF(Productos!B458="","",Productos!F458)</f>
        <v/>
      </c>
      <c r="G458" s="5" t="str">
        <f>IF(Productos!B458="","",Productos!G458)</f>
        <v/>
      </c>
      <c r="H458" s="5" t="str">
        <f>IF(B458="","",SUMIF('Compras Entradas'!$D$5:$D$504,B458,'Compras Entradas'!$F$5:$F$504))</f>
        <v/>
      </c>
      <c r="I458" s="5" t="str">
        <f>IF(B458="","",SUMIF('Ventas Salidas'!$D$5:$D$504,B458,'Ventas Salidas'!$F$5:$F$504))</f>
        <v/>
      </c>
      <c r="J458" s="5" t="str">
        <f t="shared" si="24"/>
        <v/>
      </c>
      <c r="K458" s="5" t="str">
        <f t="shared" si="25"/>
        <v/>
      </c>
      <c r="L458" s="5" t="str">
        <f t="shared" si="26"/>
        <v/>
      </c>
      <c r="M458" s="8"/>
      <c r="N458" s="8" t="str">
        <f>IF(B458="","",IF(OR(K458="Bajo stock",K458="Sin stock"),COUNTIFS($K$5:$K458,"Bajo stock")+COUNTIFS($K$5:$K458,"Sin stock"),""))</f>
        <v/>
      </c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2:30" s="5" customFormat="1" ht="21.75" customHeight="1" x14ac:dyDescent="0.25">
      <c r="B459" s="5" t="str">
        <f>IF(Productos!B459="","",Productos!B459)</f>
        <v/>
      </c>
      <c r="C459" s="5" t="str">
        <f>IF(Productos!B459="","",Productos!C459)</f>
        <v/>
      </c>
      <c r="D459" s="5" t="str">
        <f>IF(Productos!B459="","",Productos!D459)</f>
        <v/>
      </c>
      <c r="E459" s="5" t="str">
        <f>IF(Productos!B459="","",Productos!E459)</f>
        <v/>
      </c>
      <c r="F459" s="5" t="str">
        <f>IF(Productos!B459="","",Productos!F459)</f>
        <v/>
      </c>
      <c r="G459" s="5" t="str">
        <f>IF(Productos!B459="","",Productos!G459)</f>
        <v/>
      </c>
      <c r="H459" s="5" t="str">
        <f>IF(B459="","",SUMIF('Compras Entradas'!$D$5:$D$504,B459,'Compras Entradas'!$F$5:$F$504))</f>
        <v/>
      </c>
      <c r="I459" s="5" t="str">
        <f>IF(B459="","",SUMIF('Ventas Salidas'!$D$5:$D$504,B459,'Ventas Salidas'!$F$5:$F$504))</f>
        <v/>
      </c>
      <c r="J459" s="5" t="str">
        <f t="shared" si="24"/>
        <v/>
      </c>
      <c r="K459" s="5" t="str">
        <f t="shared" si="25"/>
        <v/>
      </c>
      <c r="L459" s="5" t="str">
        <f t="shared" si="26"/>
        <v/>
      </c>
      <c r="M459" s="8"/>
      <c r="N459" s="8" t="str">
        <f>IF(B459="","",IF(OR(K459="Bajo stock",K459="Sin stock"),COUNTIFS($K$5:$K459,"Bajo stock")+COUNTIFS($K$5:$K459,"Sin stock"),""))</f>
        <v/>
      </c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2:30" s="5" customFormat="1" ht="21.75" customHeight="1" x14ac:dyDescent="0.25">
      <c r="B460" s="5" t="str">
        <f>IF(Productos!B460="","",Productos!B460)</f>
        <v/>
      </c>
      <c r="C460" s="5" t="str">
        <f>IF(Productos!B460="","",Productos!C460)</f>
        <v/>
      </c>
      <c r="D460" s="5" t="str">
        <f>IF(Productos!B460="","",Productos!D460)</f>
        <v/>
      </c>
      <c r="E460" s="5" t="str">
        <f>IF(Productos!B460="","",Productos!E460)</f>
        <v/>
      </c>
      <c r="F460" s="5" t="str">
        <f>IF(Productos!B460="","",Productos!F460)</f>
        <v/>
      </c>
      <c r="G460" s="5" t="str">
        <f>IF(Productos!B460="","",Productos!G460)</f>
        <v/>
      </c>
      <c r="H460" s="5" t="str">
        <f>IF(B460="","",SUMIF('Compras Entradas'!$D$5:$D$504,B460,'Compras Entradas'!$F$5:$F$504))</f>
        <v/>
      </c>
      <c r="I460" s="5" t="str">
        <f>IF(B460="","",SUMIF('Ventas Salidas'!$D$5:$D$504,B460,'Ventas Salidas'!$F$5:$F$504))</f>
        <v/>
      </c>
      <c r="J460" s="5" t="str">
        <f t="shared" si="24"/>
        <v/>
      </c>
      <c r="K460" s="5" t="str">
        <f t="shared" si="25"/>
        <v/>
      </c>
      <c r="L460" s="5" t="str">
        <f t="shared" si="26"/>
        <v/>
      </c>
      <c r="M460" s="8"/>
      <c r="N460" s="8" t="str">
        <f>IF(B460="","",IF(OR(K460="Bajo stock",K460="Sin stock"),COUNTIFS($K$5:$K460,"Bajo stock")+COUNTIFS($K$5:$K460,"Sin stock"),""))</f>
        <v/>
      </c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2:30" s="5" customFormat="1" ht="21.75" customHeight="1" x14ac:dyDescent="0.25">
      <c r="B461" s="5" t="str">
        <f>IF(Productos!B461="","",Productos!B461)</f>
        <v/>
      </c>
      <c r="C461" s="5" t="str">
        <f>IF(Productos!B461="","",Productos!C461)</f>
        <v/>
      </c>
      <c r="D461" s="5" t="str">
        <f>IF(Productos!B461="","",Productos!D461)</f>
        <v/>
      </c>
      <c r="E461" s="5" t="str">
        <f>IF(Productos!B461="","",Productos!E461)</f>
        <v/>
      </c>
      <c r="F461" s="5" t="str">
        <f>IF(Productos!B461="","",Productos!F461)</f>
        <v/>
      </c>
      <c r="G461" s="5" t="str">
        <f>IF(Productos!B461="","",Productos!G461)</f>
        <v/>
      </c>
      <c r="H461" s="5" t="str">
        <f>IF(B461="","",SUMIF('Compras Entradas'!$D$5:$D$504,B461,'Compras Entradas'!$F$5:$F$504))</f>
        <v/>
      </c>
      <c r="I461" s="5" t="str">
        <f>IF(B461="","",SUMIF('Ventas Salidas'!$D$5:$D$504,B461,'Ventas Salidas'!$F$5:$F$504))</f>
        <v/>
      </c>
      <c r="J461" s="5" t="str">
        <f t="shared" si="24"/>
        <v/>
      </c>
      <c r="K461" s="5" t="str">
        <f t="shared" si="25"/>
        <v/>
      </c>
      <c r="L461" s="5" t="str">
        <f t="shared" si="26"/>
        <v/>
      </c>
      <c r="M461" s="8"/>
      <c r="N461" s="8" t="str">
        <f>IF(B461="","",IF(OR(K461="Bajo stock",K461="Sin stock"),COUNTIFS($K$5:$K461,"Bajo stock")+COUNTIFS($K$5:$K461,"Sin stock"),""))</f>
        <v/>
      </c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2:30" s="5" customFormat="1" ht="21.75" customHeight="1" x14ac:dyDescent="0.25">
      <c r="B462" s="5" t="str">
        <f>IF(Productos!B462="","",Productos!B462)</f>
        <v/>
      </c>
      <c r="C462" s="5" t="str">
        <f>IF(Productos!B462="","",Productos!C462)</f>
        <v/>
      </c>
      <c r="D462" s="5" t="str">
        <f>IF(Productos!B462="","",Productos!D462)</f>
        <v/>
      </c>
      <c r="E462" s="5" t="str">
        <f>IF(Productos!B462="","",Productos!E462)</f>
        <v/>
      </c>
      <c r="F462" s="5" t="str">
        <f>IF(Productos!B462="","",Productos!F462)</f>
        <v/>
      </c>
      <c r="G462" s="5" t="str">
        <f>IF(Productos!B462="","",Productos!G462)</f>
        <v/>
      </c>
      <c r="H462" s="5" t="str">
        <f>IF(B462="","",SUMIF('Compras Entradas'!$D$5:$D$504,B462,'Compras Entradas'!$F$5:$F$504))</f>
        <v/>
      </c>
      <c r="I462" s="5" t="str">
        <f>IF(B462="","",SUMIF('Ventas Salidas'!$D$5:$D$504,B462,'Ventas Salidas'!$F$5:$F$504))</f>
        <v/>
      </c>
      <c r="J462" s="5" t="str">
        <f t="shared" si="24"/>
        <v/>
      </c>
      <c r="K462" s="5" t="str">
        <f t="shared" si="25"/>
        <v/>
      </c>
      <c r="L462" s="5" t="str">
        <f t="shared" si="26"/>
        <v/>
      </c>
      <c r="M462" s="8"/>
      <c r="N462" s="8" t="str">
        <f>IF(B462="","",IF(OR(K462="Bajo stock",K462="Sin stock"),COUNTIFS($K$5:$K462,"Bajo stock")+COUNTIFS($K$5:$K462,"Sin stock"),""))</f>
        <v/>
      </c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2:30" s="5" customFormat="1" ht="21.75" customHeight="1" x14ac:dyDescent="0.25">
      <c r="B463" s="5" t="str">
        <f>IF(Productos!B463="","",Productos!B463)</f>
        <v/>
      </c>
      <c r="C463" s="5" t="str">
        <f>IF(Productos!B463="","",Productos!C463)</f>
        <v/>
      </c>
      <c r="D463" s="5" t="str">
        <f>IF(Productos!B463="","",Productos!D463)</f>
        <v/>
      </c>
      <c r="E463" s="5" t="str">
        <f>IF(Productos!B463="","",Productos!E463)</f>
        <v/>
      </c>
      <c r="F463" s="5" t="str">
        <f>IF(Productos!B463="","",Productos!F463)</f>
        <v/>
      </c>
      <c r="G463" s="5" t="str">
        <f>IF(Productos!B463="","",Productos!G463)</f>
        <v/>
      </c>
      <c r="H463" s="5" t="str">
        <f>IF(B463="","",SUMIF('Compras Entradas'!$D$5:$D$504,B463,'Compras Entradas'!$F$5:$F$504))</f>
        <v/>
      </c>
      <c r="I463" s="5" t="str">
        <f>IF(B463="","",SUMIF('Ventas Salidas'!$D$5:$D$504,B463,'Ventas Salidas'!$F$5:$F$504))</f>
        <v/>
      </c>
      <c r="J463" s="5" t="str">
        <f t="shared" si="24"/>
        <v/>
      </c>
      <c r="K463" s="5" t="str">
        <f t="shared" si="25"/>
        <v/>
      </c>
      <c r="L463" s="5" t="str">
        <f t="shared" si="26"/>
        <v/>
      </c>
      <c r="M463" s="8"/>
      <c r="N463" s="8" t="str">
        <f>IF(B463="","",IF(OR(K463="Bajo stock",K463="Sin stock"),COUNTIFS($K$5:$K463,"Bajo stock")+COUNTIFS($K$5:$K463,"Sin stock"),""))</f>
        <v/>
      </c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2:30" s="5" customFormat="1" ht="21.75" customHeight="1" x14ac:dyDescent="0.25">
      <c r="B464" s="5" t="str">
        <f>IF(Productos!B464="","",Productos!B464)</f>
        <v/>
      </c>
      <c r="C464" s="5" t="str">
        <f>IF(Productos!B464="","",Productos!C464)</f>
        <v/>
      </c>
      <c r="D464" s="5" t="str">
        <f>IF(Productos!B464="","",Productos!D464)</f>
        <v/>
      </c>
      <c r="E464" s="5" t="str">
        <f>IF(Productos!B464="","",Productos!E464)</f>
        <v/>
      </c>
      <c r="F464" s="5" t="str">
        <f>IF(Productos!B464="","",Productos!F464)</f>
        <v/>
      </c>
      <c r="G464" s="5" t="str">
        <f>IF(Productos!B464="","",Productos!G464)</f>
        <v/>
      </c>
      <c r="H464" s="5" t="str">
        <f>IF(B464="","",SUMIF('Compras Entradas'!$D$5:$D$504,B464,'Compras Entradas'!$F$5:$F$504))</f>
        <v/>
      </c>
      <c r="I464" s="5" t="str">
        <f>IF(B464="","",SUMIF('Ventas Salidas'!$D$5:$D$504,B464,'Ventas Salidas'!$F$5:$F$504))</f>
        <v/>
      </c>
      <c r="J464" s="5" t="str">
        <f t="shared" si="24"/>
        <v/>
      </c>
      <c r="K464" s="5" t="str">
        <f t="shared" si="25"/>
        <v/>
      </c>
      <c r="L464" s="5" t="str">
        <f t="shared" si="26"/>
        <v/>
      </c>
      <c r="M464" s="8"/>
      <c r="N464" s="8" t="str">
        <f>IF(B464="","",IF(OR(K464="Bajo stock",K464="Sin stock"),COUNTIFS($K$5:$K464,"Bajo stock")+COUNTIFS($K$5:$K464,"Sin stock"),""))</f>
        <v/>
      </c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2:30" s="5" customFormat="1" ht="21.75" customHeight="1" x14ac:dyDescent="0.25">
      <c r="B465" s="5" t="str">
        <f>IF(Productos!B465="","",Productos!B465)</f>
        <v/>
      </c>
      <c r="C465" s="5" t="str">
        <f>IF(Productos!B465="","",Productos!C465)</f>
        <v/>
      </c>
      <c r="D465" s="5" t="str">
        <f>IF(Productos!B465="","",Productos!D465)</f>
        <v/>
      </c>
      <c r="E465" s="5" t="str">
        <f>IF(Productos!B465="","",Productos!E465)</f>
        <v/>
      </c>
      <c r="F465" s="5" t="str">
        <f>IF(Productos!B465="","",Productos!F465)</f>
        <v/>
      </c>
      <c r="G465" s="5" t="str">
        <f>IF(Productos!B465="","",Productos!G465)</f>
        <v/>
      </c>
      <c r="H465" s="5" t="str">
        <f>IF(B465="","",SUMIF('Compras Entradas'!$D$5:$D$504,B465,'Compras Entradas'!$F$5:$F$504))</f>
        <v/>
      </c>
      <c r="I465" s="5" t="str">
        <f>IF(B465="","",SUMIF('Ventas Salidas'!$D$5:$D$504,B465,'Ventas Salidas'!$F$5:$F$504))</f>
        <v/>
      </c>
      <c r="J465" s="5" t="str">
        <f t="shared" si="24"/>
        <v/>
      </c>
      <c r="K465" s="5" t="str">
        <f t="shared" si="25"/>
        <v/>
      </c>
      <c r="L465" s="5" t="str">
        <f t="shared" si="26"/>
        <v/>
      </c>
      <c r="M465" s="8"/>
      <c r="N465" s="8" t="str">
        <f>IF(B465="","",IF(OR(K465="Bajo stock",K465="Sin stock"),COUNTIFS($K$5:$K465,"Bajo stock")+COUNTIFS($K$5:$K465,"Sin stock"),""))</f>
        <v/>
      </c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2:30" s="5" customFormat="1" ht="21.75" customHeight="1" x14ac:dyDescent="0.25">
      <c r="B466" s="5" t="str">
        <f>IF(Productos!B466="","",Productos!B466)</f>
        <v/>
      </c>
      <c r="C466" s="5" t="str">
        <f>IF(Productos!B466="","",Productos!C466)</f>
        <v/>
      </c>
      <c r="D466" s="5" t="str">
        <f>IF(Productos!B466="","",Productos!D466)</f>
        <v/>
      </c>
      <c r="E466" s="5" t="str">
        <f>IF(Productos!B466="","",Productos!E466)</f>
        <v/>
      </c>
      <c r="F466" s="5" t="str">
        <f>IF(Productos!B466="","",Productos!F466)</f>
        <v/>
      </c>
      <c r="G466" s="5" t="str">
        <f>IF(Productos!B466="","",Productos!G466)</f>
        <v/>
      </c>
      <c r="H466" s="5" t="str">
        <f>IF(B466="","",SUMIF('Compras Entradas'!$D$5:$D$504,B466,'Compras Entradas'!$F$5:$F$504))</f>
        <v/>
      </c>
      <c r="I466" s="5" t="str">
        <f>IF(B466="","",SUMIF('Ventas Salidas'!$D$5:$D$504,B466,'Ventas Salidas'!$F$5:$F$504))</f>
        <v/>
      </c>
      <c r="J466" s="5" t="str">
        <f t="shared" si="24"/>
        <v/>
      </c>
      <c r="K466" s="5" t="str">
        <f t="shared" si="25"/>
        <v/>
      </c>
      <c r="L466" s="5" t="str">
        <f t="shared" si="26"/>
        <v/>
      </c>
      <c r="M466" s="8"/>
      <c r="N466" s="8" t="str">
        <f>IF(B466="","",IF(OR(K466="Bajo stock",K466="Sin stock"),COUNTIFS($K$5:$K466,"Bajo stock")+COUNTIFS($K$5:$K466,"Sin stock"),""))</f>
        <v/>
      </c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2:30" s="5" customFormat="1" ht="21.75" customHeight="1" x14ac:dyDescent="0.25">
      <c r="B467" s="5" t="str">
        <f>IF(Productos!B467="","",Productos!B467)</f>
        <v/>
      </c>
      <c r="C467" s="5" t="str">
        <f>IF(Productos!B467="","",Productos!C467)</f>
        <v/>
      </c>
      <c r="D467" s="5" t="str">
        <f>IF(Productos!B467="","",Productos!D467)</f>
        <v/>
      </c>
      <c r="E467" s="5" t="str">
        <f>IF(Productos!B467="","",Productos!E467)</f>
        <v/>
      </c>
      <c r="F467" s="5" t="str">
        <f>IF(Productos!B467="","",Productos!F467)</f>
        <v/>
      </c>
      <c r="G467" s="5" t="str">
        <f>IF(Productos!B467="","",Productos!G467)</f>
        <v/>
      </c>
      <c r="H467" s="5" t="str">
        <f>IF(B467="","",SUMIF('Compras Entradas'!$D$5:$D$504,B467,'Compras Entradas'!$F$5:$F$504))</f>
        <v/>
      </c>
      <c r="I467" s="5" t="str">
        <f>IF(B467="","",SUMIF('Ventas Salidas'!$D$5:$D$504,B467,'Ventas Salidas'!$F$5:$F$504))</f>
        <v/>
      </c>
      <c r="J467" s="5" t="str">
        <f t="shared" si="24"/>
        <v/>
      </c>
      <c r="K467" s="5" t="str">
        <f t="shared" si="25"/>
        <v/>
      </c>
      <c r="L467" s="5" t="str">
        <f t="shared" si="26"/>
        <v/>
      </c>
      <c r="M467" s="8"/>
      <c r="N467" s="8" t="str">
        <f>IF(B467="","",IF(OR(K467="Bajo stock",K467="Sin stock"),COUNTIFS($K$5:$K467,"Bajo stock")+COUNTIFS($K$5:$K467,"Sin stock"),""))</f>
        <v/>
      </c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2:30" s="5" customFormat="1" ht="21.75" customHeight="1" x14ac:dyDescent="0.25">
      <c r="B468" s="5" t="str">
        <f>IF(Productos!B468="","",Productos!B468)</f>
        <v/>
      </c>
      <c r="C468" s="5" t="str">
        <f>IF(Productos!B468="","",Productos!C468)</f>
        <v/>
      </c>
      <c r="D468" s="5" t="str">
        <f>IF(Productos!B468="","",Productos!D468)</f>
        <v/>
      </c>
      <c r="E468" s="5" t="str">
        <f>IF(Productos!B468="","",Productos!E468)</f>
        <v/>
      </c>
      <c r="F468" s="5" t="str">
        <f>IF(Productos!B468="","",Productos!F468)</f>
        <v/>
      </c>
      <c r="G468" s="5" t="str">
        <f>IF(Productos!B468="","",Productos!G468)</f>
        <v/>
      </c>
      <c r="H468" s="5" t="str">
        <f>IF(B468="","",SUMIF('Compras Entradas'!$D$5:$D$504,B468,'Compras Entradas'!$F$5:$F$504))</f>
        <v/>
      </c>
      <c r="I468" s="5" t="str">
        <f>IF(B468="","",SUMIF('Ventas Salidas'!$D$5:$D$504,B468,'Ventas Salidas'!$F$5:$F$504))</f>
        <v/>
      </c>
      <c r="J468" s="5" t="str">
        <f t="shared" si="24"/>
        <v/>
      </c>
      <c r="K468" s="5" t="str">
        <f t="shared" si="25"/>
        <v/>
      </c>
      <c r="L468" s="5" t="str">
        <f t="shared" si="26"/>
        <v/>
      </c>
      <c r="M468" s="8"/>
      <c r="N468" s="8" t="str">
        <f>IF(B468="","",IF(OR(K468="Bajo stock",K468="Sin stock"),COUNTIFS($K$5:$K468,"Bajo stock")+COUNTIFS($K$5:$K468,"Sin stock"),""))</f>
        <v/>
      </c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2:30" s="5" customFormat="1" ht="21.75" customHeight="1" x14ac:dyDescent="0.25">
      <c r="B469" s="5" t="str">
        <f>IF(Productos!B469="","",Productos!B469)</f>
        <v/>
      </c>
      <c r="C469" s="5" t="str">
        <f>IF(Productos!B469="","",Productos!C469)</f>
        <v/>
      </c>
      <c r="D469" s="5" t="str">
        <f>IF(Productos!B469="","",Productos!D469)</f>
        <v/>
      </c>
      <c r="E469" s="5" t="str">
        <f>IF(Productos!B469="","",Productos!E469)</f>
        <v/>
      </c>
      <c r="F469" s="5" t="str">
        <f>IF(Productos!B469="","",Productos!F469)</f>
        <v/>
      </c>
      <c r="G469" s="5" t="str">
        <f>IF(Productos!B469="","",Productos!G469)</f>
        <v/>
      </c>
      <c r="H469" s="5" t="str">
        <f>IF(B469="","",SUMIF('Compras Entradas'!$D$5:$D$504,B469,'Compras Entradas'!$F$5:$F$504))</f>
        <v/>
      </c>
      <c r="I469" s="5" t="str">
        <f>IF(B469="","",SUMIF('Ventas Salidas'!$D$5:$D$504,B469,'Ventas Salidas'!$F$5:$F$504))</f>
        <v/>
      </c>
      <c r="J469" s="5" t="str">
        <f t="shared" si="24"/>
        <v/>
      </c>
      <c r="K469" s="5" t="str">
        <f t="shared" si="25"/>
        <v/>
      </c>
      <c r="L469" s="5" t="str">
        <f t="shared" si="26"/>
        <v/>
      </c>
      <c r="M469" s="8"/>
      <c r="N469" s="8" t="str">
        <f>IF(B469="","",IF(OR(K469="Bajo stock",K469="Sin stock"),COUNTIFS($K$5:$K469,"Bajo stock")+COUNTIFS($K$5:$K469,"Sin stock"),""))</f>
        <v/>
      </c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2:30" s="5" customFormat="1" ht="21.75" customHeight="1" x14ac:dyDescent="0.25">
      <c r="B470" s="5" t="str">
        <f>IF(Productos!B470="","",Productos!B470)</f>
        <v/>
      </c>
      <c r="C470" s="5" t="str">
        <f>IF(Productos!B470="","",Productos!C470)</f>
        <v/>
      </c>
      <c r="D470" s="5" t="str">
        <f>IF(Productos!B470="","",Productos!D470)</f>
        <v/>
      </c>
      <c r="E470" s="5" t="str">
        <f>IF(Productos!B470="","",Productos!E470)</f>
        <v/>
      </c>
      <c r="F470" s="5" t="str">
        <f>IF(Productos!B470="","",Productos!F470)</f>
        <v/>
      </c>
      <c r="G470" s="5" t="str">
        <f>IF(Productos!B470="","",Productos!G470)</f>
        <v/>
      </c>
      <c r="H470" s="5" t="str">
        <f>IF(B470="","",SUMIF('Compras Entradas'!$D$5:$D$504,B470,'Compras Entradas'!$F$5:$F$504))</f>
        <v/>
      </c>
      <c r="I470" s="5" t="str">
        <f>IF(B470="","",SUMIF('Ventas Salidas'!$D$5:$D$504,B470,'Ventas Salidas'!$F$5:$F$504))</f>
        <v/>
      </c>
      <c r="J470" s="5" t="str">
        <f t="shared" si="24"/>
        <v/>
      </c>
      <c r="K470" s="5" t="str">
        <f t="shared" si="25"/>
        <v/>
      </c>
      <c r="L470" s="5" t="str">
        <f t="shared" si="26"/>
        <v/>
      </c>
      <c r="M470" s="8"/>
      <c r="N470" s="8" t="str">
        <f>IF(B470="","",IF(OR(K470="Bajo stock",K470="Sin stock"),COUNTIFS($K$5:$K470,"Bajo stock")+COUNTIFS($K$5:$K470,"Sin stock"),""))</f>
        <v/>
      </c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2:30" s="5" customFormat="1" ht="21.75" customHeight="1" x14ac:dyDescent="0.25">
      <c r="B471" s="5" t="str">
        <f>IF(Productos!B471="","",Productos!B471)</f>
        <v/>
      </c>
      <c r="C471" s="5" t="str">
        <f>IF(Productos!B471="","",Productos!C471)</f>
        <v/>
      </c>
      <c r="D471" s="5" t="str">
        <f>IF(Productos!B471="","",Productos!D471)</f>
        <v/>
      </c>
      <c r="E471" s="5" t="str">
        <f>IF(Productos!B471="","",Productos!E471)</f>
        <v/>
      </c>
      <c r="F471" s="5" t="str">
        <f>IF(Productos!B471="","",Productos!F471)</f>
        <v/>
      </c>
      <c r="G471" s="5" t="str">
        <f>IF(Productos!B471="","",Productos!G471)</f>
        <v/>
      </c>
      <c r="H471" s="5" t="str">
        <f>IF(B471="","",SUMIF('Compras Entradas'!$D$5:$D$504,B471,'Compras Entradas'!$F$5:$F$504))</f>
        <v/>
      </c>
      <c r="I471" s="5" t="str">
        <f>IF(B471="","",SUMIF('Ventas Salidas'!$D$5:$D$504,B471,'Ventas Salidas'!$F$5:$F$504))</f>
        <v/>
      </c>
      <c r="J471" s="5" t="str">
        <f t="shared" si="24"/>
        <v/>
      </c>
      <c r="K471" s="5" t="str">
        <f t="shared" si="25"/>
        <v/>
      </c>
      <c r="L471" s="5" t="str">
        <f t="shared" si="26"/>
        <v/>
      </c>
      <c r="M471" s="8"/>
      <c r="N471" s="8" t="str">
        <f>IF(B471="","",IF(OR(K471="Bajo stock",K471="Sin stock"),COUNTIFS($K$5:$K471,"Bajo stock")+COUNTIFS($K$5:$K471,"Sin stock"),""))</f>
        <v/>
      </c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2:30" s="5" customFormat="1" ht="21.75" customHeight="1" x14ac:dyDescent="0.25">
      <c r="B472" s="5" t="str">
        <f>IF(Productos!B472="","",Productos!B472)</f>
        <v/>
      </c>
      <c r="C472" s="5" t="str">
        <f>IF(Productos!B472="","",Productos!C472)</f>
        <v/>
      </c>
      <c r="D472" s="5" t="str">
        <f>IF(Productos!B472="","",Productos!D472)</f>
        <v/>
      </c>
      <c r="E472" s="5" t="str">
        <f>IF(Productos!B472="","",Productos!E472)</f>
        <v/>
      </c>
      <c r="F472" s="5" t="str">
        <f>IF(Productos!B472="","",Productos!F472)</f>
        <v/>
      </c>
      <c r="G472" s="5" t="str">
        <f>IF(Productos!B472="","",Productos!G472)</f>
        <v/>
      </c>
      <c r="H472" s="5" t="str">
        <f>IF(B472="","",SUMIF('Compras Entradas'!$D$5:$D$504,B472,'Compras Entradas'!$F$5:$F$504))</f>
        <v/>
      </c>
      <c r="I472" s="5" t="str">
        <f>IF(B472="","",SUMIF('Ventas Salidas'!$D$5:$D$504,B472,'Ventas Salidas'!$F$5:$F$504))</f>
        <v/>
      </c>
      <c r="J472" s="5" t="str">
        <f t="shared" si="24"/>
        <v/>
      </c>
      <c r="K472" s="5" t="str">
        <f t="shared" si="25"/>
        <v/>
      </c>
      <c r="L472" s="5" t="str">
        <f t="shared" si="26"/>
        <v/>
      </c>
      <c r="M472" s="8"/>
      <c r="N472" s="8" t="str">
        <f>IF(B472="","",IF(OR(K472="Bajo stock",K472="Sin stock"),COUNTIFS($K$5:$K472,"Bajo stock")+COUNTIFS($K$5:$K472,"Sin stock"),""))</f>
        <v/>
      </c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2:30" s="5" customFormat="1" ht="21.75" customHeight="1" x14ac:dyDescent="0.25">
      <c r="B473" s="5" t="str">
        <f>IF(Productos!B473="","",Productos!B473)</f>
        <v/>
      </c>
      <c r="C473" s="5" t="str">
        <f>IF(Productos!B473="","",Productos!C473)</f>
        <v/>
      </c>
      <c r="D473" s="5" t="str">
        <f>IF(Productos!B473="","",Productos!D473)</f>
        <v/>
      </c>
      <c r="E473" s="5" t="str">
        <f>IF(Productos!B473="","",Productos!E473)</f>
        <v/>
      </c>
      <c r="F473" s="5" t="str">
        <f>IF(Productos!B473="","",Productos!F473)</f>
        <v/>
      </c>
      <c r="G473" s="5" t="str">
        <f>IF(Productos!B473="","",Productos!G473)</f>
        <v/>
      </c>
      <c r="H473" s="5" t="str">
        <f>IF(B473="","",SUMIF('Compras Entradas'!$D$5:$D$504,B473,'Compras Entradas'!$F$5:$F$504))</f>
        <v/>
      </c>
      <c r="I473" s="5" t="str">
        <f>IF(B473="","",SUMIF('Ventas Salidas'!$D$5:$D$504,B473,'Ventas Salidas'!$F$5:$F$504))</f>
        <v/>
      </c>
      <c r="J473" s="5" t="str">
        <f t="shared" si="24"/>
        <v/>
      </c>
      <c r="K473" s="5" t="str">
        <f t="shared" si="25"/>
        <v/>
      </c>
      <c r="L473" s="5" t="str">
        <f t="shared" si="26"/>
        <v/>
      </c>
      <c r="M473" s="8"/>
      <c r="N473" s="8" t="str">
        <f>IF(B473="","",IF(OR(K473="Bajo stock",K473="Sin stock"),COUNTIFS($K$5:$K473,"Bajo stock")+COUNTIFS($K$5:$K473,"Sin stock"),""))</f>
        <v/>
      </c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2:30" s="5" customFormat="1" ht="21.75" customHeight="1" x14ac:dyDescent="0.25">
      <c r="B474" s="5" t="str">
        <f>IF(Productos!B474="","",Productos!B474)</f>
        <v/>
      </c>
      <c r="C474" s="5" t="str">
        <f>IF(Productos!B474="","",Productos!C474)</f>
        <v/>
      </c>
      <c r="D474" s="5" t="str">
        <f>IF(Productos!B474="","",Productos!D474)</f>
        <v/>
      </c>
      <c r="E474" s="5" t="str">
        <f>IF(Productos!B474="","",Productos!E474)</f>
        <v/>
      </c>
      <c r="F474" s="5" t="str">
        <f>IF(Productos!B474="","",Productos!F474)</f>
        <v/>
      </c>
      <c r="G474" s="5" t="str">
        <f>IF(Productos!B474="","",Productos!G474)</f>
        <v/>
      </c>
      <c r="H474" s="5" t="str">
        <f>IF(B474="","",SUMIF('Compras Entradas'!$D$5:$D$504,B474,'Compras Entradas'!$F$5:$F$504))</f>
        <v/>
      </c>
      <c r="I474" s="5" t="str">
        <f>IF(B474="","",SUMIF('Ventas Salidas'!$D$5:$D$504,B474,'Ventas Salidas'!$F$5:$F$504))</f>
        <v/>
      </c>
      <c r="J474" s="5" t="str">
        <f t="shared" si="24"/>
        <v/>
      </c>
      <c r="K474" s="5" t="str">
        <f t="shared" si="25"/>
        <v/>
      </c>
      <c r="L474" s="5" t="str">
        <f t="shared" si="26"/>
        <v/>
      </c>
      <c r="M474" s="8"/>
      <c r="N474" s="8" t="str">
        <f>IF(B474="","",IF(OR(K474="Bajo stock",K474="Sin stock"),COUNTIFS($K$5:$K474,"Bajo stock")+COUNTIFS($K$5:$K474,"Sin stock"),""))</f>
        <v/>
      </c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2:30" s="5" customFormat="1" ht="21.75" customHeight="1" x14ac:dyDescent="0.25">
      <c r="B475" s="5" t="str">
        <f>IF(Productos!B475="","",Productos!B475)</f>
        <v/>
      </c>
      <c r="C475" s="5" t="str">
        <f>IF(Productos!B475="","",Productos!C475)</f>
        <v/>
      </c>
      <c r="D475" s="5" t="str">
        <f>IF(Productos!B475="","",Productos!D475)</f>
        <v/>
      </c>
      <c r="E475" s="5" t="str">
        <f>IF(Productos!B475="","",Productos!E475)</f>
        <v/>
      </c>
      <c r="F475" s="5" t="str">
        <f>IF(Productos!B475="","",Productos!F475)</f>
        <v/>
      </c>
      <c r="G475" s="5" t="str">
        <f>IF(Productos!B475="","",Productos!G475)</f>
        <v/>
      </c>
      <c r="H475" s="5" t="str">
        <f>IF(B475="","",SUMIF('Compras Entradas'!$D$5:$D$504,B475,'Compras Entradas'!$F$5:$F$504))</f>
        <v/>
      </c>
      <c r="I475" s="5" t="str">
        <f>IF(B475="","",SUMIF('Ventas Salidas'!$D$5:$D$504,B475,'Ventas Salidas'!$F$5:$F$504))</f>
        <v/>
      </c>
      <c r="J475" s="5" t="str">
        <f t="shared" si="24"/>
        <v/>
      </c>
      <c r="K475" s="5" t="str">
        <f t="shared" si="25"/>
        <v/>
      </c>
      <c r="L475" s="5" t="str">
        <f t="shared" si="26"/>
        <v/>
      </c>
      <c r="M475" s="8"/>
      <c r="N475" s="8" t="str">
        <f>IF(B475="","",IF(OR(K475="Bajo stock",K475="Sin stock"),COUNTIFS($K$5:$K475,"Bajo stock")+COUNTIFS($K$5:$K475,"Sin stock"),""))</f>
        <v/>
      </c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2:30" s="5" customFormat="1" ht="21.75" customHeight="1" x14ac:dyDescent="0.25">
      <c r="B476" s="5" t="str">
        <f>IF(Productos!B476="","",Productos!B476)</f>
        <v/>
      </c>
      <c r="C476" s="5" t="str">
        <f>IF(Productos!B476="","",Productos!C476)</f>
        <v/>
      </c>
      <c r="D476" s="5" t="str">
        <f>IF(Productos!B476="","",Productos!D476)</f>
        <v/>
      </c>
      <c r="E476" s="5" t="str">
        <f>IF(Productos!B476="","",Productos!E476)</f>
        <v/>
      </c>
      <c r="F476" s="5" t="str">
        <f>IF(Productos!B476="","",Productos!F476)</f>
        <v/>
      </c>
      <c r="G476" s="5" t="str">
        <f>IF(Productos!B476="","",Productos!G476)</f>
        <v/>
      </c>
      <c r="H476" s="5" t="str">
        <f>IF(B476="","",SUMIF('Compras Entradas'!$D$5:$D$504,B476,'Compras Entradas'!$F$5:$F$504))</f>
        <v/>
      </c>
      <c r="I476" s="5" t="str">
        <f>IF(B476="","",SUMIF('Ventas Salidas'!$D$5:$D$504,B476,'Ventas Salidas'!$F$5:$F$504))</f>
        <v/>
      </c>
      <c r="J476" s="5" t="str">
        <f t="shared" si="24"/>
        <v/>
      </c>
      <c r="K476" s="5" t="str">
        <f t="shared" si="25"/>
        <v/>
      </c>
      <c r="L476" s="5" t="str">
        <f t="shared" si="26"/>
        <v/>
      </c>
      <c r="M476" s="8"/>
      <c r="N476" s="8" t="str">
        <f>IF(B476="","",IF(OR(K476="Bajo stock",K476="Sin stock"),COUNTIFS($K$5:$K476,"Bajo stock")+COUNTIFS($K$5:$K476,"Sin stock"),""))</f>
        <v/>
      </c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2:30" s="5" customFormat="1" ht="21.75" customHeight="1" x14ac:dyDescent="0.25">
      <c r="B477" s="5" t="str">
        <f>IF(Productos!B477="","",Productos!B477)</f>
        <v/>
      </c>
      <c r="C477" s="5" t="str">
        <f>IF(Productos!B477="","",Productos!C477)</f>
        <v/>
      </c>
      <c r="D477" s="5" t="str">
        <f>IF(Productos!B477="","",Productos!D477)</f>
        <v/>
      </c>
      <c r="E477" s="5" t="str">
        <f>IF(Productos!B477="","",Productos!E477)</f>
        <v/>
      </c>
      <c r="F477" s="5" t="str">
        <f>IF(Productos!B477="","",Productos!F477)</f>
        <v/>
      </c>
      <c r="G477" s="5" t="str">
        <f>IF(Productos!B477="","",Productos!G477)</f>
        <v/>
      </c>
      <c r="H477" s="5" t="str">
        <f>IF(B477="","",SUMIF('Compras Entradas'!$D$5:$D$504,B477,'Compras Entradas'!$F$5:$F$504))</f>
        <v/>
      </c>
      <c r="I477" s="5" t="str">
        <f>IF(B477="","",SUMIF('Ventas Salidas'!$D$5:$D$504,B477,'Ventas Salidas'!$F$5:$F$504))</f>
        <v/>
      </c>
      <c r="J477" s="5" t="str">
        <f t="shared" si="24"/>
        <v/>
      </c>
      <c r="K477" s="5" t="str">
        <f t="shared" si="25"/>
        <v/>
      </c>
      <c r="L477" s="5" t="str">
        <f t="shared" si="26"/>
        <v/>
      </c>
      <c r="M477" s="8"/>
      <c r="N477" s="8" t="str">
        <f>IF(B477="","",IF(OR(K477="Bajo stock",K477="Sin stock"),COUNTIFS($K$5:$K477,"Bajo stock")+COUNTIFS($K$5:$K477,"Sin stock"),""))</f>
        <v/>
      </c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2:30" s="5" customFormat="1" ht="21.75" customHeight="1" x14ac:dyDescent="0.25">
      <c r="B478" s="5" t="str">
        <f>IF(Productos!B478="","",Productos!B478)</f>
        <v/>
      </c>
      <c r="C478" s="5" t="str">
        <f>IF(Productos!B478="","",Productos!C478)</f>
        <v/>
      </c>
      <c r="D478" s="5" t="str">
        <f>IF(Productos!B478="","",Productos!D478)</f>
        <v/>
      </c>
      <c r="E478" s="5" t="str">
        <f>IF(Productos!B478="","",Productos!E478)</f>
        <v/>
      </c>
      <c r="F478" s="5" t="str">
        <f>IF(Productos!B478="","",Productos!F478)</f>
        <v/>
      </c>
      <c r="G478" s="5" t="str">
        <f>IF(Productos!B478="","",Productos!G478)</f>
        <v/>
      </c>
      <c r="H478" s="5" t="str">
        <f>IF(B478="","",SUMIF('Compras Entradas'!$D$5:$D$504,B478,'Compras Entradas'!$F$5:$F$504))</f>
        <v/>
      </c>
      <c r="I478" s="5" t="str">
        <f>IF(B478="","",SUMIF('Ventas Salidas'!$D$5:$D$504,B478,'Ventas Salidas'!$F$5:$F$504))</f>
        <v/>
      </c>
      <c r="J478" s="5" t="str">
        <f t="shared" si="24"/>
        <v/>
      </c>
      <c r="K478" s="5" t="str">
        <f t="shared" si="25"/>
        <v/>
      </c>
      <c r="L478" s="5" t="str">
        <f t="shared" si="26"/>
        <v/>
      </c>
      <c r="M478" s="8"/>
      <c r="N478" s="8" t="str">
        <f>IF(B478="","",IF(OR(K478="Bajo stock",K478="Sin stock"),COUNTIFS($K$5:$K478,"Bajo stock")+COUNTIFS($K$5:$K478,"Sin stock"),""))</f>
        <v/>
      </c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2:30" s="5" customFormat="1" ht="21.75" customHeight="1" x14ac:dyDescent="0.25">
      <c r="B479" s="5" t="str">
        <f>IF(Productos!B479="","",Productos!B479)</f>
        <v/>
      </c>
      <c r="C479" s="5" t="str">
        <f>IF(Productos!B479="","",Productos!C479)</f>
        <v/>
      </c>
      <c r="D479" s="5" t="str">
        <f>IF(Productos!B479="","",Productos!D479)</f>
        <v/>
      </c>
      <c r="E479" s="5" t="str">
        <f>IF(Productos!B479="","",Productos!E479)</f>
        <v/>
      </c>
      <c r="F479" s="5" t="str">
        <f>IF(Productos!B479="","",Productos!F479)</f>
        <v/>
      </c>
      <c r="G479" s="5" t="str">
        <f>IF(Productos!B479="","",Productos!G479)</f>
        <v/>
      </c>
      <c r="H479" s="5" t="str">
        <f>IF(B479="","",SUMIF('Compras Entradas'!$D$5:$D$504,B479,'Compras Entradas'!$F$5:$F$504))</f>
        <v/>
      </c>
      <c r="I479" s="5" t="str">
        <f>IF(B479="","",SUMIF('Ventas Salidas'!$D$5:$D$504,B479,'Ventas Salidas'!$F$5:$F$504))</f>
        <v/>
      </c>
      <c r="J479" s="5" t="str">
        <f t="shared" si="24"/>
        <v/>
      </c>
      <c r="K479" s="5" t="str">
        <f t="shared" si="25"/>
        <v/>
      </c>
      <c r="L479" s="5" t="str">
        <f t="shared" si="26"/>
        <v/>
      </c>
      <c r="M479" s="8"/>
      <c r="N479" s="8" t="str">
        <f>IF(B479="","",IF(OR(K479="Bajo stock",K479="Sin stock"),COUNTIFS($K$5:$K479,"Bajo stock")+COUNTIFS($K$5:$K479,"Sin stock"),""))</f>
        <v/>
      </c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2:30" s="5" customFormat="1" ht="21.75" customHeight="1" x14ac:dyDescent="0.25">
      <c r="B480" s="5" t="str">
        <f>IF(Productos!B480="","",Productos!B480)</f>
        <v/>
      </c>
      <c r="C480" s="5" t="str">
        <f>IF(Productos!B480="","",Productos!C480)</f>
        <v/>
      </c>
      <c r="D480" s="5" t="str">
        <f>IF(Productos!B480="","",Productos!D480)</f>
        <v/>
      </c>
      <c r="E480" s="5" t="str">
        <f>IF(Productos!B480="","",Productos!E480)</f>
        <v/>
      </c>
      <c r="F480" s="5" t="str">
        <f>IF(Productos!B480="","",Productos!F480)</f>
        <v/>
      </c>
      <c r="G480" s="5" t="str">
        <f>IF(Productos!B480="","",Productos!G480)</f>
        <v/>
      </c>
      <c r="H480" s="5" t="str">
        <f>IF(B480="","",SUMIF('Compras Entradas'!$D$5:$D$504,B480,'Compras Entradas'!$F$5:$F$504))</f>
        <v/>
      </c>
      <c r="I480" s="5" t="str">
        <f>IF(B480="","",SUMIF('Ventas Salidas'!$D$5:$D$504,B480,'Ventas Salidas'!$F$5:$F$504))</f>
        <v/>
      </c>
      <c r="J480" s="5" t="str">
        <f t="shared" si="24"/>
        <v/>
      </c>
      <c r="K480" s="5" t="str">
        <f t="shared" si="25"/>
        <v/>
      </c>
      <c r="L480" s="5" t="str">
        <f t="shared" si="26"/>
        <v/>
      </c>
      <c r="M480" s="8"/>
      <c r="N480" s="8" t="str">
        <f>IF(B480="","",IF(OR(K480="Bajo stock",K480="Sin stock"),COUNTIFS($K$5:$K480,"Bajo stock")+COUNTIFS($K$5:$K480,"Sin stock"),""))</f>
        <v/>
      </c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2:30" s="5" customFormat="1" ht="21.75" customHeight="1" x14ac:dyDescent="0.25">
      <c r="B481" s="5" t="str">
        <f>IF(Productos!B481="","",Productos!B481)</f>
        <v/>
      </c>
      <c r="C481" s="5" t="str">
        <f>IF(Productos!B481="","",Productos!C481)</f>
        <v/>
      </c>
      <c r="D481" s="5" t="str">
        <f>IF(Productos!B481="","",Productos!D481)</f>
        <v/>
      </c>
      <c r="E481" s="5" t="str">
        <f>IF(Productos!B481="","",Productos!E481)</f>
        <v/>
      </c>
      <c r="F481" s="5" t="str">
        <f>IF(Productos!B481="","",Productos!F481)</f>
        <v/>
      </c>
      <c r="G481" s="5" t="str">
        <f>IF(Productos!B481="","",Productos!G481)</f>
        <v/>
      </c>
      <c r="H481" s="5" t="str">
        <f>IF(B481="","",SUMIF('Compras Entradas'!$D$5:$D$504,B481,'Compras Entradas'!$F$5:$F$504))</f>
        <v/>
      </c>
      <c r="I481" s="5" t="str">
        <f>IF(B481="","",SUMIF('Ventas Salidas'!$D$5:$D$504,B481,'Ventas Salidas'!$F$5:$F$504))</f>
        <v/>
      </c>
      <c r="J481" s="5" t="str">
        <f t="shared" si="24"/>
        <v/>
      </c>
      <c r="K481" s="5" t="str">
        <f t="shared" si="25"/>
        <v/>
      </c>
      <c r="L481" s="5" t="str">
        <f t="shared" si="26"/>
        <v/>
      </c>
      <c r="M481" s="8"/>
      <c r="N481" s="8" t="str">
        <f>IF(B481="","",IF(OR(K481="Bajo stock",K481="Sin stock"),COUNTIFS($K$5:$K481,"Bajo stock")+COUNTIFS($K$5:$K481,"Sin stock"),""))</f>
        <v/>
      </c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2:30" s="5" customFormat="1" ht="21.75" customHeight="1" x14ac:dyDescent="0.25">
      <c r="B482" s="5" t="str">
        <f>IF(Productos!B482="","",Productos!B482)</f>
        <v/>
      </c>
      <c r="C482" s="5" t="str">
        <f>IF(Productos!B482="","",Productos!C482)</f>
        <v/>
      </c>
      <c r="D482" s="5" t="str">
        <f>IF(Productos!B482="","",Productos!D482)</f>
        <v/>
      </c>
      <c r="E482" s="5" t="str">
        <f>IF(Productos!B482="","",Productos!E482)</f>
        <v/>
      </c>
      <c r="F482" s="5" t="str">
        <f>IF(Productos!B482="","",Productos!F482)</f>
        <v/>
      </c>
      <c r="G482" s="5" t="str">
        <f>IF(Productos!B482="","",Productos!G482)</f>
        <v/>
      </c>
      <c r="H482" s="5" t="str">
        <f>IF(B482="","",SUMIF('Compras Entradas'!$D$5:$D$504,B482,'Compras Entradas'!$F$5:$F$504))</f>
        <v/>
      </c>
      <c r="I482" s="5" t="str">
        <f>IF(B482="","",SUMIF('Ventas Salidas'!$D$5:$D$504,B482,'Ventas Salidas'!$F$5:$F$504))</f>
        <v/>
      </c>
      <c r="J482" s="5" t="str">
        <f t="shared" si="24"/>
        <v/>
      </c>
      <c r="K482" s="5" t="str">
        <f t="shared" si="25"/>
        <v/>
      </c>
      <c r="L482" s="5" t="str">
        <f t="shared" si="26"/>
        <v/>
      </c>
      <c r="M482" s="8"/>
      <c r="N482" s="8" t="str">
        <f>IF(B482="","",IF(OR(K482="Bajo stock",K482="Sin stock"),COUNTIFS($K$5:$K482,"Bajo stock")+COUNTIFS($K$5:$K482,"Sin stock"),""))</f>
        <v/>
      </c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2:30" s="5" customFormat="1" ht="21.75" customHeight="1" x14ac:dyDescent="0.25">
      <c r="B483" s="5" t="str">
        <f>IF(Productos!B483="","",Productos!B483)</f>
        <v/>
      </c>
      <c r="C483" s="5" t="str">
        <f>IF(Productos!B483="","",Productos!C483)</f>
        <v/>
      </c>
      <c r="D483" s="5" t="str">
        <f>IF(Productos!B483="","",Productos!D483)</f>
        <v/>
      </c>
      <c r="E483" s="5" t="str">
        <f>IF(Productos!B483="","",Productos!E483)</f>
        <v/>
      </c>
      <c r="F483" s="5" t="str">
        <f>IF(Productos!B483="","",Productos!F483)</f>
        <v/>
      </c>
      <c r="G483" s="5" t="str">
        <f>IF(Productos!B483="","",Productos!G483)</f>
        <v/>
      </c>
      <c r="H483" s="5" t="str">
        <f>IF(B483="","",SUMIF('Compras Entradas'!$D$5:$D$504,B483,'Compras Entradas'!$F$5:$F$504))</f>
        <v/>
      </c>
      <c r="I483" s="5" t="str">
        <f>IF(B483="","",SUMIF('Ventas Salidas'!$D$5:$D$504,B483,'Ventas Salidas'!$F$5:$F$504))</f>
        <v/>
      </c>
      <c r="J483" s="5" t="str">
        <f t="shared" si="24"/>
        <v/>
      </c>
      <c r="K483" s="5" t="str">
        <f t="shared" si="25"/>
        <v/>
      </c>
      <c r="L483" s="5" t="str">
        <f t="shared" si="26"/>
        <v/>
      </c>
      <c r="M483" s="8"/>
      <c r="N483" s="8" t="str">
        <f>IF(B483="","",IF(OR(K483="Bajo stock",K483="Sin stock"),COUNTIFS($K$5:$K483,"Bajo stock")+COUNTIFS($K$5:$K483,"Sin stock"),""))</f>
        <v/>
      </c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2:30" s="5" customFormat="1" ht="21.75" customHeight="1" x14ac:dyDescent="0.25">
      <c r="B484" s="5" t="str">
        <f>IF(Productos!B484="","",Productos!B484)</f>
        <v/>
      </c>
      <c r="C484" s="5" t="str">
        <f>IF(Productos!B484="","",Productos!C484)</f>
        <v/>
      </c>
      <c r="D484" s="5" t="str">
        <f>IF(Productos!B484="","",Productos!D484)</f>
        <v/>
      </c>
      <c r="E484" s="5" t="str">
        <f>IF(Productos!B484="","",Productos!E484)</f>
        <v/>
      </c>
      <c r="F484" s="5" t="str">
        <f>IF(Productos!B484="","",Productos!F484)</f>
        <v/>
      </c>
      <c r="G484" s="5" t="str">
        <f>IF(Productos!B484="","",Productos!G484)</f>
        <v/>
      </c>
      <c r="H484" s="5" t="str">
        <f>IF(B484="","",SUMIF('Compras Entradas'!$D$5:$D$504,B484,'Compras Entradas'!$F$5:$F$504))</f>
        <v/>
      </c>
      <c r="I484" s="5" t="str">
        <f>IF(B484="","",SUMIF('Ventas Salidas'!$D$5:$D$504,B484,'Ventas Salidas'!$F$5:$F$504))</f>
        <v/>
      </c>
      <c r="J484" s="5" t="str">
        <f t="shared" si="24"/>
        <v/>
      </c>
      <c r="K484" s="5" t="str">
        <f t="shared" si="25"/>
        <v/>
      </c>
      <c r="L484" s="5" t="str">
        <f t="shared" si="26"/>
        <v/>
      </c>
      <c r="M484" s="8"/>
      <c r="N484" s="8" t="str">
        <f>IF(B484="","",IF(OR(K484="Bajo stock",K484="Sin stock"),COUNTIFS($K$5:$K484,"Bajo stock")+COUNTIFS($K$5:$K484,"Sin stock"),""))</f>
        <v/>
      </c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2:30" s="5" customFormat="1" ht="21.75" customHeight="1" x14ac:dyDescent="0.25">
      <c r="B485" s="5" t="str">
        <f>IF(Productos!B485="","",Productos!B485)</f>
        <v/>
      </c>
      <c r="C485" s="5" t="str">
        <f>IF(Productos!B485="","",Productos!C485)</f>
        <v/>
      </c>
      <c r="D485" s="5" t="str">
        <f>IF(Productos!B485="","",Productos!D485)</f>
        <v/>
      </c>
      <c r="E485" s="5" t="str">
        <f>IF(Productos!B485="","",Productos!E485)</f>
        <v/>
      </c>
      <c r="F485" s="5" t="str">
        <f>IF(Productos!B485="","",Productos!F485)</f>
        <v/>
      </c>
      <c r="G485" s="5" t="str">
        <f>IF(Productos!B485="","",Productos!G485)</f>
        <v/>
      </c>
      <c r="H485" s="5" t="str">
        <f>IF(B485="","",SUMIF('Compras Entradas'!$D$5:$D$504,B485,'Compras Entradas'!$F$5:$F$504))</f>
        <v/>
      </c>
      <c r="I485" s="5" t="str">
        <f>IF(B485="","",SUMIF('Ventas Salidas'!$D$5:$D$504,B485,'Ventas Salidas'!$F$5:$F$504))</f>
        <v/>
      </c>
      <c r="J485" s="5" t="str">
        <f t="shared" si="24"/>
        <v/>
      </c>
      <c r="K485" s="5" t="str">
        <f t="shared" si="25"/>
        <v/>
      </c>
      <c r="L485" s="5" t="str">
        <f t="shared" si="26"/>
        <v/>
      </c>
      <c r="M485" s="8"/>
      <c r="N485" s="8" t="str">
        <f>IF(B485="","",IF(OR(K485="Bajo stock",K485="Sin stock"),COUNTIFS($K$5:$K485,"Bajo stock")+COUNTIFS($K$5:$K485,"Sin stock"),""))</f>
        <v/>
      </c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2:30" s="5" customFormat="1" ht="21.75" customHeight="1" x14ac:dyDescent="0.25">
      <c r="B486" s="5" t="str">
        <f>IF(Productos!B486="","",Productos!B486)</f>
        <v/>
      </c>
      <c r="C486" s="5" t="str">
        <f>IF(Productos!B486="","",Productos!C486)</f>
        <v/>
      </c>
      <c r="D486" s="5" t="str">
        <f>IF(Productos!B486="","",Productos!D486)</f>
        <v/>
      </c>
      <c r="E486" s="5" t="str">
        <f>IF(Productos!B486="","",Productos!E486)</f>
        <v/>
      </c>
      <c r="F486" s="5" t="str">
        <f>IF(Productos!B486="","",Productos!F486)</f>
        <v/>
      </c>
      <c r="G486" s="5" t="str">
        <f>IF(Productos!B486="","",Productos!G486)</f>
        <v/>
      </c>
      <c r="H486" s="5" t="str">
        <f>IF(B486="","",SUMIF('Compras Entradas'!$D$5:$D$504,B486,'Compras Entradas'!$F$5:$F$504))</f>
        <v/>
      </c>
      <c r="I486" s="5" t="str">
        <f>IF(B486="","",SUMIF('Ventas Salidas'!$D$5:$D$504,B486,'Ventas Salidas'!$F$5:$F$504))</f>
        <v/>
      </c>
      <c r="J486" s="5" t="str">
        <f t="shared" si="24"/>
        <v/>
      </c>
      <c r="K486" s="5" t="str">
        <f t="shared" si="25"/>
        <v/>
      </c>
      <c r="L486" s="5" t="str">
        <f t="shared" si="26"/>
        <v/>
      </c>
      <c r="M486" s="8"/>
      <c r="N486" s="8" t="str">
        <f>IF(B486="","",IF(OR(K486="Bajo stock",K486="Sin stock"),COUNTIFS($K$5:$K486,"Bajo stock")+COUNTIFS($K$5:$K486,"Sin stock"),""))</f>
        <v/>
      </c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2:30" s="5" customFormat="1" ht="21.75" customHeight="1" x14ac:dyDescent="0.25">
      <c r="B487" s="5" t="str">
        <f>IF(Productos!B487="","",Productos!B487)</f>
        <v/>
      </c>
      <c r="C487" s="5" t="str">
        <f>IF(Productos!B487="","",Productos!C487)</f>
        <v/>
      </c>
      <c r="D487" s="5" t="str">
        <f>IF(Productos!B487="","",Productos!D487)</f>
        <v/>
      </c>
      <c r="E487" s="5" t="str">
        <f>IF(Productos!B487="","",Productos!E487)</f>
        <v/>
      </c>
      <c r="F487" s="5" t="str">
        <f>IF(Productos!B487="","",Productos!F487)</f>
        <v/>
      </c>
      <c r="G487" s="5" t="str">
        <f>IF(Productos!B487="","",Productos!G487)</f>
        <v/>
      </c>
      <c r="H487" s="5" t="str">
        <f>IF(B487="","",SUMIF('Compras Entradas'!$D$5:$D$504,B487,'Compras Entradas'!$F$5:$F$504))</f>
        <v/>
      </c>
      <c r="I487" s="5" t="str">
        <f>IF(B487="","",SUMIF('Ventas Salidas'!$D$5:$D$504,B487,'Ventas Salidas'!$F$5:$F$504))</f>
        <v/>
      </c>
      <c r="J487" s="5" t="str">
        <f t="shared" si="24"/>
        <v/>
      </c>
      <c r="K487" s="5" t="str">
        <f t="shared" si="25"/>
        <v/>
      </c>
      <c r="L487" s="5" t="str">
        <f t="shared" si="26"/>
        <v/>
      </c>
      <c r="M487" s="8"/>
      <c r="N487" s="8" t="str">
        <f>IF(B487="","",IF(OR(K487="Bajo stock",K487="Sin stock"),COUNTIFS($K$5:$K487,"Bajo stock")+COUNTIFS($K$5:$K487,"Sin stock"),""))</f>
        <v/>
      </c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2:30" s="5" customFormat="1" ht="21.75" customHeight="1" x14ac:dyDescent="0.25">
      <c r="B488" s="5" t="str">
        <f>IF(Productos!B488="","",Productos!B488)</f>
        <v/>
      </c>
      <c r="C488" s="5" t="str">
        <f>IF(Productos!B488="","",Productos!C488)</f>
        <v/>
      </c>
      <c r="D488" s="5" t="str">
        <f>IF(Productos!B488="","",Productos!D488)</f>
        <v/>
      </c>
      <c r="E488" s="5" t="str">
        <f>IF(Productos!B488="","",Productos!E488)</f>
        <v/>
      </c>
      <c r="F488" s="5" t="str">
        <f>IF(Productos!B488="","",Productos!F488)</f>
        <v/>
      </c>
      <c r="G488" s="5" t="str">
        <f>IF(Productos!B488="","",Productos!G488)</f>
        <v/>
      </c>
      <c r="H488" s="5" t="str">
        <f>IF(B488="","",SUMIF('Compras Entradas'!$D$5:$D$504,B488,'Compras Entradas'!$F$5:$F$504))</f>
        <v/>
      </c>
      <c r="I488" s="5" t="str">
        <f>IF(B488="","",SUMIF('Ventas Salidas'!$D$5:$D$504,B488,'Ventas Salidas'!$F$5:$F$504))</f>
        <v/>
      </c>
      <c r="J488" s="5" t="str">
        <f t="shared" si="24"/>
        <v/>
      </c>
      <c r="K488" s="5" t="str">
        <f t="shared" si="25"/>
        <v/>
      </c>
      <c r="L488" s="5" t="str">
        <f t="shared" si="26"/>
        <v/>
      </c>
      <c r="M488" s="8"/>
      <c r="N488" s="8" t="str">
        <f>IF(B488="","",IF(OR(K488="Bajo stock",K488="Sin stock"),COUNTIFS($K$5:$K488,"Bajo stock")+COUNTIFS($K$5:$K488,"Sin stock"),""))</f>
        <v/>
      </c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2:30" s="5" customFormat="1" ht="21.75" customHeight="1" x14ac:dyDescent="0.25">
      <c r="B489" s="5" t="str">
        <f>IF(Productos!B489="","",Productos!B489)</f>
        <v/>
      </c>
      <c r="C489" s="5" t="str">
        <f>IF(Productos!B489="","",Productos!C489)</f>
        <v/>
      </c>
      <c r="D489" s="5" t="str">
        <f>IF(Productos!B489="","",Productos!D489)</f>
        <v/>
      </c>
      <c r="E489" s="5" t="str">
        <f>IF(Productos!B489="","",Productos!E489)</f>
        <v/>
      </c>
      <c r="F489" s="5" t="str">
        <f>IF(Productos!B489="","",Productos!F489)</f>
        <v/>
      </c>
      <c r="G489" s="5" t="str">
        <f>IF(Productos!B489="","",Productos!G489)</f>
        <v/>
      </c>
      <c r="H489" s="5" t="str">
        <f>IF(B489="","",SUMIF('Compras Entradas'!$D$5:$D$504,B489,'Compras Entradas'!$F$5:$F$504))</f>
        <v/>
      </c>
      <c r="I489" s="5" t="str">
        <f>IF(B489="","",SUMIF('Ventas Salidas'!$D$5:$D$504,B489,'Ventas Salidas'!$F$5:$F$504))</f>
        <v/>
      </c>
      <c r="J489" s="5" t="str">
        <f t="shared" si="24"/>
        <v/>
      </c>
      <c r="K489" s="5" t="str">
        <f t="shared" si="25"/>
        <v/>
      </c>
      <c r="L489" s="5" t="str">
        <f t="shared" si="26"/>
        <v/>
      </c>
      <c r="M489" s="8"/>
      <c r="N489" s="8" t="str">
        <f>IF(B489="","",IF(OR(K489="Bajo stock",K489="Sin stock"),COUNTIFS($K$5:$K489,"Bajo stock")+COUNTIFS($K$5:$K489,"Sin stock"),""))</f>
        <v/>
      </c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2:30" s="5" customFormat="1" ht="21.75" customHeight="1" x14ac:dyDescent="0.25">
      <c r="B490" s="5" t="str">
        <f>IF(Productos!B490="","",Productos!B490)</f>
        <v/>
      </c>
      <c r="C490" s="5" t="str">
        <f>IF(Productos!B490="","",Productos!C490)</f>
        <v/>
      </c>
      <c r="D490" s="5" t="str">
        <f>IF(Productos!B490="","",Productos!D490)</f>
        <v/>
      </c>
      <c r="E490" s="5" t="str">
        <f>IF(Productos!B490="","",Productos!E490)</f>
        <v/>
      </c>
      <c r="F490" s="5" t="str">
        <f>IF(Productos!B490="","",Productos!F490)</f>
        <v/>
      </c>
      <c r="G490" s="5" t="str">
        <f>IF(Productos!B490="","",Productos!G490)</f>
        <v/>
      </c>
      <c r="H490" s="5" t="str">
        <f>IF(B490="","",SUMIF('Compras Entradas'!$D$5:$D$504,B490,'Compras Entradas'!$F$5:$F$504))</f>
        <v/>
      </c>
      <c r="I490" s="5" t="str">
        <f>IF(B490="","",SUMIF('Ventas Salidas'!$D$5:$D$504,B490,'Ventas Salidas'!$F$5:$F$504))</f>
        <v/>
      </c>
      <c r="J490" s="5" t="str">
        <f t="shared" si="24"/>
        <v/>
      </c>
      <c r="K490" s="5" t="str">
        <f t="shared" si="25"/>
        <v/>
      </c>
      <c r="L490" s="5" t="str">
        <f t="shared" si="26"/>
        <v/>
      </c>
      <c r="M490" s="8"/>
      <c r="N490" s="8" t="str">
        <f>IF(B490="","",IF(OR(K490="Bajo stock",K490="Sin stock"),COUNTIFS($K$5:$K490,"Bajo stock")+COUNTIFS($K$5:$K490,"Sin stock"),""))</f>
        <v/>
      </c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2:30" s="5" customFormat="1" ht="21.75" customHeight="1" x14ac:dyDescent="0.25">
      <c r="B491" s="5" t="str">
        <f>IF(Productos!B491="","",Productos!B491)</f>
        <v/>
      </c>
      <c r="C491" s="5" t="str">
        <f>IF(Productos!B491="","",Productos!C491)</f>
        <v/>
      </c>
      <c r="D491" s="5" t="str">
        <f>IF(Productos!B491="","",Productos!D491)</f>
        <v/>
      </c>
      <c r="E491" s="5" t="str">
        <f>IF(Productos!B491="","",Productos!E491)</f>
        <v/>
      </c>
      <c r="F491" s="5" t="str">
        <f>IF(Productos!B491="","",Productos!F491)</f>
        <v/>
      </c>
      <c r="G491" s="5" t="str">
        <f>IF(Productos!B491="","",Productos!G491)</f>
        <v/>
      </c>
      <c r="H491" s="5" t="str">
        <f>IF(B491="","",SUMIF('Compras Entradas'!$D$5:$D$504,B491,'Compras Entradas'!$F$5:$F$504))</f>
        <v/>
      </c>
      <c r="I491" s="5" t="str">
        <f>IF(B491="","",SUMIF('Ventas Salidas'!$D$5:$D$504,B491,'Ventas Salidas'!$F$5:$F$504))</f>
        <v/>
      </c>
      <c r="J491" s="5" t="str">
        <f t="shared" si="24"/>
        <v/>
      </c>
      <c r="K491" s="5" t="str">
        <f t="shared" si="25"/>
        <v/>
      </c>
      <c r="L491" s="5" t="str">
        <f t="shared" si="26"/>
        <v/>
      </c>
      <c r="M491" s="8"/>
      <c r="N491" s="8" t="str">
        <f>IF(B491="","",IF(OR(K491="Bajo stock",K491="Sin stock"),COUNTIFS($K$5:$K491,"Bajo stock")+COUNTIFS($K$5:$K491,"Sin stock"),""))</f>
        <v/>
      </c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2:30" s="5" customFormat="1" ht="21.75" customHeight="1" x14ac:dyDescent="0.25">
      <c r="B492" s="5" t="str">
        <f>IF(Productos!B492="","",Productos!B492)</f>
        <v/>
      </c>
      <c r="C492" s="5" t="str">
        <f>IF(Productos!B492="","",Productos!C492)</f>
        <v/>
      </c>
      <c r="D492" s="5" t="str">
        <f>IF(Productos!B492="","",Productos!D492)</f>
        <v/>
      </c>
      <c r="E492" s="5" t="str">
        <f>IF(Productos!B492="","",Productos!E492)</f>
        <v/>
      </c>
      <c r="F492" s="5" t="str">
        <f>IF(Productos!B492="","",Productos!F492)</f>
        <v/>
      </c>
      <c r="G492" s="5" t="str">
        <f>IF(Productos!B492="","",Productos!G492)</f>
        <v/>
      </c>
      <c r="H492" s="5" t="str">
        <f>IF(B492="","",SUMIF('Compras Entradas'!$D$5:$D$504,B492,'Compras Entradas'!$F$5:$F$504))</f>
        <v/>
      </c>
      <c r="I492" s="5" t="str">
        <f>IF(B492="","",SUMIF('Ventas Salidas'!$D$5:$D$504,B492,'Ventas Salidas'!$F$5:$F$504))</f>
        <v/>
      </c>
      <c r="J492" s="5" t="str">
        <f t="shared" si="24"/>
        <v/>
      </c>
      <c r="K492" s="5" t="str">
        <f t="shared" si="25"/>
        <v/>
      </c>
      <c r="L492" s="5" t="str">
        <f t="shared" si="26"/>
        <v/>
      </c>
      <c r="M492" s="8"/>
      <c r="N492" s="8" t="str">
        <f>IF(B492="","",IF(OR(K492="Bajo stock",K492="Sin stock"),COUNTIFS($K$5:$K492,"Bajo stock")+COUNTIFS($K$5:$K492,"Sin stock"),""))</f>
        <v/>
      </c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2:30" s="5" customFormat="1" ht="21.75" customHeight="1" x14ac:dyDescent="0.25">
      <c r="B493" s="5" t="str">
        <f>IF(Productos!B493="","",Productos!B493)</f>
        <v/>
      </c>
      <c r="C493" s="5" t="str">
        <f>IF(Productos!B493="","",Productos!C493)</f>
        <v/>
      </c>
      <c r="D493" s="5" t="str">
        <f>IF(Productos!B493="","",Productos!D493)</f>
        <v/>
      </c>
      <c r="E493" s="5" t="str">
        <f>IF(Productos!B493="","",Productos!E493)</f>
        <v/>
      </c>
      <c r="F493" s="5" t="str">
        <f>IF(Productos!B493="","",Productos!F493)</f>
        <v/>
      </c>
      <c r="G493" s="5" t="str">
        <f>IF(Productos!B493="","",Productos!G493)</f>
        <v/>
      </c>
      <c r="H493" s="5" t="str">
        <f>IF(B493="","",SUMIF('Compras Entradas'!$D$5:$D$504,B493,'Compras Entradas'!$F$5:$F$504))</f>
        <v/>
      </c>
      <c r="I493" s="5" t="str">
        <f>IF(B493="","",SUMIF('Ventas Salidas'!$D$5:$D$504,B493,'Ventas Salidas'!$F$5:$F$504))</f>
        <v/>
      </c>
      <c r="J493" s="5" t="str">
        <f t="shared" si="24"/>
        <v/>
      </c>
      <c r="K493" s="5" t="str">
        <f t="shared" si="25"/>
        <v/>
      </c>
      <c r="L493" s="5" t="str">
        <f t="shared" si="26"/>
        <v/>
      </c>
      <c r="M493" s="8"/>
      <c r="N493" s="8" t="str">
        <f>IF(B493="","",IF(OR(K493="Bajo stock",K493="Sin stock"),COUNTIFS($K$5:$K493,"Bajo stock")+COUNTIFS($K$5:$K493,"Sin stock"),""))</f>
        <v/>
      </c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2:30" s="5" customFormat="1" ht="21.75" customHeight="1" x14ac:dyDescent="0.25">
      <c r="B494" s="5" t="str">
        <f>IF(Productos!B494="","",Productos!B494)</f>
        <v/>
      </c>
      <c r="C494" s="5" t="str">
        <f>IF(Productos!B494="","",Productos!C494)</f>
        <v/>
      </c>
      <c r="D494" s="5" t="str">
        <f>IF(Productos!B494="","",Productos!D494)</f>
        <v/>
      </c>
      <c r="E494" s="5" t="str">
        <f>IF(Productos!B494="","",Productos!E494)</f>
        <v/>
      </c>
      <c r="F494" s="5" t="str">
        <f>IF(Productos!B494="","",Productos!F494)</f>
        <v/>
      </c>
      <c r="G494" s="5" t="str">
        <f>IF(Productos!B494="","",Productos!G494)</f>
        <v/>
      </c>
      <c r="H494" s="5" t="str">
        <f>IF(B494="","",SUMIF('Compras Entradas'!$D$5:$D$504,B494,'Compras Entradas'!$F$5:$F$504))</f>
        <v/>
      </c>
      <c r="I494" s="5" t="str">
        <f>IF(B494="","",SUMIF('Ventas Salidas'!$D$5:$D$504,B494,'Ventas Salidas'!$F$5:$F$504))</f>
        <v/>
      </c>
      <c r="J494" s="5" t="str">
        <f t="shared" si="24"/>
        <v/>
      </c>
      <c r="K494" s="5" t="str">
        <f t="shared" si="25"/>
        <v/>
      </c>
      <c r="L494" s="5" t="str">
        <f t="shared" si="26"/>
        <v/>
      </c>
      <c r="M494" s="8"/>
      <c r="N494" s="8" t="str">
        <f>IF(B494="","",IF(OR(K494="Bajo stock",K494="Sin stock"),COUNTIFS($K$5:$K494,"Bajo stock")+COUNTIFS($K$5:$K494,"Sin stock"),""))</f>
        <v/>
      </c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2:30" s="5" customFormat="1" ht="21.75" customHeight="1" x14ac:dyDescent="0.25">
      <c r="B495" s="5" t="str">
        <f>IF(Productos!B495="","",Productos!B495)</f>
        <v/>
      </c>
      <c r="C495" s="5" t="str">
        <f>IF(Productos!B495="","",Productos!C495)</f>
        <v/>
      </c>
      <c r="D495" s="5" t="str">
        <f>IF(Productos!B495="","",Productos!D495)</f>
        <v/>
      </c>
      <c r="E495" s="5" t="str">
        <f>IF(Productos!B495="","",Productos!E495)</f>
        <v/>
      </c>
      <c r="F495" s="5" t="str">
        <f>IF(Productos!B495="","",Productos!F495)</f>
        <v/>
      </c>
      <c r="G495" s="5" t="str">
        <f>IF(Productos!B495="","",Productos!G495)</f>
        <v/>
      </c>
      <c r="H495" s="5" t="str">
        <f>IF(B495="","",SUMIF('Compras Entradas'!$D$5:$D$504,B495,'Compras Entradas'!$F$5:$F$504))</f>
        <v/>
      </c>
      <c r="I495" s="5" t="str">
        <f>IF(B495="","",SUMIF('Ventas Salidas'!$D$5:$D$504,B495,'Ventas Salidas'!$F$5:$F$504))</f>
        <v/>
      </c>
      <c r="J495" s="5" t="str">
        <f t="shared" si="24"/>
        <v/>
      </c>
      <c r="K495" s="5" t="str">
        <f t="shared" si="25"/>
        <v/>
      </c>
      <c r="L495" s="5" t="str">
        <f t="shared" si="26"/>
        <v/>
      </c>
      <c r="M495" s="8"/>
      <c r="N495" s="8" t="str">
        <f>IF(B495="","",IF(OR(K495="Bajo stock",K495="Sin stock"),COUNTIFS($K$5:$K495,"Bajo stock")+COUNTIFS($K$5:$K495,"Sin stock"),""))</f>
        <v/>
      </c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2:30" s="5" customFormat="1" ht="21.75" customHeight="1" x14ac:dyDescent="0.25">
      <c r="B496" s="5" t="str">
        <f>IF(Productos!B496="","",Productos!B496)</f>
        <v/>
      </c>
      <c r="C496" s="5" t="str">
        <f>IF(Productos!B496="","",Productos!C496)</f>
        <v/>
      </c>
      <c r="D496" s="5" t="str">
        <f>IF(Productos!B496="","",Productos!D496)</f>
        <v/>
      </c>
      <c r="E496" s="5" t="str">
        <f>IF(Productos!B496="","",Productos!E496)</f>
        <v/>
      </c>
      <c r="F496" s="5" t="str">
        <f>IF(Productos!B496="","",Productos!F496)</f>
        <v/>
      </c>
      <c r="G496" s="5" t="str">
        <f>IF(Productos!B496="","",Productos!G496)</f>
        <v/>
      </c>
      <c r="H496" s="5" t="str">
        <f>IF(B496="","",SUMIF('Compras Entradas'!$D$5:$D$504,B496,'Compras Entradas'!$F$5:$F$504))</f>
        <v/>
      </c>
      <c r="I496" s="5" t="str">
        <f>IF(B496="","",SUMIF('Ventas Salidas'!$D$5:$D$504,B496,'Ventas Salidas'!$F$5:$F$504))</f>
        <v/>
      </c>
      <c r="J496" s="5" t="str">
        <f t="shared" si="24"/>
        <v/>
      </c>
      <c r="K496" s="5" t="str">
        <f t="shared" si="25"/>
        <v/>
      </c>
      <c r="L496" s="5" t="str">
        <f t="shared" si="26"/>
        <v/>
      </c>
      <c r="M496" s="8"/>
      <c r="N496" s="8" t="str">
        <f>IF(B496="","",IF(OR(K496="Bajo stock",K496="Sin stock"),COUNTIFS($K$5:$K496,"Bajo stock")+COUNTIFS($K$5:$K496,"Sin stock"),""))</f>
        <v/>
      </c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2:30" ht="21.75" customHeight="1" x14ac:dyDescent="0.25">
      <c r="B497" t="str">
        <f>IF(Productos!B497="","",Productos!B497)</f>
        <v/>
      </c>
      <c r="C497" t="str">
        <f>IF(Productos!B497="","",Productos!C497)</f>
        <v/>
      </c>
      <c r="D497" t="str">
        <f>IF(Productos!B497="","",Productos!D497)</f>
        <v/>
      </c>
      <c r="E497" t="str">
        <f>IF(Productos!B497="","",Productos!E497)</f>
        <v/>
      </c>
      <c r="F497" t="str">
        <f>IF(Productos!B497="","",Productos!F497)</f>
        <v/>
      </c>
      <c r="G497" t="str">
        <f>IF(Productos!B497="","",Productos!G497)</f>
        <v/>
      </c>
      <c r="H497" t="str">
        <f>IF(B497="","",SUMIF('Compras Entradas'!$D$5:$D$504,B497,'Compras Entradas'!$F$5:$F$504))</f>
        <v/>
      </c>
      <c r="I497" t="str">
        <f>IF(B497="","",SUMIF('Ventas Salidas'!$D$5:$D$504,B497,'Ventas Salidas'!$F$5:$F$504))</f>
        <v/>
      </c>
      <c r="J497" t="str">
        <f t="shared" si="24"/>
        <v/>
      </c>
      <c r="K497" t="str">
        <f t="shared" si="25"/>
        <v/>
      </c>
      <c r="L497" t="str">
        <f t="shared" si="26"/>
        <v/>
      </c>
      <c r="M497" s="8"/>
      <c r="N497" s="8" t="str">
        <f>IF(B497="","",IF(OR(K497="Bajo stock",K497="Sin stock"),COUNTIFS($K$5:$K497,"Bajo stock")+COUNTIFS($K$5:$K497,"Sin stock"),""))</f>
        <v/>
      </c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2:30" ht="21.75" customHeight="1" x14ac:dyDescent="0.25">
      <c r="B498" t="str">
        <f>IF(Productos!B498="","",Productos!B498)</f>
        <v/>
      </c>
      <c r="C498" t="str">
        <f>IF(Productos!B498="","",Productos!C498)</f>
        <v/>
      </c>
      <c r="D498" t="str">
        <f>IF(Productos!B498="","",Productos!D498)</f>
        <v/>
      </c>
      <c r="E498" t="str">
        <f>IF(Productos!B498="","",Productos!E498)</f>
        <v/>
      </c>
      <c r="F498" t="str">
        <f>IF(Productos!B498="","",Productos!F498)</f>
        <v/>
      </c>
      <c r="G498" t="str">
        <f>IF(Productos!B498="","",Productos!G498)</f>
        <v/>
      </c>
      <c r="H498" t="str">
        <f>IF(B498="","",SUMIF('Compras Entradas'!$D$5:$D$504,B498,'Compras Entradas'!$F$5:$F$504))</f>
        <v/>
      </c>
      <c r="I498" t="str">
        <f>IF(B498="","",SUMIF('Ventas Salidas'!$D$5:$D$504,B498,'Ventas Salidas'!$F$5:$F$504))</f>
        <v/>
      </c>
      <c r="J498" t="str">
        <f t="shared" si="24"/>
        <v/>
      </c>
      <c r="K498" t="str">
        <f t="shared" si="25"/>
        <v/>
      </c>
      <c r="L498" t="str">
        <f t="shared" si="26"/>
        <v/>
      </c>
      <c r="M498" s="8"/>
      <c r="N498" s="8" t="str">
        <f>IF(B498="","",IF(OR(K498="Bajo stock",K498="Sin stock"),COUNTIFS($K$5:$K498,"Bajo stock")+COUNTIFS($K$5:$K498,"Sin stock"),""))</f>
        <v/>
      </c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2:30" ht="21.75" customHeight="1" x14ac:dyDescent="0.25">
      <c r="B499" t="str">
        <f>IF(Productos!B499="","",Productos!B499)</f>
        <v/>
      </c>
      <c r="C499" t="str">
        <f>IF(Productos!B499="","",Productos!C499)</f>
        <v/>
      </c>
      <c r="D499" t="str">
        <f>IF(Productos!B499="","",Productos!D499)</f>
        <v/>
      </c>
      <c r="E499" t="str">
        <f>IF(Productos!B499="","",Productos!E499)</f>
        <v/>
      </c>
      <c r="F499" t="str">
        <f>IF(Productos!B499="","",Productos!F499)</f>
        <v/>
      </c>
      <c r="G499" t="str">
        <f>IF(Productos!B499="","",Productos!G499)</f>
        <v/>
      </c>
      <c r="H499" t="str">
        <f>IF(B499="","",SUMIF('Compras Entradas'!$D$5:$D$504,B499,'Compras Entradas'!$F$5:$F$504))</f>
        <v/>
      </c>
      <c r="I499" t="str">
        <f>IF(B499="","",SUMIF('Ventas Salidas'!$D$5:$D$504,B499,'Ventas Salidas'!$F$5:$F$504))</f>
        <v/>
      </c>
      <c r="J499" t="str">
        <f t="shared" si="24"/>
        <v/>
      </c>
      <c r="K499" t="str">
        <f t="shared" si="25"/>
        <v/>
      </c>
      <c r="L499" t="str">
        <f t="shared" si="26"/>
        <v/>
      </c>
      <c r="M499" s="8"/>
      <c r="N499" s="8" t="str">
        <f>IF(B499="","",IF(OR(K499="Bajo stock",K499="Sin stock"),COUNTIFS($K$5:$K499,"Bajo stock")+COUNTIFS($K$5:$K499,"Sin stock"),""))</f>
        <v/>
      </c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2:30" ht="21.75" customHeight="1" x14ac:dyDescent="0.25">
      <c r="B500" t="str">
        <f>IF(Productos!B500="","",Productos!B500)</f>
        <v/>
      </c>
      <c r="C500" t="str">
        <f>IF(Productos!B500="","",Productos!C500)</f>
        <v/>
      </c>
      <c r="D500" t="str">
        <f>IF(Productos!B500="","",Productos!D500)</f>
        <v/>
      </c>
      <c r="E500" t="str">
        <f>IF(Productos!B500="","",Productos!E500)</f>
        <v/>
      </c>
      <c r="F500" t="str">
        <f>IF(Productos!B500="","",Productos!F500)</f>
        <v/>
      </c>
      <c r="G500" t="str">
        <f>IF(Productos!B500="","",Productos!G500)</f>
        <v/>
      </c>
      <c r="H500" t="str">
        <f>IF(B500="","",SUMIF('Compras Entradas'!$D$5:$D$504,B500,'Compras Entradas'!$F$5:$F$504))</f>
        <v/>
      </c>
      <c r="I500" t="str">
        <f>IF(B500="","",SUMIF('Ventas Salidas'!$D$5:$D$504,B500,'Ventas Salidas'!$F$5:$F$504))</f>
        <v/>
      </c>
      <c r="J500" t="str">
        <f t="shared" si="24"/>
        <v/>
      </c>
      <c r="K500" t="str">
        <f t="shared" si="25"/>
        <v/>
      </c>
      <c r="L500" t="str">
        <f t="shared" si="26"/>
        <v/>
      </c>
      <c r="M500" s="8"/>
      <c r="N500" s="8" t="str">
        <f>IF(B500="","",IF(OR(K500="Bajo stock",K500="Sin stock"),COUNTIFS($K$5:$K500,"Bajo stock")+COUNTIFS($K$5:$K500,"Sin stock"),""))</f>
        <v/>
      </c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2:30" ht="21.75" customHeight="1" x14ac:dyDescent="0.25">
      <c r="B501" t="str">
        <f>IF(Productos!B501="","",Productos!B501)</f>
        <v/>
      </c>
      <c r="C501" t="str">
        <f>IF(Productos!B501="","",Productos!C501)</f>
        <v/>
      </c>
      <c r="D501" t="str">
        <f>IF(Productos!B501="","",Productos!D501)</f>
        <v/>
      </c>
      <c r="E501" t="str">
        <f>IF(Productos!B501="","",Productos!E501)</f>
        <v/>
      </c>
      <c r="F501" t="str">
        <f>IF(Productos!B501="","",Productos!F501)</f>
        <v/>
      </c>
      <c r="G501" t="str">
        <f>IF(Productos!B501="","",Productos!G501)</f>
        <v/>
      </c>
      <c r="H501" t="str">
        <f>IF(B501="","",SUMIF('Compras Entradas'!$D$5:$D$504,B501,'Compras Entradas'!$F$5:$F$504))</f>
        <v/>
      </c>
      <c r="I501" t="str">
        <f>IF(B501="","",SUMIF('Ventas Salidas'!$D$5:$D$504,B501,'Ventas Salidas'!$F$5:$F$504))</f>
        <v/>
      </c>
      <c r="J501" t="str">
        <f t="shared" si="24"/>
        <v/>
      </c>
      <c r="K501" t="str">
        <f t="shared" si="25"/>
        <v/>
      </c>
      <c r="L501" t="str">
        <f t="shared" si="26"/>
        <v/>
      </c>
      <c r="M501" s="8"/>
      <c r="N501" s="8" t="str">
        <f>IF(B501="","",IF(OR(K501="Bajo stock",K501="Sin stock"),COUNTIFS($K$5:$K501,"Bajo stock")+COUNTIFS($K$5:$K501,"Sin stock"),""))</f>
        <v/>
      </c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2:30" ht="21.75" customHeight="1" x14ac:dyDescent="0.25">
      <c r="B502" t="str">
        <f>IF(Productos!B502="","",Productos!B502)</f>
        <v/>
      </c>
      <c r="C502" t="str">
        <f>IF(Productos!B502="","",Productos!C502)</f>
        <v/>
      </c>
      <c r="D502" t="str">
        <f>IF(Productos!B502="","",Productos!D502)</f>
        <v/>
      </c>
      <c r="E502" t="str">
        <f>IF(Productos!B502="","",Productos!E502)</f>
        <v/>
      </c>
      <c r="F502" t="str">
        <f>IF(Productos!B502="","",Productos!F502)</f>
        <v/>
      </c>
      <c r="G502" t="str">
        <f>IF(Productos!B502="","",Productos!G502)</f>
        <v/>
      </c>
      <c r="H502" t="str">
        <f>IF(B502="","",SUMIF('Compras Entradas'!$D$5:$D$504,B502,'Compras Entradas'!$F$5:$F$504))</f>
        <v/>
      </c>
      <c r="I502" t="str">
        <f>IF(B502="","",SUMIF('Ventas Salidas'!$D$5:$D$504,B502,'Ventas Salidas'!$F$5:$F$504))</f>
        <v/>
      </c>
      <c r="J502" t="str">
        <f t="shared" si="24"/>
        <v/>
      </c>
      <c r="K502" t="str">
        <f t="shared" si="25"/>
        <v/>
      </c>
      <c r="L502" t="str">
        <f t="shared" si="26"/>
        <v/>
      </c>
      <c r="M502" s="8"/>
      <c r="N502" s="8" t="str">
        <f>IF(B502="","",IF(OR(K502="Bajo stock",K502="Sin stock"),COUNTIFS($K$5:$K502,"Bajo stock")+COUNTIFS($K$5:$K502,"Sin stock"),""))</f>
        <v/>
      </c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2:30" ht="21.75" customHeight="1" x14ac:dyDescent="0.25">
      <c r="B503" t="str">
        <f>IF(Productos!B503="","",Productos!B503)</f>
        <v/>
      </c>
      <c r="C503" t="str">
        <f>IF(Productos!B503="","",Productos!C503)</f>
        <v/>
      </c>
      <c r="D503" t="str">
        <f>IF(Productos!B503="","",Productos!D503)</f>
        <v/>
      </c>
      <c r="E503" t="str">
        <f>IF(Productos!B503="","",Productos!E503)</f>
        <v/>
      </c>
      <c r="F503" t="str">
        <f>IF(Productos!B503="","",Productos!F503)</f>
        <v/>
      </c>
      <c r="G503" t="str">
        <f>IF(Productos!B503="","",Productos!G503)</f>
        <v/>
      </c>
      <c r="H503" t="str">
        <f>IF(B503="","",SUMIF('Compras Entradas'!$D$5:$D$504,B503,'Compras Entradas'!$F$5:$F$504))</f>
        <v/>
      </c>
      <c r="I503" t="str">
        <f>IF(B503="","",SUMIF('Ventas Salidas'!$D$5:$D$504,B503,'Ventas Salidas'!$F$5:$F$504))</f>
        <v/>
      </c>
      <c r="J503" t="str">
        <f t="shared" si="24"/>
        <v/>
      </c>
      <c r="K503" t="str">
        <f t="shared" si="25"/>
        <v/>
      </c>
      <c r="L503" t="str">
        <f t="shared" si="26"/>
        <v/>
      </c>
      <c r="M503" s="8"/>
      <c r="N503" s="8" t="str">
        <f>IF(B503="","",IF(OR(K503="Bajo stock",K503="Sin stock"),COUNTIFS($K$5:$K503,"Bajo stock")+COUNTIFS($K$5:$K503,"Sin stock"),""))</f>
        <v/>
      </c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2:30" ht="21.75" customHeight="1" x14ac:dyDescent="0.25">
      <c r="B504" t="str">
        <f>IF(Productos!B504="","",Productos!B504)</f>
        <v/>
      </c>
      <c r="C504" t="str">
        <f>IF(Productos!B504="","",Productos!C504)</f>
        <v/>
      </c>
      <c r="D504" t="str">
        <f>IF(Productos!B504="","",Productos!D504)</f>
        <v/>
      </c>
      <c r="E504" t="str">
        <f>IF(Productos!B504="","",Productos!E504)</f>
        <v/>
      </c>
      <c r="F504" t="str">
        <f>IF(Productos!B504="","",Productos!F504)</f>
        <v/>
      </c>
      <c r="G504" t="str">
        <f>IF(Productos!B504="","",Productos!G504)</f>
        <v/>
      </c>
      <c r="H504" t="str">
        <f>IF(B504="","",SUMIF('Compras Entradas'!$D$5:$D$504,B504,'Compras Entradas'!$F$5:$F$504))</f>
        <v/>
      </c>
      <c r="I504" t="str">
        <f>IF(B504="","",SUMIF('Ventas Salidas'!$D$5:$D$504,B504,'Ventas Salidas'!$F$5:$F$504))</f>
        <v/>
      </c>
      <c r="J504" t="str">
        <f t="shared" si="24"/>
        <v/>
      </c>
      <c r="K504" t="str">
        <f t="shared" si="25"/>
        <v/>
      </c>
      <c r="L504" t="str">
        <f t="shared" si="26"/>
        <v/>
      </c>
      <c r="M504" s="8"/>
      <c r="N504" s="8" t="str">
        <f>IF(B504="","",IF(OR(K504="Bajo stock",K504="Sin stock"),COUNTIFS($K$5:$K504,"Bajo stock")+COUNTIFS($K$5:$K504,"Sin stock"),""))</f>
        <v/>
      </c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2:30" ht="21.75" customHeight="1" x14ac:dyDescent="0.25"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2:30" ht="21.75" customHeight="1" x14ac:dyDescent="0.25"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2:30" ht="21.75" customHeight="1" x14ac:dyDescent="0.25"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2:30" ht="21.75" customHeight="1" x14ac:dyDescent="0.25"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2:30" ht="21.75" customHeight="1" x14ac:dyDescent="0.25"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2:30" ht="21.75" customHeight="1" x14ac:dyDescent="0.25"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2:30" ht="21.75" customHeight="1" x14ac:dyDescent="0.25"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2:30" ht="21.75" customHeight="1" x14ac:dyDescent="0.25"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3:30" ht="21.75" customHeight="1" x14ac:dyDescent="0.25"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3:30" ht="21.75" customHeight="1" x14ac:dyDescent="0.25"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3:30" ht="21.75" customHeight="1" x14ac:dyDescent="0.25"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3:30" ht="21.75" customHeight="1" x14ac:dyDescent="0.25"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3:30" ht="21.75" customHeight="1" x14ac:dyDescent="0.25"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3:30" ht="21.75" customHeight="1" x14ac:dyDescent="0.25"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3:30" ht="21.75" customHeight="1" x14ac:dyDescent="0.25"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3:30" ht="21.75" customHeight="1" x14ac:dyDescent="0.25"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3:30" ht="21.75" customHeight="1" x14ac:dyDescent="0.25"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3:30" ht="21.75" customHeight="1" x14ac:dyDescent="0.25"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3:30" ht="21.75" customHeight="1" x14ac:dyDescent="0.25"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3:30" ht="21.75" customHeight="1" x14ac:dyDescent="0.25"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3:30" ht="21.75" customHeight="1" x14ac:dyDescent="0.25"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3:30" ht="21.75" customHeight="1" x14ac:dyDescent="0.25"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3:30" ht="21.75" customHeight="1" x14ac:dyDescent="0.25"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3:30" ht="21.75" customHeight="1" x14ac:dyDescent="0.25"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3:30" ht="21.75" customHeight="1" x14ac:dyDescent="0.25"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3:30" ht="21.75" customHeight="1" x14ac:dyDescent="0.25"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3:30" ht="21.75" customHeight="1" x14ac:dyDescent="0.25"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3:30" ht="21.75" customHeight="1" x14ac:dyDescent="0.25"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3:30" ht="21.75" customHeight="1" x14ac:dyDescent="0.25"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3:30" ht="21.75" customHeight="1" x14ac:dyDescent="0.25"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3:30" ht="21.75" customHeight="1" x14ac:dyDescent="0.25"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3:30" ht="21.75" customHeight="1" x14ac:dyDescent="0.25"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3:30" ht="21.75" customHeight="1" x14ac:dyDescent="0.25"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3:30" ht="21.75" customHeight="1" x14ac:dyDescent="0.25"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3:30" ht="21.75" customHeight="1" x14ac:dyDescent="0.25"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3:30" ht="21.75" customHeight="1" x14ac:dyDescent="0.25"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3:30" ht="21.75" customHeight="1" x14ac:dyDescent="0.25"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3:30" ht="21.75" customHeight="1" x14ac:dyDescent="0.25"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3:30" ht="21.75" customHeight="1" x14ac:dyDescent="0.25"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3:30" ht="21.75" customHeight="1" x14ac:dyDescent="0.25"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3:30" ht="21.75" customHeight="1" x14ac:dyDescent="0.25"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3:30" ht="21.75" customHeight="1" x14ac:dyDescent="0.25"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3:30" ht="21.75" customHeight="1" x14ac:dyDescent="0.25"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3:30" ht="21.75" customHeight="1" x14ac:dyDescent="0.25"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3:30" ht="21.75" customHeight="1" x14ac:dyDescent="0.25"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3:30" ht="21.75" customHeight="1" x14ac:dyDescent="0.25"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3:30" ht="21.75" customHeight="1" x14ac:dyDescent="0.25"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3:30" ht="21.75" customHeight="1" x14ac:dyDescent="0.25"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3:30" ht="21.75" customHeight="1" x14ac:dyDescent="0.25"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3:30" ht="21.75" customHeight="1" x14ac:dyDescent="0.25"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3:30" ht="21.75" customHeight="1" x14ac:dyDescent="0.25"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3:30" ht="21.75" customHeight="1" x14ac:dyDescent="0.25"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3:30" ht="21.75" customHeight="1" x14ac:dyDescent="0.25"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3:30" ht="21.75" customHeight="1" x14ac:dyDescent="0.25"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3:30" ht="21.75" customHeight="1" x14ac:dyDescent="0.25"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3:30" ht="21.75" customHeight="1" x14ac:dyDescent="0.25"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3:30" ht="21.75" customHeight="1" x14ac:dyDescent="0.25"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3:30" ht="21.75" customHeight="1" x14ac:dyDescent="0.25"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3:30" ht="21.75" customHeight="1" x14ac:dyDescent="0.25"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3:30" ht="21.75" customHeight="1" x14ac:dyDescent="0.25"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3:30" ht="21.75" customHeight="1" x14ac:dyDescent="0.25"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3:30" ht="21.75" customHeight="1" x14ac:dyDescent="0.25"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3:30" ht="21.75" customHeight="1" x14ac:dyDescent="0.25"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3:30" ht="21.75" customHeight="1" x14ac:dyDescent="0.25"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3:30" ht="21.75" customHeight="1" x14ac:dyDescent="0.25"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3:30" ht="21.75" customHeight="1" x14ac:dyDescent="0.25"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3:30" ht="21.75" customHeight="1" x14ac:dyDescent="0.25"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3:30" ht="21.75" customHeight="1" x14ac:dyDescent="0.25"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3:30" ht="21.75" customHeight="1" x14ac:dyDescent="0.25"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3:30" ht="21.75" customHeight="1" x14ac:dyDescent="0.25"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3:30" ht="21.75" customHeight="1" x14ac:dyDescent="0.25"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3:30" ht="21.75" customHeight="1" x14ac:dyDescent="0.25"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3:30" ht="21.75" customHeight="1" x14ac:dyDescent="0.25"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3:30" ht="21.75" customHeight="1" x14ac:dyDescent="0.25"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3:30" ht="21.75" customHeight="1" x14ac:dyDescent="0.25"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3:30" ht="21.75" customHeight="1" x14ac:dyDescent="0.25"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3:30" ht="21.75" customHeight="1" x14ac:dyDescent="0.25"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3:30" ht="21.75" customHeight="1" x14ac:dyDescent="0.25"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3:30" ht="21.75" customHeight="1" x14ac:dyDescent="0.25"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3:30" ht="21.75" customHeight="1" x14ac:dyDescent="0.25"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3:30" ht="21.75" customHeight="1" x14ac:dyDescent="0.25"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3:30" ht="21.75" customHeight="1" x14ac:dyDescent="0.25"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3:30" ht="21.75" customHeight="1" x14ac:dyDescent="0.25"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3:30" ht="21.75" customHeight="1" x14ac:dyDescent="0.25"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3:30" ht="21.75" customHeight="1" x14ac:dyDescent="0.25"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3:30" ht="21.75" customHeight="1" x14ac:dyDescent="0.25"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3:30" ht="21.75" customHeight="1" x14ac:dyDescent="0.25"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3:30" ht="21.75" customHeight="1" x14ac:dyDescent="0.25"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3:30" ht="21.75" customHeight="1" x14ac:dyDescent="0.25"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3:30" ht="21.75" customHeight="1" x14ac:dyDescent="0.25"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3:30" ht="21.75" customHeight="1" x14ac:dyDescent="0.25"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3:30" ht="21.75" customHeight="1" x14ac:dyDescent="0.25"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3:30" ht="21.75" customHeight="1" x14ac:dyDescent="0.25"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3:30" ht="21.75" customHeight="1" x14ac:dyDescent="0.25"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3:30" ht="21.75" customHeight="1" x14ac:dyDescent="0.25"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3:30" ht="21.75" customHeight="1" x14ac:dyDescent="0.25"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3:30" ht="21.75" customHeight="1" x14ac:dyDescent="0.25"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3:30" ht="21.75" customHeight="1" x14ac:dyDescent="0.25"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3:30" ht="21.75" customHeight="1" x14ac:dyDescent="0.25"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3:30" ht="21.75" customHeight="1" x14ac:dyDescent="0.25"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3:30" ht="21.75" customHeight="1" x14ac:dyDescent="0.25"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3:30" ht="21.75" customHeight="1" x14ac:dyDescent="0.25"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3:30" ht="21.75" customHeight="1" x14ac:dyDescent="0.25"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3:30" ht="21.75" customHeight="1" x14ac:dyDescent="0.25"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3:30" ht="21.75" customHeight="1" x14ac:dyDescent="0.25"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3:30" ht="21.75" customHeight="1" x14ac:dyDescent="0.25"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3:30" ht="21.75" customHeight="1" x14ac:dyDescent="0.25"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3:30" ht="21.75" customHeight="1" x14ac:dyDescent="0.25"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3:30" ht="21.75" customHeight="1" x14ac:dyDescent="0.25"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3:30" ht="21.75" customHeight="1" x14ac:dyDescent="0.25"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3:30" ht="21.75" customHeight="1" x14ac:dyDescent="0.25"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3:30" ht="21.75" customHeight="1" x14ac:dyDescent="0.25"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3:30" ht="21.75" customHeight="1" x14ac:dyDescent="0.25"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3:30" ht="21.75" customHeight="1" x14ac:dyDescent="0.25"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3:30" ht="21.75" customHeight="1" x14ac:dyDescent="0.25"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3:30" ht="21.75" customHeight="1" x14ac:dyDescent="0.25"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3:30" ht="21.75" customHeight="1" x14ac:dyDescent="0.25"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3:30" ht="21.75" customHeight="1" x14ac:dyDescent="0.25"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3:30" ht="21.75" customHeight="1" x14ac:dyDescent="0.25"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3:30" ht="21.75" customHeight="1" x14ac:dyDescent="0.25"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3:30" ht="21.75" customHeight="1" x14ac:dyDescent="0.25"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3:30" ht="21.75" customHeight="1" x14ac:dyDescent="0.25"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3:30" ht="21.75" customHeight="1" x14ac:dyDescent="0.25"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3:30" ht="21.75" customHeight="1" x14ac:dyDescent="0.25"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3:30" ht="21.75" customHeight="1" x14ac:dyDescent="0.25"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3:30" ht="21.75" customHeight="1" x14ac:dyDescent="0.25"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3:30" ht="21.75" customHeight="1" x14ac:dyDescent="0.25"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3:30" ht="21.75" customHeight="1" x14ac:dyDescent="0.25"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3:30" ht="21.75" customHeight="1" x14ac:dyDescent="0.25"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3:30" ht="21.75" customHeight="1" x14ac:dyDescent="0.25"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3:30" ht="21.75" customHeight="1" x14ac:dyDescent="0.25"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3:30" ht="21.75" customHeight="1" x14ac:dyDescent="0.25"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3:30" ht="21.75" customHeight="1" x14ac:dyDescent="0.25"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3:30" ht="21.75" customHeight="1" x14ac:dyDescent="0.25"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3:30" ht="21.75" customHeight="1" x14ac:dyDescent="0.25"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3:30" ht="21.75" customHeight="1" x14ac:dyDescent="0.25"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3:30" ht="21.75" customHeight="1" x14ac:dyDescent="0.25"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3:30" ht="21.75" customHeight="1" x14ac:dyDescent="0.25"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3:30" ht="21.75" customHeight="1" x14ac:dyDescent="0.25"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3:30" ht="21.75" customHeight="1" x14ac:dyDescent="0.25"/>
  </sheetData>
  <mergeCells count="2">
    <mergeCell ref="B1:L1"/>
    <mergeCell ref="B2:L2"/>
  </mergeCells>
  <conditionalFormatting sqref="K5:K204">
    <cfRule type="cellIs" dxfId="2" priority="2" operator="equal">
      <formula>"Sin stock"</formula>
    </cfRule>
    <cfRule type="cellIs" dxfId="1" priority="3" operator="equal">
      <formula>"Bajo stock"</formula>
    </cfRule>
    <cfRule type="cellIs" dxfId="0" priority="4" operator="equal">
      <formula>"OK"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00"/>
  </sheetPr>
  <dimension ref="B1:BF637"/>
  <sheetViews>
    <sheetView showGridLines="0" zoomScaleNormal="100" workbookViewId="0">
      <selection activeCell="V26" sqref="V26"/>
    </sheetView>
  </sheetViews>
  <sheetFormatPr baseColWidth="10" defaultColWidth="9.140625" defaultRowHeight="15" x14ac:dyDescent="0.25"/>
  <cols>
    <col min="2" max="13" width="14" customWidth="1"/>
    <col min="14" max="14" width="10.85546875" customWidth="1"/>
    <col min="15" max="15" width="14" customWidth="1"/>
    <col min="16" max="58" width="9.140625" style="5"/>
  </cols>
  <sheetData>
    <row r="1" spans="2:58" ht="21.75" customHeight="1" x14ac:dyDescent="0.25">
      <c r="B1" s="36" t="s">
        <v>22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</row>
    <row r="2" spans="2:58" ht="21.75" customHeight="1" x14ac:dyDescent="0.25">
      <c r="B2" s="37" t="s">
        <v>23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</row>
    <row r="3" spans="2:58" s="5" customFormat="1" ht="21.75" customHeight="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</row>
    <row r="4" spans="2:58" ht="21.75" customHeight="1" x14ac:dyDescent="0.25">
      <c r="B4" s="27" t="s">
        <v>24</v>
      </c>
      <c r="C4" s="27"/>
      <c r="D4" s="27"/>
      <c r="E4" s="27" t="s">
        <v>25</v>
      </c>
      <c r="F4" s="27"/>
      <c r="G4" s="27"/>
      <c r="H4" s="27" t="s">
        <v>26</v>
      </c>
      <c r="I4" s="27"/>
      <c r="J4" s="27"/>
      <c r="K4" s="27" t="s">
        <v>27</v>
      </c>
      <c r="L4" s="27"/>
      <c r="M4" s="27"/>
      <c r="N4" s="4"/>
      <c r="O4" s="38" t="s">
        <v>28</v>
      </c>
      <c r="P4" s="38"/>
      <c r="Q4" s="3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</row>
    <row r="5" spans="2:58" ht="21.75" customHeight="1" x14ac:dyDescent="0.25">
      <c r="B5" s="35">
        <f>COUNTIF(Inventario!B5:B504,"?*")</f>
        <v>10</v>
      </c>
      <c r="C5" s="35"/>
      <c r="D5" s="35"/>
      <c r="E5" s="35">
        <f>SUMIF(Inventario!B5:B504,"?*",Inventario!J5:J504)</f>
        <v>135</v>
      </c>
      <c r="F5" s="35"/>
      <c r="G5" s="35"/>
      <c r="H5" s="35">
        <f>COUNTIF(Inventario!K5:K504,"Bajo stock")</f>
        <v>0</v>
      </c>
      <c r="I5" s="35"/>
      <c r="J5" s="35"/>
      <c r="K5" s="35">
        <f>COUNTIF(Inventario!K5:K504,"Sin stock")</f>
        <v>1</v>
      </c>
      <c r="L5" s="35"/>
      <c r="M5" s="35"/>
      <c r="N5" s="4"/>
      <c r="O5" s="38"/>
      <c r="P5" s="38"/>
      <c r="Q5" s="3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</row>
    <row r="6" spans="2:58" ht="21.75" customHeight="1" x14ac:dyDescent="0.25"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4"/>
      <c r="O6" s="38"/>
      <c r="P6" s="38"/>
      <c r="Q6" s="3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</row>
    <row r="7" spans="2:58" s="5" customFormat="1" ht="21.75" customHeight="1" x14ac:dyDescent="0.25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38"/>
      <c r="P7" s="38"/>
      <c r="Q7" s="3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</row>
    <row r="8" spans="2:58" ht="21.75" customHeight="1" x14ac:dyDescent="0.25">
      <c r="B8" s="27" t="s">
        <v>29</v>
      </c>
      <c r="C8" s="27"/>
      <c r="D8" s="27"/>
      <c r="E8" s="27" t="s">
        <v>30</v>
      </c>
      <c r="F8" s="27"/>
      <c r="G8" s="27"/>
      <c r="H8" s="27" t="s">
        <v>31</v>
      </c>
      <c r="I8" s="27"/>
      <c r="J8" s="27"/>
      <c r="K8" s="27" t="s">
        <v>32</v>
      </c>
      <c r="L8" s="27"/>
      <c r="M8" s="27"/>
      <c r="N8" s="4"/>
      <c r="O8" s="38"/>
      <c r="P8" s="38"/>
      <c r="Q8" s="3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</row>
    <row r="9" spans="2:58" ht="21.75" customHeight="1" x14ac:dyDescent="0.25">
      <c r="B9" s="35">
        <f>SUMIF(Inventario!B5:B504,"?*",Inventario!H5:H504)</f>
        <v>53</v>
      </c>
      <c r="C9" s="35"/>
      <c r="D9" s="35"/>
      <c r="E9" s="35">
        <f>SUMIF(Inventario!B5:B504,"?*",Inventario!I5:I504)</f>
        <v>35</v>
      </c>
      <c r="F9" s="35"/>
      <c r="G9" s="35"/>
      <c r="H9" s="39">
        <f>SUM('Compras Entradas'!H5:H504)</f>
        <v>221900</v>
      </c>
      <c r="I9" s="39"/>
      <c r="J9" s="39"/>
      <c r="K9" s="35">
        <f>COUNTIF(Inventario!K5:K504,"OK")</f>
        <v>9</v>
      </c>
      <c r="L9" s="35"/>
      <c r="M9" s="35"/>
      <c r="N9" s="4"/>
      <c r="O9" s="38"/>
      <c r="P9" s="38"/>
      <c r="Q9" s="3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</row>
    <row r="10" spans="2:58" ht="21.75" customHeight="1" x14ac:dyDescent="0.25">
      <c r="B10" s="35"/>
      <c r="C10" s="35"/>
      <c r="D10" s="35"/>
      <c r="E10" s="35"/>
      <c r="F10" s="35"/>
      <c r="G10" s="35"/>
      <c r="H10" s="39"/>
      <c r="I10" s="39"/>
      <c r="J10" s="39"/>
      <c r="K10" s="35"/>
      <c r="L10" s="35"/>
      <c r="M10" s="35"/>
      <c r="N10" s="4"/>
      <c r="O10" s="38"/>
      <c r="P10" s="38"/>
      <c r="Q10" s="3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</row>
    <row r="11" spans="2:58" s="5" customFormat="1" ht="21.75" customHeight="1" x14ac:dyDescent="0.25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</row>
    <row r="12" spans="2:58" ht="21.75" customHeight="1" x14ac:dyDescent="0.25">
      <c r="B12" s="1" t="s">
        <v>33</v>
      </c>
      <c r="C12" s="1" t="s">
        <v>34</v>
      </c>
      <c r="D12" s="1" t="s">
        <v>9</v>
      </c>
      <c r="E12" s="4"/>
      <c r="F12" s="1" t="s">
        <v>35</v>
      </c>
      <c r="G12" s="1" t="s">
        <v>36</v>
      </c>
      <c r="H12" s="4"/>
      <c r="I12" s="4"/>
      <c r="J12" s="4"/>
      <c r="K12" s="4"/>
      <c r="L12" s="4"/>
      <c r="M12" s="4"/>
      <c r="N12" s="4"/>
      <c r="O12" s="4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</row>
    <row r="13" spans="2:58" ht="21.75" customHeight="1" x14ac:dyDescent="0.25">
      <c r="B13" s="10" t="s">
        <v>37</v>
      </c>
      <c r="C13" s="11">
        <f>SUMIF(Inventario!D5:D504,B13,Inventario!J5:J504)</f>
        <v>63</v>
      </c>
      <c r="D13" s="11">
        <f>COUNTIF(Inventario!D5:D504,B13)</f>
        <v>5</v>
      </c>
      <c r="E13" s="4"/>
      <c r="F13" s="10" t="s">
        <v>38</v>
      </c>
      <c r="G13" s="11">
        <f>SUM(Inventario!H5:H504)</f>
        <v>53</v>
      </c>
      <c r="H13" s="4"/>
      <c r="I13" s="4"/>
      <c r="J13" s="4"/>
      <c r="K13" s="4"/>
      <c r="L13" s="4"/>
      <c r="M13" s="4"/>
      <c r="N13" s="4"/>
      <c r="O13" s="4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</row>
    <row r="14" spans="2:58" ht="21.75" customHeight="1" x14ac:dyDescent="0.25">
      <c r="B14" s="10" t="s">
        <v>39</v>
      </c>
      <c r="C14" s="11">
        <f>SUMIF(Inventario!D5:D504,B14,Inventario!J5:J504)</f>
        <v>25</v>
      </c>
      <c r="D14" s="11">
        <f>COUNTIF(Inventario!D5:D504,B14)</f>
        <v>2</v>
      </c>
      <c r="E14" s="4"/>
      <c r="F14" s="10" t="s">
        <v>40</v>
      </c>
      <c r="G14" s="11">
        <f>SUM(Inventario!I5:I504)</f>
        <v>35</v>
      </c>
      <c r="H14" s="4"/>
      <c r="I14" s="4"/>
      <c r="J14" s="4"/>
      <c r="K14" s="4"/>
      <c r="L14" s="4"/>
      <c r="M14" s="4"/>
      <c r="N14" s="4"/>
      <c r="O14" s="4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</row>
    <row r="15" spans="2:58" ht="21.75" customHeight="1" x14ac:dyDescent="0.25">
      <c r="B15" s="10" t="s">
        <v>41</v>
      </c>
      <c r="C15" s="11">
        <f>SUMIF(Inventario!D5:D504,B15,Inventario!J5:J504)</f>
        <v>47</v>
      </c>
      <c r="D15" s="11">
        <f>COUNTIF(Inventario!D5:D504,B15)</f>
        <v>3</v>
      </c>
      <c r="E15" s="4"/>
      <c r="F15" s="10" t="s">
        <v>42</v>
      </c>
      <c r="G15" s="11">
        <f>SUM(Inventario!J5:J504)</f>
        <v>135</v>
      </c>
      <c r="H15" s="4"/>
      <c r="I15" s="4"/>
      <c r="J15" s="4"/>
      <c r="K15" s="4"/>
      <c r="L15" s="4"/>
      <c r="M15" s="4"/>
      <c r="N15" s="4"/>
      <c r="O15" s="4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</row>
    <row r="16" spans="2:58" ht="21.75" customHeight="1" x14ac:dyDescent="0.25">
      <c r="B16" s="10" t="s">
        <v>43</v>
      </c>
      <c r="C16" s="11">
        <f>SUMIFS(Inventario!J5:J504,Inventario!D5:D504,"&lt;&gt;Anillos",Inventario!D5:D504,"&lt;&gt;Pulseras",Inventario!D5:D504,"&lt;&gt;Pendientes")</f>
        <v>0</v>
      </c>
      <c r="D16" s="11">
        <f>COUNTIFS(Inventario!D5:D504,"&lt;&gt;Anillos",Inventario!D5:D504,"&lt;&gt;Pulseras",Inventario!D5:D504,"&lt;&gt;Pendientes",Inventario!B5:B504,"?*")</f>
        <v>0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</row>
    <row r="17" spans="2:58" s="5" customFormat="1" ht="21.75" customHeight="1" x14ac:dyDescent="0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</row>
    <row r="18" spans="2:58" ht="21.75" customHeight="1" x14ac:dyDescent="0.25">
      <c r="B18" s="34" t="s">
        <v>44</v>
      </c>
      <c r="C18" s="34"/>
      <c r="D18" s="34"/>
      <c r="E18" s="34"/>
      <c r="F18" s="34"/>
      <c r="G18" s="34"/>
      <c r="H18" s="4"/>
      <c r="I18" s="4"/>
      <c r="J18" s="4"/>
      <c r="K18" s="4"/>
      <c r="L18" s="4"/>
      <c r="M18" s="4"/>
      <c r="N18" s="4"/>
      <c r="O18" s="4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</row>
    <row r="19" spans="2:58" ht="21.75" customHeight="1" x14ac:dyDescent="0.25">
      <c r="B19" s="1" t="s">
        <v>45</v>
      </c>
      <c r="C19" s="1" t="s">
        <v>46</v>
      </c>
      <c r="D19" s="1" t="s">
        <v>47</v>
      </c>
      <c r="E19" s="1" t="s">
        <v>42</v>
      </c>
      <c r="F19" s="1" t="s">
        <v>48</v>
      </c>
      <c r="G19" s="1" t="s">
        <v>49</v>
      </c>
      <c r="H19" s="4"/>
      <c r="I19" s="4"/>
      <c r="J19" s="4"/>
      <c r="K19" s="4"/>
      <c r="L19" s="4"/>
      <c r="M19" s="4"/>
      <c r="N19" s="4"/>
      <c r="O19" s="4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</row>
    <row r="20" spans="2:58" ht="24.75" customHeight="1" x14ac:dyDescent="0.25">
      <c r="B20" s="10" t="str">
        <f>IFERROR(INDEX(Inventario!$B$5:$B$504,MATCH(1,Inventario!$N$5:$N$504,0)),"")</f>
        <v>AN002</v>
      </c>
      <c r="C20" s="10" t="str">
        <f>IFERROR(INDEX(Inventario!$C$5:$C$504,MATCH(1,Inventario!$N$5:$N$504,0)),"")</f>
        <v>Anillo venus plata</v>
      </c>
      <c r="D20" s="11">
        <f>IFERROR(INDEX(Inventario!$F$5:$F$504,MATCH(1,Inventario!$N$5:$N$504,0)),"")</f>
        <v>5</v>
      </c>
      <c r="E20" s="11">
        <f>IFERROR(INDEX(Inventario!$J$5:$J$504,MATCH(1,Inventario!$N$5:$N$504,0)),"")</f>
        <v>0</v>
      </c>
      <c r="F20" s="10" t="str">
        <f>IFERROR(INDEX(Inventario!$K$5:$K$504,MATCH(1,Inventario!$N$5:$N$504,0)),"")</f>
        <v>Sin stock</v>
      </c>
      <c r="G20" s="10" t="str">
        <f>IFERROR(INDEX(Inventario!$L$5:$L$504,MATCH(1,Inventario!$N$5:$N$504,0)),"")</f>
        <v>Comprar urgente</v>
      </c>
      <c r="H20" s="4"/>
      <c r="I20" s="4"/>
      <c r="J20" s="4"/>
      <c r="K20" s="4"/>
      <c r="L20" s="4"/>
      <c r="M20" s="4"/>
      <c r="N20" s="4"/>
      <c r="O20" s="4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</row>
    <row r="21" spans="2:58" ht="21.75" customHeight="1" x14ac:dyDescent="0.25">
      <c r="B21" s="10" t="str">
        <f>IFERROR(INDEX(Inventario!$B$5:$B$504,MATCH(2,Inventario!$N$5:$N$504,0)),"")</f>
        <v/>
      </c>
      <c r="C21" s="10" t="str">
        <f>IFERROR(INDEX(Inventario!$C$5:$C$504,MATCH(2,Inventario!$N$5:$N$504,0)),"")</f>
        <v/>
      </c>
      <c r="D21" s="11" t="str">
        <f>IFERROR(INDEX(Inventario!$F$5:$F$504,MATCH(2,Inventario!$N$5:$N$504,0)),"")</f>
        <v/>
      </c>
      <c r="E21" s="11" t="str">
        <f>IFERROR(INDEX(Inventario!$J$5:$J$504,MATCH(2,Inventario!$N$5:$N$504,0)),"")</f>
        <v/>
      </c>
      <c r="F21" s="10" t="str">
        <f>IFERROR(INDEX(Inventario!$K$5:$K$504,MATCH(2,Inventario!$N$5:$N$504,0)),"")</f>
        <v/>
      </c>
      <c r="G21" s="10" t="str">
        <f>IFERROR(INDEX(Inventario!$L$5:$L$504,MATCH(2,Inventario!$N$5:$N$504,0)),"")</f>
        <v/>
      </c>
      <c r="H21" s="4"/>
      <c r="I21" s="4"/>
      <c r="J21" s="4"/>
      <c r="K21" s="4"/>
      <c r="L21" s="4"/>
      <c r="M21" s="4"/>
      <c r="N21" s="4"/>
      <c r="O21" s="4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</row>
    <row r="22" spans="2:58" ht="21.75" customHeight="1" x14ac:dyDescent="0.25">
      <c r="B22" s="10" t="str">
        <f>IFERROR(INDEX(Inventario!$B$5:$B$504,MATCH(3,Inventario!$N$5:$N$504,0)),"")</f>
        <v/>
      </c>
      <c r="C22" s="10" t="str">
        <f>IFERROR(INDEX(Inventario!$C$5:$C$504,MATCH(3,Inventario!$N$5:$N$504,0)),"")</f>
        <v/>
      </c>
      <c r="D22" s="11" t="str">
        <f>IFERROR(INDEX(Inventario!$F$5:$F$504,MATCH(3,Inventario!$N$5:$N$504,0)),"")</f>
        <v/>
      </c>
      <c r="E22" s="11" t="str">
        <f>IFERROR(INDEX(Inventario!$J$5:$J$504,MATCH(3,Inventario!$N$5:$N$504,0)),"")</f>
        <v/>
      </c>
      <c r="F22" s="10" t="str">
        <f>IFERROR(INDEX(Inventario!$K$5:$K$504,MATCH(3,Inventario!$N$5:$N$504,0)),"")</f>
        <v/>
      </c>
      <c r="G22" s="10" t="str">
        <f>IFERROR(INDEX(Inventario!$L$5:$L$504,MATCH(3,Inventario!$N$5:$N$504,0)),"")</f>
        <v/>
      </c>
      <c r="H22" s="4"/>
      <c r="I22" s="4"/>
      <c r="J22" s="4"/>
      <c r="K22" s="4"/>
      <c r="L22" s="4"/>
      <c r="M22" s="4"/>
      <c r="N22" s="4"/>
      <c r="O22" s="4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</row>
    <row r="23" spans="2:58" ht="21.75" customHeight="1" x14ac:dyDescent="0.25">
      <c r="B23" s="10" t="str">
        <f>IFERROR(INDEX(Inventario!$B$5:$B$504,MATCH(4,Inventario!$N$5:$N$504,0)),"")</f>
        <v/>
      </c>
      <c r="C23" s="10" t="str">
        <f>IFERROR(INDEX(Inventario!$C$5:$C$504,MATCH(4,Inventario!$N$5:$N$504,0)),"")</f>
        <v/>
      </c>
      <c r="D23" s="11" t="str">
        <f>IFERROR(INDEX(Inventario!$F$5:$F$504,MATCH(4,Inventario!$N$5:$N$504,0)),"")</f>
        <v/>
      </c>
      <c r="E23" s="11" t="str">
        <f>IFERROR(INDEX(Inventario!$J$5:$J$504,MATCH(4,Inventario!$N$5:$N$504,0)),"")</f>
        <v/>
      </c>
      <c r="F23" s="10" t="str">
        <f>IFERROR(INDEX(Inventario!$K$5:$K$504,MATCH(4,Inventario!$N$5:$N$504,0)),"")</f>
        <v/>
      </c>
      <c r="G23" s="10" t="str">
        <f>IFERROR(INDEX(Inventario!$L$5:$L$504,MATCH(4,Inventario!$N$5:$N$504,0)),"")</f>
        <v/>
      </c>
      <c r="H23" s="4"/>
      <c r="I23" s="4"/>
      <c r="J23" s="4"/>
      <c r="K23" s="4"/>
      <c r="L23" s="4"/>
      <c r="M23" s="4"/>
      <c r="N23" s="4"/>
      <c r="O23" s="4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</row>
    <row r="24" spans="2:58" ht="21.75" customHeight="1" x14ac:dyDescent="0.25">
      <c r="B24" s="10" t="str">
        <f>IFERROR(INDEX(Inventario!$B$5:$B$504,MATCH(5,Inventario!$N$5:$N$504,0)),"")</f>
        <v/>
      </c>
      <c r="C24" s="10" t="str">
        <f>IFERROR(INDEX(Inventario!$C$5:$C$504,MATCH(5,Inventario!$N$5:$N$504,0)),"")</f>
        <v/>
      </c>
      <c r="D24" s="11" t="str">
        <f>IFERROR(INDEX(Inventario!$F$5:$F$504,MATCH(5,Inventario!$N$5:$N$504,0)),"")</f>
        <v/>
      </c>
      <c r="E24" s="11" t="str">
        <f>IFERROR(INDEX(Inventario!$J$5:$J$504,MATCH(5,Inventario!$N$5:$N$504,0)),"")</f>
        <v/>
      </c>
      <c r="F24" s="10" t="str">
        <f>IFERROR(INDEX(Inventario!$K$5:$K$504,MATCH(5,Inventario!$N$5:$N$504,0)),"")</f>
        <v/>
      </c>
      <c r="G24" s="10" t="str">
        <f>IFERROR(INDEX(Inventario!$L$5:$L$504,MATCH(5,Inventario!$N$5:$N$504,0)),"")</f>
        <v/>
      </c>
      <c r="H24" s="4"/>
      <c r="I24" s="4"/>
      <c r="J24" s="4"/>
      <c r="K24" s="4"/>
      <c r="L24" s="4"/>
      <c r="M24" s="4"/>
      <c r="N24" s="4"/>
      <c r="O24" s="4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</row>
    <row r="25" spans="2:58" ht="21.75" customHeight="1" x14ac:dyDescent="0.25">
      <c r="B25" s="10" t="str">
        <f>IFERROR(INDEX(Inventario!$B$5:$B$504,MATCH(6,Inventario!$N$5:$N$504,0)),"")</f>
        <v/>
      </c>
      <c r="C25" s="10" t="str">
        <f>IFERROR(INDEX(Inventario!$C$5:$C$504,MATCH(6,Inventario!$N$5:$N$504,0)),"")</f>
        <v/>
      </c>
      <c r="D25" s="11" t="str">
        <f>IFERROR(INDEX(Inventario!$F$5:$F$504,MATCH(6,Inventario!$N$5:$N$504,0)),"")</f>
        <v/>
      </c>
      <c r="E25" s="11" t="str">
        <f>IFERROR(INDEX(Inventario!$J$5:$J$504,MATCH(6,Inventario!$N$5:$N$504,0)),"")</f>
        <v/>
      </c>
      <c r="F25" s="10" t="str">
        <f>IFERROR(INDEX(Inventario!$K$5:$K$504,MATCH(6,Inventario!$N$5:$N$504,0)),"")</f>
        <v/>
      </c>
      <c r="G25" s="10" t="str">
        <f>IFERROR(INDEX(Inventario!$L$5:$L$504,MATCH(6,Inventario!$N$5:$N$504,0)),"")</f>
        <v/>
      </c>
      <c r="H25" s="4"/>
      <c r="I25" s="4"/>
      <c r="J25" s="4"/>
      <c r="K25" s="4"/>
      <c r="L25" s="4"/>
      <c r="M25" s="4"/>
      <c r="N25" s="4"/>
      <c r="O25" s="4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</row>
    <row r="26" spans="2:58" ht="21.75" customHeight="1" x14ac:dyDescent="0.25">
      <c r="B26" s="10" t="str">
        <f>IFERROR(INDEX(Inventario!$B$5:$B$504,MATCH(7,Inventario!$N$5:$N$504,0)),"")</f>
        <v/>
      </c>
      <c r="C26" s="10" t="str">
        <f>IFERROR(INDEX(Inventario!$C$5:$C$504,MATCH(7,Inventario!$N$5:$N$504,0)),"")</f>
        <v/>
      </c>
      <c r="D26" s="11" t="str">
        <f>IFERROR(INDEX(Inventario!$F$5:$F$504,MATCH(7,Inventario!$N$5:$N$504,0)),"")</f>
        <v/>
      </c>
      <c r="E26" s="11" t="str">
        <f>IFERROR(INDEX(Inventario!$J$5:$J$504,MATCH(7,Inventario!$N$5:$N$504,0)),"")</f>
        <v/>
      </c>
      <c r="F26" s="10" t="str">
        <f>IFERROR(INDEX(Inventario!$K$5:$K$504,MATCH(7,Inventario!$N$5:$N$504,0)),"")</f>
        <v/>
      </c>
      <c r="G26" s="10" t="str">
        <f>IFERROR(INDEX(Inventario!$L$5:$L$504,MATCH(7,Inventario!$N$5:$N$504,0)),"")</f>
        <v/>
      </c>
      <c r="H26" s="4"/>
      <c r="I26" s="4"/>
      <c r="J26" s="4"/>
      <c r="K26" s="4"/>
      <c r="L26" s="4"/>
      <c r="M26" s="4"/>
      <c r="N26" s="4"/>
      <c r="O26" s="4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</row>
    <row r="27" spans="2:58" ht="21.75" customHeight="1" x14ac:dyDescent="0.25">
      <c r="B27" s="10" t="str">
        <f>IFERROR(INDEX(Inventario!$B$5:$B$504,MATCH(8,Inventario!$N$5:$N$504,0)),"")</f>
        <v/>
      </c>
      <c r="C27" s="10" t="str">
        <f>IFERROR(INDEX(Inventario!$C$5:$C$504,MATCH(8,Inventario!$N$5:$N$504,0)),"")</f>
        <v/>
      </c>
      <c r="D27" s="11" t="str">
        <f>IFERROR(INDEX(Inventario!$F$5:$F$504,MATCH(8,Inventario!$N$5:$N$504,0)),"")</f>
        <v/>
      </c>
      <c r="E27" s="11" t="str">
        <f>IFERROR(INDEX(Inventario!$J$5:$J$504,MATCH(8,Inventario!$N$5:$N$504,0)),"")</f>
        <v/>
      </c>
      <c r="F27" s="10" t="str">
        <f>IFERROR(INDEX(Inventario!$K$5:$K$504,MATCH(8,Inventario!$N$5:$N$504,0)),"")</f>
        <v/>
      </c>
      <c r="G27" s="10" t="str">
        <f>IFERROR(INDEX(Inventario!$L$5:$L$504,MATCH(8,Inventario!$N$5:$N$504,0)),"")</f>
        <v/>
      </c>
      <c r="H27" s="4"/>
      <c r="I27" s="4"/>
      <c r="J27" s="4"/>
      <c r="K27" s="4"/>
      <c r="L27" s="4"/>
      <c r="M27" s="4"/>
      <c r="N27" s="4"/>
      <c r="O27" s="4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</row>
    <row r="28" spans="2:58" ht="21.75" customHeight="1" x14ac:dyDescent="0.25">
      <c r="B28" s="10" t="str">
        <f>IFERROR(INDEX(Inventario!$B$5:$B$504,MATCH(9,Inventario!$N$5:$N$504,0)),"")</f>
        <v/>
      </c>
      <c r="C28" s="10" t="str">
        <f>IFERROR(INDEX(Inventario!$C$5:$C$504,MATCH(9,Inventario!$N$5:$N$504,0)),"")</f>
        <v/>
      </c>
      <c r="D28" s="11" t="str">
        <f>IFERROR(INDEX(Inventario!$F$5:$F$504,MATCH(9,Inventario!$N$5:$N$504,0)),"")</f>
        <v/>
      </c>
      <c r="E28" s="11" t="str">
        <f>IFERROR(INDEX(Inventario!$J$5:$J$504,MATCH(9,Inventario!$N$5:$N$504,0)),"")</f>
        <v/>
      </c>
      <c r="F28" s="10" t="str">
        <f>IFERROR(INDEX(Inventario!$K$5:$K$504,MATCH(9,Inventario!$N$5:$N$504,0)),"")</f>
        <v/>
      </c>
      <c r="G28" s="10" t="str">
        <f>IFERROR(INDEX(Inventario!$L$5:$L$504,MATCH(9,Inventario!$N$5:$N$504,0)),"")</f>
        <v/>
      </c>
      <c r="H28" s="4"/>
      <c r="I28" s="4"/>
      <c r="J28" s="4"/>
      <c r="K28" s="4"/>
      <c r="L28" s="4"/>
      <c r="M28" s="4"/>
      <c r="N28" s="4"/>
      <c r="O28" s="4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</row>
    <row r="29" spans="2:58" ht="21.75" customHeight="1" x14ac:dyDescent="0.25">
      <c r="B29" s="10" t="str">
        <f>IFERROR(INDEX(Inventario!$B$5:$B$504,MATCH(10,Inventario!$N$5:$N$504,0)),"")</f>
        <v/>
      </c>
      <c r="C29" s="10" t="str">
        <f>IFERROR(INDEX(Inventario!$C$5:$C$504,MATCH(10,Inventario!$N$5:$N$504,0)),"")</f>
        <v/>
      </c>
      <c r="D29" s="11" t="str">
        <f>IFERROR(INDEX(Inventario!$F$5:$F$504,MATCH(10,Inventario!$N$5:$N$504,0)),"")</f>
        <v/>
      </c>
      <c r="E29" s="11" t="str">
        <f>IFERROR(INDEX(Inventario!$J$5:$J$504,MATCH(10,Inventario!$N$5:$N$504,0)),"")</f>
        <v/>
      </c>
      <c r="F29" s="10" t="str">
        <f>IFERROR(INDEX(Inventario!$K$5:$K$504,MATCH(10,Inventario!$N$5:$N$504,0)),"")</f>
        <v/>
      </c>
      <c r="G29" s="10" t="str">
        <f>IFERROR(INDEX(Inventario!$L$5:$L$504,MATCH(10,Inventario!$N$5:$N$504,0)),"")</f>
        <v/>
      </c>
      <c r="H29" s="4"/>
      <c r="I29" s="4"/>
      <c r="J29" s="4"/>
      <c r="K29" s="4"/>
      <c r="L29" s="4"/>
      <c r="M29" s="4"/>
      <c r="N29" s="4"/>
      <c r="O29" s="4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</row>
    <row r="30" spans="2:58" ht="21.75" customHeight="1" x14ac:dyDescent="0.25">
      <c r="B30" s="10" t="str">
        <f>IFERROR(INDEX(Inventario!$B$5:$B$504,MATCH(11,Inventario!$N$5:$N$504,0)),"")</f>
        <v/>
      </c>
      <c r="C30" s="10" t="str">
        <f>IFERROR(INDEX(Inventario!$C$5:$C$504,MATCH(11,Inventario!$N$5:$N$504,0)),"")</f>
        <v/>
      </c>
      <c r="D30" s="11" t="str">
        <f>IFERROR(INDEX(Inventario!$F$5:$F$504,MATCH(11,Inventario!$N$5:$N$504,0)),"")</f>
        <v/>
      </c>
      <c r="E30" s="11" t="str">
        <f>IFERROR(INDEX(Inventario!$J$5:$J$504,MATCH(11,Inventario!$N$5:$N$504,0)),"")</f>
        <v/>
      </c>
      <c r="F30" s="10" t="str">
        <f>IFERROR(INDEX(Inventario!$K$5:$K$504,MATCH(11,Inventario!$N$5:$N$504,0)),"")</f>
        <v/>
      </c>
      <c r="G30" s="10" t="str">
        <f>IFERROR(INDEX(Inventario!$L$5:$L$504,MATCH(11,Inventario!$N$5:$N$504,0)),"")</f>
        <v/>
      </c>
      <c r="H30" s="4"/>
      <c r="I30" s="4"/>
      <c r="J30" s="4"/>
      <c r="K30" s="4"/>
      <c r="L30" s="4"/>
      <c r="M30" s="4"/>
      <c r="N30" s="4"/>
      <c r="O30" s="4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</row>
    <row r="31" spans="2:58" ht="21.75" customHeight="1" x14ac:dyDescent="0.25">
      <c r="B31" s="10" t="str">
        <f>IFERROR(INDEX(Inventario!$B$5:$B$504,MATCH(12,Inventario!$N$5:$N$504,0)),"")</f>
        <v/>
      </c>
      <c r="C31" s="10" t="str">
        <f>IFERROR(INDEX(Inventario!$C$5:$C$504,MATCH(12,Inventario!$N$5:$N$504,0)),"")</f>
        <v/>
      </c>
      <c r="D31" s="11" t="str">
        <f>IFERROR(INDEX(Inventario!$F$5:$F$504,MATCH(12,Inventario!$N$5:$N$504,0)),"")</f>
        <v/>
      </c>
      <c r="E31" s="11" t="str">
        <f>IFERROR(INDEX(Inventario!$J$5:$J$504,MATCH(12,Inventario!$N$5:$N$504,0)),"")</f>
        <v/>
      </c>
      <c r="F31" s="10" t="str">
        <f>IFERROR(INDEX(Inventario!$K$5:$K$504,MATCH(12,Inventario!$N$5:$N$504,0)),"")</f>
        <v/>
      </c>
      <c r="G31" s="10" t="str">
        <f>IFERROR(INDEX(Inventario!$L$5:$L$504,MATCH(12,Inventario!$N$5:$N$504,0)),"")</f>
        <v/>
      </c>
      <c r="H31" s="4"/>
      <c r="I31" s="4"/>
      <c r="J31" s="4"/>
      <c r="K31" s="4"/>
      <c r="L31" s="4"/>
      <c r="M31" s="4"/>
      <c r="N31" s="4"/>
      <c r="O31" s="4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</row>
    <row r="32" spans="2:58" s="5" customFormat="1" ht="21.75" customHeight="1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</row>
    <row r="33" spans="2:58" s="5" customFormat="1" ht="21.75" customHeight="1" x14ac:dyDescent="0.25">
      <c r="B33" s="9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</row>
    <row r="34" spans="2:58" s="5" customFormat="1" ht="21.75" customHeight="1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</row>
    <row r="35" spans="2:58" s="5" customFormat="1" ht="21.75" customHeight="1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</row>
    <row r="36" spans="2:58" s="5" customFormat="1" ht="21.75" customHeight="1" x14ac:dyDescent="0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</row>
    <row r="37" spans="2:58" s="5" customFormat="1" ht="21.75" customHeight="1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</row>
    <row r="38" spans="2:58" s="5" customFormat="1" ht="21.75" customHeight="1" x14ac:dyDescent="0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</row>
    <row r="39" spans="2:58" s="5" customFormat="1" ht="21.75" customHeight="1" x14ac:dyDescent="0.2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</row>
    <row r="40" spans="2:58" s="5" customFormat="1" ht="21.75" customHeight="1" x14ac:dyDescent="0.2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</row>
    <row r="41" spans="2:58" s="5" customFormat="1" ht="21.75" customHeight="1" x14ac:dyDescent="0.2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</row>
    <row r="42" spans="2:58" s="5" customFormat="1" ht="21.75" customHeight="1" x14ac:dyDescent="0.25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</row>
    <row r="43" spans="2:58" s="5" customFormat="1" ht="21.75" customHeight="1" x14ac:dyDescent="0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</row>
    <row r="44" spans="2:58" s="5" customFormat="1" ht="21.75" customHeight="1" x14ac:dyDescent="0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</row>
    <row r="45" spans="2:58" s="5" customFormat="1" ht="21.75" customHeight="1" x14ac:dyDescent="0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</row>
    <row r="46" spans="2:58" s="5" customFormat="1" ht="21.75" customHeight="1" x14ac:dyDescent="0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</row>
    <row r="47" spans="2:58" s="5" customFormat="1" ht="21.75" customHeight="1" x14ac:dyDescent="0.25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</row>
    <row r="48" spans="2:58" s="5" customFormat="1" ht="21.75" customHeight="1" x14ac:dyDescent="0.25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</row>
    <row r="49" spans="2:58" s="5" customFormat="1" ht="21.75" customHeight="1" x14ac:dyDescent="0.25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</row>
    <row r="50" spans="2:58" s="5" customFormat="1" ht="21.75" customHeight="1" x14ac:dyDescent="0.25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</row>
    <row r="51" spans="2:58" s="5" customFormat="1" ht="21.75" customHeight="1" x14ac:dyDescent="0.25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</row>
    <row r="52" spans="2:58" s="5" customFormat="1" ht="21.75" customHeight="1" x14ac:dyDescent="0.25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</row>
    <row r="53" spans="2:58" s="5" customFormat="1" ht="21.75" customHeight="1" x14ac:dyDescent="0.25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</row>
    <row r="54" spans="2:58" s="5" customFormat="1" ht="21.75" customHeight="1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</row>
    <row r="55" spans="2:58" s="5" customFormat="1" ht="21.75" customHeight="1" x14ac:dyDescent="0.25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</row>
    <row r="56" spans="2:58" s="5" customFormat="1" ht="21.75" customHeight="1" x14ac:dyDescent="0.25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</row>
    <row r="57" spans="2:58" s="5" customFormat="1" ht="21.75" customHeight="1" x14ac:dyDescent="0.25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</row>
    <row r="58" spans="2:58" s="5" customFormat="1" ht="21.75" customHeight="1" x14ac:dyDescent="0.25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</row>
    <row r="59" spans="2:58" s="5" customFormat="1" ht="21.75" customHeight="1" x14ac:dyDescent="0.25"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</row>
    <row r="60" spans="2:58" s="5" customFormat="1" ht="21.75" customHeight="1" x14ac:dyDescent="0.25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</row>
    <row r="61" spans="2:58" s="5" customFormat="1" ht="21.75" customHeight="1" x14ac:dyDescent="0.25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</row>
    <row r="62" spans="2:58" s="5" customFormat="1" ht="21.75" customHeight="1" x14ac:dyDescent="0.25"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</row>
    <row r="63" spans="2:58" s="5" customFormat="1" ht="21.75" customHeight="1" x14ac:dyDescent="0.25"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</row>
    <row r="64" spans="2:58" s="5" customFormat="1" ht="21.75" customHeight="1" x14ac:dyDescent="0.25"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</row>
    <row r="65" spans="2:58" s="5" customFormat="1" ht="21.75" customHeight="1" x14ac:dyDescent="0.25"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</row>
    <row r="66" spans="2:58" s="5" customFormat="1" ht="21.75" customHeight="1" x14ac:dyDescent="0.25"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</row>
    <row r="67" spans="2:58" s="5" customFormat="1" ht="21.75" customHeight="1" x14ac:dyDescent="0.25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</row>
    <row r="68" spans="2:58" s="5" customFormat="1" ht="21.75" customHeight="1" x14ac:dyDescent="0.25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</row>
    <row r="69" spans="2:58" s="5" customFormat="1" ht="21.75" customHeight="1" x14ac:dyDescent="0.25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</row>
    <row r="70" spans="2:58" s="5" customFormat="1" ht="21.75" customHeight="1" x14ac:dyDescent="0.25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</row>
    <row r="71" spans="2:58" s="5" customFormat="1" ht="21.75" customHeight="1" x14ac:dyDescent="0.25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</row>
    <row r="72" spans="2:58" s="5" customFormat="1" ht="21.75" customHeight="1" x14ac:dyDescent="0.25"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</row>
    <row r="73" spans="2:58" s="5" customFormat="1" ht="21.75" customHeight="1" x14ac:dyDescent="0.25"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</row>
    <row r="74" spans="2:58" s="5" customFormat="1" ht="21.75" customHeight="1" x14ac:dyDescent="0.25"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</row>
    <row r="75" spans="2:58" s="5" customFormat="1" ht="21.75" customHeight="1" x14ac:dyDescent="0.25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</row>
    <row r="76" spans="2:58" s="5" customFormat="1" ht="21.75" customHeight="1" x14ac:dyDescent="0.25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</row>
    <row r="77" spans="2:58" s="5" customFormat="1" ht="21.75" customHeight="1" x14ac:dyDescent="0.25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</row>
    <row r="78" spans="2:58" s="5" customFormat="1" ht="21.75" customHeight="1" x14ac:dyDescent="0.25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</row>
    <row r="79" spans="2:58" s="5" customFormat="1" ht="21.75" customHeight="1" x14ac:dyDescent="0.25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</row>
    <row r="80" spans="2:58" s="5" customFormat="1" ht="21.75" customHeight="1" x14ac:dyDescent="0.25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</row>
    <row r="81" spans="2:58" s="5" customFormat="1" ht="21.75" customHeight="1" x14ac:dyDescent="0.25"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</row>
    <row r="82" spans="2:58" s="5" customFormat="1" ht="21.75" customHeight="1" x14ac:dyDescent="0.25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</row>
    <row r="83" spans="2:58" s="5" customFormat="1" ht="21.75" customHeight="1" x14ac:dyDescent="0.25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</row>
    <row r="84" spans="2:58" s="5" customFormat="1" ht="21.75" customHeight="1" x14ac:dyDescent="0.25"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</row>
    <row r="85" spans="2:58" s="5" customFormat="1" ht="21.75" customHeight="1" x14ac:dyDescent="0.25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</row>
    <row r="86" spans="2:58" s="5" customFormat="1" ht="21.75" customHeight="1" x14ac:dyDescent="0.25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</row>
    <row r="87" spans="2:58" s="5" customFormat="1" ht="21.75" customHeight="1" x14ac:dyDescent="0.25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</row>
    <row r="88" spans="2:58" s="5" customFormat="1" ht="21.75" customHeight="1" x14ac:dyDescent="0.25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</row>
    <row r="89" spans="2:58" s="5" customFormat="1" ht="21.75" customHeight="1" x14ac:dyDescent="0.25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</row>
    <row r="90" spans="2:58" s="5" customFormat="1" ht="21.75" customHeight="1" x14ac:dyDescent="0.25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</row>
    <row r="91" spans="2:58" s="5" customFormat="1" ht="21.75" customHeight="1" x14ac:dyDescent="0.25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</row>
    <row r="92" spans="2:58" s="5" customFormat="1" ht="21.75" customHeight="1" x14ac:dyDescent="0.25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</row>
    <row r="93" spans="2:58" s="5" customFormat="1" ht="21.75" customHeight="1" x14ac:dyDescent="0.25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</row>
    <row r="94" spans="2:58" s="5" customFormat="1" ht="21.75" customHeight="1" x14ac:dyDescent="0.25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</row>
    <row r="95" spans="2:58" s="5" customFormat="1" ht="21.75" customHeight="1" x14ac:dyDescent="0.25"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</row>
    <row r="96" spans="2:58" s="5" customFormat="1" ht="21.75" customHeight="1" x14ac:dyDescent="0.25"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</row>
    <row r="97" spans="2:58" s="5" customFormat="1" ht="21.75" customHeight="1" x14ac:dyDescent="0.25"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</row>
    <row r="98" spans="2:58" s="5" customFormat="1" ht="21.75" customHeight="1" x14ac:dyDescent="0.25"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</row>
    <row r="99" spans="2:58" s="5" customFormat="1" ht="21.75" customHeight="1" x14ac:dyDescent="0.25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</row>
    <row r="100" spans="2:58" s="5" customFormat="1" ht="21.75" customHeight="1" x14ac:dyDescent="0.25"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</row>
    <row r="101" spans="2:58" s="5" customFormat="1" ht="21.75" customHeight="1" x14ac:dyDescent="0.25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</row>
    <row r="102" spans="2:58" s="5" customFormat="1" ht="21.75" customHeight="1" x14ac:dyDescent="0.25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</row>
    <row r="103" spans="2:58" s="5" customFormat="1" ht="21.75" customHeight="1" x14ac:dyDescent="0.25"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</row>
    <row r="104" spans="2:58" s="5" customFormat="1" ht="21.75" customHeight="1" x14ac:dyDescent="0.25"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</row>
    <row r="105" spans="2:58" s="5" customFormat="1" ht="21.75" customHeight="1" x14ac:dyDescent="0.25"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</row>
    <row r="106" spans="2:58" s="5" customFormat="1" ht="21.75" customHeight="1" x14ac:dyDescent="0.25"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</row>
    <row r="107" spans="2:58" s="5" customFormat="1" ht="21.75" customHeight="1" x14ac:dyDescent="0.25"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</row>
    <row r="108" spans="2:58" s="5" customFormat="1" ht="21.75" customHeight="1" x14ac:dyDescent="0.25"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</row>
    <row r="109" spans="2:58" s="5" customFormat="1" ht="21.75" customHeight="1" x14ac:dyDescent="0.25"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</row>
    <row r="110" spans="2:58" s="5" customFormat="1" ht="21.75" customHeight="1" x14ac:dyDescent="0.25"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</row>
    <row r="111" spans="2:58" s="5" customFormat="1" ht="21.75" customHeight="1" x14ac:dyDescent="0.25"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</row>
    <row r="112" spans="2:58" s="5" customFormat="1" ht="21.75" customHeight="1" x14ac:dyDescent="0.25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</row>
    <row r="113" spans="2:58" s="5" customFormat="1" ht="21.75" customHeight="1" x14ac:dyDescent="0.25"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</row>
    <row r="114" spans="2:58" s="5" customFormat="1" ht="21.75" customHeight="1" x14ac:dyDescent="0.25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</row>
    <row r="115" spans="2:58" s="5" customFormat="1" ht="21.75" customHeight="1" x14ac:dyDescent="0.25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</row>
    <row r="116" spans="2:58" s="5" customFormat="1" ht="21.75" customHeight="1" x14ac:dyDescent="0.25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</row>
    <row r="117" spans="2:58" s="5" customFormat="1" ht="21.75" customHeight="1" x14ac:dyDescent="0.25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</row>
    <row r="118" spans="2:58" s="5" customFormat="1" ht="21.75" customHeight="1" x14ac:dyDescent="0.25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</row>
    <row r="119" spans="2:58" s="5" customFormat="1" ht="21.75" customHeight="1" x14ac:dyDescent="0.25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</row>
    <row r="120" spans="2:58" s="5" customFormat="1" ht="21.75" customHeight="1" x14ac:dyDescent="0.25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</row>
    <row r="121" spans="2:58" s="5" customFormat="1" ht="21.75" customHeight="1" x14ac:dyDescent="0.25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</row>
    <row r="122" spans="2:58" s="5" customFormat="1" ht="21.75" customHeight="1" x14ac:dyDescent="0.25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</row>
    <row r="123" spans="2:58" s="5" customFormat="1" ht="21.75" customHeight="1" x14ac:dyDescent="0.25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</row>
    <row r="124" spans="2:58" s="5" customFormat="1" ht="21.75" customHeight="1" x14ac:dyDescent="0.25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</row>
    <row r="125" spans="2:58" s="5" customFormat="1" ht="21.75" customHeight="1" x14ac:dyDescent="0.25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</row>
    <row r="126" spans="2:58" s="5" customFormat="1" ht="21.75" customHeight="1" x14ac:dyDescent="0.25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</row>
    <row r="127" spans="2:58" s="5" customFormat="1" ht="21.75" customHeight="1" x14ac:dyDescent="0.25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</row>
    <row r="128" spans="2:58" s="5" customFormat="1" ht="21.75" customHeight="1" x14ac:dyDescent="0.25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</row>
    <row r="129" spans="2:58" s="5" customFormat="1" ht="21.75" customHeight="1" x14ac:dyDescent="0.25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</row>
    <row r="130" spans="2:58" s="5" customFormat="1" ht="21.75" customHeight="1" x14ac:dyDescent="0.25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</row>
    <row r="131" spans="2:58" s="5" customFormat="1" ht="21.75" customHeight="1" x14ac:dyDescent="0.25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</row>
    <row r="132" spans="2:58" s="5" customFormat="1" ht="21.75" customHeight="1" x14ac:dyDescent="0.25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</row>
    <row r="133" spans="2:58" s="5" customFormat="1" ht="21.75" customHeight="1" x14ac:dyDescent="0.25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</row>
    <row r="134" spans="2:58" s="5" customFormat="1" ht="21.75" customHeight="1" x14ac:dyDescent="0.25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</row>
    <row r="135" spans="2:58" s="5" customFormat="1" ht="21.75" customHeight="1" x14ac:dyDescent="0.25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</row>
    <row r="136" spans="2:58" s="5" customFormat="1" ht="21.75" customHeight="1" x14ac:dyDescent="0.25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</row>
    <row r="137" spans="2:58" s="5" customFormat="1" ht="21.75" customHeight="1" x14ac:dyDescent="0.25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</row>
    <row r="138" spans="2:58" s="5" customFormat="1" ht="21.75" customHeight="1" x14ac:dyDescent="0.25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</row>
    <row r="139" spans="2:58" s="5" customFormat="1" ht="21.75" customHeight="1" x14ac:dyDescent="0.25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</row>
    <row r="140" spans="2:58" s="5" customFormat="1" ht="21.75" customHeight="1" x14ac:dyDescent="0.25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</row>
    <row r="141" spans="2:58" s="5" customFormat="1" ht="21.75" customHeight="1" x14ac:dyDescent="0.25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</row>
    <row r="142" spans="2:58" s="5" customFormat="1" ht="21.75" customHeight="1" x14ac:dyDescent="0.25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</row>
    <row r="143" spans="2:58" s="5" customFormat="1" ht="21.75" customHeight="1" x14ac:dyDescent="0.25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</row>
    <row r="144" spans="2:58" s="5" customFormat="1" ht="21.75" customHeight="1" x14ac:dyDescent="0.25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</row>
    <row r="145" spans="2:58" s="5" customFormat="1" ht="21.75" customHeight="1" x14ac:dyDescent="0.25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</row>
    <row r="146" spans="2:58" s="5" customFormat="1" ht="21.75" customHeight="1" x14ac:dyDescent="0.25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</row>
    <row r="147" spans="2:58" s="5" customFormat="1" ht="21.75" customHeight="1" x14ac:dyDescent="0.25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</row>
    <row r="148" spans="2:58" s="5" customFormat="1" ht="21.75" customHeight="1" x14ac:dyDescent="0.25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</row>
    <row r="149" spans="2:58" s="5" customFormat="1" ht="21.75" customHeight="1" x14ac:dyDescent="0.25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</row>
    <row r="150" spans="2:58" s="5" customFormat="1" ht="21.75" customHeight="1" x14ac:dyDescent="0.25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</row>
    <row r="151" spans="2:58" s="5" customFormat="1" ht="21.75" customHeight="1" x14ac:dyDescent="0.25"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</row>
    <row r="152" spans="2:58" s="5" customFormat="1" ht="21.75" customHeight="1" x14ac:dyDescent="0.25"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</row>
    <row r="153" spans="2:58" s="5" customFormat="1" ht="21.75" customHeight="1" x14ac:dyDescent="0.25"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</row>
    <row r="154" spans="2:58" s="5" customFormat="1" ht="21.75" customHeight="1" x14ac:dyDescent="0.25"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</row>
    <row r="155" spans="2:58" s="5" customFormat="1" ht="21.75" customHeight="1" x14ac:dyDescent="0.25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</row>
    <row r="156" spans="2:58" s="5" customFormat="1" ht="21.75" customHeight="1" x14ac:dyDescent="0.25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</row>
    <row r="157" spans="2:58" s="5" customFormat="1" ht="21.75" customHeight="1" x14ac:dyDescent="0.25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</row>
    <row r="158" spans="2:58" s="5" customFormat="1" ht="21.75" customHeight="1" x14ac:dyDescent="0.25"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</row>
    <row r="159" spans="2:58" s="5" customFormat="1" ht="21.75" customHeight="1" x14ac:dyDescent="0.25"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</row>
    <row r="160" spans="2:58" s="5" customFormat="1" ht="21.75" customHeight="1" x14ac:dyDescent="0.25"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</row>
    <row r="161" spans="2:58" s="5" customFormat="1" ht="21.75" customHeight="1" x14ac:dyDescent="0.25"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</row>
    <row r="162" spans="2:58" s="5" customFormat="1" ht="21.75" customHeight="1" x14ac:dyDescent="0.25"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</row>
    <row r="163" spans="2:58" s="5" customFormat="1" ht="21.75" customHeight="1" x14ac:dyDescent="0.25"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</row>
    <row r="164" spans="2:58" s="5" customFormat="1" ht="21.75" customHeight="1" x14ac:dyDescent="0.25"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</row>
    <row r="165" spans="2:58" s="5" customFormat="1" ht="21.75" customHeight="1" x14ac:dyDescent="0.25"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</row>
    <row r="166" spans="2:58" s="5" customFormat="1" ht="21.75" customHeight="1" x14ac:dyDescent="0.25"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</row>
    <row r="167" spans="2:58" s="5" customFormat="1" ht="21.75" customHeight="1" x14ac:dyDescent="0.25"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</row>
    <row r="168" spans="2:58" s="5" customFormat="1" ht="21.75" customHeight="1" x14ac:dyDescent="0.25"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</row>
    <row r="169" spans="2:58" s="5" customFormat="1" ht="21.75" customHeight="1" x14ac:dyDescent="0.25"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</row>
    <row r="170" spans="2:58" s="5" customFormat="1" ht="21.75" customHeight="1" x14ac:dyDescent="0.25"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</row>
    <row r="171" spans="2:58" s="5" customFormat="1" ht="21.75" customHeight="1" x14ac:dyDescent="0.25"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</row>
    <row r="172" spans="2:58" s="5" customFormat="1" ht="21.75" customHeight="1" x14ac:dyDescent="0.25"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</row>
    <row r="173" spans="2:58" s="5" customFormat="1" ht="21.75" customHeight="1" x14ac:dyDescent="0.25"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</row>
    <row r="174" spans="2:58" s="5" customFormat="1" ht="21.75" customHeight="1" x14ac:dyDescent="0.25"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</row>
    <row r="175" spans="2:58" s="5" customFormat="1" ht="21.75" customHeight="1" x14ac:dyDescent="0.25"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</row>
    <row r="176" spans="2:58" s="5" customFormat="1" ht="21.75" customHeight="1" x14ac:dyDescent="0.25"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</row>
    <row r="177" spans="2:58" s="5" customFormat="1" ht="21.75" customHeight="1" x14ac:dyDescent="0.25"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</row>
    <row r="178" spans="2:58" s="5" customFormat="1" ht="21.75" customHeight="1" x14ac:dyDescent="0.25"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</row>
    <row r="179" spans="2:58" s="5" customFormat="1" ht="21.75" customHeight="1" x14ac:dyDescent="0.25"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</row>
    <row r="180" spans="2:58" s="5" customFormat="1" ht="21.75" customHeight="1" x14ac:dyDescent="0.25"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</row>
    <row r="181" spans="2:58" s="5" customFormat="1" ht="21.75" customHeight="1" x14ac:dyDescent="0.25"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</row>
    <row r="182" spans="2:58" s="5" customFormat="1" ht="21.75" customHeight="1" x14ac:dyDescent="0.25"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</row>
    <row r="183" spans="2:58" s="5" customFormat="1" ht="21.75" customHeight="1" x14ac:dyDescent="0.25"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</row>
    <row r="184" spans="2:58" s="5" customFormat="1" ht="21.75" customHeight="1" x14ac:dyDescent="0.25"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</row>
    <row r="185" spans="2:58" s="5" customFormat="1" ht="21.75" customHeight="1" x14ac:dyDescent="0.25"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</row>
    <row r="186" spans="2:58" s="5" customFormat="1" ht="21.75" customHeight="1" x14ac:dyDescent="0.25"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</row>
    <row r="187" spans="2:58" s="5" customFormat="1" ht="21.75" customHeight="1" x14ac:dyDescent="0.25"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</row>
    <row r="188" spans="2:58" s="5" customFormat="1" ht="21.75" customHeight="1" x14ac:dyDescent="0.25"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</row>
    <row r="189" spans="2:58" s="5" customFormat="1" ht="21.75" customHeight="1" x14ac:dyDescent="0.25"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</row>
    <row r="190" spans="2:58" s="5" customFormat="1" ht="21.75" customHeight="1" x14ac:dyDescent="0.25"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</row>
    <row r="191" spans="2:58" s="5" customFormat="1" ht="21.75" customHeight="1" x14ac:dyDescent="0.25"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</row>
    <row r="192" spans="2:58" s="5" customFormat="1" ht="21.75" customHeight="1" x14ac:dyDescent="0.25"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</row>
    <row r="193" spans="2:58" s="5" customFormat="1" ht="21.75" customHeight="1" x14ac:dyDescent="0.25"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</row>
    <row r="194" spans="2:58" s="5" customFormat="1" ht="21.75" customHeight="1" x14ac:dyDescent="0.25"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</row>
    <row r="195" spans="2:58" s="5" customFormat="1" ht="21.75" customHeight="1" x14ac:dyDescent="0.25"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</row>
    <row r="196" spans="2:58" s="5" customFormat="1" ht="21.75" customHeight="1" x14ac:dyDescent="0.25"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</row>
    <row r="197" spans="2:58" s="5" customFormat="1" ht="21.75" customHeight="1" x14ac:dyDescent="0.25"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</row>
    <row r="198" spans="2:58" s="5" customFormat="1" ht="21.75" customHeight="1" x14ac:dyDescent="0.25"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</row>
    <row r="199" spans="2:58" s="5" customFormat="1" ht="21.75" customHeight="1" x14ac:dyDescent="0.25"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</row>
    <row r="200" spans="2:58" s="5" customFormat="1" ht="21.75" customHeight="1" x14ac:dyDescent="0.25"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</row>
    <row r="201" spans="2:58" s="5" customFormat="1" ht="21.75" customHeight="1" x14ac:dyDescent="0.25"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</row>
    <row r="202" spans="2:58" s="5" customFormat="1" ht="21.75" customHeight="1" x14ac:dyDescent="0.25"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</row>
    <row r="203" spans="2:58" s="5" customFormat="1" ht="21.75" customHeight="1" x14ac:dyDescent="0.25"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</row>
    <row r="204" spans="2:58" s="5" customFormat="1" ht="21.75" customHeight="1" x14ac:dyDescent="0.25"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</row>
    <row r="205" spans="2:58" s="5" customFormat="1" ht="21.75" customHeight="1" x14ac:dyDescent="0.25"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</row>
    <row r="206" spans="2:58" s="5" customFormat="1" ht="21.75" customHeight="1" x14ac:dyDescent="0.25"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</row>
    <row r="207" spans="2:58" s="5" customFormat="1" ht="21.75" customHeight="1" x14ac:dyDescent="0.25"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</row>
    <row r="208" spans="2:58" s="5" customFormat="1" ht="21.75" customHeight="1" x14ac:dyDescent="0.25"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</row>
    <row r="209" spans="2:58" s="5" customFormat="1" ht="21.75" customHeight="1" x14ac:dyDescent="0.25"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</row>
    <row r="210" spans="2:58" s="5" customFormat="1" ht="21.75" customHeight="1" x14ac:dyDescent="0.25"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</row>
    <row r="211" spans="2:58" s="5" customFormat="1" ht="21.75" customHeight="1" x14ac:dyDescent="0.25"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</row>
    <row r="212" spans="2:58" s="5" customFormat="1" ht="21.75" customHeight="1" x14ac:dyDescent="0.25"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</row>
    <row r="213" spans="2:58" s="5" customFormat="1" ht="21.75" customHeight="1" x14ac:dyDescent="0.25"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</row>
    <row r="214" spans="2:58" s="5" customFormat="1" ht="21.75" customHeight="1" x14ac:dyDescent="0.25"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</row>
    <row r="215" spans="2:58" s="5" customFormat="1" ht="21.75" customHeight="1" x14ac:dyDescent="0.25"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</row>
    <row r="216" spans="2:58" s="5" customFormat="1" ht="21.75" customHeight="1" x14ac:dyDescent="0.25"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</row>
    <row r="217" spans="2:58" s="5" customFormat="1" ht="21.75" customHeight="1" x14ac:dyDescent="0.25"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</row>
    <row r="218" spans="2:58" s="5" customFormat="1" ht="21.75" customHeight="1" x14ac:dyDescent="0.25"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</row>
    <row r="219" spans="2:58" s="5" customFormat="1" ht="21.75" customHeight="1" x14ac:dyDescent="0.25"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</row>
    <row r="220" spans="2:58" s="5" customFormat="1" ht="21.75" customHeight="1" x14ac:dyDescent="0.25"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</row>
    <row r="221" spans="2:58" s="5" customFormat="1" ht="21.75" customHeight="1" x14ac:dyDescent="0.25"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</row>
    <row r="222" spans="2:58" s="5" customFormat="1" ht="21.75" customHeight="1" x14ac:dyDescent="0.25"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</row>
    <row r="223" spans="2:58" s="5" customFormat="1" ht="21.75" customHeight="1" x14ac:dyDescent="0.25"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</row>
    <row r="224" spans="2:58" s="5" customFormat="1" ht="21.75" customHeight="1" x14ac:dyDescent="0.25"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</row>
    <row r="225" spans="16:58" s="5" customFormat="1" ht="21.75" customHeight="1" x14ac:dyDescent="0.25"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</row>
    <row r="226" spans="16:58" s="5" customFormat="1" ht="21.75" customHeight="1" x14ac:dyDescent="0.25"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</row>
    <row r="227" spans="16:58" s="5" customFormat="1" ht="21.75" customHeight="1" x14ac:dyDescent="0.25"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</row>
    <row r="228" spans="16:58" s="5" customFormat="1" ht="21.75" customHeight="1" x14ac:dyDescent="0.25"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</row>
    <row r="229" spans="16:58" s="5" customFormat="1" ht="21.75" customHeight="1" x14ac:dyDescent="0.25"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</row>
    <row r="230" spans="16:58" s="5" customFormat="1" ht="21.75" customHeight="1" x14ac:dyDescent="0.25"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</row>
    <row r="231" spans="16:58" s="5" customFormat="1" ht="21.75" customHeight="1" x14ac:dyDescent="0.25"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</row>
    <row r="232" spans="16:58" s="5" customFormat="1" ht="21.75" customHeight="1" x14ac:dyDescent="0.25"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</row>
    <row r="233" spans="16:58" s="5" customFormat="1" ht="21.75" customHeight="1" x14ac:dyDescent="0.25"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</row>
    <row r="234" spans="16:58" s="5" customFormat="1" ht="21.75" customHeight="1" x14ac:dyDescent="0.25"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</row>
    <row r="235" spans="16:58" s="5" customFormat="1" ht="21.75" customHeight="1" x14ac:dyDescent="0.25"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</row>
    <row r="236" spans="16:58" s="5" customFormat="1" ht="21.75" customHeight="1" x14ac:dyDescent="0.25"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</row>
    <row r="237" spans="16:58" s="5" customFormat="1" ht="21.75" customHeight="1" x14ac:dyDescent="0.25"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</row>
    <row r="238" spans="16:58" s="5" customFormat="1" ht="21.75" customHeight="1" x14ac:dyDescent="0.25"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</row>
    <row r="239" spans="16:58" s="5" customFormat="1" ht="21.75" customHeight="1" x14ac:dyDescent="0.25"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</row>
    <row r="240" spans="16:58" s="5" customFormat="1" ht="21.75" customHeight="1" x14ac:dyDescent="0.25"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</row>
    <row r="241" spans="16:58" s="5" customFormat="1" ht="21.75" customHeight="1" x14ac:dyDescent="0.25"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</row>
    <row r="242" spans="16:58" s="5" customFormat="1" ht="21.75" customHeight="1" x14ac:dyDescent="0.25"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</row>
    <row r="243" spans="16:58" s="5" customFormat="1" ht="21.75" customHeight="1" x14ac:dyDescent="0.25"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</row>
    <row r="244" spans="16:58" s="5" customFormat="1" ht="21.75" customHeight="1" x14ac:dyDescent="0.25"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</row>
    <row r="245" spans="16:58" s="5" customFormat="1" ht="21.75" customHeight="1" x14ac:dyDescent="0.25"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</row>
    <row r="246" spans="16:58" s="5" customFormat="1" ht="21.75" customHeight="1" x14ac:dyDescent="0.25"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</row>
    <row r="247" spans="16:58" s="5" customFormat="1" ht="21.75" customHeight="1" x14ac:dyDescent="0.25"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</row>
    <row r="248" spans="16:58" s="5" customFormat="1" ht="21.75" customHeight="1" x14ac:dyDescent="0.25"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</row>
    <row r="249" spans="16:58" s="5" customFormat="1" ht="21.75" customHeight="1" x14ac:dyDescent="0.25"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</row>
    <row r="250" spans="16:58" s="5" customFormat="1" ht="21.75" customHeight="1" x14ac:dyDescent="0.25"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</row>
    <row r="251" spans="16:58" s="5" customFormat="1" ht="21.75" customHeight="1" x14ac:dyDescent="0.25"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</row>
    <row r="252" spans="16:58" s="5" customFormat="1" ht="21.75" customHeight="1" x14ac:dyDescent="0.25"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</row>
    <row r="253" spans="16:58" s="5" customFormat="1" ht="21.75" customHeight="1" x14ac:dyDescent="0.25"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</row>
    <row r="254" spans="16:58" s="5" customFormat="1" ht="21.75" customHeight="1" x14ac:dyDescent="0.25"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</row>
    <row r="255" spans="16:58" s="5" customFormat="1" ht="21.75" customHeight="1" x14ac:dyDescent="0.25"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</row>
    <row r="256" spans="16:58" s="5" customFormat="1" ht="21.75" customHeight="1" x14ac:dyDescent="0.25"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</row>
    <row r="257" spans="16:58" s="5" customFormat="1" ht="21.75" customHeight="1" x14ac:dyDescent="0.25"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</row>
    <row r="258" spans="16:58" s="5" customFormat="1" ht="21.75" customHeight="1" x14ac:dyDescent="0.25"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</row>
    <row r="259" spans="16:58" s="5" customFormat="1" ht="21.75" customHeight="1" x14ac:dyDescent="0.25"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</row>
    <row r="260" spans="16:58" s="5" customFormat="1" ht="21.75" customHeight="1" x14ac:dyDescent="0.25"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</row>
    <row r="261" spans="16:58" s="5" customFormat="1" ht="21.75" customHeight="1" x14ac:dyDescent="0.25"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</row>
    <row r="262" spans="16:58" s="5" customFormat="1" ht="21.75" customHeight="1" x14ac:dyDescent="0.25"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</row>
    <row r="263" spans="16:58" s="5" customFormat="1" ht="21.75" customHeight="1" x14ac:dyDescent="0.25"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</row>
    <row r="264" spans="16:58" s="5" customFormat="1" ht="21.75" customHeight="1" x14ac:dyDescent="0.25"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</row>
    <row r="265" spans="16:58" s="5" customFormat="1" ht="21.75" customHeight="1" x14ac:dyDescent="0.25"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</row>
    <row r="266" spans="16:58" s="5" customFormat="1" ht="21.75" customHeight="1" x14ac:dyDescent="0.25"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</row>
    <row r="267" spans="16:58" s="5" customFormat="1" ht="21.75" customHeight="1" x14ac:dyDescent="0.25"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</row>
    <row r="268" spans="16:58" s="5" customFormat="1" ht="21.75" customHeight="1" x14ac:dyDescent="0.25"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</row>
    <row r="269" spans="16:58" s="5" customFormat="1" ht="21.75" customHeight="1" x14ac:dyDescent="0.25"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</row>
    <row r="270" spans="16:58" s="5" customFormat="1" ht="21.75" customHeight="1" x14ac:dyDescent="0.25"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</row>
    <row r="271" spans="16:58" s="5" customFormat="1" ht="21.75" customHeight="1" x14ac:dyDescent="0.25"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</row>
    <row r="272" spans="16:58" s="5" customFormat="1" ht="21.75" customHeight="1" x14ac:dyDescent="0.25"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</row>
    <row r="273" spans="16:58" s="5" customFormat="1" ht="21.75" customHeight="1" x14ac:dyDescent="0.25"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</row>
    <row r="274" spans="16:58" s="5" customFormat="1" ht="21.75" customHeight="1" x14ac:dyDescent="0.25"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</row>
    <row r="275" spans="16:58" s="5" customFormat="1" ht="21.75" customHeight="1" x14ac:dyDescent="0.25"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</row>
    <row r="276" spans="16:58" s="5" customFormat="1" ht="21.75" customHeight="1" x14ac:dyDescent="0.25"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</row>
    <row r="277" spans="16:58" s="5" customFormat="1" ht="21.75" customHeight="1" x14ac:dyDescent="0.25"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</row>
    <row r="278" spans="16:58" s="5" customFormat="1" ht="21.75" customHeight="1" x14ac:dyDescent="0.25"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</row>
    <row r="279" spans="16:58" s="5" customFormat="1" ht="21.75" customHeight="1" x14ac:dyDescent="0.25"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</row>
    <row r="280" spans="16:58" s="5" customFormat="1" ht="21.75" customHeight="1" x14ac:dyDescent="0.25"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</row>
    <row r="281" spans="16:58" s="5" customFormat="1" ht="21.75" customHeight="1" x14ac:dyDescent="0.25"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</row>
    <row r="282" spans="16:58" s="5" customFormat="1" ht="21.75" customHeight="1" x14ac:dyDescent="0.25"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</row>
    <row r="283" spans="16:58" s="5" customFormat="1" ht="21.75" customHeight="1" x14ac:dyDescent="0.25"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</row>
    <row r="284" spans="16:58" s="5" customFormat="1" ht="21.75" customHeight="1" x14ac:dyDescent="0.25"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</row>
    <row r="285" spans="16:58" s="5" customFormat="1" ht="21.75" customHeight="1" x14ac:dyDescent="0.25"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</row>
    <row r="286" spans="16:58" s="5" customFormat="1" ht="21.75" customHeight="1" x14ac:dyDescent="0.25"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</row>
    <row r="287" spans="16:58" s="5" customFormat="1" ht="21.75" customHeight="1" x14ac:dyDescent="0.25"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</row>
    <row r="288" spans="16:58" s="5" customFormat="1" ht="21.75" customHeight="1" x14ac:dyDescent="0.25"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</row>
    <row r="289" spans="16:58" s="5" customFormat="1" ht="21.75" customHeight="1" x14ac:dyDescent="0.25"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</row>
    <row r="290" spans="16:58" s="5" customFormat="1" ht="21.75" customHeight="1" x14ac:dyDescent="0.25"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</row>
    <row r="291" spans="16:58" s="5" customFormat="1" ht="21.75" customHeight="1" x14ac:dyDescent="0.25"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</row>
    <row r="292" spans="16:58" s="5" customFormat="1" ht="21.75" customHeight="1" x14ac:dyDescent="0.25"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</row>
    <row r="293" spans="16:58" s="5" customFormat="1" ht="21.75" customHeight="1" x14ac:dyDescent="0.25"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</row>
    <row r="294" spans="16:58" s="5" customFormat="1" ht="21.75" customHeight="1" x14ac:dyDescent="0.25"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</row>
    <row r="295" spans="16:58" s="5" customFormat="1" ht="21.75" customHeight="1" x14ac:dyDescent="0.25"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</row>
    <row r="296" spans="16:58" s="5" customFormat="1" ht="21.75" customHeight="1" x14ac:dyDescent="0.25"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</row>
    <row r="297" spans="16:58" s="5" customFormat="1" ht="21.75" customHeight="1" x14ac:dyDescent="0.25"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</row>
    <row r="298" spans="16:58" s="5" customFormat="1" ht="21.75" customHeight="1" x14ac:dyDescent="0.25"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</row>
    <row r="299" spans="16:58" s="5" customFormat="1" ht="21.75" customHeight="1" x14ac:dyDescent="0.25"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</row>
    <row r="300" spans="16:58" s="5" customFormat="1" ht="21.75" customHeight="1" x14ac:dyDescent="0.25"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</row>
    <row r="301" spans="16:58" s="5" customFormat="1" ht="21.75" customHeight="1" x14ac:dyDescent="0.25"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</row>
    <row r="302" spans="16:58" s="5" customFormat="1" ht="21.75" customHeight="1" x14ac:dyDescent="0.25"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</row>
    <row r="303" spans="16:58" s="5" customFormat="1" ht="21.75" customHeight="1" x14ac:dyDescent="0.25"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</row>
    <row r="304" spans="16:58" s="5" customFormat="1" ht="21.75" customHeight="1" x14ac:dyDescent="0.25"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</row>
    <row r="305" spans="16:58" s="5" customFormat="1" ht="21.75" customHeight="1" x14ac:dyDescent="0.25"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</row>
    <row r="306" spans="16:58" s="5" customFormat="1" ht="21.75" customHeight="1" x14ac:dyDescent="0.25"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</row>
    <row r="307" spans="16:58" s="5" customFormat="1" ht="21.75" customHeight="1" x14ac:dyDescent="0.25"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</row>
    <row r="308" spans="16:58" s="5" customFormat="1" ht="21.75" customHeight="1" x14ac:dyDescent="0.25"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</row>
    <row r="309" spans="16:58" s="5" customFormat="1" ht="21.75" customHeight="1" x14ac:dyDescent="0.25"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</row>
    <row r="310" spans="16:58" s="5" customFormat="1" ht="21.75" customHeight="1" x14ac:dyDescent="0.25"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</row>
    <row r="311" spans="16:58" s="5" customFormat="1" ht="21.75" customHeight="1" x14ac:dyDescent="0.25"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</row>
    <row r="312" spans="16:58" s="5" customFormat="1" ht="21.75" customHeight="1" x14ac:dyDescent="0.25"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</row>
    <row r="313" spans="16:58" s="5" customFormat="1" ht="21.75" customHeight="1" x14ac:dyDescent="0.25"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</row>
    <row r="314" spans="16:58" s="5" customFormat="1" ht="21.75" customHeight="1" x14ac:dyDescent="0.25"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</row>
    <row r="315" spans="16:58" s="5" customFormat="1" ht="21.75" customHeight="1" x14ac:dyDescent="0.25"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</row>
    <row r="316" spans="16:58" s="5" customFormat="1" ht="21.75" customHeight="1" x14ac:dyDescent="0.25"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</row>
    <row r="317" spans="16:58" s="5" customFormat="1" ht="21.75" customHeight="1" x14ac:dyDescent="0.25"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</row>
    <row r="318" spans="16:58" s="5" customFormat="1" ht="21.75" customHeight="1" x14ac:dyDescent="0.25"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</row>
    <row r="319" spans="16:58" s="5" customFormat="1" ht="21.75" customHeight="1" x14ac:dyDescent="0.25"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</row>
    <row r="320" spans="16:58" s="5" customFormat="1" ht="21.75" customHeight="1" x14ac:dyDescent="0.25"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</row>
    <row r="321" spans="16:58" s="5" customFormat="1" ht="21.75" customHeight="1" x14ac:dyDescent="0.25"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</row>
    <row r="322" spans="16:58" s="5" customFormat="1" ht="21.75" customHeight="1" x14ac:dyDescent="0.25"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</row>
    <row r="323" spans="16:58" s="5" customFormat="1" ht="21.75" customHeight="1" x14ac:dyDescent="0.25"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</row>
    <row r="324" spans="16:58" s="5" customFormat="1" ht="21.75" customHeight="1" x14ac:dyDescent="0.25"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</row>
    <row r="325" spans="16:58" s="5" customFormat="1" ht="21.75" customHeight="1" x14ac:dyDescent="0.25"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</row>
    <row r="326" spans="16:58" s="5" customFormat="1" ht="21.75" customHeight="1" x14ac:dyDescent="0.25"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</row>
    <row r="327" spans="16:58" s="5" customFormat="1" ht="21.75" customHeight="1" x14ac:dyDescent="0.25"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</row>
    <row r="328" spans="16:58" s="5" customFormat="1" ht="21.75" customHeight="1" x14ac:dyDescent="0.25"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</row>
    <row r="329" spans="16:58" s="5" customFormat="1" ht="21.75" customHeight="1" x14ac:dyDescent="0.25"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</row>
    <row r="330" spans="16:58" s="5" customFormat="1" ht="21.75" customHeight="1" x14ac:dyDescent="0.25"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</row>
    <row r="331" spans="16:58" s="5" customFormat="1" ht="21.75" customHeight="1" x14ac:dyDescent="0.25"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</row>
    <row r="332" spans="16:58" s="5" customFormat="1" ht="21.75" customHeight="1" x14ac:dyDescent="0.25"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</row>
    <row r="333" spans="16:58" s="5" customFormat="1" ht="21.75" customHeight="1" x14ac:dyDescent="0.25"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</row>
    <row r="334" spans="16:58" s="5" customFormat="1" ht="21.75" customHeight="1" x14ac:dyDescent="0.25"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</row>
    <row r="335" spans="16:58" s="5" customFormat="1" ht="21.75" customHeight="1" x14ac:dyDescent="0.25"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</row>
    <row r="336" spans="16:58" s="5" customFormat="1" ht="21.75" customHeight="1" x14ac:dyDescent="0.25"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</row>
    <row r="337" spans="16:58" s="5" customFormat="1" ht="21.75" customHeight="1" x14ac:dyDescent="0.25"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</row>
    <row r="338" spans="16:58" s="5" customFormat="1" ht="21.75" customHeight="1" x14ac:dyDescent="0.25"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</row>
    <row r="339" spans="16:58" s="5" customFormat="1" ht="21.75" customHeight="1" x14ac:dyDescent="0.25"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</row>
    <row r="340" spans="16:58" s="5" customFormat="1" ht="21.75" customHeight="1" x14ac:dyDescent="0.25"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</row>
    <row r="341" spans="16:58" s="5" customFormat="1" ht="21.75" customHeight="1" x14ac:dyDescent="0.25"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</row>
    <row r="342" spans="16:58" ht="21.75" customHeight="1" x14ac:dyDescent="0.25"/>
    <row r="343" spans="16:58" ht="21.75" customHeight="1" x14ac:dyDescent="0.25"/>
    <row r="344" spans="16:58" ht="21.75" customHeight="1" x14ac:dyDescent="0.25"/>
    <row r="345" spans="16:58" ht="21.75" customHeight="1" x14ac:dyDescent="0.25"/>
    <row r="346" spans="16:58" ht="21.75" customHeight="1" x14ac:dyDescent="0.25"/>
    <row r="347" spans="16:58" ht="21.75" customHeight="1" x14ac:dyDescent="0.25"/>
    <row r="348" spans="16:58" ht="21.75" customHeight="1" x14ac:dyDescent="0.25"/>
    <row r="349" spans="16:58" ht="21.75" customHeight="1" x14ac:dyDescent="0.25"/>
    <row r="350" spans="16:58" ht="21.75" customHeight="1" x14ac:dyDescent="0.25"/>
    <row r="351" spans="16:58" ht="21.75" customHeight="1" x14ac:dyDescent="0.25"/>
    <row r="352" spans="16:58" ht="21.75" customHeight="1" x14ac:dyDescent="0.25"/>
    <row r="353" ht="21.75" customHeight="1" x14ac:dyDescent="0.25"/>
    <row r="354" ht="21.75" customHeight="1" x14ac:dyDescent="0.25"/>
    <row r="355" ht="21.75" customHeight="1" x14ac:dyDescent="0.25"/>
    <row r="356" ht="21.75" customHeight="1" x14ac:dyDescent="0.25"/>
    <row r="357" ht="21.75" customHeight="1" x14ac:dyDescent="0.25"/>
    <row r="358" ht="21.75" customHeight="1" x14ac:dyDescent="0.25"/>
    <row r="359" ht="21.75" customHeight="1" x14ac:dyDescent="0.25"/>
    <row r="360" ht="21.75" customHeight="1" x14ac:dyDescent="0.25"/>
    <row r="361" ht="21.75" customHeight="1" x14ac:dyDescent="0.25"/>
    <row r="362" ht="21.75" customHeight="1" x14ac:dyDescent="0.25"/>
    <row r="363" ht="21.75" customHeight="1" x14ac:dyDescent="0.25"/>
    <row r="364" ht="21.75" customHeight="1" x14ac:dyDescent="0.25"/>
    <row r="365" ht="21.75" customHeight="1" x14ac:dyDescent="0.25"/>
    <row r="366" ht="21.75" customHeight="1" x14ac:dyDescent="0.25"/>
    <row r="367" ht="21.75" customHeight="1" x14ac:dyDescent="0.25"/>
    <row r="368" ht="21.75" customHeight="1" x14ac:dyDescent="0.25"/>
    <row r="369" ht="21.75" customHeight="1" x14ac:dyDescent="0.25"/>
    <row r="370" ht="21.75" customHeight="1" x14ac:dyDescent="0.25"/>
    <row r="371" ht="21.75" customHeight="1" x14ac:dyDescent="0.25"/>
    <row r="372" ht="21.75" customHeight="1" x14ac:dyDescent="0.25"/>
    <row r="373" ht="21.75" customHeight="1" x14ac:dyDescent="0.25"/>
    <row r="374" ht="21.75" customHeight="1" x14ac:dyDescent="0.25"/>
    <row r="375" ht="21.75" customHeight="1" x14ac:dyDescent="0.25"/>
    <row r="376" ht="21.75" customHeight="1" x14ac:dyDescent="0.25"/>
    <row r="377" ht="21.75" customHeight="1" x14ac:dyDescent="0.25"/>
    <row r="378" ht="21.75" customHeight="1" x14ac:dyDescent="0.25"/>
    <row r="379" ht="21.75" customHeight="1" x14ac:dyDescent="0.25"/>
    <row r="380" ht="21.75" customHeight="1" x14ac:dyDescent="0.25"/>
    <row r="381" ht="21.75" customHeight="1" x14ac:dyDescent="0.25"/>
    <row r="382" ht="21.75" customHeight="1" x14ac:dyDescent="0.25"/>
    <row r="383" ht="21.75" customHeight="1" x14ac:dyDescent="0.25"/>
    <row r="384" ht="21.75" customHeight="1" x14ac:dyDescent="0.25"/>
    <row r="385" ht="21.75" customHeight="1" x14ac:dyDescent="0.25"/>
    <row r="386" ht="21.75" customHeight="1" x14ac:dyDescent="0.25"/>
    <row r="387" ht="21.75" customHeight="1" x14ac:dyDescent="0.25"/>
    <row r="388" ht="21.75" customHeight="1" x14ac:dyDescent="0.25"/>
    <row r="389" ht="21.75" customHeight="1" x14ac:dyDescent="0.25"/>
    <row r="390" ht="21.75" customHeight="1" x14ac:dyDescent="0.25"/>
    <row r="391" ht="21.75" customHeight="1" x14ac:dyDescent="0.25"/>
    <row r="392" ht="21.75" customHeight="1" x14ac:dyDescent="0.25"/>
    <row r="393" ht="21.75" customHeight="1" x14ac:dyDescent="0.25"/>
    <row r="394" ht="21.75" customHeight="1" x14ac:dyDescent="0.25"/>
    <row r="395" ht="21.75" customHeight="1" x14ac:dyDescent="0.25"/>
    <row r="396" ht="21.75" customHeight="1" x14ac:dyDescent="0.25"/>
    <row r="397" ht="21.75" customHeight="1" x14ac:dyDescent="0.25"/>
    <row r="398" ht="21.75" customHeight="1" x14ac:dyDescent="0.25"/>
    <row r="399" ht="21.75" customHeight="1" x14ac:dyDescent="0.25"/>
    <row r="400" ht="21.75" customHeight="1" x14ac:dyDescent="0.25"/>
    <row r="401" ht="21.75" customHeight="1" x14ac:dyDescent="0.25"/>
    <row r="402" ht="21.75" customHeight="1" x14ac:dyDescent="0.25"/>
    <row r="403" ht="21.75" customHeight="1" x14ac:dyDescent="0.25"/>
    <row r="404" ht="21.75" customHeight="1" x14ac:dyDescent="0.25"/>
    <row r="405" ht="21.75" customHeight="1" x14ac:dyDescent="0.25"/>
    <row r="406" ht="21.75" customHeight="1" x14ac:dyDescent="0.25"/>
    <row r="407" ht="21.75" customHeight="1" x14ac:dyDescent="0.25"/>
    <row r="408" ht="21.75" customHeight="1" x14ac:dyDescent="0.25"/>
    <row r="409" ht="21.75" customHeight="1" x14ac:dyDescent="0.25"/>
    <row r="410" ht="21.75" customHeight="1" x14ac:dyDescent="0.25"/>
    <row r="411" ht="21.75" customHeight="1" x14ac:dyDescent="0.25"/>
    <row r="412" ht="21.75" customHeight="1" x14ac:dyDescent="0.25"/>
    <row r="413" ht="21.75" customHeight="1" x14ac:dyDescent="0.25"/>
    <row r="414" ht="21.75" customHeight="1" x14ac:dyDescent="0.25"/>
    <row r="415" ht="21.75" customHeight="1" x14ac:dyDescent="0.25"/>
    <row r="416" ht="21.75" customHeight="1" x14ac:dyDescent="0.25"/>
    <row r="417" ht="21.75" customHeight="1" x14ac:dyDescent="0.25"/>
    <row r="418" ht="21.75" customHeight="1" x14ac:dyDescent="0.25"/>
    <row r="419" ht="21.75" customHeight="1" x14ac:dyDescent="0.25"/>
    <row r="420" ht="21.75" customHeight="1" x14ac:dyDescent="0.25"/>
    <row r="421" ht="21.75" customHeight="1" x14ac:dyDescent="0.25"/>
    <row r="422" ht="21.75" customHeight="1" x14ac:dyDescent="0.25"/>
    <row r="423" ht="21.75" customHeight="1" x14ac:dyDescent="0.25"/>
    <row r="424" ht="21.75" customHeight="1" x14ac:dyDescent="0.25"/>
    <row r="425" ht="21.75" customHeight="1" x14ac:dyDescent="0.25"/>
    <row r="426" ht="21.75" customHeight="1" x14ac:dyDescent="0.25"/>
    <row r="427" ht="21.75" customHeight="1" x14ac:dyDescent="0.25"/>
    <row r="428" ht="21.75" customHeight="1" x14ac:dyDescent="0.25"/>
    <row r="429" ht="21.75" customHeight="1" x14ac:dyDescent="0.25"/>
    <row r="430" ht="21.75" customHeight="1" x14ac:dyDescent="0.25"/>
    <row r="431" ht="21.75" customHeight="1" x14ac:dyDescent="0.25"/>
    <row r="432" ht="21.75" customHeight="1" x14ac:dyDescent="0.25"/>
    <row r="433" ht="21.75" customHeight="1" x14ac:dyDescent="0.25"/>
    <row r="434" ht="21.75" customHeight="1" x14ac:dyDescent="0.25"/>
    <row r="435" ht="21.75" customHeight="1" x14ac:dyDescent="0.25"/>
    <row r="436" ht="21.75" customHeight="1" x14ac:dyDescent="0.25"/>
    <row r="437" ht="21.75" customHeight="1" x14ac:dyDescent="0.25"/>
    <row r="438" ht="21.75" customHeight="1" x14ac:dyDescent="0.25"/>
    <row r="439" ht="21.75" customHeight="1" x14ac:dyDescent="0.25"/>
    <row r="440" ht="21.75" customHeight="1" x14ac:dyDescent="0.25"/>
    <row r="441" ht="21.75" customHeight="1" x14ac:dyDescent="0.25"/>
    <row r="442" ht="21.75" customHeight="1" x14ac:dyDescent="0.25"/>
    <row r="443" ht="21.75" customHeight="1" x14ac:dyDescent="0.25"/>
    <row r="444" ht="21.75" customHeight="1" x14ac:dyDescent="0.25"/>
    <row r="445" ht="21.75" customHeight="1" x14ac:dyDescent="0.25"/>
    <row r="446" ht="21.75" customHeight="1" x14ac:dyDescent="0.25"/>
    <row r="447" ht="21.75" customHeight="1" x14ac:dyDescent="0.25"/>
    <row r="448" ht="21.75" customHeight="1" x14ac:dyDescent="0.25"/>
    <row r="449" ht="21.75" customHeight="1" x14ac:dyDescent="0.25"/>
    <row r="450" ht="21.75" customHeight="1" x14ac:dyDescent="0.25"/>
    <row r="451" ht="21.75" customHeight="1" x14ac:dyDescent="0.25"/>
    <row r="452" ht="21.75" customHeight="1" x14ac:dyDescent="0.25"/>
    <row r="453" ht="21.75" customHeight="1" x14ac:dyDescent="0.25"/>
    <row r="454" ht="21.75" customHeight="1" x14ac:dyDescent="0.25"/>
    <row r="455" ht="21.75" customHeight="1" x14ac:dyDescent="0.25"/>
    <row r="456" ht="21.75" customHeight="1" x14ac:dyDescent="0.25"/>
    <row r="457" ht="21.75" customHeight="1" x14ac:dyDescent="0.25"/>
    <row r="458" ht="21.75" customHeight="1" x14ac:dyDescent="0.25"/>
    <row r="459" ht="21.75" customHeight="1" x14ac:dyDescent="0.25"/>
    <row r="460" ht="21.75" customHeight="1" x14ac:dyDescent="0.25"/>
    <row r="461" ht="21.75" customHeight="1" x14ac:dyDescent="0.25"/>
    <row r="462" ht="21.75" customHeight="1" x14ac:dyDescent="0.25"/>
    <row r="463" ht="21.75" customHeight="1" x14ac:dyDescent="0.25"/>
    <row r="464" ht="21.75" customHeight="1" x14ac:dyDescent="0.25"/>
    <row r="465" ht="21.75" customHeight="1" x14ac:dyDescent="0.25"/>
    <row r="466" ht="21.75" customHeight="1" x14ac:dyDescent="0.25"/>
    <row r="467" ht="21.75" customHeight="1" x14ac:dyDescent="0.25"/>
    <row r="468" ht="21.75" customHeight="1" x14ac:dyDescent="0.25"/>
    <row r="469" ht="21.75" customHeight="1" x14ac:dyDescent="0.25"/>
    <row r="470" ht="21.75" customHeight="1" x14ac:dyDescent="0.25"/>
    <row r="471" ht="21.75" customHeight="1" x14ac:dyDescent="0.25"/>
    <row r="472" ht="21.75" customHeight="1" x14ac:dyDescent="0.25"/>
    <row r="473" ht="21.75" customHeight="1" x14ac:dyDescent="0.25"/>
    <row r="474" ht="21.75" customHeight="1" x14ac:dyDescent="0.25"/>
    <row r="475" ht="21.75" customHeight="1" x14ac:dyDescent="0.25"/>
    <row r="476" ht="21.75" customHeight="1" x14ac:dyDescent="0.25"/>
    <row r="477" ht="21.75" customHeight="1" x14ac:dyDescent="0.25"/>
    <row r="478" ht="21.75" customHeight="1" x14ac:dyDescent="0.25"/>
    <row r="479" ht="21.75" customHeight="1" x14ac:dyDescent="0.25"/>
    <row r="480" ht="21.75" customHeight="1" x14ac:dyDescent="0.25"/>
    <row r="481" ht="21.75" customHeight="1" x14ac:dyDescent="0.25"/>
    <row r="482" ht="21.75" customHeight="1" x14ac:dyDescent="0.25"/>
    <row r="483" ht="21.75" customHeight="1" x14ac:dyDescent="0.25"/>
    <row r="484" ht="21.75" customHeight="1" x14ac:dyDescent="0.25"/>
    <row r="485" ht="21.75" customHeight="1" x14ac:dyDescent="0.25"/>
    <row r="486" ht="21.75" customHeight="1" x14ac:dyDescent="0.25"/>
    <row r="487" ht="21.75" customHeight="1" x14ac:dyDescent="0.25"/>
    <row r="488" ht="21.75" customHeight="1" x14ac:dyDescent="0.25"/>
    <row r="489" ht="21.75" customHeight="1" x14ac:dyDescent="0.25"/>
    <row r="490" ht="21.75" customHeight="1" x14ac:dyDescent="0.25"/>
    <row r="491" ht="21.75" customHeight="1" x14ac:dyDescent="0.25"/>
    <row r="492" ht="21.75" customHeight="1" x14ac:dyDescent="0.25"/>
    <row r="493" ht="21.75" customHeight="1" x14ac:dyDescent="0.25"/>
    <row r="494" ht="21.75" customHeight="1" x14ac:dyDescent="0.25"/>
    <row r="495" ht="21.75" customHeight="1" x14ac:dyDescent="0.25"/>
    <row r="496" ht="21.75" customHeight="1" x14ac:dyDescent="0.25"/>
    <row r="497" ht="21.75" customHeight="1" x14ac:dyDescent="0.25"/>
    <row r="498" ht="21.75" customHeight="1" x14ac:dyDescent="0.25"/>
    <row r="499" ht="21.75" customHeight="1" x14ac:dyDescent="0.25"/>
    <row r="500" ht="21.75" customHeight="1" x14ac:dyDescent="0.25"/>
    <row r="501" ht="21.75" customHeight="1" x14ac:dyDescent="0.25"/>
    <row r="502" ht="21.75" customHeight="1" x14ac:dyDescent="0.25"/>
    <row r="503" ht="21.75" customHeight="1" x14ac:dyDescent="0.25"/>
    <row r="504" ht="21.75" customHeight="1" x14ac:dyDescent="0.25"/>
    <row r="505" ht="21.75" customHeight="1" x14ac:dyDescent="0.25"/>
    <row r="506" ht="21.75" customHeight="1" x14ac:dyDescent="0.25"/>
    <row r="507" ht="21.75" customHeight="1" x14ac:dyDescent="0.25"/>
    <row r="508" ht="21.75" customHeight="1" x14ac:dyDescent="0.25"/>
    <row r="509" ht="21.75" customHeight="1" x14ac:dyDescent="0.25"/>
    <row r="510" ht="21.75" customHeight="1" x14ac:dyDescent="0.25"/>
    <row r="511" ht="21.75" customHeight="1" x14ac:dyDescent="0.25"/>
    <row r="512" ht="21.75" customHeight="1" x14ac:dyDescent="0.25"/>
    <row r="513" ht="21.75" customHeight="1" x14ac:dyDescent="0.25"/>
    <row r="514" ht="21.75" customHeight="1" x14ac:dyDescent="0.25"/>
    <row r="515" ht="21.75" customHeight="1" x14ac:dyDescent="0.25"/>
    <row r="516" ht="21.75" customHeight="1" x14ac:dyDescent="0.25"/>
    <row r="517" ht="21.75" customHeight="1" x14ac:dyDescent="0.25"/>
    <row r="518" ht="21.75" customHeight="1" x14ac:dyDescent="0.25"/>
    <row r="519" ht="21.75" customHeight="1" x14ac:dyDescent="0.25"/>
    <row r="520" ht="21.75" customHeight="1" x14ac:dyDescent="0.25"/>
    <row r="521" ht="21.75" customHeight="1" x14ac:dyDescent="0.25"/>
    <row r="522" ht="21.75" customHeight="1" x14ac:dyDescent="0.25"/>
    <row r="523" ht="21.75" customHeight="1" x14ac:dyDescent="0.25"/>
    <row r="524" ht="21.75" customHeight="1" x14ac:dyDescent="0.25"/>
    <row r="525" ht="21.75" customHeight="1" x14ac:dyDescent="0.25"/>
    <row r="526" ht="21.75" customHeight="1" x14ac:dyDescent="0.25"/>
    <row r="527" ht="21.75" customHeight="1" x14ac:dyDescent="0.25"/>
    <row r="528" ht="21.75" customHeight="1" x14ac:dyDescent="0.25"/>
    <row r="529" ht="21.75" customHeight="1" x14ac:dyDescent="0.25"/>
    <row r="530" ht="21.75" customHeight="1" x14ac:dyDescent="0.25"/>
    <row r="531" ht="21.75" customHeight="1" x14ac:dyDescent="0.25"/>
    <row r="532" ht="21.75" customHeight="1" x14ac:dyDescent="0.25"/>
    <row r="533" ht="21.75" customHeight="1" x14ac:dyDescent="0.25"/>
    <row r="534" ht="21.75" customHeight="1" x14ac:dyDescent="0.25"/>
    <row r="535" ht="21.75" customHeight="1" x14ac:dyDescent="0.25"/>
    <row r="536" ht="21.75" customHeight="1" x14ac:dyDescent="0.25"/>
    <row r="537" ht="21.75" customHeight="1" x14ac:dyDescent="0.25"/>
    <row r="538" ht="21.75" customHeight="1" x14ac:dyDescent="0.25"/>
    <row r="539" ht="21.75" customHeight="1" x14ac:dyDescent="0.25"/>
    <row r="540" ht="21.75" customHeight="1" x14ac:dyDescent="0.25"/>
    <row r="541" ht="21.75" customHeight="1" x14ac:dyDescent="0.25"/>
    <row r="542" ht="21.75" customHeight="1" x14ac:dyDescent="0.25"/>
    <row r="543" ht="21.75" customHeight="1" x14ac:dyDescent="0.25"/>
    <row r="544" ht="21.75" customHeight="1" x14ac:dyDescent="0.25"/>
    <row r="545" ht="21.75" customHeight="1" x14ac:dyDescent="0.25"/>
    <row r="546" ht="21.75" customHeight="1" x14ac:dyDescent="0.25"/>
    <row r="547" ht="21.75" customHeight="1" x14ac:dyDescent="0.25"/>
    <row r="548" ht="21.75" customHeight="1" x14ac:dyDescent="0.25"/>
    <row r="549" ht="21.75" customHeight="1" x14ac:dyDescent="0.25"/>
    <row r="550" ht="21.75" customHeight="1" x14ac:dyDescent="0.25"/>
    <row r="551" ht="21.75" customHeight="1" x14ac:dyDescent="0.25"/>
    <row r="552" ht="21.75" customHeight="1" x14ac:dyDescent="0.25"/>
    <row r="553" ht="21.75" customHeight="1" x14ac:dyDescent="0.25"/>
    <row r="554" ht="21.75" customHeight="1" x14ac:dyDescent="0.25"/>
    <row r="555" ht="21.75" customHeight="1" x14ac:dyDescent="0.25"/>
    <row r="556" ht="21.75" customHeight="1" x14ac:dyDescent="0.25"/>
    <row r="557" ht="21.75" customHeight="1" x14ac:dyDescent="0.25"/>
    <row r="558" ht="21.75" customHeight="1" x14ac:dyDescent="0.25"/>
    <row r="559" ht="21.75" customHeight="1" x14ac:dyDescent="0.25"/>
    <row r="560" ht="21.75" customHeight="1" x14ac:dyDescent="0.25"/>
    <row r="561" ht="21.75" customHeight="1" x14ac:dyDescent="0.25"/>
    <row r="562" ht="21.75" customHeight="1" x14ac:dyDescent="0.25"/>
    <row r="563" ht="21.75" customHeight="1" x14ac:dyDescent="0.25"/>
    <row r="564" ht="21.75" customHeight="1" x14ac:dyDescent="0.25"/>
    <row r="565" ht="21.75" customHeight="1" x14ac:dyDescent="0.25"/>
    <row r="566" ht="21.75" customHeight="1" x14ac:dyDescent="0.25"/>
    <row r="567" ht="21.75" customHeight="1" x14ac:dyDescent="0.25"/>
    <row r="568" ht="21.75" customHeight="1" x14ac:dyDescent="0.25"/>
    <row r="569" ht="21.75" customHeight="1" x14ac:dyDescent="0.25"/>
    <row r="570" ht="21.75" customHeight="1" x14ac:dyDescent="0.25"/>
    <row r="571" ht="21.75" customHeight="1" x14ac:dyDescent="0.25"/>
    <row r="572" ht="21.75" customHeight="1" x14ac:dyDescent="0.25"/>
    <row r="573" ht="21.75" customHeight="1" x14ac:dyDescent="0.25"/>
    <row r="574" ht="21.75" customHeight="1" x14ac:dyDescent="0.25"/>
    <row r="575" ht="21.75" customHeight="1" x14ac:dyDescent="0.25"/>
    <row r="576" ht="21.75" customHeight="1" x14ac:dyDescent="0.25"/>
    <row r="577" ht="21.75" customHeight="1" x14ac:dyDescent="0.25"/>
    <row r="578" ht="21.75" customHeight="1" x14ac:dyDescent="0.25"/>
    <row r="579" ht="21.75" customHeight="1" x14ac:dyDescent="0.25"/>
    <row r="580" ht="21.75" customHeight="1" x14ac:dyDescent="0.25"/>
    <row r="581" ht="21.75" customHeight="1" x14ac:dyDescent="0.25"/>
    <row r="582" ht="21.75" customHeight="1" x14ac:dyDescent="0.25"/>
    <row r="583" ht="21.75" customHeight="1" x14ac:dyDescent="0.25"/>
    <row r="584" ht="21.75" customHeight="1" x14ac:dyDescent="0.25"/>
    <row r="585" ht="21.75" customHeight="1" x14ac:dyDescent="0.25"/>
    <row r="586" ht="21.75" customHeight="1" x14ac:dyDescent="0.25"/>
    <row r="587" ht="21.75" customHeight="1" x14ac:dyDescent="0.25"/>
    <row r="588" ht="21.75" customHeight="1" x14ac:dyDescent="0.25"/>
    <row r="589" ht="21.75" customHeight="1" x14ac:dyDescent="0.25"/>
    <row r="590" ht="21.75" customHeight="1" x14ac:dyDescent="0.25"/>
    <row r="591" ht="21.75" customHeight="1" x14ac:dyDescent="0.25"/>
    <row r="592" ht="21.75" customHeight="1" x14ac:dyDescent="0.25"/>
    <row r="593" ht="21.75" customHeight="1" x14ac:dyDescent="0.25"/>
    <row r="594" ht="21.75" customHeight="1" x14ac:dyDescent="0.25"/>
    <row r="595" ht="21.75" customHeight="1" x14ac:dyDescent="0.25"/>
    <row r="596" ht="21.75" customHeight="1" x14ac:dyDescent="0.25"/>
    <row r="597" ht="21.75" customHeight="1" x14ac:dyDescent="0.25"/>
    <row r="598" ht="21.75" customHeight="1" x14ac:dyDescent="0.25"/>
    <row r="599" ht="21.75" customHeight="1" x14ac:dyDescent="0.25"/>
    <row r="600" ht="21.75" customHeight="1" x14ac:dyDescent="0.25"/>
    <row r="601" ht="21.75" customHeight="1" x14ac:dyDescent="0.25"/>
    <row r="602" ht="21.75" customHeight="1" x14ac:dyDescent="0.25"/>
    <row r="603" ht="21.75" customHeight="1" x14ac:dyDescent="0.25"/>
    <row r="604" ht="21.75" customHeight="1" x14ac:dyDescent="0.25"/>
    <row r="605" ht="21.75" customHeight="1" x14ac:dyDescent="0.25"/>
    <row r="606" ht="21.75" customHeight="1" x14ac:dyDescent="0.25"/>
    <row r="607" ht="21.75" customHeight="1" x14ac:dyDescent="0.25"/>
    <row r="608" ht="21.75" customHeight="1" x14ac:dyDescent="0.25"/>
    <row r="609" ht="21.75" customHeight="1" x14ac:dyDescent="0.25"/>
    <row r="610" ht="21.75" customHeight="1" x14ac:dyDescent="0.25"/>
    <row r="611" ht="21.75" customHeight="1" x14ac:dyDescent="0.25"/>
    <row r="612" ht="21.75" customHeight="1" x14ac:dyDescent="0.25"/>
    <row r="613" ht="21.75" customHeight="1" x14ac:dyDescent="0.25"/>
    <row r="614" ht="21.75" customHeight="1" x14ac:dyDescent="0.25"/>
    <row r="615" ht="21.75" customHeight="1" x14ac:dyDescent="0.25"/>
    <row r="616" ht="21.75" customHeight="1" x14ac:dyDescent="0.25"/>
    <row r="617" ht="21.75" customHeight="1" x14ac:dyDescent="0.25"/>
    <row r="618" ht="21.75" customHeight="1" x14ac:dyDescent="0.25"/>
    <row r="619" ht="21.75" customHeight="1" x14ac:dyDescent="0.25"/>
    <row r="620" ht="21.75" customHeight="1" x14ac:dyDescent="0.25"/>
    <row r="621" ht="21.75" customHeight="1" x14ac:dyDescent="0.25"/>
    <row r="622" ht="21.75" customHeight="1" x14ac:dyDescent="0.25"/>
    <row r="623" ht="21.75" customHeight="1" x14ac:dyDescent="0.25"/>
    <row r="624" ht="21.75" customHeight="1" x14ac:dyDescent="0.25"/>
    <row r="625" ht="21.75" customHeight="1" x14ac:dyDescent="0.25"/>
    <row r="626" ht="21.75" customHeight="1" x14ac:dyDescent="0.25"/>
    <row r="627" ht="21.75" customHeight="1" x14ac:dyDescent="0.25"/>
    <row r="628" ht="21.75" customHeight="1" x14ac:dyDescent="0.25"/>
    <row r="629" ht="21.75" customHeight="1" x14ac:dyDescent="0.25"/>
    <row r="630" ht="21.75" customHeight="1" x14ac:dyDescent="0.25"/>
    <row r="631" ht="21.75" customHeight="1" x14ac:dyDescent="0.25"/>
    <row r="632" ht="21.75" customHeight="1" x14ac:dyDescent="0.25"/>
    <row r="633" ht="21.75" customHeight="1" x14ac:dyDescent="0.25"/>
    <row r="634" ht="21.75" customHeight="1" x14ac:dyDescent="0.25"/>
    <row r="635" ht="21.75" customHeight="1" x14ac:dyDescent="0.25"/>
    <row r="636" ht="21.75" customHeight="1" x14ac:dyDescent="0.25"/>
    <row r="637" ht="21.75" customHeight="1" x14ac:dyDescent="0.25"/>
  </sheetData>
  <mergeCells count="20">
    <mergeCell ref="B1:O1"/>
    <mergeCell ref="B2:O2"/>
    <mergeCell ref="B4:D4"/>
    <mergeCell ref="E4:G4"/>
    <mergeCell ref="H4:J4"/>
    <mergeCell ref="K4:M4"/>
    <mergeCell ref="O4:Q10"/>
    <mergeCell ref="B9:D10"/>
    <mergeCell ref="E9:G10"/>
    <mergeCell ref="H9:J10"/>
    <mergeCell ref="K9:M10"/>
    <mergeCell ref="B18:G18"/>
    <mergeCell ref="B5:D6"/>
    <mergeCell ref="E5:G6"/>
    <mergeCell ref="H5:J6"/>
    <mergeCell ref="K5:M6"/>
    <mergeCell ref="B8:D8"/>
    <mergeCell ref="E8:G8"/>
    <mergeCell ref="H8:J8"/>
    <mergeCell ref="K8:M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Inicio</vt:lpstr>
      <vt:lpstr>Compras Entradas</vt:lpstr>
      <vt:lpstr>Productos</vt:lpstr>
      <vt:lpstr>Ventas Salidas</vt:lpstr>
      <vt:lpstr>Inventario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202437656</cp:lastModifiedBy>
  <cp:revision>3</cp:revision>
  <dcterms:created xsi:type="dcterms:W3CDTF">2026-06-02T22:23:57Z</dcterms:created>
  <dcterms:modified xsi:type="dcterms:W3CDTF">2026-07-12T18:59:58Z</dcterms:modified>
  <dc:language>en-US</dc:language>
</cp:coreProperties>
</file>