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royecto\plantillas_pymex\"/>
    </mc:Choice>
  </mc:AlternateContent>
  <xr:revisionPtr revIDLastSave="0" documentId="13_ncr:1_{C5FC01DF-4D58-4254-B436-DB94A0CBC40F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Inicio" sheetId="1" r:id="rId1"/>
    <sheet name="Dashboard" sheetId="2" r:id="rId2"/>
    <sheet name="Productos" sheetId="3" r:id="rId3"/>
    <sheet name="Compras Entradas" sheetId="4" r:id="rId4"/>
    <sheet name="Ventas Salidas" sheetId="5" r:id="rId5"/>
    <sheet name="Inventari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26" i="6" l="1"/>
  <c r="B226" i="6"/>
  <c r="C226" i="6"/>
  <c r="D226" i="6"/>
  <c r="E226" i="6"/>
  <c r="F226" i="6"/>
  <c r="G226" i="6"/>
  <c r="H226" i="6"/>
  <c r="I226" i="6"/>
  <c r="J226" i="6"/>
  <c r="K226" i="6"/>
  <c r="A227" i="6"/>
  <c r="J227" i="6" s="1"/>
  <c r="B227" i="6"/>
  <c r="C227" i="6"/>
  <c r="D227" i="6"/>
  <c r="E227" i="6"/>
  <c r="F227" i="6"/>
  <c r="A228" i="6"/>
  <c r="B228" i="6"/>
  <c r="C228" i="6"/>
  <c r="D228" i="6"/>
  <c r="E228" i="6"/>
  <c r="F228" i="6"/>
  <c r="G228" i="6"/>
  <c r="H228" i="6"/>
  <c r="I228" i="6"/>
  <c r="J228" i="6"/>
  <c r="K228" i="6"/>
  <c r="A229" i="6"/>
  <c r="H229" i="6" s="1"/>
  <c r="B229" i="6"/>
  <c r="C229" i="6"/>
  <c r="D229" i="6"/>
  <c r="E229" i="6"/>
  <c r="F229" i="6"/>
  <c r="G229" i="6"/>
  <c r="I229" i="6"/>
  <c r="K229" i="6"/>
  <c r="A216" i="6"/>
  <c r="B216" i="6"/>
  <c r="C216" i="6"/>
  <c r="D216" i="6"/>
  <c r="E216" i="6"/>
  <c r="F216" i="6"/>
  <c r="G216" i="6"/>
  <c r="H216" i="6"/>
  <c r="I216" i="6"/>
  <c r="J216" i="6"/>
  <c r="K216" i="6"/>
  <c r="A217" i="6"/>
  <c r="J217" i="6" s="1"/>
  <c r="B217" i="6"/>
  <c r="C217" i="6"/>
  <c r="D217" i="6"/>
  <c r="E217" i="6"/>
  <c r="F217" i="6"/>
  <c r="A218" i="6"/>
  <c r="B218" i="6"/>
  <c r="C218" i="6"/>
  <c r="D218" i="6"/>
  <c r="E218" i="6"/>
  <c r="F218" i="6"/>
  <c r="G218" i="6"/>
  <c r="H218" i="6"/>
  <c r="I218" i="6"/>
  <c r="J218" i="6"/>
  <c r="K218" i="6"/>
  <c r="A219" i="6"/>
  <c r="B219" i="6"/>
  <c r="C219" i="6"/>
  <c r="D219" i="6"/>
  <c r="E219" i="6"/>
  <c r="F219" i="6"/>
  <c r="G219" i="6"/>
  <c r="H219" i="6"/>
  <c r="I219" i="6"/>
  <c r="J219" i="6"/>
  <c r="K219" i="6"/>
  <c r="A220" i="6"/>
  <c r="B220" i="6"/>
  <c r="C220" i="6"/>
  <c r="D220" i="6"/>
  <c r="E220" i="6"/>
  <c r="F220" i="6"/>
  <c r="G220" i="6"/>
  <c r="H220" i="6"/>
  <c r="I220" i="6"/>
  <c r="J220" i="6"/>
  <c r="K220" i="6"/>
  <c r="A221" i="6"/>
  <c r="J221" i="6" s="1"/>
  <c r="B221" i="6"/>
  <c r="C221" i="6"/>
  <c r="D221" i="6"/>
  <c r="E221" i="6"/>
  <c r="F221" i="6"/>
  <c r="I221" i="6"/>
  <c r="A222" i="6"/>
  <c r="B222" i="6"/>
  <c r="C222" i="6"/>
  <c r="D222" i="6"/>
  <c r="E222" i="6"/>
  <c r="F222" i="6"/>
  <c r="G222" i="6"/>
  <c r="H222" i="6"/>
  <c r="I222" i="6"/>
  <c r="J222" i="6"/>
  <c r="K222" i="6"/>
  <c r="A223" i="6"/>
  <c r="H223" i="6" s="1"/>
  <c r="B223" i="6"/>
  <c r="C223" i="6"/>
  <c r="D223" i="6"/>
  <c r="E223" i="6"/>
  <c r="F223" i="6"/>
  <c r="G223" i="6"/>
  <c r="I223" i="6"/>
  <c r="K223" i="6"/>
  <c r="A224" i="6"/>
  <c r="G224" i="6" s="1"/>
  <c r="B224" i="6"/>
  <c r="C224" i="6"/>
  <c r="D224" i="6"/>
  <c r="E224" i="6"/>
  <c r="F224" i="6"/>
  <c r="H224" i="6"/>
  <c r="I224" i="6"/>
  <c r="J224" i="6"/>
  <c r="K224" i="6"/>
  <c r="A225" i="6"/>
  <c r="J225" i="6" s="1"/>
  <c r="B225" i="6"/>
  <c r="C225" i="6"/>
  <c r="D225" i="6"/>
  <c r="E225" i="6"/>
  <c r="F225" i="6"/>
  <c r="I225" i="6"/>
  <c r="F504" i="6"/>
  <c r="E504" i="6"/>
  <c r="D504" i="6"/>
  <c r="C504" i="6"/>
  <c r="B504" i="6"/>
  <c r="A504" i="6"/>
  <c r="G504" i="6" s="1"/>
  <c r="F503" i="6"/>
  <c r="E503" i="6"/>
  <c r="D503" i="6"/>
  <c r="C503" i="6"/>
  <c r="B503" i="6"/>
  <c r="A503" i="6"/>
  <c r="H503" i="6" s="1"/>
  <c r="F502" i="6"/>
  <c r="E502" i="6"/>
  <c r="D502" i="6"/>
  <c r="C502" i="6"/>
  <c r="B502" i="6"/>
  <c r="A502" i="6"/>
  <c r="J502" i="6" s="1"/>
  <c r="F501" i="6"/>
  <c r="E501" i="6"/>
  <c r="D501" i="6"/>
  <c r="C501" i="6"/>
  <c r="B501" i="6"/>
  <c r="A501" i="6"/>
  <c r="F500" i="6"/>
  <c r="E500" i="6"/>
  <c r="D500" i="6"/>
  <c r="C500" i="6"/>
  <c r="B500" i="6"/>
  <c r="A500" i="6"/>
  <c r="H500" i="6" s="1"/>
  <c r="F499" i="6"/>
  <c r="E499" i="6"/>
  <c r="D499" i="6"/>
  <c r="C499" i="6"/>
  <c r="B499" i="6"/>
  <c r="A499" i="6"/>
  <c r="F498" i="6"/>
  <c r="E498" i="6"/>
  <c r="D498" i="6"/>
  <c r="C498" i="6"/>
  <c r="B498" i="6"/>
  <c r="A498" i="6"/>
  <c r="G498" i="6" s="1"/>
  <c r="F497" i="6"/>
  <c r="E497" i="6"/>
  <c r="D497" i="6"/>
  <c r="C497" i="6"/>
  <c r="B497" i="6"/>
  <c r="A497" i="6"/>
  <c r="M496" i="6"/>
  <c r="F496" i="6"/>
  <c r="E496" i="6"/>
  <c r="D496" i="6"/>
  <c r="C496" i="6"/>
  <c r="B496" i="6"/>
  <c r="A496" i="6"/>
  <c r="J496" i="6" s="1"/>
  <c r="F495" i="6"/>
  <c r="E495" i="6"/>
  <c r="D495" i="6"/>
  <c r="C495" i="6"/>
  <c r="B495" i="6"/>
  <c r="A495" i="6"/>
  <c r="I495" i="6" s="1"/>
  <c r="H494" i="6"/>
  <c r="F494" i="6"/>
  <c r="E494" i="6"/>
  <c r="D494" i="6"/>
  <c r="C494" i="6"/>
  <c r="B494" i="6"/>
  <c r="A494" i="6"/>
  <c r="G494" i="6" s="1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M489" i="6"/>
  <c r="F489" i="6"/>
  <c r="E489" i="6"/>
  <c r="D489" i="6"/>
  <c r="C489" i="6"/>
  <c r="B489" i="6"/>
  <c r="A489" i="6"/>
  <c r="H489" i="6" s="1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G484" i="6"/>
  <c r="F484" i="6"/>
  <c r="E484" i="6"/>
  <c r="D484" i="6"/>
  <c r="C484" i="6"/>
  <c r="B484" i="6"/>
  <c r="A484" i="6"/>
  <c r="M484" i="6" s="1"/>
  <c r="F483" i="6"/>
  <c r="E483" i="6"/>
  <c r="D483" i="6"/>
  <c r="C483" i="6"/>
  <c r="B483" i="6"/>
  <c r="A483" i="6"/>
  <c r="F482" i="6"/>
  <c r="E482" i="6"/>
  <c r="D482" i="6"/>
  <c r="C482" i="6"/>
  <c r="B482" i="6"/>
  <c r="A482" i="6"/>
  <c r="G482" i="6" s="1"/>
  <c r="F481" i="6"/>
  <c r="E481" i="6"/>
  <c r="D481" i="6"/>
  <c r="C481" i="6"/>
  <c r="B481" i="6"/>
  <c r="A481" i="6"/>
  <c r="F480" i="6"/>
  <c r="E480" i="6"/>
  <c r="D480" i="6"/>
  <c r="C480" i="6"/>
  <c r="B480" i="6"/>
  <c r="A480" i="6"/>
  <c r="G480" i="6" s="1"/>
  <c r="F479" i="6"/>
  <c r="E479" i="6"/>
  <c r="D479" i="6"/>
  <c r="C479" i="6"/>
  <c r="B479" i="6"/>
  <c r="A479" i="6"/>
  <c r="M479" i="6" s="1"/>
  <c r="F478" i="6"/>
  <c r="E478" i="6"/>
  <c r="D478" i="6"/>
  <c r="C478" i="6"/>
  <c r="B478" i="6"/>
  <c r="A478" i="6"/>
  <c r="J478" i="6" s="1"/>
  <c r="F477" i="6"/>
  <c r="E477" i="6"/>
  <c r="D477" i="6"/>
  <c r="C477" i="6"/>
  <c r="B477" i="6"/>
  <c r="A477" i="6"/>
  <c r="J477" i="6" s="1"/>
  <c r="F476" i="6"/>
  <c r="E476" i="6"/>
  <c r="D476" i="6"/>
  <c r="C476" i="6"/>
  <c r="B476" i="6"/>
  <c r="A476" i="6"/>
  <c r="M476" i="6" s="1"/>
  <c r="M475" i="6"/>
  <c r="F475" i="6"/>
  <c r="E475" i="6"/>
  <c r="D475" i="6"/>
  <c r="C475" i="6"/>
  <c r="B475" i="6"/>
  <c r="A475" i="6"/>
  <c r="G475" i="6" s="1"/>
  <c r="F474" i="6"/>
  <c r="E474" i="6"/>
  <c r="D474" i="6"/>
  <c r="C474" i="6"/>
  <c r="B474" i="6"/>
  <c r="A474" i="6"/>
  <c r="F473" i="6"/>
  <c r="E473" i="6"/>
  <c r="D473" i="6"/>
  <c r="C473" i="6"/>
  <c r="B473" i="6"/>
  <c r="A473" i="6"/>
  <c r="M472" i="6"/>
  <c r="H472" i="6"/>
  <c r="G472" i="6"/>
  <c r="F472" i="6"/>
  <c r="E472" i="6"/>
  <c r="D472" i="6"/>
  <c r="C472" i="6"/>
  <c r="B472" i="6"/>
  <c r="A472" i="6"/>
  <c r="J472" i="6" s="1"/>
  <c r="F471" i="6"/>
  <c r="E471" i="6"/>
  <c r="D471" i="6"/>
  <c r="C471" i="6"/>
  <c r="B471" i="6"/>
  <c r="A471" i="6"/>
  <c r="F470" i="6"/>
  <c r="E470" i="6"/>
  <c r="D470" i="6"/>
  <c r="C470" i="6"/>
  <c r="B470" i="6"/>
  <c r="A470" i="6"/>
  <c r="I469" i="6"/>
  <c r="H469" i="6"/>
  <c r="F469" i="6"/>
  <c r="E469" i="6"/>
  <c r="D469" i="6"/>
  <c r="C469" i="6"/>
  <c r="B469" i="6"/>
  <c r="A469" i="6"/>
  <c r="G469" i="6" s="1"/>
  <c r="F468" i="6"/>
  <c r="E468" i="6"/>
  <c r="D468" i="6"/>
  <c r="C468" i="6"/>
  <c r="B468" i="6"/>
  <c r="A468" i="6"/>
  <c r="K467" i="6"/>
  <c r="F467" i="6"/>
  <c r="E467" i="6"/>
  <c r="D467" i="6"/>
  <c r="C467" i="6"/>
  <c r="B467" i="6"/>
  <c r="A467" i="6"/>
  <c r="G467" i="6" s="1"/>
  <c r="M466" i="6"/>
  <c r="F466" i="6"/>
  <c r="E466" i="6"/>
  <c r="D466" i="6"/>
  <c r="C466" i="6"/>
  <c r="B466" i="6"/>
  <c r="A466" i="6"/>
  <c r="J466" i="6" s="1"/>
  <c r="F465" i="6"/>
  <c r="E465" i="6"/>
  <c r="D465" i="6"/>
  <c r="C465" i="6"/>
  <c r="B465" i="6"/>
  <c r="A465" i="6"/>
  <c r="F464" i="6"/>
  <c r="E464" i="6"/>
  <c r="D464" i="6"/>
  <c r="C464" i="6"/>
  <c r="B464" i="6"/>
  <c r="A464" i="6"/>
  <c r="M463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M462" i="6" s="1"/>
  <c r="F461" i="6"/>
  <c r="E461" i="6"/>
  <c r="D461" i="6"/>
  <c r="C461" i="6"/>
  <c r="B461" i="6"/>
  <c r="A461" i="6"/>
  <c r="H461" i="6" s="1"/>
  <c r="G460" i="6"/>
  <c r="F460" i="6"/>
  <c r="E460" i="6"/>
  <c r="D460" i="6"/>
  <c r="C460" i="6"/>
  <c r="B460" i="6"/>
  <c r="A460" i="6"/>
  <c r="M460" i="6" s="1"/>
  <c r="F459" i="6"/>
  <c r="E459" i="6"/>
  <c r="D459" i="6"/>
  <c r="C459" i="6"/>
  <c r="B459" i="6"/>
  <c r="A459" i="6"/>
  <c r="K459" i="6" s="1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G456" i="6" s="1"/>
  <c r="F455" i="6"/>
  <c r="E455" i="6"/>
  <c r="D455" i="6"/>
  <c r="C455" i="6"/>
  <c r="B455" i="6"/>
  <c r="A455" i="6"/>
  <c r="K455" i="6" s="1"/>
  <c r="F454" i="6"/>
  <c r="E454" i="6"/>
  <c r="D454" i="6"/>
  <c r="C454" i="6"/>
  <c r="B454" i="6"/>
  <c r="A454" i="6"/>
  <c r="J454" i="6" s="1"/>
  <c r="F453" i="6"/>
  <c r="E453" i="6"/>
  <c r="D453" i="6"/>
  <c r="C453" i="6"/>
  <c r="B453" i="6"/>
  <c r="A453" i="6"/>
  <c r="F452" i="6"/>
  <c r="E452" i="6"/>
  <c r="D452" i="6"/>
  <c r="C452" i="6"/>
  <c r="B452" i="6"/>
  <c r="A452" i="6"/>
  <c r="M452" i="6" s="1"/>
  <c r="F451" i="6"/>
  <c r="E451" i="6"/>
  <c r="D451" i="6"/>
  <c r="C451" i="6"/>
  <c r="B451" i="6"/>
  <c r="A451" i="6"/>
  <c r="F450" i="6"/>
  <c r="E450" i="6"/>
  <c r="D450" i="6"/>
  <c r="C450" i="6"/>
  <c r="B450" i="6"/>
  <c r="A450" i="6"/>
  <c r="G450" i="6" s="1"/>
  <c r="F449" i="6"/>
  <c r="E449" i="6"/>
  <c r="D449" i="6"/>
  <c r="C449" i="6"/>
  <c r="B449" i="6"/>
  <c r="A449" i="6"/>
  <c r="F448" i="6"/>
  <c r="E448" i="6"/>
  <c r="D448" i="6"/>
  <c r="C448" i="6"/>
  <c r="B448" i="6"/>
  <c r="A448" i="6"/>
  <c r="J448" i="6" s="1"/>
  <c r="F447" i="6"/>
  <c r="E447" i="6"/>
  <c r="D447" i="6"/>
  <c r="C447" i="6"/>
  <c r="B447" i="6"/>
  <c r="A447" i="6"/>
  <c r="I447" i="6" s="1"/>
  <c r="M446" i="6"/>
  <c r="H446" i="6"/>
  <c r="F446" i="6"/>
  <c r="E446" i="6"/>
  <c r="D446" i="6"/>
  <c r="C446" i="6"/>
  <c r="B446" i="6"/>
  <c r="A446" i="6"/>
  <c r="G446" i="6" s="1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M443" i="6" s="1"/>
  <c r="F442" i="6"/>
  <c r="E442" i="6"/>
  <c r="D442" i="6"/>
  <c r="C442" i="6"/>
  <c r="B442" i="6"/>
  <c r="A442" i="6"/>
  <c r="I441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M439" i="6" s="1"/>
  <c r="F438" i="6"/>
  <c r="E438" i="6"/>
  <c r="D438" i="6"/>
  <c r="C438" i="6"/>
  <c r="B438" i="6"/>
  <c r="A438" i="6"/>
  <c r="M438" i="6" s="1"/>
  <c r="F437" i="6"/>
  <c r="E437" i="6"/>
  <c r="D437" i="6"/>
  <c r="C437" i="6"/>
  <c r="B437" i="6"/>
  <c r="A437" i="6"/>
  <c r="F436" i="6"/>
  <c r="E436" i="6"/>
  <c r="D436" i="6"/>
  <c r="C436" i="6"/>
  <c r="B436" i="6"/>
  <c r="A436" i="6"/>
  <c r="M436" i="6" s="1"/>
  <c r="I435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J434" i="6" s="1"/>
  <c r="F433" i="6"/>
  <c r="E433" i="6"/>
  <c r="D433" i="6"/>
  <c r="C433" i="6"/>
  <c r="B433" i="6"/>
  <c r="A433" i="6"/>
  <c r="G433" i="6" s="1"/>
  <c r="F432" i="6"/>
  <c r="E432" i="6"/>
  <c r="D432" i="6"/>
  <c r="C432" i="6"/>
  <c r="B432" i="6"/>
  <c r="A432" i="6"/>
  <c r="F431" i="6"/>
  <c r="E431" i="6"/>
  <c r="D431" i="6"/>
  <c r="C431" i="6"/>
  <c r="B431" i="6"/>
  <c r="A431" i="6"/>
  <c r="M431" i="6" s="1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M428" i="6" s="1"/>
  <c r="F427" i="6"/>
  <c r="E427" i="6"/>
  <c r="D427" i="6"/>
  <c r="C427" i="6"/>
  <c r="B427" i="6"/>
  <c r="A427" i="6"/>
  <c r="J426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H425" i="6" s="1"/>
  <c r="F424" i="6"/>
  <c r="E424" i="6"/>
  <c r="D424" i="6"/>
  <c r="C424" i="6"/>
  <c r="B424" i="6"/>
  <c r="A424" i="6"/>
  <c r="K423" i="6"/>
  <c r="I423" i="6"/>
  <c r="F423" i="6"/>
  <c r="E423" i="6"/>
  <c r="D423" i="6"/>
  <c r="C423" i="6"/>
  <c r="B423" i="6"/>
  <c r="A423" i="6"/>
  <c r="M423" i="6" s="1"/>
  <c r="F422" i="6"/>
  <c r="E422" i="6"/>
  <c r="D422" i="6"/>
  <c r="C422" i="6"/>
  <c r="B422" i="6"/>
  <c r="A422" i="6"/>
  <c r="J422" i="6" s="1"/>
  <c r="F421" i="6"/>
  <c r="E421" i="6"/>
  <c r="D421" i="6"/>
  <c r="C421" i="6"/>
  <c r="B421" i="6"/>
  <c r="A421" i="6"/>
  <c r="I421" i="6" s="1"/>
  <c r="F420" i="6"/>
  <c r="E420" i="6"/>
  <c r="D420" i="6"/>
  <c r="C420" i="6"/>
  <c r="B420" i="6"/>
  <c r="A420" i="6"/>
  <c r="F419" i="6"/>
  <c r="E419" i="6"/>
  <c r="D419" i="6"/>
  <c r="C419" i="6"/>
  <c r="B419" i="6"/>
  <c r="A419" i="6"/>
  <c r="M419" i="6" s="1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J416" i="6" s="1"/>
  <c r="J415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M414" i="6" s="1"/>
  <c r="F413" i="6"/>
  <c r="E413" i="6"/>
  <c r="D413" i="6"/>
  <c r="C413" i="6"/>
  <c r="B413" i="6"/>
  <c r="A413" i="6"/>
  <c r="M413" i="6" s="1"/>
  <c r="G412" i="6"/>
  <c r="F412" i="6"/>
  <c r="E412" i="6"/>
  <c r="D412" i="6"/>
  <c r="C412" i="6"/>
  <c r="B412" i="6"/>
  <c r="A412" i="6"/>
  <c r="M412" i="6" s="1"/>
  <c r="H411" i="6"/>
  <c r="F411" i="6"/>
  <c r="E411" i="6"/>
  <c r="D411" i="6"/>
  <c r="C411" i="6"/>
  <c r="B411" i="6"/>
  <c r="A411" i="6"/>
  <c r="K411" i="6" s="1"/>
  <c r="F410" i="6"/>
  <c r="E410" i="6"/>
  <c r="D410" i="6"/>
  <c r="C410" i="6"/>
  <c r="B410" i="6"/>
  <c r="A410" i="6"/>
  <c r="H409" i="6"/>
  <c r="G409" i="6"/>
  <c r="F409" i="6"/>
  <c r="E409" i="6"/>
  <c r="D409" i="6"/>
  <c r="C409" i="6"/>
  <c r="B409" i="6"/>
  <c r="A409" i="6"/>
  <c r="I409" i="6" s="1"/>
  <c r="F408" i="6"/>
  <c r="E408" i="6"/>
  <c r="D408" i="6"/>
  <c r="C408" i="6"/>
  <c r="B408" i="6"/>
  <c r="A408" i="6"/>
  <c r="G408" i="6" s="1"/>
  <c r="F407" i="6"/>
  <c r="E407" i="6"/>
  <c r="D407" i="6"/>
  <c r="C407" i="6"/>
  <c r="B407" i="6"/>
  <c r="A407" i="6"/>
  <c r="F406" i="6"/>
  <c r="E406" i="6"/>
  <c r="D406" i="6"/>
  <c r="C406" i="6"/>
  <c r="B406" i="6"/>
  <c r="A406" i="6"/>
  <c r="M406" i="6" s="1"/>
  <c r="K405" i="6"/>
  <c r="F405" i="6"/>
  <c r="E405" i="6"/>
  <c r="D405" i="6"/>
  <c r="C405" i="6"/>
  <c r="B405" i="6"/>
  <c r="A405" i="6"/>
  <c r="I405" i="6" s="1"/>
  <c r="F404" i="6"/>
  <c r="E404" i="6"/>
  <c r="D404" i="6"/>
  <c r="C404" i="6"/>
  <c r="B404" i="6"/>
  <c r="A404" i="6"/>
  <c r="G403" i="6"/>
  <c r="F403" i="6"/>
  <c r="E403" i="6"/>
  <c r="D403" i="6"/>
  <c r="C403" i="6"/>
  <c r="B403" i="6"/>
  <c r="A403" i="6"/>
  <c r="J403" i="6" s="1"/>
  <c r="H402" i="6"/>
  <c r="F402" i="6"/>
  <c r="E402" i="6"/>
  <c r="D402" i="6"/>
  <c r="C402" i="6"/>
  <c r="B402" i="6"/>
  <c r="A402" i="6"/>
  <c r="J402" i="6" s="1"/>
  <c r="F401" i="6"/>
  <c r="E401" i="6"/>
  <c r="D401" i="6"/>
  <c r="C401" i="6"/>
  <c r="B401" i="6"/>
  <c r="A401" i="6"/>
  <c r="M400" i="6"/>
  <c r="H400" i="6"/>
  <c r="G400" i="6"/>
  <c r="F400" i="6"/>
  <c r="E400" i="6"/>
  <c r="D400" i="6"/>
  <c r="C400" i="6"/>
  <c r="B400" i="6"/>
  <c r="A400" i="6"/>
  <c r="J400" i="6" s="1"/>
  <c r="F399" i="6"/>
  <c r="E399" i="6"/>
  <c r="D399" i="6"/>
  <c r="C399" i="6"/>
  <c r="B399" i="6"/>
  <c r="A399" i="6"/>
  <c r="F398" i="6"/>
  <c r="E398" i="6"/>
  <c r="D398" i="6"/>
  <c r="C398" i="6"/>
  <c r="B398" i="6"/>
  <c r="A398" i="6"/>
  <c r="H398" i="6" s="1"/>
  <c r="H397" i="6"/>
  <c r="F397" i="6"/>
  <c r="E397" i="6"/>
  <c r="D397" i="6"/>
  <c r="C397" i="6"/>
  <c r="B397" i="6"/>
  <c r="A397" i="6"/>
  <c r="G397" i="6" s="1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M394" i="6" s="1"/>
  <c r="F393" i="6"/>
  <c r="E393" i="6"/>
  <c r="D393" i="6"/>
  <c r="C393" i="6"/>
  <c r="B393" i="6"/>
  <c r="A393" i="6"/>
  <c r="K393" i="6" s="1"/>
  <c r="F392" i="6"/>
  <c r="E392" i="6"/>
  <c r="D392" i="6"/>
  <c r="C392" i="6"/>
  <c r="B392" i="6"/>
  <c r="A392" i="6"/>
  <c r="I392" i="6" s="1"/>
  <c r="F391" i="6"/>
  <c r="E391" i="6"/>
  <c r="D391" i="6"/>
  <c r="C391" i="6"/>
  <c r="B391" i="6"/>
  <c r="A391" i="6"/>
  <c r="M391" i="6" s="1"/>
  <c r="F390" i="6"/>
  <c r="E390" i="6"/>
  <c r="D390" i="6"/>
  <c r="C390" i="6"/>
  <c r="B390" i="6"/>
  <c r="A390" i="6"/>
  <c r="F389" i="6"/>
  <c r="E389" i="6"/>
  <c r="D389" i="6"/>
  <c r="C389" i="6"/>
  <c r="B389" i="6"/>
  <c r="A389" i="6"/>
  <c r="M388" i="6"/>
  <c r="F388" i="6"/>
  <c r="E388" i="6"/>
  <c r="D388" i="6"/>
  <c r="C388" i="6"/>
  <c r="B388" i="6"/>
  <c r="A388" i="6"/>
  <c r="K387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M385" i="6"/>
  <c r="J385" i="6"/>
  <c r="H385" i="6"/>
  <c r="F385" i="6"/>
  <c r="E385" i="6"/>
  <c r="D385" i="6"/>
  <c r="C385" i="6"/>
  <c r="B385" i="6"/>
  <c r="A385" i="6"/>
  <c r="K385" i="6" s="1"/>
  <c r="F384" i="6"/>
  <c r="E384" i="6"/>
  <c r="D384" i="6"/>
  <c r="C384" i="6"/>
  <c r="B384" i="6"/>
  <c r="A384" i="6"/>
  <c r="J384" i="6" s="1"/>
  <c r="F383" i="6"/>
  <c r="E383" i="6"/>
  <c r="D383" i="6"/>
  <c r="C383" i="6"/>
  <c r="B383" i="6"/>
  <c r="A383" i="6"/>
  <c r="M383" i="6" s="1"/>
  <c r="H382" i="6"/>
  <c r="F382" i="6"/>
  <c r="E382" i="6"/>
  <c r="D382" i="6"/>
  <c r="C382" i="6"/>
  <c r="B382" i="6"/>
  <c r="A382" i="6"/>
  <c r="K382" i="6" s="1"/>
  <c r="G381" i="6"/>
  <c r="F381" i="6"/>
  <c r="E381" i="6"/>
  <c r="D381" i="6"/>
  <c r="C381" i="6"/>
  <c r="B381" i="6"/>
  <c r="A381" i="6"/>
  <c r="K381" i="6" s="1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G376" i="6"/>
  <c r="F376" i="6"/>
  <c r="E376" i="6"/>
  <c r="D376" i="6"/>
  <c r="C376" i="6"/>
  <c r="B376" i="6"/>
  <c r="A376" i="6"/>
  <c r="H376" i="6" s="1"/>
  <c r="F375" i="6"/>
  <c r="E375" i="6"/>
  <c r="D375" i="6"/>
  <c r="C375" i="6"/>
  <c r="B375" i="6"/>
  <c r="A375" i="6"/>
  <c r="F374" i="6"/>
  <c r="E374" i="6"/>
  <c r="D374" i="6"/>
  <c r="C374" i="6"/>
  <c r="B374" i="6"/>
  <c r="A374" i="6"/>
  <c r="M374" i="6" s="1"/>
  <c r="F373" i="6"/>
  <c r="E373" i="6"/>
  <c r="D373" i="6"/>
  <c r="C373" i="6"/>
  <c r="B373" i="6"/>
  <c r="A373" i="6"/>
  <c r="M372" i="6"/>
  <c r="F372" i="6"/>
  <c r="E372" i="6"/>
  <c r="D372" i="6"/>
  <c r="C372" i="6"/>
  <c r="B372" i="6"/>
  <c r="A372" i="6"/>
  <c r="K372" i="6" s="1"/>
  <c r="F371" i="6"/>
  <c r="E371" i="6"/>
  <c r="D371" i="6"/>
  <c r="C371" i="6"/>
  <c r="B371" i="6"/>
  <c r="A371" i="6"/>
  <c r="M371" i="6" s="1"/>
  <c r="F370" i="6"/>
  <c r="E370" i="6"/>
  <c r="D370" i="6"/>
  <c r="C370" i="6"/>
  <c r="B370" i="6"/>
  <c r="A370" i="6"/>
  <c r="M370" i="6" s="1"/>
  <c r="F369" i="6"/>
  <c r="E369" i="6"/>
  <c r="D369" i="6"/>
  <c r="C369" i="6"/>
  <c r="B369" i="6"/>
  <c r="A369" i="6"/>
  <c r="F368" i="6"/>
  <c r="E368" i="6"/>
  <c r="D368" i="6"/>
  <c r="C368" i="6"/>
  <c r="B368" i="6"/>
  <c r="A368" i="6"/>
  <c r="M368" i="6" s="1"/>
  <c r="F367" i="6"/>
  <c r="E367" i="6"/>
  <c r="D367" i="6"/>
  <c r="C367" i="6"/>
  <c r="B367" i="6"/>
  <c r="A367" i="6"/>
  <c r="I367" i="6" s="1"/>
  <c r="M366" i="6"/>
  <c r="I366" i="6"/>
  <c r="F366" i="6"/>
  <c r="E366" i="6"/>
  <c r="D366" i="6"/>
  <c r="C366" i="6"/>
  <c r="B366" i="6"/>
  <c r="A366" i="6"/>
  <c r="K366" i="6" s="1"/>
  <c r="F365" i="6"/>
  <c r="E365" i="6"/>
  <c r="D365" i="6"/>
  <c r="C365" i="6"/>
  <c r="B365" i="6"/>
  <c r="A365" i="6"/>
  <c r="G365" i="6" s="1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K361" i="6" s="1"/>
  <c r="F360" i="6"/>
  <c r="E360" i="6"/>
  <c r="D360" i="6"/>
  <c r="C360" i="6"/>
  <c r="B360" i="6"/>
  <c r="A360" i="6"/>
  <c r="F359" i="6"/>
  <c r="E359" i="6"/>
  <c r="D359" i="6"/>
  <c r="C359" i="6"/>
  <c r="B359" i="6"/>
  <c r="A359" i="6"/>
  <c r="J358" i="6"/>
  <c r="H358" i="6"/>
  <c r="F358" i="6"/>
  <c r="E358" i="6"/>
  <c r="D358" i="6"/>
  <c r="C358" i="6"/>
  <c r="B358" i="6"/>
  <c r="A358" i="6"/>
  <c r="K358" i="6" s="1"/>
  <c r="F357" i="6"/>
  <c r="E357" i="6"/>
  <c r="D357" i="6"/>
  <c r="C357" i="6"/>
  <c r="B357" i="6"/>
  <c r="A357" i="6"/>
  <c r="F356" i="6"/>
  <c r="E356" i="6"/>
  <c r="D356" i="6"/>
  <c r="C356" i="6"/>
  <c r="B356" i="6"/>
  <c r="A356" i="6"/>
  <c r="K356" i="6" s="1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H352" i="6"/>
  <c r="F352" i="6"/>
  <c r="E352" i="6"/>
  <c r="D352" i="6"/>
  <c r="C352" i="6"/>
  <c r="B352" i="6"/>
  <c r="A352" i="6"/>
  <c r="I352" i="6" s="1"/>
  <c r="F351" i="6"/>
  <c r="E351" i="6"/>
  <c r="D351" i="6"/>
  <c r="C351" i="6"/>
  <c r="B351" i="6"/>
  <c r="A351" i="6"/>
  <c r="H351" i="6" s="1"/>
  <c r="H350" i="6"/>
  <c r="F350" i="6"/>
  <c r="E350" i="6"/>
  <c r="D350" i="6"/>
  <c r="C350" i="6"/>
  <c r="B350" i="6"/>
  <c r="A350" i="6"/>
  <c r="M350" i="6" s="1"/>
  <c r="F349" i="6"/>
  <c r="E349" i="6"/>
  <c r="D349" i="6"/>
  <c r="C349" i="6"/>
  <c r="B349" i="6"/>
  <c r="A349" i="6"/>
  <c r="K349" i="6" s="1"/>
  <c r="F348" i="6"/>
  <c r="E348" i="6"/>
  <c r="D348" i="6"/>
  <c r="C348" i="6"/>
  <c r="B348" i="6"/>
  <c r="A348" i="6"/>
  <c r="M348" i="6" s="1"/>
  <c r="J347" i="6"/>
  <c r="F347" i="6"/>
  <c r="E347" i="6"/>
  <c r="D347" i="6"/>
  <c r="C347" i="6"/>
  <c r="B347" i="6"/>
  <c r="A347" i="6"/>
  <c r="I347" i="6" s="1"/>
  <c r="F346" i="6"/>
  <c r="E346" i="6"/>
  <c r="D346" i="6"/>
  <c r="C346" i="6"/>
  <c r="B346" i="6"/>
  <c r="A346" i="6"/>
  <c r="F345" i="6"/>
  <c r="E345" i="6"/>
  <c r="D345" i="6"/>
  <c r="C345" i="6"/>
  <c r="B345" i="6"/>
  <c r="A345" i="6"/>
  <c r="K345" i="6" s="1"/>
  <c r="I344" i="6"/>
  <c r="F344" i="6"/>
  <c r="E344" i="6"/>
  <c r="D344" i="6"/>
  <c r="C344" i="6"/>
  <c r="B344" i="6"/>
  <c r="A344" i="6"/>
  <c r="H343" i="6"/>
  <c r="F343" i="6"/>
  <c r="E343" i="6"/>
  <c r="D343" i="6"/>
  <c r="C343" i="6"/>
  <c r="B343" i="6"/>
  <c r="A343" i="6"/>
  <c r="G343" i="6" s="1"/>
  <c r="F342" i="6"/>
  <c r="E342" i="6"/>
  <c r="D342" i="6"/>
  <c r="C342" i="6"/>
  <c r="B342" i="6"/>
  <c r="A342" i="6"/>
  <c r="I342" i="6" s="1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G339" i="6" s="1"/>
  <c r="F338" i="6"/>
  <c r="E338" i="6"/>
  <c r="D338" i="6"/>
  <c r="C338" i="6"/>
  <c r="B338" i="6"/>
  <c r="A338" i="6"/>
  <c r="J338" i="6" s="1"/>
  <c r="F337" i="6"/>
  <c r="E337" i="6"/>
  <c r="D337" i="6"/>
  <c r="C337" i="6"/>
  <c r="B337" i="6"/>
  <c r="A337" i="6"/>
  <c r="F336" i="6"/>
  <c r="E336" i="6"/>
  <c r="D336" i="6"/>
  <c r="C336" i="6"/>
  <c r="B336" i="6"/>
  <c r="A336" i="6"/>
  <c r="M336" i="6" s="1"/>
  <c r="M335" i="6"/>
  <c r="J335" i="6"/>
  <c r="H335" i="6"/>
  <c r="F335" i="6"/>
  <c r="E335" i="6"/>
  <c r="D335" i="6"/>
  <c r="C335" i="6"/>
  <c r="B335" i="6"/>
  <c r="A335" i="6"/>
  <c r="I335" i="6" s="1"/>
  <c r="F334" i="6"/>
  <c r="E334" i="6"/>
  <c r="D334" i="6"/>
  <c r="C334" i="6"/>
  <c r="B334" i="6"/>
  <c r="A334" i="6"/>
  <c r="M333" i="6"/>
  <c r="J333" i="6"/>
  <c r="H333" i="6"/>
  <c r="F333" i="6"/>
  <c r="E333" i="6"/>
  <c r="D333" i="6"/>
  <c r="C333" i="6"/>
  <c r="B333" i="6"/>
  <c r="A333" i="6"/>
  <c r="K333" i="6" s="1"/>
  <c r="I332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H331" i="6" s="1"/>
  <c r="F330" i="6"/>
  <c r="E330" i="6"/>
  <c r="D330" i="6"/>
  <c r="C330" i="6"/>
  <c r="B330" i="6"/>
  <c r="A330" i="6"/>
  <c r="H329" i="6"/>
  <c r="F329" i="6"/>
  <c r="E329" i="6"/>
  <c r="D329" i="6"/>
  <c r="C329" i="6"/>
  <c r="B329" i="6"/>
  <c r="A329" i="6"/>
  <c r="J329" i="6" s="1"/>
  <c r="I328" i="6"/>
  <c r="F328" i="6"/>
  <c r="E328" i="6"/>
  <c r="D328" i="6"/>
  <c r="C328" i="6"/>
  <c r="B328" i="6"/>
  <c r="A328" i="6"/>
  <c r="G328" i="6" s="1"/>
  <c r="F327" i="6"/>
  <c r="E327" i="6"/>
  <c r="D327" i="6"/>
  <c r="C327" i="6"/>
  <c r="B327" i="6"/>
  <c r="A327" i="6"/>
  <c r="H327" i="6" s="1"/>
  <c r="I326" i="6"/>
  <c r="F326" i="6"/>
  <c r="E326" i="6"/>
  <c r="D326" i="6"/>
  <c r="C326" i="6"/>
  <c r="B326" i="6"/>
  <c r="A326" i="6"/>
  <c r="G326" i="6" s="1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K321" i="6"/>
  <c r="I321" i="6"/>
  <c r="F321" i="6"/>
  <c r="E321" i="6"/>
  <c r="D321" i="6"/>
  <c r="C321" i="6"/>
  <c r="B321" i="6"/>
  <c r="A321" i="6"/>
  <c r="G321" i="6" s="1"/>
  <c r="F320" i="6"/>
  <c r="E320" i="6"/>
  <c r="D320" i="6"/>
  <c r="C320" i="6"/>
  <c r="B320" i="6"/>
  <c r="A320" i="6"/>
  <c r="I320" i="6" s="1"/>
  <c r="M319" i="6"/>
  <c r="J319" i="6"/>
  <c r="H319" i="6"/>
  <c r="F319" i="6"/>
  <c r="E319" i="6"/>
  <c r="D319" i="6"/>
  <c r="C319" i="6"/>
  <c r="B319" i="6"/>
  <c r="A319" i="6"/>
  <c r="K319" i="6" s="1"/>
  <c r="F318" i="6"/>
  <c r="E318" i="6"/>
  <c r="D318" i="6"/>
  <c r="C318" i="6"/>
  <c r="B318" i="6"/>
  <c r="A318" i="6"/>
  <c r="F317" i="6"/>
  <c r="E317" i="6"/>
  <c r="D317" i="6"/>
  <c r="C317" i="6"/>
  <c r="B317" i="6"/>
  <c r="A317" i="6"/>
  <c r="H317" i="6" s="1"/>
  <c r="M316" i="6"/>
  <c r="F316" i="6"/>
  <c r="E316" i="6"/>
  <c r="D316" i="6"/>
  <c r="C316" i="6"/>
  <c r="B316" i="6"/>
  <c r="A316" i="6"/>
  <c r="H315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M314" i="6" s="1"/>
  <c r="F313" i="6"/>
  <c r="E313" i="6"/>
  <c r="D313" i="6"/>
  <c r="C313" i="6"/>
  <c r="B313" i="6"/>
  <c r="A313" i="6"/>
  <c r="F312" i="6"/>
  <c r="E312" i="6"/>
  <c r="D312" i="6"/>
  <c r="C312" i="6"/>
  <c r="B312" i="6"/>
  <c r="A312" i="6"/>
  <c r="M311" i="6"/>
  <c r="J311" i="6"/>
  <c r="H311" i="6"/>
  <c r="F311" i="6"/>
  <c r="E311" i="6"/>
  <c r="D311" i="6"/>
  <c r="C311" i="6"/>
  <c r="B311" i="6"/>
  <c r="A311" i="6"/>
  <c r="K311" i="6" s="1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K306" i="6"/>
  <c r="J306" i="6"/>
  <c r="F306" i="6"/>
  <c r="E306" i="6"/>
  <c r="D306" i="6"/>
  <c r="C306" i="6"/>
  <c r="B306" i="6"/>
  <c r="A306" i="6"/>
  <c r="G306" i="6" s="1"/>
  <c r="F305" i="6"/>
  <c r="E305" i="6"/>
  <c r="D305" i="6"/>
  <c r="C305" i="6"/>
  <c r="B305" i="6"/>
  <c r="A305" i="6"/>
  <c r="M304" i="6"/>
  <c r="H304" i="6"/>
  <c r="F304" i="6"/>
  <c r="E304" i="6"/>
  <c r="D304" i="6"/>
  <c r="C304" i="6"/>
  <c r="B304" i="6"/>
  <c r="A304" i="6"/>
  <c r="G304" i="6" s="1"/>
  <c r="F303" i="6"/>
  <c r="E303" i="6"/>
  <c r="D303" i="6"/>
  <c r="C303" i="6"/>
  <c r="B303" i="6"/>
  <c r="A303" i="6"/>
  <c r="K302" i="6"/>
  <c r="I302" i="6"/>
  <c r="F302" i="6"/>
  <c r="E302" i="6"/>
  <c r="D302" i="6"/>
  <c r="C302" i="6"/>
  <c r="B302" i="6"/>
  <c r="A302" i="6"/>
  <c r="G302" i="6" s="1"/>
  <c r="I301" i="6"/>
  <c r="F301" i="6"/>
  <c r="E301" i="6"/>
  <c r="D301" i="6"/>
  <c r="C301" i="6"/>
  <c r="B301" i="6"/>
  <c r="A301" i="6"/>
  <c r="G301" i="6" s="1"/>
  <c r="F300" i="6"/>
  <c r="E300" i="6"/>
  <c r="D300" i="6"/>
  <c r="C300" i="6"/>
  <c r="B300" i="6"/>
  <c r="A300" i="6"/>
  <c r="G300" i="6" s="1"/>
  <c r="F299" i="6"/>
  <c r="E299" i="6"/>
  <c r="D299" i="6"/>
  <c r="C299" i="6"/>
  <c r="B299" i="6"/>
  <c r="A299" i="6"/>
  <c r="M298" i="6"/>
  <c r="H298" i="6"/>
  <c r="F298" i="6"/>
  <c r="E298" i="6"/>
  <c r="D298" i="6"/>
  <c r="C298" i="6"/>
  <c r="B298" i="6"/>
  <c r="A298" i="6"/>
  <c r="G298" i="6" s="1"/>
  <c r="G297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K295" i="6" s="1"/>
  <c r="M294" i="6"/>
  <c r="K294" i="6"/>
  <c r="I294" i="6"/>
  <c r="H294" i="6"/>
  <c r="F294" i="6"/>
  <c r="E294" i="6"/>
  <c r="D294" i="6"/>
  <c r="C294" i="6"/>
  <c r="B294" i="6"/>
  <c r="A294" i="6"/>
  <c r="G294" i="6" s="1"/>
  <c r="G293" i="6"/>
  <c r="F293" i="6"/>
  <c r="E293" i="6"/>
  <c r="D293" i="6"/>
  <c r="C293" i="6"/>
  <c r="B293" i="6"/>
  <c r="A293" i="6"/>
  <c r="K293" i="6" s="1"/>
  <c r="F292" i="6"/>
  <c r="E292" i="6"/>
  <c r="D292" i="6"/>
  <c r="C292" i="6"/>
  <c r="B292" i="6"/>
  <c r="A292" i="6"/>
  <c r="J292" i="6" s="1"/>
  <c r="K291" i="6"/>
  <c r="I291" i="6"/>
  <c r="F291" i="6"/>
  <c r="E291" i="6"/>
  <c r="D291" i="6"/>
  <c r="C291" i="6"/>
  <c r="B291" i="6"/>
  <c r="A291" i="6"/>
  <c r="G291" i="6" s="1"/>
  <c r="F290" i="6"/>
  <c r="E290" i="6"/>
  <c r="D290" i="6"/>
  <c r="C290" i="6"/>
  <c r="B290" i="6"/>
  <c r="A290" i="6"/>
  <c r="I290" i="6" s="1"/>
  <c r="M289" i="6"/>
  <c r="J289" i="6"/>
  <c r="H289" i="6"/>
  <c r="F289" i="6"/>
  <c r="E289" i="6"/>
  <c r="D289" i="6"/>
  <c r="C289" i="6"/>
  <c r="B289" i="6"/>
  <c r="A289" i="6"/>
  <c r="I289" i="6" s="1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H285" i="6" s="1"/>
  <c r="F284" i="6"/>
  <c r="E284" i="6"/>
  <c r="D284" i="6"/>
  <c r="C284" i="6"/>
  <c r="B284" i="6"/>
  <c r="A284" i="6"/>
  <c r="M284" i="6" s="1"/>
  <c r="F283" i="6"/>
  <c r="E283" i="6"/>
  <c r="D283" i="6"/>
  <c r="C283" i="6"/>
  <c r="B283" i="6"/>
  <c r="A283" i="6"/>
  <c r="F282" i="6"/>
  <c r="E282" i="6"/>
  <c r="D282" i="6"/>
  <c r="C282" i="6"/>
  <c r="B282" i="6"/>
  <c r="A282" i="6"/>
  <c r="M281" i="6"/>
  <c r="J281" i="6"/>
  <c r="H281" i="6"/>
  <c r="F281" i="6"/>
  <c r="E281" i="6"/>
  <c r="D281" i="6"/>
  <c r="C281" i="6"/>
  <c r="B281" i="6"/>
  <c r="A281" i="6"/>
  <c r="I281" i="6" s="1"/>
  <c r="F280" i="6"/>
  <c r="E280" i="6"/>
  <c r="D280" i="6"/>
  <c r="C280" i="6"/>
  <c r="B280" i="6"/>
  <c r="A280" i="6"/>
  <c r="I280" i="6" s="1"/>
  <c r="F279" i="6"/>
  <c r="E279" i="6"/>
  <c r="D279" i="6"/>
  <c r="C279" i="6"/>
  <c r="B279" i="6"/>
  <c r="A279" i="6"/>
  <c r="F278" i="6"/>
  <c r="E278" i="6"/>
  <c r="D278" i="6"/>
  <c r="C278" i="6"/>
  <c r="B278" i="6"/>
  <c r="A278" i="6"/>
  <c r="G278" i="6" s="1"/>
  <c r="M277" i="6"/>
  <c r="J277" i="6"/>
  <c r="H277" i="6"/>
  <c r="F277" i="6"/>
  <c r="E277" i="6"/>
  <c r="D277" i="6"/>
  <c r="C277" i="6"/>
  <c r="B277" i="6"/>
  <c r="A277" i="6"/>
  <c r="K277" i="6" s="1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M271" i="6" s="1"/>
  <c r="F270" i="6"/>
  <c r="E270" i="6"/>
  <c r="D270" i="6"/>
  <c r="C270" i="6"/>
  <c r="B270" i="6"/>
  <c r="A270" i="6"/>
  <c r="H270" i="6" s="1"/>
  <c r="M269" i="6"/>
  <c r="J269" i="6"/>
  <c r="H269" i="6"/>
  <c r="F269" i="6"/>
  <c r="E269" i="6"/>
  <c r="D269" i="6"/>
  <c r="C269" i="6"/>
  <c r="B269" i="6"/>
  <c r="A269" i="6"/>
  <c r="K269" i="6" s="1"/>
  <c r="M268" i="6"/>
  <c r="F268" i="6"/>
  <c r="E268" i="6"/>
  <c r="D268" i="6"/>
  <c r="C268" i="6"/>
  <c r="B268" i="6"/>
  <c r="A268" i="6"/>
  <c r="K267" i="6"/>
  <c r="G267" i="6"/>
  <c r="F267" i="6"/>
  <c r="E267" i="6"/>
  <c r="D267" i="6"/>
  <c r="C267" i="6"/>
  <c r="B267" i="6"/>
  <c r="A267" i="6"/>
  <c r="J267" i="6" s="1"/>
  <c r="F266" i="6"/>
  <c r="E266" i="6"/>
  <c r="D266" i="6"/>
  <c r="C266" i="6"/>
  <c r="B266" i="6"/>
  <c r="A266" i="6"/>
  <c r="M266" i="6" s="1"/>
  <c r="M265" i="6"/>
  <c r="I265" i="6"/>
  <c r="F265" i="6"/>
  <c r="E265" i="6"/>
  <c r="D265" i="6"/>
  <c r="C265" i="6"/>
  <c r="B265" i="6"/>
  <c r="A265" i="6"/>
  <c r="G265" i="6" s="1"/>
  <c r="F264" i="6"/>
  <c r="E264" i="6"/>
  <c r="D264" i="6"/>
  <c r="C264" i="6"/>
  <c r="B264" i="6"/>
  <c r="A264" i="6"/>
  <c r="F263" i="6"/>
  <c r="E263" i="6"/>
  <c r="D263" i="6"/>
  <c r="C263" i="6"/>
  <c r="B263" i="6"/>
  <c r="A263" i="6"/>
  <c r="K263" i="6" s="1"/>
  <c r="I262" i="6"/>
  <c r="F262" i="6"/>
  <c r="E262" i="6"/>
  <c r="D262" i="6"/>
  <c r="C262" i="6"/>
  <c r="B262" i="6"/>
  <c r="A262" i="6"/>
  <c r="M262" i="6" s="1"/>
  <c r="F261" i="6"/>
  <c r="E261" i="6"/>
  <c r="D261" i="6"/>
  <c r="C261" i="6"/>
  <c r="B261" i="6"/>
  <c r="A261" i="6"/>
  <c r="I261" i="6" s="1"/>
  <c r="F260" i="6"/>
  <c r="E260" i="6"/>
  <c r="D260" i="6"/>
  <c r="C260" i="6"/>
  <c r="B260" i="6"/>
  <c r="A260" i="6"/>
  <c r="I260" i="6" s="1"/>
  <c r="K259" i="6"/>
  <c r="F259" i="6"/>
  <c r="E259" i="6"/>
  <c r="D259" i="6"/>
  <c r="C259" i="6"/>
  <c r="B259" i="6"/>
  <c r="A259" i="6"/>
  <c r="J259" i="6" s="1"/>
  <c r="F258" i="6"/>
  <c r="E258" i="6"/>
  <c r="D258" i="6"/>
  <c r="C258" i="6"/>
  <c r="B258" i="6"/>
  <c r="A258" i="6"/>
  <c r="M257" i="6"/>
  <c r="J257" i="6"/>
  <c r="H257" i="6"/>
  <c r="F257" i="6"/>
  <c r="E257" i="6"/>
  <c r="D257" i="6"/>
  <c r="C257" i="6"/>
  <c r="B257" i="6"/>
  <c r="A257" i="6"/>
  <c r="I257" i="6" s="1"/>
  <c r="F256" i="6"/>
  <c r="E256" i="6"/>
  <c r="D256" i="6"/>
  <c r="C256" i="6"/>
  <c r="B256" i="6"/>
  <c r="A256" i="6"/>
  <c r="G255" i="6"/>
  <c r="F255" i="6"/>
  <c r="E255" i="6"/>
  <c r="D255" i="6"/>
  <c r="C255" i="6"/>
  <c r="B255" i="6"/>
  <c r="A255" i="6"/>
  <c r="K254" i="6"/>
  <c r="H254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I251" i="6"/>
  <c r="F251" i="6"/>
  <c r="E251" i="6"/>
  <c r="D251" i="6"/>
  <c r="C251" i="6"/>
  <c r="B251" i="6"/>
  <c r="A251" i="6"/>
  <c r="K251" i="6" s="1"/>
  <c r="M250" i="6"/>
  <c r="F250" i="6"/>
  <c r="E250" i="6"/>
  <c r="D250" i="6"/>
  <c r="C250" i="6"/>
  <c r="B250" i="6"/>
  <c r="A250" i="6"/>
  <c r="H249" i="6"/>
  <c r="F249" i="6"/>
  <c r="E249" i="6"/>
  <c r="D249" i="6"/>
  <c r="C249" i="6"/>
  <c r="B249" i="6"/>
  <c r="A249" i="6"/>
  <c r="J249" i="6" s="1"/>
  <c r="F248" i="6"/>
  <c r="E248" i="6"/>
  <c r="D248" i="6"/>
  <c r="C248" i="6"/>
  <c r="B248" i="6"/>
  <c r="A248" i="6"/>
  <c r="G248" i="6" s="1"/>
  <c r="F247" i="6"/>
  <c r="E247" i="6"/>
  <c r="D247" i="6"/>
  <c r="C247" i="6"/>
  <c r="B247" i="6"/>
  <c r="A247" i="6"/>
  <c r="H247" i="6" s="1"/>
  <c r="K246" i="6"/>
  <c r="I246" i="6"/>
  <c r="H246" i="6"/>
  <c r="F246" i="6"/>
  <c r="E246" i="6"/>
  <c r="D246" i="6"/>
  <c r="C246" i="6"/>
  <c r="B246" i="6"/>
  <c r="A246" i="6"/>
  <c r="G246" i="6" s="1"/>
  <c r="F245" i="6"/>
  <c r="E245" i="6"/>
  <c r="D245" i="6"/>
  <c r="C245" i="6"/>
  <c r="B245" i="6"/>
  <c r="A245" i="6"/>
  <c r="J244" i="6"/>
  <c r="F244" i="6"/>
  <c r="E244" i="6"/>
  <c r="D244" i="6"/>
  <c r="C244" i="6"/>
  <c r="B244" i="6"/>
  <c r="A244" i="6"/>
  <c r="M244" i="6" s="1"/>
  <c r="F243" i="6"/>
  <c r="E243" i="6"/>
  <c r="D243" i="6"/>
  <c r="C243" i="6"/>
  <c r="B243" i="6"/>
  <c r="A243" i="6"/>
  <c r="I242" i="6"/>
  <c r="G242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K241" i="6" s="1"/>
  <c r="M240" i="6"/>
  <c r="J240" i="6"/>
  <c r="H240" i="6"/>
  <c r="F240" i="6"/>
  <c r="E240" i="6"/>
  <c r="D240" i="6"/>
  <c r="C240" i="6"/>
  <c r="B240" i="6"/>
  <c r="A240" i="6"/>
  <c r="K240" i="6" s="1"/>
  <c r="F239" i="6"/>
  <c r="E239" i="6"/>
  <c r="D239" i="6"/>
  <c r="C239" i="6"/>
  <c r="B239" i="6"/>
  <c r="A239" i="6"/>
  <c r="K239" i="6" s="1"/>
  <c r="M238" i="6"/>
  <c r="K238" i="6"/>
  <c r="H238" i="6"/>
  <c r="G238" i="6"/>
  <c r="F238" i="6"/>
  <c r="E238" i="6"/>
  <c r="D238" i="6"/>
  <c r="C238" i="6"/>
  <c r="B238" i="6"/>
  <c r="A238" i="6"/>
  <c r="I238" i="6" s="1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K235" i="6" s="1"/>
  <c r="M234" i="6"/>
  <c r="K234" i="6"/>
  <c r="J234" i="6"/>
  <c r="H234" i="6"/>
  <c r="G234" i="6"/>
  <c r="F234" i="6"/>
  <c r="E234" i="6"/>
  <c r="D234" i="6"/>
  <c r="C234" i="6"/>
  <c r="B234" i="6"/>
  <c r="A234" i="6"/>
  <c r="I234" i="6" s="1"/>
  <c r="K233" i="6"/>
  <c r="F233" i="6"/>
  <c r="E233" i="6"/>
  <c r="D233" i="6"/>
  <c r="C233" i="6"/>
  <c r="B233" i="6"/>
  <c r="A233" i="6"/>
  <c r="K232" i="6"/>
  <c r="J232" i="6"/>
  <c r="G232" i="6"/>
  <c r="F232" i="6"/>
  <c r="E232" i="6"/>
  <c r="D232" i="6"/>
  <c r="C232" i="6"/>
  <c r="B232" i="6"/>
  <c r="A232" i="6"/>
  <c r="I232" i="6" s="1"/>
  <c r="F231" i="6"/>
  <c r="E231" i="6"/>
  <c r="D231" i="6"/>
  <c r="C231" i="6"/>
  <c r="B231" i="6"/>
  <c r="A231" i="6"/>
  <c r="K231" i="6" s="1"/>
  <c r="J230" i="6"/>
  <c r="F230" i="6"/>
  <c r="E230" i="6"/>
  <c r="D230" i="6"/>
  <c r="C230" i="6"/>
  <c r="B230" i="6"/>
  <c r="A230" i="6"/>
  <c r="M228" i="6"/>
  <c r="M224" i="6"/>
  <c r="F215" i="6"/>
  <c r="E215" i="6"/>
  <c r="D215" i="6"/>
  <c r="C215" i="6"/>
  <c r="B215" i="6"/>
  <c r="A215" i="6"/>
  <c r="M214" i="6"/>
  <c r="K214" i="6"/>
  <c r="H214" i="6"/>
  <c r="G214" i="6"/>
  <c r="F214" i="6"/>
  <c r="E214" i="6"/>
  <c r="D214" i="6"/>
  <c r="C214" i="6"/>
  <c r="B214" i="6"/>
  <c r="A214" i="6"/>
  <c r="J214" i="6" s="1"/>
  <c r="K213" i="6"/>
  <c r="F213" i="6"/>
  <c r="E213" i="6"/>
  <c r="D213" i="6"/>
  <c r="C213" i="6"/>
  <c r="B213" i="6"/>
  <c r="A213" i="6"/>
  <c r="K212" i="6"/>
  <c r="J212" i="6"/>
  <c r="G212" i="6"/>
  <c r="F212" i="6"/>
  <c r="E212" i="6"/>
  <c r="D212" i="6"/>
  <c r="C212" i="6"/>
  <c r="B212" i="6"/>
  <c r="A212" i="6"/>
  <c r="I212" i="6" s="1"/>
  <c r="F211" i="6"/>
  <c r="E211" i="6"/>
  <c r="D211" i="6"/>
  <c r="C211" i="6"/>
  <c r="B211" i="6"/>
  <c r="A211" i="6"/>
  <c r="F210" i="6"/>
  <c r="E210" i="6"/>
  <c r="D210" i="6"/>
  <c r="C210" i="6"/>
  <c r="B210" i="6"/>
  <c r="A210" i="6"/>
  <c r="K209" i="6"/>
  <c r="F209" i="6"/>
  <c r="E209" i="6"/>
  <c r="D209" i="6"/>
  <c r="C209" i="6"/>
  <c r="B209" i="6"/>
  <c r="A209" i="6"/>
  <c r="M208" i="6"/>
  <c r="K208" i="6"/>
  <c r="H208" i="6"/>
  <c r="G208" i="6"/>
  <c r="F208" i="6"/>
  <c r="E208" i="6"/>
  <c r="D208" i="6"/>
  <c r="C208" i="6"/>
  <c r="B208" i="6"/>
  <c r="A208" i="6"/>
  <c r="J208" i="6" s="1"/>
  <c r="F207" i="6"/>
  <c r="E207" i="6"/>
  <c r="D207" i="6"/>
  <c r="C207" i="6"/>
  <c r="B207" i="6"/>
  <c r="A207" i="6"/>
  <c r="J206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M204" i="6"/>
  <c r="K204" i="6"/>
  <c r="H204" i="6"/>
  <c r="G204" i="6"/>
  <c r="F204" i="6"/>
  <c r="E204" i="6"/>
  <c r="D204" i="6"/>
  <c r="C204" i="6"/>
  <c r="B204" i="6"/>
  <c r="A204" i="6"/>
  <c r="J204" i="6" s="1"/>
  <c r="K203" i="6"/>
  <c r="F203" i="6"/>
  <c r="E203" i="6"/>
  <c r="D203" i="6"/>
  <c r="C203" i="6"/>
  <c r="B203" i="6"/>
  <c r="A203" i="6"/>
  <c r="K202" i="6"/>
  <c r="J202" i="6"/>
  <c r="G202" i="6"/>
  <c r="F202" i="6"/>
  <c r="E202" i="6"/>
  <c r="D202" i="6"/>
  <c r="C202" i="6"/>
  <c r="B202" i="6"/>
  <c r="A202" i="6"/>
  <c r="I202" i="6" s="1"/>
  <c r="F201" i="6"/>
  <c r="E201" i="6"/>
  <c r="D201" i="6"/>
  <c r="C201" i="6"/>
  <c r="B201" i="6"/>
  <c r="A201" i="6"/>
  <c r="I200" i="6"/>
  <c r="H200" i="6"/>
  <c r="F200" i="6"/>
  <c r="E200" i="6"/>
  <c r="D200" i="6"/>
  <c r="C200" i="6"/>
  <c r="B200" i="6"/>
  <c r="A200" i="6"/>
  <c r="H199" i="6"/>
  <c r="F199" i="6"/>
  <c r="E199" i="6"/>
  <c r="D199" i="6"/>
  <c r="C199" i="6"/>
  <c r="B199" i="6"/>
  <c r="A199" i="6"/>
  <c r="M198" i="6"/>
  <c r="K198" i="6"/>
  <c r="H198" i="6"/>
  <c r="G198" i="6"/>
  <c r="F198" i="6"/>
  <c r="E198" i="6"/>
  <c r="D198" i="6"/>
  <c r="C198" i="6"/>
  <c r="B198" i="6"/>
  <c r="A198" i="6"/>
  <c r="J198" i="6" s="1"/>
  <c r="H197" i="6"/>
  <c r="F197" i="6"/>
  <c r="E197" i="6"/>
  <c r="D197" i="6"/>
  <c r="C197" i="6"/>
  <c r="B197" i="6"/>
  <c r="A197" i="6"/>
  <c r="K196" i="6"/>
  <c r="J196" i="6"/>
  <c r="G196" i="6"/>
  <c r="F196" i="6"/>
  <c r="E196" i="6"/>
  <c r="D196" i="6"/>
  <c r="C196" i="6"/>
  <c r="B196" i="6"/>
  <c r="A196" i="6"/>
  <c r="I196" i="6" s="1"/>
  <c r="F195" i="6"/>
  <c r="E195" i="6"/>
  <c r="D195" i="6"/>
  <c r="C195" i="6"/>
  <c r="B195" i="6"/>
  <c r="A195" i="6"/>
  <c r="I194" i="6"/>
  <c r="H194" i="6"/>
  <c r="F194" i="6"/>
  <c r="E194" i="6"/>
  <c r="D194" i="6"/>
  <c r="C194" i="6"/>
  <c r="B194" i="6"/>
  <c r="A194" i="6"/>
  <c r="K193" i="6"/>
  <c r="F193" i="6"/>
  <c r="E193" i="6"/>
  <c r="D193" i="6"/>
  <c r="C193" i="6"/>
  <c r="B193" i="6"/>
  <c r="A193" i="6"/>
  <c r="H193" i="6" s="1"/>
  <c r="I192" i="6"/>
  <c r="H192" i="6"/>
  <c r="F192" i="6"/>
  <c r="E192" i="6"/>
  <c r="D192" i="6"/>
  <c r="C192" i="6"/>
  <c r="B192" i="6"/>
  <c r="A192" i="6"/>
  <c r="K191" i="6"/>
  <c r="F191" i="6"/>
  <c r="E191" i="6"/>
  <c r="D191" i="6"/>
  <c r="C191" i="6"/>
  <c r="B191" i="6"/>
  <c r="A191" i="6"/>
  <c r="H191" i="6" s="1"/>
  <c r="I190" i="6"/>
  <c r="H190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K189" i="6" s="1"/>
  <c r="K188" i="6"/>
  <c r="J188" i="6"/>
  <c r="G188" i="6"/>
  <c r="F188" i="6"/>
  <c r="E188" i="6"/>
  <c r="D188" i="6"/>
  <c r="C188" i="6"/>
  <c r="B188" i="6"/>
  <c r="A188" i="6"/>
  <c r="I188" i="6" s="1"/>
  <c r="F187" i="6"/>
  <c r="E187" i="6"/>
  <c r="D187" i="6"/>
  <c r="C187" i="6"/>
  <c r="B187" i="6"/>
  <c r="A187" i="6"/>
  <c r="H187" i="6" s="1"/>
  <c r="J186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H185" i="6" s="1"/>
  <c r="I184" i="6"/>
  <c r="H184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K182" i="6"/>
  <c r="J182" i="6"/>
  <c r="G182" i="6"/>
  <c r="F182" i="6"/>
  <c r="E182" i="6"/>
  <c r="D182" i="6"/>
  <c r="C182" i="6"/>
  <c r="B182" i="6"/>
  <c r="A182" i="6"/>
  <c r="I182" i="6" s="1"/>
  <c r="H181" i="6"/>
  <c r="F181" i="6"/>
  <c r="E181" i="6"/>
  <c r="D181" i="6"/>
  <c r="C181" i="6"/>
  <c r="B181" i="6"/>
  <c r="A181" i="6"/>
  <c r="K181" i="6" s="1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K176" i="6"/>
  <c r="F176" i="6"/>
  <c r="E176" i="6"/>
  <c r="D176" i="6"/>
  <c r="C176" i="6"/>
  <c r="B176" i="6"/>
  <c r="A176" i="6"/>
  <c r="J176" i="6" s="1"/>
  <c r="F175" i="6"/>
  <c r="E175" i="6"/>
  <c r="D175" i="6"/>
  <c r="C175" i="6"/>
  <c r="B175" i="6"/>
  <c r="A175" i="6"/>
  <c r="H175" i="6" s="1"/>
  <c r="J174" i="6"/>
  <c r="I174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M172" i="6"/>
  <c r="K172" i="6"/>
  <c r="H172" i="6"/>
  <c r="G172" i="6"/>
  <c r="F172" i="6"/>
  <c r="E172" i="6"/>
  <c r="D172" i="6"/>
  <c r="C172" i="6"/>
  <c r="B172" i="6"/>
  <c r="A172" i="6"/>
  <c r="J172" i="6" s="1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M169" i="6" s="1"/>
  <c r="J168" i="6"/>
  <c r="I168" i="6"/>
  <c r="F168" i="6"/>
  <c r="E168" i="6"/>
  <c r="D168" i="6"/>
  <c r="C168" i="6"/>
  <c r="B168" i="6"/>
  <c r="A168" i="6"/>
  <c r="M168" i="6" s="1"/>
  <c r="G167" i="6"/>
  <c r="F167" i="6"/>
  <c r="E167" i="6"/>
  <c r="D167" i="6"/>
  <c r="C167" i="6"/>
  <c r="B167" i="6"/>
  <c r="A167" i="6"/>
  <c r="M167" i="6" s="1"/>
  <c r="F166" i="6"/>
  <c r="E166" i="6"/>
  <c r="D166" i="6"/>
  <c r="C166" i="6"/>
  <c r="B166" i="6"/>
  <c r="A166" i="6"/>
  <c r="M166" i="6" s="1"/>
  <c r="M165" i="6"/>
  <c r="F165" i="6"/>
  <c r="E165" i="6"/>
  <c r="D165" i="6"/>
  <c r="C165" i="6"/>
  <c r="B165" i="6"/>
  <c r="A165" i="6"/>
  <c r="K165" i="6" s="1"/>
  <c r="G164" i="6"/>
  <c r="F164" i="6"/>
  <c r="E164" i="6"/>
  <c r="D164" i="6"/>
  <c r="C164" i="6"/>
  <c r="B164" i="6"/>
  <c r="A164" i="6"/>
  <c r="M164" i="6" s="1"/>
  <c r="F163" i="6"/>
  <c r="E163" i="6"/>
  <c r="D163" i="6"/>
  <c r="C163" i="6"/>
  <c r="B163" i="6"/>
  <c r="A163" i="6"/>
  <c r="F162" i="6"/>
  <c r="E162" i="6"/>
  <c r="D162" i="6"/>
  <c r="C162" i="6"/>
  <c r="B162" i="6"/>
  <c r="A162" i="6"/>
  <c r="M162" i="6" s="1"/>
  <c r="F161" i="6"/>
  <c r="E161" i="6"/>
  <c r="D161" i="6"/>
  <c r="C161" i="6"/>
  <c r="B161" i="6"/>
  <c r="A161" i="6"/>
  <c r="F160" i="6"/>
  <c r="E160" i="6"/>
  <c r="D160" i="6"/>
  <c r="C160" i="6"/>
  <c r="B160" i="6"/>
  <c r="A160" i="6"/>
  <c r="H160" i="6" s="1"/>
  <c r="K159" i="6"/>
  <c r="F159" i="6"/>
  <c r="E159" i="6"/>
  <c r="D159" i="6"/>
  <c r="C159" i="6"/>
  <c r="B159" i="6"/>
  <c r="A159" i="6"/>
  <c r="G159" i="6" s="1"/>
  <c r="F158" i="6"/>
  <c r="E158" i="6"/>
  <c r="D158" i="6"/>
  <c r="C158" i="6"/>
  <c r="B158" i="6"/>
  <c r="A158" i="6"/>
  <c r="H158" i="6" s="1"/>
  <c r="M157" i="6"/>
  <c r="G157" i="6"/>
  <c r="F157" i="6"/>
  <c r="E157" i="6"/>
  <c r="D157" i="6"/>
  <c r="C157" i="6"/>
  <c r="B157" i="6"/>
  <c r="A157" i="6"/>
  <c r="K157" i="6" s="1"/>
  <c r="F156" i="6"/>
  <c r="E156" i="6"/>
  <c r="D156" i="6"/>
  <c r="C156" i="6"/>
  <c r="B156" i="6"/>
  <c r="A156" i="6"/>
  <c r="M156" i="6" s="1"/>
  <c r="F155" i="6"/>
  <c r="E155" i="6"/>
  <c r="D155" i="6"/>
  <c r="C155" i="6"/>
  <c r="B155" i="6"/>
  <c r="A155" i="6"/>
  <c r="F154" i="6"/>
  <c r="E154" i="6"/>
  <c r="D154" i="6"/>
  <c r="C154" i="6"/>
  <c r="B154" i="6"/>
  <c r="A154" i="6"/>
  <c r="I154" i="6" s="1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M150" i="6" s="1"/>
  <c r="F149" i="6"/>
  <c r="E149" i="6"/>
  <c r="D149" i="6"/>
  <c r="C149" i="6"/>
  <c r="B149" i="6"/>
  <c r="A149" i="6"/>
  <c r="H149" i="6" s="1"/>
  <c r="F148" i="6"/>
  <c r="E148" i="6"/>
  <c r="D148" i="6"/>
  <c r="C148" i="6"/>
  <c r="B148" i="6"/>
  <c r="A148" i="6"/>
  <c r="K148" i="6" s="1"/>
  <c r="F147" i="6"/>
  <c r="E147" i="6"/>
  <c r="D147" i="6"/>
  <c r="C147" i="6"/>
  <c r="B147" i="6"/>
  <c r="A147" i="6"/>
  <c r="K147" i="6" s="1"/>
  <c r="F146" i="6"/>
  <c r="E146" i="6"/>
  <c r="D146" i="6"/>
  <c r="C146" i="6"/>
  <c r="B146" i="6"/>
  <c r="A146" i="6"/>
  <c r="F145" i="6"/>
  <c r="E145" i="6"/>
  <c r="D145" i="6"/>
  <c r="C145" i="6"/>
  <c r="B145" i="6"/>
  <c r="A145" i="6"/>
  <c r="K144" i="6"/>
  <c r="H144" i="6"/>
  <c r="G144" i="6"/>
  <c r="F144" i="6"/>
  <c r="E144" i="6"/>
  <c r="D144" i="6"/>
  <c r="C144" i="6"/>
  <c r="B144" i="6"/>
  <c r="A144" i="6"/>
  <c r="M144" i="6" s="1"/>
  <c r="F143" i="6"/>
  <c r="E143" i="6"/>
  <c r="D143" i="6"/>
  <c r="C143" i="6"/>
  <c r="B143" i="6"/>
  <c r="A143" i="6"/>
  <c r="H143" i="6" s="1"/>
  <c r="F142" i="6"/>
  <c r="E142" i="6"/>
  <c r="D142" i="6"/>
  <c r="C142" i="6"/>
  <c r="B142" i="6"/>
  <c r="A142" i="6"/>
  <c r="M142" i="6" s="1"/>
  <c r="F141" i="6"/>
  <c r="E141" i="6"/>
  <c r="D141" i="6"/>
  <c r="C141" i="6"/>
  <c r="B141" i="6"/>
  <c r="A141" i="6"/>
  <c r="F140" i="6"/>
  <c r="E140" i="6"/>
  <c r="D140" i="6"/>
  <c r="C140" i="6"/>
  <c r="B140" i="6"/>
  <c r="A140" i="6"/>
  <c r="M140" i="6" s="1"/>
  <c r="F139" i="6"/>
  <c r="E139" i="6"/>
  <c r="D139" i="6"/>
  <c r="C139" i="6"/>
  <c r="B139" i="6"/>
  <c r="A139" i="6"/>
  <c r="M139" i="6" s="1"/>
  <c r="F138" i="6"/>
  <c r="E138" i="6"/>
  <c r="D138" i="6"/>
  <c r="C138" i="6"/>
  <c r="B138" i="6"/>
  <c r="A138" i="6"/>
  <c r="M138" i="6" s="1"/>
  <c r="M137" i="6"/>
  <c r="F137" i="6"/>
  <c r="E137" i="6"/>
  <c r="D137" i="6"/>
  <c r="C137" i="6"/>
  <c r="B137" i="6"/>
  <c r="A137" i="6"/>
  <c r="K137" i="6" s="1"/>
  <c r="F136" i="6"/>
  <c r="E136" i="6"/>
  <c r="D136" i="6"/>
  <c r="C136" i="6"/>
  <c r="B136" i="6"/>
  <c r="A136" i="6"/>
  <c r="G136" i="6" s="1"/>
  <c r="F135" i="6"/>
  <c r="E135" i="6"/>
  <c r="D135" i="6"/>
  <c r="C135" i="6"/>
  <c r="B135" i="6"/>
  <c r="A135" i="6"/>
  <c r="F134" i="6"/>
  <c r="E134" i="6"/>
  <c r="D134" i="6"/>
  <c r="C134" i="6"/>
  <c r="B134" i="6"/>
  <c r="A134" i="6"/>
  <c r="M134" i="6" s="1"/>
  <c r="M133" i="6"/>
  <c r="K133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M132" i="6" s="1"/>
  <c r="F131" i="6"/>
  <c r="E131" i="6"/>
  <c r="D131" i="6"/>
  <c r="C131" i="6"/>
  <c r="B131" i="6"/>
  <c r="A131" i="6"/>
  <c r="K131" i="6" s="1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M127" i="6" s="1"/>
  <c r="F126" i="6"/>
  <c r="E126" i="6"/>
  <c r="D126" i="6"/>
  <c r="C126" i="6"/>
  <c r="B126" i="6"/>
  <c r="A126" i="6"/>
  <c r="M126" i="6" s="1"/>
  <c r="F125" i="6"/>
  <c r="E125" i="6"/>
  <c r="D125" i="6"/>
  <c r="C125" i="6"/>
  <c r="B125" i="6"/>
  <c r="A125" i="6"/>
  <c r="M125" i="6" s="1"/>
  <c r="F124" i="6"/>
  <c r="E124" i="6"/>
  <c r="D124" i="6"/>
  <c r="C124" i="6"/>
  <c r="B124" i="6"/>
  <c r="A124" i="6"/>
  <c r="G123" i="6"/>
  <c r="F123" i="6"/>
  <c r="E123" i="6"/>
  <c r="D123" i="6"/>
  <c r="C123" i="6"/>
  <c r="B123" i="6"/>
  <c r="A123" i="6"/>
  <c r="M123" i="6" s="1"/>
  <c r="F122" i="6"/>
  <c r="E122" i="6"/>
  <c r="D122" i="6"/>
  <c r="C122" i="6"/>
  <c r="B122" i="6"/>
  <c r="A122" i="6"/>
  <c r="M122" i="6" s="1"/>
  <c r="M121" i="6"/>
  <c r="F121" i="6"/>
  <c r="E121" i="6"/>
  <c r="D121" i="6"/>
  <c r="C121" i="6"/>
  <c r="B121" i="6"/>
  <c r="A121" i="6"/>
  <c r="K121" i="6" s="1"/>
  <c r="F120" i="6"/>
  <c r="E120" i="6"/>
  <c r="D120" i="6"/>
  <c r="C120" i="6"/>
  <c r="B120" i="6"/>
  <c r="A120" i="6"/>
  <c r="M120" i="6" s="1"/>
  <c r="H119" i="6"/>
  <c r="G119" i="6"/>
  <c r="F119" i="6"/>
  <c r="E119" i="6"/>
  <c r="D119" i="6"/>
  <c r="C119" i="6"/>
  <c r="B119" i="6"/>
  <c r="A119" i="6"/>
  <c r="M119" i="6" s="1"/>
  <c r="F118" i="6"/>
  <c r="E118" i="6"/>
  <c r="D118" i="6"/>
  <c r="C118" i="6"/>
  <c r="B118" i="6"/>
  <c r="A118" i="6"/>
  <c r="K118" i="6" s="1"/>
  <c r="F117" i="6"/>
  <c r="E117" i="6"/>
  <c r="D117" i="6"/>
  <c r="C117" i="6"/>
  <c r="B117" i="6"/>
  <c r="A117" i="6"/>
  <c r="H117" i="6" s="1"/>
  <c r="M116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M115" i="6" s="1"/>
  <c r="F114" i="6"/>
  <c r="E114" i="6"/>
  <c r="D114" i="6"/>
  <c r="C114" i="6"/>
  <c r="B114" i="6"/>
  <c r="A114" i="6"/>
  <c r="K114" i="6" s="1"/>
  <c r="F113" i="6"/>
  <c r="E113" i="6"/>
  <c r="D113" i="6"/>
  <c r="C113" i="6"/>
  <c r="B113" i="6"/>
  <c r="A113" i="6"/>
  <c r="H113" i="6" s="1"/>
  <c r="F112" i="6"/>
  <c r="E112" i="6"/>
  <c r="D112" i="6"/>
  <c r="C112" i="6"/>
  <c r="B112" i="6"/>
  <c r="A112" i="6"/>
  <c r="G112" i="6" s="1"/>
  <c r="F111" i="6"/>
  <c r="E111" i="6"/>
  <c r="D111" i="6"/>
  <c r="C111" i="6"/>
  <c r="B111" i="6"/>
  <c r="A111" i="6"/>
  <c r="K111" i="6" s="1"/>
  <c r="F110" i="6"/>
  <c r="E110" i="6"/>
  <c r="D110" i="6"/>
  <c r="C110" i="6"/>
  <c r="B110" i="6"/>
  <c r="A110" i="6"/>
  <c r="F109" i="6"/>
  <c r="E109" i="6"/>
  <c r="D109" i="6"/>
  <c r="C109" i="6"/>
  <c r="B109" i="6"/>
  <c r="A109" i="6"/>
  <c r="K109" i="6" s="1"/>
  <c r="M108" i="6"/>
  <c r="K108" i="6"/>
  <c r="G108" i="6"/>
  <c r="F108" i="6"/>
  <c r="E108" i="6"/>
  <c r="D108" i="6"/>
  <c r="C108" i="6"/>
  <c r="B108" i="6"/>
  <c r="A108" i="6"/>
  <c r="I108" i="6" s="1"/>
  <c r="F107" i="6"/>
  <c r="E107" i="6"/>
  <c r="D107" i="6"/>
  <c r="C107" i="6"/>
  <c r="B107" i="6"/>
  <c r="A107" i="6"/>
  <c r="K107" i="6" s="1"/>
  <c r="I106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M103" i="6" s="1"/>
  <c r="F102" i="6"/>
  <c r="E102" i="6"/>
  <c r="D102" i="6"/>
  <c r="C102" i="6"/>
  <c r="B102" i="6"/>
  <c r="A102" i="6"/>
  <c r="M102" i="6" s="1"/>
  <c r="F101" i="6"/>
  <c r="E101" i="6"/>
  <c r="D101" i="6"/>
  <c r="C101" i="6"/>
  <c r="B101" i="6"/>
  <c r="A101" i="6"/>
  <c r="M101" i="6" s="1"/>
  <c r="K100" i="6"/>
  <c r="J100" i="6"/>
  <c r="F100" i="6"/>
  <c r="E100" i="6"/>
  <c r="D100" i="6"/>
  <c r="C100" i="6"/>
  <c r="B100" i="6"/>
  <c r="A100" i="6"/>
  <c r="F99" i="6"/>
  <c r="E99" i="6"/>
  <c r="D99" i="6"/>
  <c r="C99" i="6"/>
  <c r="B99" i="6"/>
  <c r="A99" i="6"/>
  <c r="M99" i="6" s="1"/>
  <c r="F98" i="6"/>
  <c r="E98" i="6"/>
  <c r="D98" i="6"/>
  <c r="C98" i="6"/>
  <c r="B98" i="6"/>
  <c r="A98" i="6"/>
  <c r="M98" i="6" s="1"/>
  <c r="G97" i="6"/>
  <c r="F97" i="6"/>
  <c r="E97" i="6"/>
  <c r="D97" i="6"/>
  <c r="C97" i="6"/>
  <c r="B97" i="6"/>
  <c r="A97" i="6"/>
  <c r="K97" i="6" s="1"/>
  <c r="F96" i="6"/>
  <c r="E96" i="6"/>
  <c r="D96" i="6"/>
  <c r="C96" i="6"/>
  <c r="B96" i="6"/>
  <c r="A96" i="6"/>
  <c r="M96" i="6" s="1"/>
  <c r="M95" i="6"/>
  <c r="G95" i="6"/>
  <c r="F95" i="6"/>
  <c r="E95" i="6"/>
  <c r="D95" i="6"/>
  <c r="C95" i="6"/>
  <c r="B95" i="6"/>
  <c r="A95" i="6"/>
  <c r="K95" i="6" s="1"/>
  <c r="F94" i="6"/>
  <c r="E94" i="6"/>
  <c r="D94" i="6"/>
  <c r="C94" i="6"/>
  <c r="B94" i="6"/>
  <c r="A94" i="6"/>
  <c r="K94" i="6" s="1"/>
  <c r="F93" i="6"/>
  <c r="E93" i="6"/>
  <c r="D93" i="6"/>
  <c r="C93" i="6"/>
  <c r="B93" i="6"/>
  <c r="A93" i="6"/>
  <c r="H93" i="6" s="1"/>
  <c r="F92" i="6"/>
  <c r="E92" i="6"/>
  <c r="D92" i="6"/>
  <c r="C92" i="6"/>
  <c r="B92" i="6"/>
  <c r="A92" i="6"/>
  <c r="M92" i="6" s="1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M89" i="6" s="1"/>
  <c r="K88" i="6"/>
  <c r="F88" i="6"/>
  <c r="E88" i="6"/>
  <c r="D88" i="6"/>
  <c r="C88" i="6"/>
  <c r="B88" i="6"/>
  <c r="A88" i="6"/>
  <c r="G88" i="6" s="1"/>
  <c r="F87" i="6"/>
  <c r="E87" i="6"/>
  <c r="D87" i="6"/>
  <c r="C87" i="6"/>
  <c r="B87" i="6"/>
  <c r="A87" i="6"/>
  <c r="J86" i="6"/>
  <c r="F86" i="6"/>
  <c r="E86" i="6"/>
  <c r="D86" i="6"/>
  <c r="C86" i="6"/>
  <c r="B86" i="6"/>
  <c r="A86" i="6"/>
  <c r="F85" i="6"/>
  <c r="E85" i="6"/>
  <c r="D85" i="6"/>
  <c r="C85" i="6"/>
  <c r="B85" i="6"/>
  <c r="A85" i="6"/>
  <c r="M85" i="6" s="1"/>
  <c r="H84" i="6"/>
  <c r="F84" i="6"/>
  <c r="E84" i="6"/>
  <c r="D84" i="6"/>
  <c r="C84" i="6"/>
  <c r="B84" i="6"/>
  <c r="A84" i="6"/>
  <c r="F83" i="6"/>
  <c r="E83" i="6"/>
  <c r="D83" i="6"/>
  <c r="C83" i="6"/>
  <c r="B83" i="6"/>
  <c r="A83" i="6"/>
  <c r="K83" i="6" s="1"/>
  <c r="K82" i="6"/>
  <c r="J82" i="6"/>
  <c r="H82" i="6"/>
  <c r="G82" i="6"/>
  <c r="F82" i="6"/>
  <c r="E82" i="6"/>
  <c r="D82" i="6"/>
  <c r="C82" i="6"/>
  <c r="B82" i="6"/>
  <c r="A82" i="6"/>
  <c r="I82" i="6" s="1"/>
  <c r="F81" i="6"/>
  <c r="E81" i="6"/>
  <c r="D81" i="6"/>
  <c r="C81" i="6"/>
  <c r="B81" i="6"/>
  <c r="A81" i="6"/>
  <c r="H80" i="6"/>
  <c r="F80" i="6"/>
  <c r="E80" i="6"/>
  <c r="D80" i="6"/>
  <c r="C80" i="6"/>
  <c r="B80" i="6"/>
  <c r="A80" i="6"/>
  <c r="F79" i="6"/>
  <c r="E79" i="6"/>
  <c r="D79" i="6"/>
  <c r="C79" i="6"/>
  <c r="B79" i="6"/>
  <c r="A79" i="6"/>
  <c r="M79" i="6" s="1"/>
  <c r="J78" i="6"/>
  <c r="F78" i="6"/>
  <c r="E78" i="6"/>
  <c r="D78" i="6"/>
  <c r="C78" i="6"/>
  <c r="B78" i="6"/>
  <c r="A78" i="6"/>
  <c r="M78" i="6" s="1"/>
  <c r="F77" i="6"/>
  <c r="E77" i="6"/>
  <c r="D77" i="6"/>
  <c r="C77" i="6"/>
  <c r="B77" i="6"/>
  <c r="A77" i="6"/>
  <c r="M77" i="6" s="1"/>
  <c r="F76" i="6"/>
  <c r="E76" i="6"/>
  <c r="D76" i="6"/>
  <c r="C76" i="6"/>
  <c r="B76" i="6"/>
  <c r="A76" i="6"/>
  <c r="I76" i="6" s="1"/>
  <c r="K75" i="6"/>
  <c r="F75" i="6"/>
  <c r="E75" i="6"/>
  <c r="D75" i="6"/>
  <c r="C75" i="6"/>
  <c r="B75" i="6"/>
  <c r="A75" i="6"/>
  <c r="H75" i="6" s="1"/>
  <c r="F74" i="6"/>
  <c r="E74" i="6"/>
  <c r="D74" i="6"/>
  <c r="C74" i="6"/>
  <c r="B74" i="6"/>
  <c r="A74" i="6"/>
  <c r="M74" i="6" s="1"/>
  <c r="H73" i="6"/>
  <c r="G73" i="6"/>
  <c r="F73" i="6"/>
  <c r="E73" i="6"/>
  <c r="D73" i="6"/>
  <c r="C73" i="6"/>
  <c r="B73" i="6"/>
  <c r="A73" i="6"/>
  <c r="M73" i="6" s="1"/>
  <c r="H72" i="6"/>
  <c r="G72" i="6"/>
  <c r="F72" i="6"/>
  <c r="E72" i="6"/>
  <c r="D72" i="6"/>
  <c r="C72" i="6"/>
  <c r="B72" i="6"/>
  <c r="A72" i="6"/>
  <c r="M72" i="6" s="1"/>
  <c r="F71" i="6"/>
  <c r="E71" i="6"/>
  <c r="D71" i="6"/>
  <c r="C71" i="6"/>
  <c r="B71" i="6"/>
  <c r="A71" i="6"/>
  <c r="M71" i="6" s="1"/>
  <c r="F70" i="6"/>
  <c r="E70" i="6"/>
  <c r="D70" i="6"/>
  <c r="C70" i="6"/>
  <c r="B70" i="6"/>
  <c r="A70" i="6"/>
  <c r="K70" i="6" s="1"/>
  <c r="G69" i="6"/>
  <c r="F69" i="6"/>
  <c r="E69" i="6"/>
  <c r="D69" i="6"/>
  <c r="C69" i="6"/>
  <c r="B69" i="6"/>
  <c r="A69" i="6"/>
  <c r="H69" i="6" s="1"/>
  <c r="F68" i="6"/>
  <c r="E68" i="6"/>
  <c r="D68" i="6"/>
  <c r="C68" i="6"/>
  <c r="B68" i="6"/>
  <c r="A68" i="6"/>
  <c r="M68" i="6" s="1"/>
  <c r="F67" i="6"/>
  <c r="E67" i="6"/>
  <c r="D67" i="6"/>
  <c r="C67" i="6"/>
  <c r="B67" i="6"/>
  <c r="A67" i="6"/>
  <c r="F66" i="6"/>
  <c r="E66" i="6"/>
  <c r="D66" i="6"/>
  <c r="C66" i="6"/>
  <c r="B66" i="6"/>
  <c r="A66" i="6"/>
  <c r="M66" i="6" s="1"/>
  <c r="F65" i="6"/>
  <c r="E65" i="6"/>
  <c r="D65" i="6"/>
  <c r="C65" i="6"/>
  <c r="B65" i="6"/>
  <c r="A65" i="6"/>
  <c r="K65" i="6" s="1"/>
  <c r="K64" i="6"/>
  <c r="F64" i="6"/>
  <c r="E64" i="6"/>
  <c r="D64" i="6"/>
  <c r="C64" i="6"/>
  <c r="B64" i="6"/>
  <c r="A64" i="6"/>
  <c r="J64" i="6" s="1"/>
  <c r="F63" i="6"/>
  <c r="E63" i="6"/>
  <c r="D63" i="6"/>
  <c r="C63" i="6"/>
  <c r="B63" i="6"/>
  <c r="A63" i="6"/>
  <c r="M63" i="6" s="1"/>
  <c r="F62" i="6"/>
  <c r="E62" i="6"/>
  <c r="D62" i="6"/>
  <c r="C62" i="6"/>
  <c r="B62" i="6"/>
  <c r="A62" i="6"/>
  <c r="M62" i="6" s="1"/>
  <c r="M61" i="6"/>
  <c r="F61" i="6"/>
  <c r="E61" i="6"/>
  <c r="D61" i="6"/>
  <c r="C61" i="6"/>
  <c r="B61" i="6"/>
  <c r="A61" i="6"/>
  <c r="J61" i="6" s="1"/>
  <c r="K60" i="6"/>
  <c r="F60" i="6"/>
  <c r="E60" i="6"/>
  <c r="D60" i="6"/>
  <c r="C60" i="6"/>
  <c r="B60" i="6"/>
  <c r="A60" i="6"/>
  <c r="F59" i="6"/>
  <c r="E59" i="6"/>
  <c r="D59" i="6"/>
  <c r="C59" i="6"/>
  <c r="B59" i="6"/>
  <c r="A59" i="6"/>
  <c r="M59" i="6" s="1"/>
  <c r="F58" i="6"/>
  <c r="E58" i="6"/>
  <c r="D58" i="6"/>
  <c r="C58" i="6"/>
  <c r="B58" i="6"/>
  <c r="A58" i="6"/>
  <c r="J58" i="6" s="1"/>
  <c r="F57" i="6"/>
  <c r="E57" i="6"/>
  <c r="D57" i="6"/>
  <c r="C57" i="6"/>
  <c r="B57" i="6"/>
  <c r="A57" i="6"/>
  <c r="M57" i="6" s="1"/>
  <c r="F56" i="6"/>
  <c r="E56" i="6"/>
  <c r="D56" i="6"/>
  <c r="C56" i="6"/>
  <c r="B56" i="6"/>
  <c r="A56" i="6"/>
  <c r="M56" i="6" s="1"/>
  <c r="F55" i="6"/>
  <c r="E55" i="6"/>
  <c r="D55" i="6"/>
  <c r="C55" i="6"/>
  <c r="B55" i="6"/>
  <c r="A55" i="6"/>
  <c r="M55" i="6" s="1"/>
  <c r="F54" i="6"/>
  <c r="E54" i="6"/>
  <c r="D54" i="6"/>
  <c r="C54" i="6"/>
  <c r="B54" i="6"/>
  <c r="A54" i="6"/>
  <c r="K54" i="6" s="1"/>
  <c r="F53" i="6"/>
  <c r="E53" i="6"/>
  <c r="D53" i="6"/>
  <c r="C53" i="6"/>
  <c r="B53" i="6"/>
  <c r="A53" i="6"/>
  <c r="J53" i="6" s="1"/>
  <c r="F52" i="6"/>
  <c r="E52" i="6"/>
  <c r="D52" i="6"/>
  <c r="C52" i="6"/>
  <c r="B52" i="6"/>
  <c r="A52" i="6"/>
  <c r="K52" i="6" s="1"/>
  <c r="M51" i="6"/>
  <c r="F51" i="6"/>
  <c r="E51" i="6"/>
  <c r="D51" i="6"/>
  <c r="C51" i="6"/>
  <c r="B51" i="6"/>
  <c r="A51" i="6"/>
  <c r="F50" i="6"/>
  <c r="E50" i="6"/>
  <c r="D50" i="6"/>
  <c r="C50" i="6"/>
  <c r="B50" i="6"/>
  <c r="A50" i="6"/>
  <c r="J50" i="6" s="1"/>
  <c r="M49" i="6"/>
  <c r="F49" i="6"/>
  <c r="E49" i="6"/>
  <c r="D49" i="6"/>
  <c r="C49" i="6"/>
  <c r="B49" i="6"/>
  <c r="A49" i="6"/>
  <c r="J49" i="6" s="1"/>
  <c r="F48" i="6"/>
  <c r="E48" i="6"/>
  <c r="D48" i="6"/>
  <c r="C48" i="6"/>
  <c r="B48" i="6"/>
  <c r="A48" i="6"/>
  <c r="K48" i="6" s="1"/>
  <c r="F47" i="6"/>
  <c r="E47" i="6"/>
  <c r="D47" i="6"/>
  <c r="C47" i="6"/>
  <c r="B47" i="6"/>
  <c r="A47" i="6"/>
  <c r="M47" i="6" s="1"/>
  <c r="M46" i="6"/>
  <c r="F46" i="6"/>
  <c r="E46" i="6"/>
  <c r="D46" i="6"/>
  <c r="C46" i="6"/>
  <c r="B46" i="6"/>
  <c r="A46" i="6"/>
  <c r="K46" i="6" s="1"/>
  <c r="J45" i="6"/>
  <c r="F45" i="6"/>
  <c r="E45" i="6"/>
  <c r="D45" i="6"/>
  <c r="C45" i="6"/>
  <c r="B45" i="6"/>
  <c r="A45" i="6"/>
  <c r="M45" i="6" s="1"/>
  <c r="F44" i="6"/>
  <c r="E44" i="6"/>
  <c r="D44" i="6"/>
  <c r="C44" i="6"/>
  <c r="B44" i="6"/>
  <c r="A44" i="6"/>
  <c r="K44" i="6" s="1"/>
  <c r="F43" i="6"/>
  <c r="E43" i="6"/>
  <c r="D43" i="6"/>
  <c r="C43" i="6"/>
  <c r="B43" i="6"/>
  <c r="A43" i="6"/>
  <c r="M43" i="6" s="1"/>
  <c r="F42" i="6"/>
  <c r="E42" i="6"/>
  <c r="D42" i="6"/>
  <c r="C42" i="6"/>
  <c r="B42" i="6"/>
  <c r="A42" i="6"/>
  <c r="J42" i="6" s="1"/>
  <c r="F41" i="6"/>
  <c r="E41" i="6"/>
  <c r="D41" i="6"/>
  <c r="C41" i="6"/>
  <c r="B41" i="6"/>
  <c r="A41" i="6"/>
  <c r="M41" i="6" s="1"/>
  <c r="F40" i="6"/>
  <c r="E40" i="6"/>
  <c r="D40" i="6"/>
  <c r="C40" i="6"/>
  <c r="B40" i="6"/>
  <c r="A40" i="6"/>
  <c r="K40" i="6" s="1"/>
  <c r="F39" i="6"/>
  <c r="E39" i="6"/>
  <c r="D39" i="6"/>
  <c r="C39" i="6"/>
  <c r="B39" i="6"/>
  <c r="A39" i="6"/>
  <c r="M39" i="6" s="1"/>
  <c r="K38" i="6"/>
  <c r="F38" i="6"/>
  <c r="E38" i="6"/>
  <c r="D38" i="6"/>
  <c r="C38" i="6"/>
  <c r="B38" i="6"/>
  <c r="A38" i="6"/>
  <c r="J38" i="6" s="1"/>
  <c r="F37" i="6"/>
  <c r="E37" i="6"/>
  <c r="D37" i="6"/>
  <c r="C37" i="6"/>
  <c r="B37" i="6"/>
  <c r="A37" i="6"/>
  <c r="M37" i="6" s="1"/>
  <c r="F36" i="6"/>
  <c r="E36" i="6"/>
  <c r="D36" i="6"/>
  <c r="C36" i="6"/>
  <c r="B36" i="6"/>
  <c r="A36" i="6"/>
  <c r="K36" i="6" s="1"/>
  <c r="F35" i="6"/>
  <c r="E35" i="6"/>
  <c r="D35" i="6"/>
  <c r="C35" i="6"/>
  <c r="B35" i="6"/>
  <c r="A35" i="6"/>
  <c r="M35" i="6" s="1"/>
  <c r="F34" i="6"/>
  <c r="E34" i="6"/>
  <c r="D34" i="6"/>
  <c r="C34" i="6"/>
  <c r="B34" i="6"/>
  <c r="A34" i="6"/>
  <c r="J34" i="6" s="1"/>
  <c r="F33" i="6"/>
  <c r="E33" i="6"/>
  <c r="D33" i="6"/>
  <c r="C33" i="6"/>
  <c r="B33" i="6"/>
  <c r="A33" i="6"/>
  <c r="M33" i="6" s="1"/>
  <c r="K32" i="6"/>
  <c r="F32" i="6"/>
  <c r="E32" i="6"/>
  <c r="D32" i="6"/>
  <c r="C32" i="6"/>
  <c r="B32" i="6"/>
  <c r="A32" i="6"/>
  <c r="J32" i="6" s="1"/>
  <c r="F31" i="6"/>
  <c r="E31" i="6"/>
  <c r="D31" i="6"/>
  <c r="C31" i="6"/>
  <c r="B31" i="6"/>
  <c r="A31" i="6"/>
  <c r="M31" i="6" s="1"/>
  <c r="F30" i="6"/>
  <c r="E30" i="6"/>
  <c r="D30" i="6"/>
  <c r="C30" i="6"/>
  <c r="B30" i="6"/>
  <c r="A30" i="6"/>
  <c r="K30" i="6" s="1"/>
  <c r="J29" i="6"/>
  <c r="F29" i="6"/>
  <c r="E29" i="6"/>
  <c r="D29" i="6"/>
  <c r="C29" i="6"/>
  <c r="B29" i="6"/>
  <c r="A29" i="6"/>
  <c r="M29" i="6" s="1"/>
  <c r="F28" i="6"/>
  <c r="E28" i="6"/>
  <c r="D28" i="6"/>
  <c r="C28" i="6"/>
  <c r="B28" i="6"/>
  <c r="A28" i="6"/>
  <c r="K28" i="6" s="1"/>
  <c r="M27" i="6"/>
  <c r="F27" i="6"/>
  <c r="E27" i="6"/>
  <c r="D27" i="6"/>
  <c r="C27" i="6"/>
  <c r="B27" i="6"/>
  <c r="A27" i="6"/>
  <c r="M26" i="6"/>
  <c r="K26" i="6"/>
  <c r="F26" i="6"/>
  <c r="E26" i="6"/>
  <c r="D26" i="6"/>
  <c r="C26" i="6"/>
  <c r="B26" i="6"/>
  <c r="A26" i="6"/>
  <c r="J26" i="6" s="1"/>
  <c r="F25" i="6"/>
  <c r="E25" i="6"/>
  <c r="D25" i="6"/>
  <c r="C25" i="6"/>
  <c r="B25" i="6"/>
  <c r="A25" i="6"/>
  <c r="M25" i="6" s="1"/>
  <c r="F24" i="6"/>
  <c r="E24" i="6"/>
  <c r="D24" i="6"/>
  <c r="C24" i="6"/>
  <c r="B24" i="6"/>
  <c r="A24" i="6"/>
  <c r="K24" i="6" s="1"/>
  <c r="M23" i="6"/>
  <c r="F23" i="6"/>
  <c r="E23" i="6"/>
  <c r="D23" i="6"/>
  <c r="C23" i="6"/>
  <c r="B23" i="6"/>
  <c r="A23" i="6"/>
  <c r="K23" i="6" s="1"/>
  <c r="F22" i="6"/>
  <c r="E22" i="6"/>
  <c r="D22" i="6"/>
  <c r="C22" i="6"/>
  <c r="B22" i="6"/>
  <c r="A22" i="6"/>
  <c r="M22" i="6" s="1"/>
  <c r="F21" i="6"/>
  <c r="E21" i="6"/>
  <c r="D21" i="6"/>
  <c r="C21" i="6"/>
  <c r="B21" i="6"/>
  <c r="A21" i="6"/>
  <c r="M21" i="6" s="1"/>
  <c r="K20" i="6"/>
  <c r="F20" i="6"/>
  <c r="E20" i="6"/>
  <c r="D20" i="6"/>
  <c r="C20" i="6"/>
  <c r="B20" i="6"/>
  <c r="A20" i="6"/>
  <c r="F19" i="6"/>
  <c r="E19" i="6"/>
  <c r="D19" i="6"/>
  <c r="C19" i="6"/>
  <c r="B19" i="6"/>
  <c r="A19" i="6"/>
  <c r="M19" i="6" s="1"/>
  <c r="F18" i="6"/>
  <c r="E18" i="6"/>
  <c r="D18" i="6"/>
  <c r="C18" i="6"/>
  <c r="B18" i="6"/>
  <c r="A18" i="6"/>
  <c r="J18" i="6" s="1"/>
  <c r="M17" i="6"/>
  <c r="F17" i="6"/>
  <c r="E17" i="6"/>
  <c r="D17" i="6"/>
  <c r="C17" i="6"/>
  <c r="B17" i="6"/>
  <c r="A17" i="6"/>
  <c r="J17" i="6" s="1"/>
  <c r="F16" i="6"/>
  <c r="E16" i="6"/>
  <c r="D16" i="6"/>
  <c r="C16" i="6"/>
  <c r="B16" i="6"/>
  <c r="A16" i="6"/>
  <c r="M16" i="6" s="1"/>
  <c r="F15" i="6"/>
  <c r="E15" i="6"/>
  <c r="D15" i="6"/>
  <c r="C15" i="6"/>
  <c r="B15" i="6"/>
  <c r="A15" i="6"/>
  <c r="M15" i="6" s="1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F6" i="6"/>
  <c r="E6" i="6"/>
  <c r="D6" i="6"/>
  <c r="C6" i="6"/>
  <c r="C13" i="2" s="1"/>
  <c r="B6" i="6"/>
  <c r="A6" i="6"/>
  <c r="F5" i="6"/>
  <c r="E5" i="6"/>
  <c r="D5" i="6"/>
  <c r="C5" i="6"/>
  <c r="B5" i="6"/>
  <c r="A5" i="6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B9" i="5"/>
  <c r="D8" i="5"/>
  <c r="B8" i="5"/>
  <c r="D7" i="5"/>
  <c r="B7" i="5"/>
  <c r="D6" i="5"/>
  <c r="B6" i="5"/>
  <c r="D5" i="5"/>
  <c r="B5" i="5"/>
  <c r="G604" i="4"/>
  <c r="D604" i="4"/>
  <c r="G603" i="4"/>
  <c r="D603" i="4"/>
  <c r="G602" i="4"/>
  <c r="D602" i="4"/>
  <c r="G601" i="4"/>
  <c r="D601" i="4"/>
  <c r="G600" i="4"/>
  <c r="D600" i="4"/>
  <c r="G599" i="4"/>
  <c r="D599" i="4"/>
  <c r="G598" i="4"/>
  <c r="D598" i="4"/>
  <c r="G597" i="4"/>
  <c r="D597" i="4"/>
  <c r="G596" i="4"/>
  <c r="D596" i="4"/>
  <c r="G595" i="4"/>
  <c r="D595" i="4"/>
  <c r="G594" i="4"/>
  <c r="D594" i="4"/>
  <c r="G593" i="4"/>
  <c r="D593" i="4"/>
  <c r="G592" i="4"/>
  <c r="D592" i="4"/>
  <c r="G591" i="4"/>
  <c r="D591" i="4"/>
  <c r="G590" i="4"/>
  <c r="D590" i="4"/>
  <c r="G589" i="4"/>
  <c r="D589" i="4"/>
  <c r="G588" i="4"/>
  <c r="D588" i="4"/>
  <c r="G587" i="4"/>
  <c r="D587" i="4"/>
  <c r="G586" i="4"/>
  <c r="D586" i="4"/>
  <c r="G585" i="4"/>
  <c r="D585" i="4"/>
  <c r="G584" i="4"/>
  <c r="D584" i="4"/>
  <c r="G583" i="4"/>
  <c r="D583" i="4"/>
  <c r="G582" i="4"/>
  <c r="D582" i="4"/>
  <c r="G581" i="4"/>
  <c r="D581" i="4"/>
  <c r="G580" i="4"/>
  <c r="D580" i="4"/>
  <c r="G579" i="4"/>
  <c r="D579" i="4"/>
  <c r="G578" i="4"/>
  <c r="D578" i="4"/>
  <c r="G577" i="4"/>
  <c r="D577" i="4"/>
  <c r="G576" i="4"/>
  <c r="D576" i="4"/>
  <c r="G575" i="4"/>
  <c r="D575" i="4"/>
  <c r="G574" i="4"/>
  <c r="D574" i="4"/>
  <c r="G573" i="4"/>
  <c r="D573" i="4"/>
  <c r="G572" i="4"/>
  <c r="D572" i="4"/>
  <c r="G571" i="4"/>
  <c r="D571" i="4"/>
  <c r="G570" i="4"/>
  <c r="D570" i="4"/>
  <c r="G569" i="4"/>
  <c r="D569" i="4"/>
  <c r="G568" i="4"/>
  <c r="D568" i="4"/>
  <c r="G567" i="4"/>
  <c r="D567" i="4"/>
  <c r="G566" i="4"/>
  <c r="D566" i="4"/>
  <c r="G565" i="4"/>
  <c r="D565" i="4"/>
  <c r="G564" i="4"/>
  <c r="D564" i="4"/>
  <c r="G563" i="4"/>
  <c r="D563" i="4"/>
  <c r="G562" i="4"/>
  <c r="D562" i="4"/>
  <c r="G561" i="4"/>
  <c r="D561" i="4"/>
  <c r="G560" i="4"/>
  <c r="D560" i="4"/>
  <c r="G559" i="4"/>
  <c r="D559" i="4"/>
  <c r="G558" i="4"/>
  <c r="D558" i="4"/>
  <c r="G557" i="4"/>
  <c r="D557" i="4"/>
  <c r="G556" i="4"/>
  <c r="D556" i="4"/>
  <c r="G555" i="4"/>
  <c r="D555" i="4"/>
  <c r="G554" i="4"/>
  <c r="D554" i="4"/>
  <c r="G553" i="4"/>
  <c r="D553" i="4"/>
  <c r="G552" i="4"/>
  <c r="D552" i="4"/>
  <c r="G551" i="4"/>
  <c r="D551" i="4"/>
  <c r="G550" i="4"/>
  <c r="D550" i="4"/>
  <c r="G549" i="4"/>
  <c r="D549" i="4"/>
  <c r="G548" i="4"/>
  <c r="D548" i="4"/>
  <c r="G547" i="4"/>
  <c r="D547" i="4"/>
  <c r="G546" i="4"/>
  <c r="D546" i="4"/>
  <c r="G545" i="4"/>
  <c r="D545" i="4"/>
  <c r="G544" i="4"/>
  <c r="D544" i="4"/>
  <c r="G543" i="4"/>
  <c r="D543" i="4"/>
  <c r="G542" i="4"/>
  <c r="D542" i="4"/>
  <c r="G541" i="4"/>
  <c r="D541" i="4"/>
  <c r="G540" i="4"/>
  <c r="D540" i="4"/>
  <c r="G539" i="4"/>
  <c r="D539" i="4"/>
  <c r="G538" i="4"/>
  <c r="D538" i="4"/>
  <c r="G537" i="4"/>
  <c r="D537" i="4"/>
  <c r="G536" i="4"/>
  <c r="D536" i="4"/>
  <c r="G535" i="4"/>
  <c r="D535" i="4"/>
  <c r="G534" i="4"/>
  <c r="D534" i="4"/>
  <c r="G533" i="4"/>
  <c r="D533" i="4"/>
  <c r="G532" i="4"/>
  <c r="D532" i="4"/>
  <c r="G531" i="4"/>
  <c r="D531" i="4"/>
  <c r="G530" i="4"/>
  <c r="D530" i="4"/>
  <c r="G529" i="4"/>
  <c r="D529" i="4"/>
  <c r="G528" i="4"/>
  <c r="D528" i="4"/>
  <c r="G527" i="4"/>
  <c r="D527" i="4"/>
  <c r="G526" i="4"/>
  <c r="D526" i="4"/>
  <c r="G525" i="4"/>
  <c r="D525" i="4"/>
  <c r="G524" i="4"/>
  <c r="D524" i="4"/>
  <c r="G523" i="4"/>
  <c r="D523" i="4"/>
  <c r="G522" i="4"/>
  <c r="D522" i="4"/>
  <c r="G521" i="4"/>
  <c r="D521" i="4"/>
  <c r="G520" i="4"/>
  <c r="D520" i="4"/>
  <c r="G519" i="4"/>
  <c r="D519" i="4"/>
  <c r="G518" i="4"/>
  <c r="D518" i="4"/>
  <c r="G517" i="4"/>
  <c r="D517" i="4"/>
  <c r="G516" i="4"/>
  <c r="D516" i="4"/>
  <c r="G515" i="4"/>
  <c r="D515" i="4"/>
  <c r="G514" i="4"/>
  <c r="D514" i="4"/>
  <c r="G513" i="4"/>
  <c r="D513" i="4"/>
  <c r="G512" i="4"/>
  <c r="D512" i="4"/>
  <c r="G511" i="4"/>
  <c r="D511" i="4"/>
  <c r="G510" i="4"/>
  <c r="D510" i="4"/>
  <c r="G509" i="4"/>
  <c r="D509" i="4"/>
  <c r="G508" i="4"/>
  <c r="D508" i="4"/>
  <c r="G507" i="4"/>
  <c r="D507" i="4"/>
  <c r="G506" i="4"/>
  <c r="D506" i="4"/>
  <c r="G505" i="4"/>
  <c r="D505" i="4"/>
  <c r="G504" i="4"/>
  <c r="D504" i="4"/>
  <c r="G503" i="4"/>
  <c r="D503" i="4"/>
  <c r="G502" i="4"/>
  <c r="D502" i="4"/>
  <c r="G501" i="4"/>
  <c r="D501" i="4"/>
  <c r="G500" i="4"/>
  <c r="D500" i="4"/>
  <c r="G499" i="4"/>
  <c r="D499" i="4"/>
  <c r="G498" i="4"/>
  <c r="D498" i="4"/>
  <c r="G497" i="4"/>
  <c r="D497" i="4"/>
  <c r="G496" i="4"/>
  <c r="D496" i="4"/>
  <c r="G495" i="4"/>
  <c r="D495" i="4"/>
  <c r="G494" i="4"/>
  <c r="D494" i="4"/>
  <c r="G493" i="4"/>
  <c r="D493" i="4"/>
  <c r="G492" i="4"/>
  <c r="D492" i="4"/>
  <c r="G491" i="4"/>
  <c r="D491" i="4"/>
  <c r="G490" i="4"/>
  <c r="D490" i="4"/>
  <c r="G489" i="4"/>
  <c r="D489" i="4"/>
  <c r="G488" i="4"/>
  <c r="D488" i="4"/>
  <c r="G487" i="4"/>
  <c r="D487" i="4"/>
  <c r="G486" i="4"/>
  <c r="D486" i="4"/>
  <c r="G485" i="4"/>
  <c r="D485" i="4"/>
  <c r="G484" i="4"/>
  <c r="D484" i="4"/>
  <c r="G483" i="4"/>
  <c r="D483" i="4"/>
  <c r="G482" i="4"/>
  <c r="D482" i="4"/>
  <c r="G481" i="4"/>
  <c r="D481" i="4"/>
  <c r="G480" i="4"/>
  <c r="D480" i="4"/>
  <c r="G479" i="4"/>
  <c r="D479" i="4"/>
  <c r="G478" i="4"/>
  <c r="D478" i="4"/>
  <c r="G477" i="4"/>
  <c r="D477" i="4"/>
  <c r="G476" i="4"/>
  <c r="D476" i="4"/>
  <c r="G475" i="4"/>
  <c r="D475" i="4"/>
  <c r="G474" i="4"/>
  <c r="D474" i="4"/>
  <c r="G473" i="4"/>
  <c r="D473" i="4"/>
  <c r="G472" i="4"/>
  <c r="D472" i="4"/>
  <c r="G471" i="4"/>
  <c r="D471" i="4"/>
  <c r="G470" i="4"/>
  <c r="D470" i="4"/>
  <c r="G469" i="4"/>
  <c r="D469" i="4"/>
  <c r="G468" i="4"/>
  <c r="D468" i="4"/>
  <c r="G467" i="4"/>
  <c r="D467" i="4"/>
  <c r="G466" i="4"/>
  <c r="D466" i="4"/>
  <c r="G465" i="4"/>
  <c r="D465" i="4"/>
  <c r="G464" i="4"/>
  <c r="D464" i="4"/>
  <c r="G463" i="4"/>
  <c r="D463" i="4"/>
  <c r="G462" i="4"/>
  <c r="D462" i="4"/>
  <c r="G461" i="4"/>
  <c r="D461" i="4"/>
  <c r="G460" i="4"/>
  <c r="D460" i="4"/>
  <c r="G459" i="4"/>
  <c r="D459" i="4"/>
  <c r="G458" i="4"/>
  <c r="D458" i="4"/>
  <c r="G457" i="4"/>
  <c r="D457" i="4"/>
  <c r="G456" i="4"/>
  <c r="D456" i="4"/>
  <c r="G455" i="4"/>
  <c r="D455" i="4"/>
  <c r="G454" i="4"/>
  <c r="D454" i="4"/>
  <c r="G453" i="4"/>
  <c r="D453" i="4"/>
  <c r="G452" i="4"/>
  <c r="D452" i="4"/>
  <c r="G451" i="4"/>
  <c r="D451" i="4"/>
  <c r="G450" i="4"/>
  <c r="D450" i="4"/>
  <c r="G449" i="4"/>
  <c r="D449" i="4"/>
  <c r="G448" i="4"/>
  <c r="D448" i="4"/>
  <c r="G447" i="4"/>
  <c r="D447" i="4"/>
  <c r="G446" i="4"/>
  <c r="D446" i="4"/>
  <c r="G445" i="4"/>
  <c r="D445" i="4"/>
  <c r="G444" i="4"/>
  <c r="D444" i="4"/>
  <c r="G443" i="4"/>
  <c r="D443" i="4"/>
  <c r="G442" i="4"/>
  <c r="D442" i="4"/>
  <c r="G441" i="4"/>
  <c r="D441" i="4"/>
  <c r="G440" i="4"/>
  <c r="D440" i="4"/>
  <c r="G439" i="4"/>
  <c r="D439" i="4"/>
  <c r="G438" i="4"/>
  <c r="D438" i="4"/>
  <c r="G437" i="4"/>
  <c r="D437" i="4"/>
  <c r="G436" i="4"/>
  <c r="D436" i="4"/>
  <c r="G435" i="4"/>
  <c r="D435" i="4"/>
  <c r="G434" i="4"/>
  <c r="D434" i="4"/>
  <c r="G433" i="4"/>
  <c r="D433" i="4"/>
  <c r="G432" i="4"/>
  <c r="D432" i="4"/>
  <c r="G431" i="4"/>
  <c r="D431" i="4"/>
  <c r="G430" i="4"/>
  <c r="D430" i="4"/>
  <c r="G429" i="4"/>
  <c r="D429" i="4"/>
  <c r="G428" i="4"/>
  <c r="D428" i="4"/>
  <c r="G427" i="4"/>
  <c r="D427" i="4"/>
  <c r="G426" i="4"/>
  <c r="D426" i="4"/>
  <c r="G425" i="4"/>
  <c r="D425" i="4"/>
  <c r="G424" i="4"/>
  <c r="D424" i="4"/>
  <c r="G423" i="4"/>
  <c r="D423" i="4"/>
  <c r="G422" i="4"/>
  <c r="D422" i="4"/>
  <c r="G421" i="4"/>
  <c r="D421" i="4"/>
  <c r="G420" i="4"/>
  <c r="D420" i="4"/>
  <c r="G419" i="4"/>
  <c r="D419" i="4"/>
  <c r="G418" i="4"/>
  <c r="D418" i="4"/>
  <c r="G417" i="4"/>
  <c r="D417" i="4"/>
  <c r="G416" i="4"/>
  <c r="D416" i="4"/>
  <c r="G415" i="4"/>
  <c r="D415" i="4"/>
  <c r="G414" i="4"/>
  <c r="D414" i="4"/>
  <c r="G413" i="4"/>
  <c r="D413" i="4"/>
  <c r="G412" i="4"/>
  <c r="D412" i="4"/>
  <c r="G411" i="4"/>
  <c r="D411" i="4"/>
  <c r="G410" i="4"/>
  <c r="D410" i="4"/>
  <c r="G409" i="4"/>
  <c r="D409" i="4"/>
  <c r="G408" i="4"/>
  <c r="D408" i="4"/>
  <c r="G407" i="4"/>
  <c r="D407" i="4"/>
  <c r="G406" i="4"/>
  <c r="D406" i="4"/>
  <c r="G405" i="4"/>
  <c r="D405" i="4"/>
  <c r="G404" i="4"/>
  <c r="D404" i="4"/>
  <c r="G403" i="4"/>
  <c r="D403" i="4"/>
  <c r="G402" i="4"/>
  <c r="D402" i="4"/>
  <c r="G401" i="4"/>
  <c r="D401" i="4"/>
  <c r="G400" i="4"/>
  <c r="D400" i="4"/>
  <c r="G399" i="4"/>
  <c r="D399" i="4"/>
  <c r="G398" i="4"/>
  <c r="D398" i="4"/>
  <c r="G397" i="4"/>
  <c r="D397" i="4"/>
  <c r="G396" i="4"/>
  <c r="D396" i="4"/>
  <c r="G395" i="4"/>
  <c r="D395" i="4"/>
  <c r="G394" i="4"/>
  <c r="D394" i="4"/>
  <c r="G393" i="4"/>
  <c r="D393" i="4"/>
  <c r="G392" i="4"/>
  <c r="D392" i="4"/>
  <c r="G391" i="4"/>
  <c r="D391" i="4"/>
  <c r="G390" i="4"/>
  <c r="D390" i="4"/>
  <c r="G389" i="4"/>
  <c r="D389" i="4"/>
  <c r="G388" i="4"/>
  <c r="D388" i="4"/>
  <c r="G387" i="4"/>
  <c r="D387" i="4"/>
  <c r="G386" i="4"/>
  <c r="D386" i="4"/>
  <c r="G385" i="4"/>
  <c r="D385" i="4"/>
  <c r="G384" i="4"/>
  <c r="D384" i="4"/>
  <c r="G383" i="4"/>
  <c r="D383" i="4"/>
  <c r="G382" i="4"/>
  <c r="D382" i="4"/>
  <c r="G381" i="4"/>
  <c r="D381" i="4"/>
  <c r="G380" i="4"/>
  <c r="D380" i="4"/>
  <c r="G379" i="4"/>
  <c r="D379" i="4"/>
  <c r="G378" i="4"/>
  <c r="D378" i="4"/>
  <c r="G377" i="4"/>
  <c r="D377" i="4"/>
  <c r="G376" i="4"/>
  <c r="D376" i="4"/>
  <c r="G375" i="4"/>
  <c r="D375" i="4"/>
  <c r="G374" i="4"/>
  <c r="D374" i="4"/>
  <c r="G373" i="4"/>
  <c r="D373" i="4"/>
  <c r="G372" i="4"/>
  <c r="D372" i="4"/>
  <c r="G371" i="4"/>
  <c r="D371" i="4"/>
  <c r="G370" i="4"/>
  <c r="D370" i="4"/>
  <c r="G369" i="4"/>
  <c r="D369" i="4"/>
  <c r="G368" i="4"/>
  <c r="D368" i="4"/>
  <c r="G367" i="4"/>
  <c r="D367" i="4"/>
  <c r="G366" i="4"/>
  <c r="D366" i="4"/>
  <c r="G365" i="4"/>
  <c r="D365" i="4"/>
  <c r="G364" i="4"/>
  <c r="D364" i="4"/>
  <c r="G363" i="4"/>
  <c r="D363" i="4"/>
  <c r="G362" i="4"/>
  <c r="D362" i="4"/>
  <c r="G361" i="4"/>
  <c r="D361" i="4"/>
  <c r="G360" i="4"/>
  <c r="D360" i="4"/>
  <c r="G359" i="4"/>
  <c r="D359" i="4"/>
  <c r="G358" i="4"/>
  <c r="D358" i="4"/>
  <c r="G357" i="4"/>
  <c r="D357" i="4"/>
  <c r="G356" i="4"/>
  <c r="D356" i="4"/>
  <c r="G355" i="4"/>
  <c r="D355" i="4"/>
  <c r="G354" i="4"/>
  <c r="D354" i="4"/>
  <c r="G353" i="4"/>
  <c r="D353" i="4"/>
  <c r="G352" i="4"/>
  <c r="D352" i="4"/>
  <c r="G351" i="4"/>
  <c r="D351" i="4"/>
  <c r="G350" i="4"/>
  <c r="D350" i="4"/>
  <c r="G349" i="4"/>
  <c r="D349" i="4"/>
  <c r="G348" i="4"/>
  <c r="D348" i="4"/>
  <c r="G347" i="4"/>
  <c r="D347" i="4"/>
  <c r="G346" i="4"/>
  <c r="D346" i="4"/>
  <c r="G345" i="4"/>
  <c r="D345" i="4"/>
  <c r="G344" i="4"/>
  <c r="D344" i="4"/>
  <c r="G343" i="4"/>
  <c r="D343" i="4"/>
  <c r="G342" i="4"/>
  <c r="D342" i="4"/>
  <c r="G341" i="4"/>
  <c r="D341" i="4"/>
  <c r="G340" i="4"/>
  <c r="D340" i="4"/>
  <c r="G339" i="4"/>
  <c r="D339" i="4"/>
  <c r="G338" i="4"/>
  <c r="D338" i="4"/>
  <c r="G337" i="4"/>
  <c r="D337" i="4"/>
  <c r="G336" i="4"/>
  <c r="D336" i="4"/>
  <c r="G335" i="4"/>
  <c r="D335" i="4"/>
  <c r="G334" i="4"/>
  <c r="D334" i="4"/>
  <c r="G333" i="4"/>
  <c r="D333" i="4"/>
  <c r="G332" i="4"/>
  <c r="D332" i="4"/>
  <c r="G331" i="4"/>
  <c r="D331" i="4"/>
  <c r="G330" i="4"/>
  <c r="D330" i="4"/>
  <c r="G329" i="4"/>
  <c r="D329" i="4"/>
  <c r="G328" i="4"/>
  <c r="D328" i="4"/>
  <c r="G327" i="4"/>
  <c r="D327" i="4"/>
  <c r="G326" i="4"/>
  <c r="D326" i="4"/>
  <c r="G325" i="4"/>
  <c r="D325" i="4"/>
  <c r="G324" i="4"/>
  <c r="D324" i="4"/>
  <c r="G323" i="4"/>
  <c r="D323" i="4"/>
  <c r="G322" i="4"/>
  <c r="D322" i="4"/>
  <c r="G321" i="4"/>
  <c r="D321" i="4"/>
  <c r="G320" i="4"/>
  <c r="D320" i="4"/>
  <c r="G319" i="4"/>
  <c r="D319" i="4"/>
  <c r="G318" i="4"/>
  <c r="D318" i="4"/>
  <c r="G317" i="4"/>
  <c r="D317" i="4"/>
  <c r="G316" i="4"/>
  <c r="D316" i="4"/>
  <c r="G315" i="4"/>
  <c r="D315" i="4"/>
  <c r="G314" i="4"/>
  <c r="D314" i="4"/>
  <c r="G313" i="4"/>
  <c r="D313" i="4"/>
  <c r="G312" i="4"/>
  <c r="D312" i="4"/>
  <c r="G311" i="4"/>
  <c r="D311" i="4"/>
  <c r="G310" i="4"/>
  <c r="D310" i="4"/>
  <c r="G309" i="4"/>
  <c r="D309" i="4"/>
  <c r="G308" i="4"/>
  <c r="D308" i="4"/>
  <c r="G307" i="4"/>
  <c r="D307" i="4"/>
  <c r="G306" i="4"/>
  <c r="D306" i="4"/>
  <c r="G305" i="4"/>
  <c r="D305" i="4"/>
  <c r="G304" i="4"/>
  <c r="D304" i="4"/>
  <c r="G303" i="4"/>
  <c r="D303" i="4"/>
  <c r="G302" i="4"/>
  <c r="D302" i="4"/>
  <c r="G301" i="4"/>
  <c r="D301" i="4"/>
  <c r="G300" i="4"/>
  <c r="D300" i="4"/>
  <c r="G299" i="4"/>
  <c r="D299" i="4"/>
  <c r="G298" i="4"/>
  <c r="D298" i="4"/>
  <c r="G297" i="4"/>
  <c r="D297" i="4"/>
  <c r="G296" i="4"/>
  <c r="D296" i="4"/>
  <c r="G295" i="4"/>
  <c r="D295" i="4"/>
  <c r="G294" i="4"/>
  <c r="D294" i="4"/>
  <c r="G293" i="4"/>
  <c r="D293" i="4"/>
  <c r="G292" i="4"/>
  <c r="D292" i="4"/>
  <c r="G291" i="4"/>
  <c r="D291" i="4"/>
  <c r="G290" i="4"/>
  <c r="D290" i="4"/>
  <c r="G289" i="4"/>
  <c r="D289" i="4"/>
  <c r="G288" i="4"/>
  <c r="D288" i="4"/>
  <c r="G287" i="4"/>
  <c r="D287" i="4"/>
  <c r="G286" i="4"/>
  <c r="D286" i="4"/>
  <c r="G285" i="4"/>
  <c r="D285" i="4"/>
  <c r="G284" i="4"/>
  <c r="D284" i="4"/>
  <c r="G283" i="4"/>
  <c r="D283" i="4"/>
  <c r="G282" i="4"/>
  <c r="D282" i="4"/>
  <c r="G281" i="4"/>
  <c r="D281" i="4"/>
  <c r="G280" i="4"/>
  <c r="D280" i="4"/>
  <c r="G279" i="4"/>
  <c r="D279" i="4"/>
  <c r="G278" i="4"/>
  <c r="D278" i="4"/>
  <c r="G277" i="4"/>
  <c r="D277" i="4"/>
  <c r="G276" i="4"/>
  <c r="D276" i="4"/>
  <c r="G275" i="4"/>
  <c r="D275" i="4"/>
  <c r="G274" i="4"/>
  <c r="D274" i="4"/>
  <c r="G273" i="4"/>
  <c r="D273" i="4"/>
  <c r="G272" i="4"/>
  <c r="D272" i="4"/>
  <c r="G271" i="4"/>
  <c r="D271" i="4"/>
  <c r="G270" i="4"/>
  <c r="D270" i="4"/>
  <c r="G269" i="4"/>
  <c r="D269" i="4"/>
  <c r="G268" i="4"/>
  <c r="D268" i="4"/>
  <c r="G267" i="4"/>
  <c r="D267" i="4"/>
  <c r="G266" i="4"/>
  <c r="D266" i="4"/>
  <c r="G265" i="4"/>
  <c r="D265" i="4"/>
  <c r="G264" i="4"/>
  <c r="D264" i="4"/>
  <c r="G263" i="4"/>
  <c r="D263" i="4"/>
  <c r="G262" i="4"/>
  <c r="D262" i="4"/>
  <c r="G261" i="4"/>
  <c r="D261" i="4"/>
  <c r="G260" i="4"/>
  <c r="D260" i="4"/>
  <c r="G259" i="4"/>
  <c r="D259" i="4"/>
  <c r="G258" i="4"/>
  <c r="D258" i="4"/>
  <c r="G257" i="4"/>
  <c r="D257" i="4"/>
  <c r="G256" i="4"/>
  <c r="D256" i="4"/>
  <c r="G255" i="4"/>
  <c r="D255" i="4"/>
  <c r="G254" i="4"/>
  <c r="D254" i="4"/>
  <c r="G253" i="4"/>
  <c r="D253" i="4"/>
  <c r="G252" i="4"/>
  <c r="D252" i="4"/>
  <c r="G251" i="4"/>
  <c r="D251" i="4"/>
  <c r="G250" i="4"/>
  <c r="D250" i="4"/>
  <c r="G249" i="4"/>
  <c r="D249" i="4"/>
  <c r="G248" i="4"/>
  <c r="D248" i="4"/>
  <c r="G247" i="4"/>
  <c r="D247" i="4"/>
  <c r="G246" i="4"/>
  <c r="D246" i="4"/>
  <c r="G245" i="4"/>
  <c r="D245" i="4"/>
  <c r="G244" i="4"/>
  <c r="D244" i="4"/>
  <c r="G243" i="4"/>
  <c r="D243" i="4"/>
  <c r="G242" i="4"/>
  <c r="D242" i="4"/>
  <c r="G241" i="4"/>
  <c r="D241" i="4"/>
  <c r="G240" i="4"/>
  <c r="D240" i="4"/>
  <c r="G239" i="4"/>
  <c r="D239" i="4"/>
  <c r="G238" i="4"/>
  <c r="D238" i="4"/>
  <c r="G237" i="4"/>
  <c r="D237" i="4"/>
  <c r="G236" i="4"/>
  <c r="D236" i="4"/>
  <c r="G235" i="4"/>
  <c r="D235" i="4"/>
  <c r="G234" i="4"/>
  <c r="D234" i="4"/>
  <c r="G233" i="4"/>
  <c r="D233" i="4"/>
  <c r="G232" i="4"/>
  <c r="D232" i="4"/>
  <c r="G231" i="4"/>
  <c r="D231" i="4"/>
  <c r="G230" i="4"/>
  <c r="D230" i="4"/>
  <c r="G229" i="4"/>
  <c r="D229" i="4"/>
  <c r="G228" i="4"/>
  <c r="D228" i="4"/>
  <c r="G227" i="4"/>
  <c r="D227" i="4"/>
  <c r="G226" i="4"/>
  <c r="D226" i="4"/>
  <c r="G225" i="4"/>
  <c r="D225" i="4"/>
  <c r="G224" i="4"/>
  <c r="D224" i="4"/>
  <c r="G223" i="4"/>
  <c r="D223" i="4"/>
  <c r="G222" i="4"/>
  <c r="D222" i="4"/>
  <c r="G221" i="4"/>
  <c r="D221" i="4"/>
  <c r="G220" i="4"/>
  <c r="D220" i="4"/>
  <c r="G219" i="4"/>
  <c r="D219" i="4"/>
  <c r="G218" i="4"/>
  <c r="D218" i="4"/>
  <c r="G217" i="4"/>
  <c r="D217" i="4"/>
  <c r="G216" i="4"/>
  <c r="D216" i="4"/>
  <c r="G215" i="4"/>
  <c r="D215" i="4"/>
  <c r="G214" i="4"/>
  <c r="D214" i="4"/>
  <c r="G213" i="4"/>
  <c r="D213" i="4"/>
  <c r="G212" i="4"/>
  <c r="D212" i="4"/>
  <c r="G211" i="4"/>
  <c r="D211" i="4"/>
  <c r="G210" i="4"/>
  <c r="D210" i="4"/>
  <c r="G209" i="4"/>
  <c r="D209" i="4"/>
  <c r="G208" i="4"/>
  <c r="D208" i="4"/>
  <c r="G207" i="4"/>
  <c r="D207" i="4"/>
  <c r="G206" i="4"/>
  <c r="D206" i="4"/>
  <c r="G205" i="4"/>
  <c r="D205" i="4"/>
  <c r="G204" i="4"/>
  <c r="D204" i="4"/>
  <c r="G203" i="4"/>
  <c r="D203" i="4"/>
  <c r="G202" i="4"/>
  <c r="D202" i="4"/>
  <c r="G201" i="4"/>
  <c r="D201" i="4"/>
  <c r="G200" i="4"/>
  <c r="D200" i="4"/>
  <c r="G199" i="4"/>
  <c r="D199" i="4"/>
  <c r="G198" i="4"/>
  <c r="D198" i="4"/>
  <c r="G197" i="4"/>
  <c r="D197" i="4"/>
  <c r="G196" i="4"/>
  <c r="D196" i="4"/>
  <c r="G195" i="4"/>
  <c r="D195" i="4"/>
  <c r="G194" i="4"/>
  <c r="D194" i="4"/>
  <c r="G193" i="4"/>
  <c r="D193" i="4"/>
  <c r="G192" i="4"/>
  <c r="D192" i="4"/>
  <c r="G191" i="4"/>
  <c r="D191" i="4"/>
  <c r="G190" i="4"/>
  <c r="D190" i="4"/>
  <c r="G189" i="4"/>
  <c r="D189" i="4"/>
  <c r="G188" i="4"/>
  <c r="D188" i="4"/>
  <c r="G187" i="4"/>
  <c r="D187" i="4"/>
  <c r="G186" i="4"/>
  <c r="D186" i="4"/>
  <c r="G185" i="4"/>
  <c r="D185" i="4"/>
  <c r="G184" i="4"/>
  <c r="D184" i="4"/>
  <c r="G183" i="4"/>
  <c r="D183" i="4"/>
  <c r="G182" i="4"/>
  <c r="D182" i="4"/>
  <c r="G181" i="4"/>
  <c r="D181" i="4"/>
  <c r="G180" i="4"/>
  <c r="D180" i="4"/>
  <c r="G179" i="4"/>
  <c r="D179" i="4"/>
  <c r="G178" i="4"/>
  <c r="D178" i="4"/>
  <c r="G177" i="4"/>
  <c r="D177" i="4"/>
  <c r="G176" i="4"/>
  <c r="D176" i="4"/>
  <c r="G175" i="4"/>
  <c r="D175" i="4"/>
  <c r="G174" i="4"/>
  <c r="D174" i="4"/>
  <c r="G173" i="4"/>
  <c r="D173" i="4"/>
  <c r="G172" i="4"/>
  <c r="D172" i="4"/>
  <c r="G171" i="4"/>
  <c r="D171" i="4"/>
  <c r="G170" i="4"/>
  <c r="D170" i="4"/>
  <c r="G169" i="4"/>
  <c r="D169" i="4"/>
  <c r="G168" i="4"/>
  <c r="D168" i="4"/>
  <c r="G167" i="4"/>
  <c r="D167" i="4"/>
  <c r="G166" i="4"/>
  <c r="D166" i="4"/>
  <c r="G165" i="4"/>
  <c r="D165" i="4"/>
  <c r="G164" i="4"/>
  <c r="D164" i="4"/>
  <c r="G163" i="4"/>
  <c r="D163" i="4"/>
  <c r="G162" i="4"/>
  <c r="D162" i="4"/>
  <c r="G161" i="4"/>
  <c r="D161" i="4"/>
  <c r="G160" i="4"/>
  <c r="D160" i="4"/>
  <c r="G159" i="4"/>
  <c r="D159" i="4"/>
  <c r="G158" i="4"/>
  <c r="D158" i="4"/>
  <c r="G157" i="4"/>
  <c r="D157" i="4"/>
  <c r="G156" i="4"/>
  <c r="D156" i="4"/>
  <c r="G155" i="4"/>
  <c r="D155" i="4"/>
  <c r="G154" i="4"/>
  <c r="D154" i="4"/>
  <c r="G153" i="4"/>
  <c r="D153" i="4"/>
  <c r="G152" i="4"/>
  <c r="D152" i="4"/>
  <c r="G151" i="4"/>
  <c r="D151" i="4"/>
  <c r="G150" i="4"/>
  <c r="D150" i="4"/>
  <c r="G149" i="4"/>
  <c r="D149" i="4"/>
  <c r="G148" i="4"/>
  <c r="D148" i="4"/>
  <c r="G147" i="4"/>
  <c r="D147" i="4"/>
  <c r="G146" i="4"/>
  <c r="D146" i="4"/>
  <c r="G145" i="4"/>
  <c r="D145" i="4"/>
  <c r="G144" i="4"/>
  <c r="D144" i="4"/>
  <c r="G143" i="4"/>
  <c r="D143" i="4"/>
  <c r="G142" i="4"/>
  <c r="D142" i="4"/>
  <c r="G141" i="4"/>
  <c r="D141" i="4"/>
  <c r="G140" i="4"/>
  <c r="D140" i="4"/>
  <c r="G139" i="4"/>
  <c r="D139" i="4"/>
  <c r="G138" i="4"/>
  <c r="D138" i="4"/>
  <c r="G137" i="4"/>
  <c r="D137" i="4"/>
  <c r="G136" i="4"/>
  <c r="D136" i="4"/>
  <c r="G135" i="4"/>
  <c r="D135" i="4"/>
  <c r="G134" i="4"/>
  <c r="D134" i="4"/>
  <c r="G133" i="4"/>
  <c r="D133" i="4"/>
  <c r="G132" i="4"/>
  <c r="D132" i="4"/>
  <c r="G131" i="4"/>
  <c r="D131" i="4"/>
  <c r="G130" i="4"/>
  <c r="D130" i="4"/>
  <c r="G129" i="4"/>
  <c r="D129" i="4"/>
  <c r="G128" i="4"/>
  <c r="D128" i="4"/>
  <c r="G127" i="4"/>
  <c r="D127" i="4"/>
  <c r="G126" i="4"/>
  <c r="D126" i="4"/>
  <c r="G125" i="4"/>
  <c r="D125" i="4"/>
  <c r="G124" i="4"/>
  <c r="D124" i="4"/>
  <c r="G123" i="4"/>
  <c r="D123" i="4"/>
  <c r="G122" i="4"/>
  <c r="D122" i="4"/>
  <c r="G121" i="4"/>
  <c r="D121" i="4"/>
  <c r="G120" i="4"/>
  <c r="D120" i="4"/>
  <c r="G119" i="4"/>
  <c r="D119" i="4"/>
  <c r="G118" i="4"/>
  <c r="D118" i="4"/>
  <c r="G117" i="4"/>
  <c r="D117" i="4"/>
  <c r="G116" i="4"/>
  <c r="D116" i="4"/>
  <c r="G115" i="4"/>
  <c r="D115" i="4"/>
  <c r="G114" i="4"/>
  <c r="D114" i="4"/>
  <c r="G113" i="4"/>
  <c r="D113" i="4"/>
  <c r="G112" i="4"/>
  <c r="D112" i="4"/>
  <c r="G111" i="4"/>
  <c r="D111" i="4"/>
  <c r="G110" i="4"/>
  <c r="D110" i="4"/>
  <c r="G109" i="4"/>
  <c r="D109" i="4"/>
  <c r="G108" i="4"/>
  <c r="D108" i="4"/>
  <c r="G107" i="4"/>
  <c r="D107" i="4"/>
  <c r="G106" i="4"/>
  <c r="D106" i="4"/>
  <c r="G105" i="4"/>
  <c r="D105" i="4"/>
  <c r="G104" i="4"/>
  <c r="D104" i="4"/>
  <c r="G103" i="4"/>
  <c r="D103" i="4"/>
  <c r="G102" i="4"/>
  <c r="D102" i="4"/>
  <c r="G101" i="4"/>
  <c r="D101" i="4"/>
  <c r="G100" i="4"/>
  <c r="D100" i="4"/>
  <c r="G99" i="4"/>
  <c r="D99" i="4"/>
  <c r="G98" i="4"/>
  <c r="D98" i="4"/>
  <c r="G97" i="4"/>
  <c r="D97" i="4"/>
  <c r="G96" i="4"/>
  <c r="D96" i="4"/>
  <c r="G95" i="4"/>
  <c r="D95" i="4"/>
  <c r="G94" i="4"/>
  <c r="D94" i="4"/>
  <c r="G93" i="4"/>
  <c r="D93" i="4"/>
  <c r="G92" i="4"/>
  <c r="D92" i="4"/>
  <c r="G91" i="4"/>
  <c r="D91" i="4"/>
  <c r="G90" i="4"/>
  <c r="D90" i="4"/>
  <c r="G89" i="4"/>
  <c r="D89" i="4"/>
  <c r="G88" i="4"/>
  <c r="D88" i="4"/>
  <c r="G87" i="4"/>
  <c r="D87" i="4"/>
  <c r="G86" i="4"/>
  <c r="D86" i="4"/>
  <c r="G85" i="4"/>
  <c r="D85" i="4"/>
  <c r="G84" i="4"/>
  <c r="D84" i="4"/>
  <c r="G83" i="4"/>
  <c r="D83" i="4"/>
  <c r="G82" i="4"/>
  <c r="D82" i="4"/>
  <c r="G81" i="4"/>
  <c r="D81" i="4"/>
  <c r="G80" i="4"/>
  <c r="D80" i="4"/>
  <c r="G79" i="4"/>
  <c r="D79" i="4"/>
  <c r="G78" i="4"/>
  <c r="D78" i="4"/>
  <c r="G77" i="4"/>
  <c r="D77" i="4"/>
  <c r="G76" i="4"/>
  <c r="D76" i="4"/>
  <c r="G75" i="4"/>
  <c r="D75" i="4"/>
  <c r="G74" i="4"/>
  <c r="D74" i="4"/>
  <c r="G73" i="4"/>
  <c r="D73" i="4"/>
  <c r="G72" i="4"/>
  <c r="D72" i="4"/>
  <c r="G71" i="4"/>
  <c r="D71" i="4"/>
  <c r="G70" i="4"/>
  <c r="D70" i="4"/>
  <c r="G69" i="4"/>
  <c r="D69" i="4"/>
  <c r="G68" i="4"/>
  <c r="D68" i="4"/>
  <c r="G67" i="4"/>
  <c r="D67" i="4"/>
  <c r="G66" i="4"/>
  <c r="D66" i="4"/>
  <c r="G65" i="4"/>
  <c r="D65" i="4"/>
  <c r="G64" i="4"/>
  <c r="D64" i="4"/>
  <c r="G63" i="4"/>
  <c r="D63" i="4"/>
  <c r="G62" i="4"/>
  <c r="D62" i="4"/>
  <c r="G61" i="4"/>
  <c r="D61" i="4"/>
  <c r="G60" i="4"/>
  <c r="D60" i="4"/>
  <c r="G59" i="4"/>
  <c r="D59" i="4"/>
  <c r="G58" i="4"/>
  <c r="D58" i="4"/>
  <c r="G57" i="4"/>
  <c r="D57" i="4"/>
  <c r="G56" i="4"/>
  <c r="D56" i="4"/>
  <c r="G55" i="4"/>
  <c r="D55" i="4"/>
  <c r="G54" i="4"/>
  <c r="D54" i="4"/>
  <c r="G53" i="4"/>
  <c r="D53" i="4"/>
  <c r="G52" i="4"/>
  <c r="D52" i="4"/>
  <c r="G51" i="4"/>
  <c r="D51" i="4"/>
  <c r="G50" i="4"/>
  <c r="D50" i="4"/>
  <c r="G49" i="4"/>
  <c r="D49" i="4"/>
  <c r="G48" i="4"/>
  <c r="D48" i="4"/>
  <c r="G47" i="4"/>
  <c r="D47" i="4"/>
  <c r="G46" i="4"/>
  <c r="D46" i="4"/>
  <c r="G45" i="4"/>
  <c r="D45" i="4"/>
  <c r="G44" i="4"/>
  <c r="D44" i="4"/>
  <c r="G43" i="4"/>
  <c r="D43" i="4"/>
  <c r="G42" i="4"/>
  <c r="D42" i="4"/>
  <c r="G41" i="4"/>
  <c r="D41" i="4"/>
  <c r="G40" i="4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G10" i="4"/>
  <c r="D10" i="4"/>
  <c r="G9" i="4"/>
  <c r="D9" i="4"/>
  <c r="G8" i="4"/>
  <c r="D8" i="4"/>
  <c r="B8" i="4"/>
  <c r="G7" i="4"/>
  <c r="D7" i="4"/>
  <c r="B7" i="4"/>
  <c r="G6" i="4"/>
  <c r="D6" i="4"/>
  <c r="B6" i="4"/>
  <c r="G5" i="4"/>
  <c r="D5" i="4"/>
  <c r="B5" i="4"/>
  <c r="J229" i="6" l="1"/>
  <c r="H227" i="6"/>
  <c r="K227" i="6"/>
  <c r="G227" i="6"/>
  <c r="I227" i="6"/>
  <c r="H225" i="6"/>
  <c r="J223" i="6"/>
  <c r="H221" i="6"/>
  <c r="H217" i="6"/>
  <c r="K225" i="6"/>
  <c r="G225" i="6"/>
  <c r="K221" i="6"/>
  <c r="G221" i="6"/>
  <c r="K217" i="6"/>
  <c r="G217" i="6"/>
  <c r="I217" i="6"/>
  <c r="I130" i="6"/>
  <c r="M130" i="6"/>
  <c r="K130" i="6"/>
  <c r="H135" i="6"/>
  <c r="G135" i="6"/>
  <c r="M146" i="6"/>
  <c r="G146" i="6"/>
  <c r="H155" i="6"/>
  <c r="G155" i="6"/>
  <c r="K179" i="6"/>
  <c r="H179" i="6"/>
  <c r="K210" i="6"/>
  <c r="G210" i="6"/>
  <c r="J210" i="6"/>
  <c r="M210" i="6"/>
  <c r="M220" i="6"/>
  <c r="M236" i="6"/>
  <c r="H236" i="6"/>
  <c r="K236" i="6"/>
  <c r="G236" i="6"/>
  <c r="G252" i="6"/>
  <c r="J252" i="6"/>
  <c r="M252" i="6"/>
  <c r="I252" i="6"/>
  <c r="M399" i="6"/>
  <c r="K399" i="6"/>
  <c r="M32" i="6"/>
  <c r="M38" i="6"/>
  <c r="M64" i="6"/>
  <c r="J84" i="6"/>
  <c r="I84" i="6"/>
  <c r="K84" i="6"/>
  <c r="M86" i="6"/>
  <c r="H86" i="6"/>
  <c r="K86" i="6"/>
  <c r="G86" i="6"/>
  <c r="H87" i="6"/>
  <c r="G87" i="6"/>
  <c r="M104" i="6"/>
  <c r="H104" i="6"/>
  <c r="K106" i="6"/>
  <c r="G106" i="6"/>
  <c r="J106" i="6"/>
  <c r="M106" i="6"/>
  <c r="M145" i="6"/>
  <c r="G145" i="6"/>
  <c r="M186" i="6"/>
  <c r="H186" i="6"/>
  <c r="K186" i="6"/>
  <c r="G186" i="6"/>
  <c r="M206" i="6"/>
  <c r="H206" i="6"/>
  <c r="K206" i="6"/>
  <c r="G206" i="6"/>
  <c r="M230" i="6"/>
  <c r="H230" i="6"/>
  <c r="K230" i="6"/>
  <c r="G230" i="6"/>
  <c r="G250" i="6"/>
  <c r="I250" i="6"/>
  <c r="K250" i="6"/>
  <c r="H250" i="6"/>
  <c r="G296" i="6"/>
  <c r="I296" i="6"/>
  <c r="M296" i="6"/>
  <c r="H296" i="6"/>
  <c r="K296" i="6"/>
  <c r="J296" i="6"/>
  <c r="M309" i="6"/>
  <c r="H309" i="6"/>
  <c r="K309" i="6"/>
  <c r="G309" i="6"/>
  <c r="J309" i="6"/>
  <c r="I309" i="6"/>
  <c r="K487" i="6"/>
  <c r="H487" i="6"/>
  <c r="K15" i="6"/>
  <c r="K29" i="6"/>
  <c r="J30" i="6"/>
  <c r="M40" i="6"/>
  <c r="K55" i="6"/>
  <c r="K58" i="6"/>
  <c r="K73" i="6"/>
  <c r="G74" i="6"/>
  <c r="M75" i="6"/>
  <c r="K78" i="6"/>
  <c r="M82" i="6"/>
  <c r="M84" i="6"/>
  <c r="H133" i="6"/>
  <c r="G133" i="6"/>
  <c r="K135" i="6"/>
  <c r="H146" i="6"/>
  <c r="M152" i="6"/>
  <c r="H152" i="6"/>
  <c r="K155" i="6"/>
  <c r="M178" i="6"/>
  <c r="G178" i="6"/>
  <c r="H180" i="6"/>
  <c r="G180" i="6"/>
  <c r="K184" i="6"/>
  <c r="G184" i="6"/>
  <c r="J184" i="6"/>
  <c r="M184" i="6"/>
  <c r="K190" i="6"/>
  <c r="G190" i="6"/>
  <c r="J190" i="6"/>
  <c r="M190" i="6"/>
  <c r="K192" i="6"/>
  <c r="G192" i="6"/>
  <c r="J192" i="6"/>
  <c r="M192" i="6"/>
  <c r="K194" i="6"/>
  <c r="G194" i="6"/>
  <c r="J194" i="6"/>
  <c r="M194" i="6"/>
  <c r="K200" i="6"/>
  <c r="G200" i="6"/>
  <c r="J200" i="6"/>
  <c r="M200" i="6"/>
  <c r="H210" i="6"/>
  <c r="I236" i="6"/>
  <c r="K252" i="6"/>
  <c r="M279" i="6"/>
  <c r="H279" i="6"/>
  <c r="K279" i="6"/>
  <c r="G279" i="6"/>
  <c r="J279" i="6"/>
  <c r="I279" i="6"/>
  <c r="K360" i="6"/>
  <c r="I360" i="6"/>
  <c r="G360" i="6"/>
  <c r="M360" i="6"/>
  <c r="J360" i="6"/>
  <c r="M362" i="6"/>
  <c r="I362" i="6"/>
  <c r="J369" i="6"/>
  <c r="I369" i="6"/>
  <c r="K369" i="6"/>
  <c r="K18" i="6"/>
  <c r="J24" i="6"/>
  <c r="M58" i="6"/>
  <c r="K61" i="6"/>
  <c r="G84" i="6"/>
  <c r="I86" i="6"/>
  <c r="I100" i="6"/>
  <c r="H100" i="6"/>
  <c r="H106" i="6"/>
  <c r="K110" i="6"/>
  <c r="M110" i="6"/>
  <c r="J110" i="6"/>
  <c r="H145" i="6"/>
  <c r="I146" i="6"/>
  <c r="M174" i="6"/>
  <c r="H174" i="6"/>
  <c r="K174" i="6"/>
  <c r="G174" i="6"/>
  <c r="I186" i="6"/>
  <c r="I206" i="6"/>
  <c r="I210" i="6"/>
  <c r="M216" i="6"/>
  <c r="M226" i="6"/>
  <c r="I230" i="6"/>
  <c r="J236" i="6"/>
  <c r="G244" i="6"/>
  <c r="K244" i="6"/>
  <c r="I244" i="6"/>
  <c r="H244" i="6"/>
  <c r="J250" i="6"/>
  <c r="K275" i="6"/>
  <c r="G275" i="6"/>
  <c r="J323" i="6"/>
  <c r="H323" i="6"/>
  <c r="M323" i="6"/>
  <c r="G323" i="6"/>
  <c r="K323" i="6"/>
  <c r="I323" i="6"/>
  <c r="M88" i="6"/>
  <c r="H95" i="6"/>
  <c r="H97" i="6"/>
  <c r="H108" i="6"/>
  <c r="K119" i="6"/>
  <c r="H123" i="6"/>
  <c r="I144" i="6"/>
  <c r="H157" i="6"/>
  <c r="M159" i="6"/>
  <c r="K168" i="6"/>
  <c r="I172" i="6"/>
  <c r="M176" i="6"/>
  <c r="H182" i="6"/>
  <c r="M182" i="6"/>
  <c r="H188" i="6"/>
  <c r="M188" i="6"/>
  <c r="H196" i="6"/>
  <c r="M196" i="6"/>
  <c r="I198" i="6"/>
  <c r="H202" i="6"/>
  <c r="M202" i="6"/>
  <c r="I204" i="6"/>
  <c r="I208" i="6"/>
  <c r="H212" i="6"/>
  <c r="M212" i="6"/>
  <c r="I214" i="6"/>
  <c r="M218" i="6"/>
  <c r="M222" i="6"/>
  <c r="H232" i="6"/>
  <c r="M232" i="6"/>
  <c r="J238" i="6"/>
  <c r="M242" i="6"/>
  <c r="H242" i="6"/>
  <c r="J242" i="6"/>
  <c r="K242" i="6"/>
  <c r="M286" i="6"/>
  <c r="K286" i="6"/>
  <c r="G330" i="6"/>
  <c r="M330" i="6"/>
  <c r="K330" i="6"/>
  <c r="K380" i="6"/>
  <c r="J380" i="6"/>
  <c r="M435" i="6"/>
  <c r="H435" i="6"/>
  <c r="K435" i="6"/>
  <c r="G435" i="6"/>
  <c r="J435" i="6"/>
  <c r="M451" i="6"/>
  <c r="G451" i="6"/>
  <c r="M97" i="6"/>
  <c r="J108" i="6"/>
  <c r="J144" i="6"/>
  <c r="G254" i="6"/>
  <c r="J254" i="6"/>
  <c r="M254" i="6"/>
  <c r="H426" i="6"/>
  <c r="G426" i="6"/>
  <c r="M426" i="6"/>
  <c r="I240" i="6"/>
  <c r="M246" i="6"/>
  <c r="G249" i="6"/>
  <c r="H251" i="6"/>
  <c r="G257" i="6"/>
  <c r="K257" i="6"/>
  <c r="M259" i="6"/>
  <c r="J262" i="6"/>
  <c r="J265" i="6"/>
  <c r="H267" i="6"/>
  <c r="M267" i="6"/>
  <c r="I269" i="6"/>
  <c r="I277" i="6"/>
  <c r="G281" i="6"/>
  <c r="K281" i="6"/>
  <c r="G289" i="6"/>
  <c r="K289" i="6"/>
  <c r="J291" i="6"/>
  <c r="J293" i="6"/>
  <c r="I298" i="6"/>
  <c r="J302" i="6"/>
  <c r="I304" i="6"/>
  <c r="I311" i="6"/>
  <c r="I319" i="6"/>
  <c r="H321" i="6"/>
  <c r="M321" i="6"/>
  <c r="H326" i="6"/>
  <c r="J328" i="6"/>
  <c r="G329" i="6"/>
  <c r="I333" i="6"/>
  <c r="G335" i="6"/>
  <c r="K335" i="6"/>
  <c r="K343" i="6"/>
  <c r="K347" i="6"/>
  <c r="G350" i="6"/>
  <c r="G358" i="6"/>
  <c r="M358" i="6"/>
  <c r="J366" i="6"/>
  <c r="I385" i="6"/>
  <c r="I397" i="6"/>
  <c r="H403" i="6"/>
  <c r="M411" i="6"/>
  <c r="H412" i="6"/>
  <c r="J423" i="6"/>
  <c r="J446" i="6"/>
  <c r="H484" i="6"/>
  <c r="G496" i="6"/>
  <c r="H498" i="6"/>
  <c r="K262" i="6"/>
  <c r="I267" i="6"/>
  <c r="M293" i="6"/>
  <c r="J298" i="6"/>
  <c r="J304" i="6"/>
  <c r="K328" i="6"/>
  <c r="M347" i="6"/>
  <c r="I403" i="6"/>
  <c r="J412" i="6"/>
  <c r="J484" i="6"/>
  <c r="H496" i="6"/>
  <c r="J498" i="6"/>
  <c r="G240" i="6"/>
  <c r="J246" i="6"/>
  <c r="G269" i="6"/>
  <c r="G277" i="6"/>
  <c r="H278" i="6"/>
  <c r="H291" i="6"/>
  <c r="M291" i="6"/>
  <c r="J294" i="6"/>
  <c r="K298" i="6"/>
  <c r="H302" i="6"/>
  <c r="M302" i="6"/>
  <c r="K304" i="6"/>
  <c r="M306" i="6"/>
  <c r="G311" i="6"/>
  <c r="G319" i="6"/>
  <c r="J321" i="6"/>
  <c r="J326" i="6"/>
  <c r="G333" i="6"/>
  <c r="H339" i="6"/>
  <c r="M345" i="6"/>
  <c r="I358" i="6"/>
  <c r="H366" i="6"/>
  <c r="I368" i="6"/>
  <c r="J372" i="6"/>
  <c r="G385" i="6"/>
  <c r="J405" i="6"/>
  <c r="H423" i="6"/>
  <c r="G425" i="6"/>
  <c r="H434" i="6"/>
  <c r="M448" i="6"/>
  <c r="H475" i="6"/>
  <c r="M478" i="6"/>
  <c r="M498" i="6"/>
  <c r="M221" i="6"/>
  <c r="M373" i="6"/>
  <c r="K373" i="6"/>
  <c r="J457" i="6"/>
  <c r="I457" i="6"/>
  <c r="J491" i="6"/>
  <c r="M491" i="6"/>
  <c r="K491" i="6"/>
  <c r="M211" i="6"/>
  <c r="J211" i="6"/>
  <c r="I211" i="6"/>
  <c r="H211" i="6"/>
  <c r="G211" i="6"/>
  <c r="M177" i="6"/>
  <c r="J177" i="6"/>
  <c r="I177" i="6"/>
  <c r="G177" i="6"/>
  <c r="M299" i="6"/>
  <c r="K299" i="6"/>
  <c r="J299" i="6"/>
  <c r="I299" i="6"/>
  <c r="G299" i="6"/>
  <c r="I377" i="6"/>
  <c r="H377" i="6"/>
  <c r="M201" i="6"/>
  <c r="J201" i="6"/>
  <c r="I201" i="6"/>
  <c r="H201" i="6"/>
  <c r="G201" i="6"/>
  <c r="J41" i="6"/>
  <c r="K47" i="6"/>
  <c r="K53" i="6"/>
  <c r="H71" i="6"/>
  <c r="G122" i="6"/>
  <c r="K138" i="6"/>
  <c r="K149" i="6"/>
  <c r="G166" i="6"/>
  <c r="K211" i="6"/>
  <c r="G280" i="6"/>
  <c r="K280" i="6"/>
  <c r="J280" i="6"/>
  <c r="H280" i="6"/>
  <c r="K297" i="6"/>
  <c r="J297" i="6"/>
  <c r="I297" i="6"/>
  <c r="H297" i="6"/>
  <c r="G338" i="6"/>
  <c r="G383" i="6"/>
  <c r="M386" i="6"/>
  <c r="J386" i="6"/>
  <c r="I386" i="6"/>
  <c r="H492" i="6"/>
  <c r="G492" i="6"/>
  <c r="C15" i="2"/>
  <c r="K50" i="6"/>
  <c r="M53" i="6"/>
  <c r="J56" i="6"/>
  <c r="J62" i="6"/>
  <c r="K71" i="6"/>
  <c r="H89" i="6"/>
  <c r="G111" i="6"/>
  <c r="H122" i="6"/>
  <c r="H125" i="6"/>
  <c r="G131" i="6"/>
  <c r="M149" i="6"/>
  <c r="I160" i="6"/>
  <c r="H166" i="6"/>
  <c r="H177" i="6"/>
  <c r="H189" i="6"/>
  <c r="K201" i="6"/>
  <c r="M237" i="6"/>
  <c r="J237" i="6"/>
  <c r="I237" i="6"/>
  <c r="H237" i="6"/>
  <c r="G237" i="6"/>
  <c r="H271" i="6"/>
  <c r="M283" i="6"/>
  <c r="K283" i="6"/>
  <c r="J283" i="6"/>
  <c r="H283" i="6"/>
  <c r="G283" i="6"/>
  <c r="H299" i="6"/>
  <c r="M313" i="6"/>
  <c r="K313" i="6"/>
  <c r="J313" i="6"/>
  <c r="H313" i="6"/>
  <c r="G313" i="6"/>
  <c r="I338" i="6"/>
  <c r="G351" i="6"/>
  <c r="J377" i="6"/>
  <c r="H383" i="6"/>
  <c r="H485" i="6"/>
  <c r="M485" i="6"/>
  <c r="K485" i="6"/>
  <c r="I485" i="6"/>
  <c r="M229" i="6"/>
  <c r="M219" i="6"/>
  <c r="M307" i="6"/>
  <c r="I307" i="6"/>
  <c r="G71" i="6"/>
  <c r="M175" i="6"/>
  <c r="J175" i="6"/>
  <c r="I175" i="6"/>
  <c r="G175" i="6"/>
  <c r="M187" i="6"/>
  <c r="J187" i="6"/>
  <c r="I187" i="6"/>
  <c r="G187" i="6"/>
  <c r="M199" i="6"/>
  <c r="J199" i="6"/>
  <c r="I199" i="6"/>
  <c r="G199" i="6"/>
  <c r="M209" i="6"/>
  <c r="J209" i="6"/>
  <c r="I209" i="6"/>
  <c r="H209" i="6"/>
  <c r="G209" i="6"/>
  <c r="M247" i="6"/>
  <c r="K247" i="6"/>
  <c r="J247" i="6"/>
  <c r="I247" i="6"/>
  <c r="G247" i="6"/>
  <c r="M263" i="6"/>
  <c r="J263" i="6"/>
  <c r="I263" i="6"/>
  <c r="H263" i="6"/>
  <c r="G263" i="6"/>
  <c r="G373" i="6"/>
  <c r="M430" i="6"/>
  <c r="J430" i="6"/>
  <c r="G491" i="6"/>
  <c r="M50" i="6"/>
  <c r="K56" i="6"/>
  <c r="K62" i="6"/>
  <c r="K89" i="6"/>
  <c r="H111" i="6"/>
  <c r="I122" i="6"/>
  <c r="K125" i="6"/>
  <c r="H131" i="6"/>
  <c r="J160" i="6"/>
  <c r="I166" i="6"/>
  <c r="K177" i="6"/>
  <c r="M227" i="6"/>
  <c r="M351" i="6"/>
  <c r="I383" i="6"/>
  <c r="H465" i="6"/>
  <c r="M465" i="6"/>
  <c r="K465" i="6"/>
  <c r="J465" i="6"/>
  <c r="I465" i="6"/>
  <c r="G98" i="6"/>
  <c r="K160" i="6"/>
  <c r="M185" i="6"/>
  <c r="J185" i="6"/>
  <c r="I185" i="6"/>
  <c r="G185" i="6"/>
  <c r="M197" i="6"/>
  <c r="J197" i="6"/>
  <c r="I197" i="6"/>
  <c r="G197" i="6"/>
  <c r="M217" i="6"/>
  <c r="M255" i="6"/>
  <c r="I255" i="6"/>
  <c r="J348" i="6"/>
  <c r="H367" i="6"/>
  <c r="J383" i="6"/>
  <c r="M441" i="6"/>
  <c r="K441" i="6"/>
  <c r="G461" i="6"/>
  <c r="J21" i="6"/>
  <c r="H98" i="6"/>
  <c r="G109" i="6"/>
  <c r="J114" i="6"/>
  <c r="G120" i="6"/>
  <c r="H136" i="6"/>
  <c r="G142" i="6"/>
  <c r="G147" i="6"/>
  <c r="G158" i="6"/>
  <c r="M160" i="6"/>
  <c r="M173" i="6"/>
  <c r="G173" i="6"/>
  <c r="M207" i="6"/>
  <c r="J207" i="6"/>
  <c r="I207" i="6"/>
  <c r="H207" i="6"/>
  <c r="G207" i="6"/>
  <c r="K245" i="6"/>
  <c r="J245" i="6"/>
  <c r="I245" i="6"/>
  <c r="H245" i="6"/>
  <c r="H260" i="6"/>
  <c r="M305" i="6"/>
  <c r="J305" i="6"/>
  <c r="G305" i="6"/>
  <c r="G307" i="6"/>
  <c r="G322" i="6"/>
  <c r="H322" i="6"/>
  <c r="G342" i="6"/>
  <c r="J367" i="6"/>
  <c r="K383" i="6"/>
  <c r="M424" i="6"/>
  <c r="H424" i="6"/>
  <c r="G424" i="6"/>
  <c r="K427" i="6"/>
  <c r="I427" i="6"/>
  <c r="H427" i="6"/>
  <c r="M499" i="6"/>
  <c r="H499" i="6"/>
  <c r="G499" i="6"/>
  <c r="M502" i="6"/>
  <c r="I98" i="6"/>
  <c r="H147" i="6"/>
  <c r="I158" i="6"/>
  <c r="K199" i="6"/>
  <c r="M18" i="6"/>
  <c r="M24" i="6"/>
  <c r="M30" i="6"/>
  <c r="J33" i="6"/>
  <c r="K39" i="6"/>
  <c r="K45" i="6"/>
  <c r="H74" i="6"/>
  <c r="G85" i="6"/>
  <c r="K87" i="6"/>
  <c r="G96" i="6"/>
  <c r="M109" i="6"/>
  <c r="J120" i="6"/>
  <c r="G134" i="6"/>
  <c r="K136" i="6"/>
  <c r="M147" i="6"/>
  <c r="G156" i="6"/>
  <c r="J158" i="6"/>
  <c r="I164" i="6"/>
  <c r="I180" i="6"/>
  <c r="M183" i="6"/>
  <c r="J183" i="6"/>
  <c r="I183" i="6"/>
  <c r="G183" i="6"/>
  <c r="M195" i="6"/>
  <c r="J195" i="6"/>
  <c r="I195" i="6"/>
  <c r="G195" i="6"/>
  <c r="M225" i="6"/>
  <c r="K237" i="6"/>
  <c r="K253" i="6"/>
  <c r="H253" i="6"/>
  <c r="I275" i="6"/>
  <c r="I283" i="6"/>
  <c r="K287" i="6"/>
  <c r="H287" i="6"/>
  <c r="M297" i="6"/>
  <c r="K307" i="6"/>
  <c r="I313" i="6"/>
  <c r="M342" i="6"/>
  <c r="I361" i="6"/>
  <c r="H381" i="6"/>
  <c r="M404" i="6"/>
  <c r="J404" i="6"/>
  <c r="H404" i="6"/>
  <c r="G404" i="6"/>
  <c r="J485" i="6"/>
  <c r="M461" i="6"/>
  <c r="K461" i="6"/>
  <c r="K21" i="6"/>
  <c r="I120" i="6"/>
  <c r="K42" i="6"/>
  <c r="J48" i="6"/>
  <c r="J54" i="6"/>
  <c r="I74" i="6"/>
  <c r="H77" i="6"/>
  <c r="H85" i="6"/>
  <c r="H96" i="6"/>
  <c r="H101" i="6"/>
  <c r="G107" i="6"/>
  <c r="G118" i="6"/>
  <c r="K120" i="6"/>
  <c r="H134" i="6"/>
  <c r="M136" i="6"/>
  <c r="H156" i="6"/>
  <c r="K158" i="6"/>
  <c r="J164" i="6"/>
  <c r="J180" i="6"/>
  <c r="M215" i="6"/>
  <c r="J215" i="6"/>
  <c r="I215" i="6"/>
  <c r="H215" i="6"/>
  <c r="G215" i="6"/>
  <c r="J275" i="6"/>
  <c r="H300" i="6"/>
  <c r="M303" i="6"/>
  <c r="K303" i="6"/>
  <c r="I303" i="6"/>
  <c r="G308" i="6"/>
  <c r="M308" i="6"/>
  <c r="K308" i="6"/>
  <c r="J308" i="6"/>
  <c r="G359" i="6"/>
  <c r="M359" i="6"/>
  <c r="K359" i="6"/>
  <c r="J359" i="6"/>
  <c r="H359" i="6"/>
  <c r="J361" i="6"/>
  <c r="M379" i="6"/>
  <c r="K379" i="6"/>
  <c r="I379" i="6"/>
  <c r="I381" i="6"/>
  <c r="G455" i="6"/>
  <c r="M471" i="6"/>
  <c r="K471" i="6"/>
  <c r="J471" i="6"/>
  <c r="I471" i="6"/>
  <c r="H471" i="6"/>
  <c r="G471" i="6"/>
  <c r="K77" i="6"/>
  <c r="K85" i="6"/>
  <c r="I96" i="6"/>
  <c r="K101" i="6"/>
  <c r="H107" i="6"/>
  <c r="H118" i="6"/>
  <c r="I134" i="6"/>
  <c r="I156" i="6"/>
  <c r="M158" i="6"/>
  <c r="K180" i="6"/>
  <c r="M205" i="6"/>
  <c r="J205" i="6"/>
  <c r="I205" i="6"/>
  <c r="H205" i="6"/>
  <c r="G205" i="6"/>
  <c r="M273" i="6"/>
  <c r="K273" i="6"/>
  <c r="J273" i="6"/>
  <c r="H273" i="6"/>
  <c r="M275" i="6"/>
  <c r="I300" i="6"/>
  <c r="M361" i="6"/>
  <c r="J381" i="6"/>
  <c r="H455" i="6"/>
  <c r="M483" i="6"/>
  <c r="K483" i="6"/>
  <c r="J483" i="6"/>
  <c r="I483" i="6"/>
  <c r="H483" i="6"/>
  <c r="G483" i="6"/>
  <c r="K271" i="6"/>
  <c r="J271" i="6"/>
  <c r="I271" i="6"/>
  <c r="G271" i="6"/>
  <c r="I142" i="6"/>
  <c r="M48" i="6"/>
  <c r="M54" i="6"/>
  <c r="J57" i="6"/>
  <c r="K63" i="6"/>
  <c r="G83" i="6"/>
  <c r="J96" i="6"/>
  <c r="H112" i="6"/>
  <c r="I118" i="6"/>
  <c r="J126" i="6"/>
  <c r="G132" i="6"/>
  <c r="J134" i="6"/>
  <c r="J156" i="6"/>
  <c r="K167" i="6"/>
  <c r="K173" i="6"/>
  <c r="H178" i="6"/>
  <c r="M180" i="6"/>
  <c r="K185" i="6"/>
  <c r="K197" i="6"/>
  <c r="K207" i="6"/>
  <c r="M243" i="6"/>
  <c r="J243" i="6"/>
  <c r="I243" i="6"/>
  <c r="H243" i="6"/>
  <c r="G243" i="6"/>
  <c r="G245" i="6"/>
  <c r="H255" i="6"/>
  <c r="K276" i="6"/>
  <c r="J276" i="6"/>
  <c r="H276" i="6"/>
  <c r="J300" i="6"/>
  <c r="H305" i="6"/>
  <c r="I322" i="6"/>
  <c r="G356" i="6"/>
  <c r="M381" i="6"/>
  <c r="J394" i="6"/>
  <c r="J424" i="6"/>
  <c r="J441" i="6"/>
  <c r="M189" i="6"/>
  <c r="J189" i="6"/>
  <c r="I189" i="6"/>
  <c r="G189" i="6"/>
  <c r="M325" i="6"/>
  <c r="K325" i="6"/>
  <c r="J325" i="6"/>
  <c r="I325" i="6"/>
  <c r="G325" i="6"/>
  <c r="I72" i="6"/>
  <c r="H83" i="6"/>
  <c r="G94" i="6"/>
  <c r="K96" i="6"/>
  <c r="I112" i="6"/>
  <c r="M118" i="6"/>
  <c r="K123" i="6"/>
  <c r="K126" i="6"/>
  <c r="H132" i="6"/>
  <c r="K134" i="6"/>
  <c r="K145" i="6"/>
  <c r="G154" i="6"/>
  <c r="K156" i="6"/>
  <c r="I178" i="6"/>
  <c r="M181" i="6"/>
  <c r="J181" i="6"/>
  <c r="I181" i="6"/>
  <c r="G181" i="6"/>
  <c r="M193" i="6"/>
  <c r="J193" i="6"/>
  <c r="I193" i="6"/>
  <c r="G193" i="6"/>
  <c r="M233" i="6"/>
  <c r="J233" i="6"/>
  <c r="I233" i="6"/>
  <c r="H233" i="6"/>
  <c r="G233" i="6"/>
  <c r="M245" i="6"/>
  <c r="J255" i="6"/>
  <c r="K300" i="6"/>
  <c r="I305" i="6"/>
  <c r="J322" i="6"/>
  <c r="H325" i="6"/>
  <c r="K334" i="6"/>
  <c r="J334" i="6"/>
  <c r="I334" i="6"/>
  <c r="J336" i="6"/>
  <c r="H356" i="6"/>
  <c r="M442" i="6"/>
  <c r="J442" i="6"/>
  <c r="G459" i="6"/>
  <c r="G479" i="6"/>
  <c r="M495" i="6"/>
  <c r="K495" i="6"/>
  <c r="J495" i="6"/>
  <c r="H495" i="6"/>
  <c r="G495" i="6"/>
  <c r="H342" i="6"/>
  <c r="J72" i="6"/>
  <c r="H94" i="6"/>
  <c r="G99" i="6"/>
  <c r="J112" i="6"/>
  <c r="I132" i="6"/>
  <c r="H154" i="6"/>
  <c r="J178" i="6"/>
  <c r="M223" i="6"/>
  <c r="I248" i="6"/>
  <c r="M251" i="6"/>
  <c r="J251" i="6"/>
  <c r="G251" i="6"/>
  <c r="K255" i="6"/>
  <c r="K265" i="6"/>
  <c r="H265" i="6"/>
  <c r="M300" i="6"/>
  <c r="K305" i="6"/>
  <c r="G317" i="6"/>
  <c r="G331" i="6"/>
  <c r="I356" i="6"/>
  <c r="M395" i="6"/>
  <c r="K395" i="6"/>
  <c r="G414" i="6"/>
  <c r="H459" i="6"/>
  <c r="H479" i="6"/>
  <c r="M494" i="6"/>
  <c r="J494" i="6"/>
  <c r="K187" i="6"/>
  <c r="M42" i="6"/>
  <c r="J16" i="6"/>
  <c r="K22" i="6"/>
  <c r="J37" i="6"/>
  <c r="G70" i="6"/>
  <c r="K72" i="6"/>
  <c r="I94" i="6"/>
  <c r="H99" i="6"/>
  <c r="K112" i="6"/>
  <c r="J132" i="6"/>
  <c r="G143" i="6"/>
  <c r="J154" i="6"/>
  <c r="G176" i="6"/>
  <c r="K178" i="6"/>
  <c r="H183" i="6"/>
  <c r="H195" i="6"/>
  <c r="M213" i="6"/>
  <c r="J213" i="6"/>
  <c r="I213" i="6"/>
  <c r="H213" i="6"/>
  <c r="G213" i="6"/>
  <c r="J248" i="6"/>
  <c r="G253" i="6"/>
  <c r="I259" i="6"/>
  <c r="H259" i="6"/>
  <c r="G259" i="6"/>
  <c r="G287" i="6"/>
  <c r="M301" i="6"/>
  <c r="K301" i="6"/>
  <c r="J301" i="6"/>
  <c r="H301" i="6"/>
  <c r="M329" i="6"/>
  <c r="K329" i="6"/>
  <c r="I329" i="6"/>
  <c r="J356" i="6"/>
  <c r="J414" i="6"/>
  <c r="J438" i="6"/>
  <c r="K479" i="6"/>
  <c r="M497" i="6"/>
  <c r="K497" i="6"/>
  <c r="M239" i="6"/>
  <c r="J239" i="6"/>
  <c r="I239" i="6"/>
  <c r="H239" i="6"/>
  <c r="G239" i="6"/>
  <c r="M327" i="6"/>
  <c r="K327" i="6"/>
  <c r="J327" i="6"/>
  <c r="I327" i="6"/>
  <c r="G327" i="6"/>
  <c r="M355" i="6"/>
  <c r="J355" i="6"/>
  <c r="I355" i="6"/>
  <c r="H355" i="6"/>
  <c r="G355" i="6"/>
  <c r="M447" i="6"/>
  <c r="K447" i="6"/>
  <c r="J447" i="6"/>
  <c r="H447" i="6"/>
  <c r="G447" i="6"/>
  <c r="H109" i="6"/>
  <c r="H120" i="6"/>
  <c r="I136" i="6"/>
  <c r="H142" i="6"/>
  <c r="H307" i="6"/>
  <c r="I384" i="6"/>
  <c r="H384" i="6"/>
  <c r="M459" i="6"/>
  <c r="J459" i="6"/>
  <c r="I459" i="6"/>
  <c r="I461" i="6"/>
  <c r="J136" i="6"/>
  <c r="K175" i="6"/>
  <c r="M235" i="6"/>
  <c r="J235" i="6"/>
  <c r="I235" i="6"/>
  <c r="H235" i="6"/>
  <c r="G235" i="6"/>
  <c r="M261" i="6"/>
  <c r="K261" i="6"/>
  <c r="J261" i="6"/>
  <c r="H261" i="6"/>
  <c r="G261" i="6"/>
  <c r="H275" i="6"/>
  <c r="J307" i="6"/>
  <c r="M317" i="6"/>
  <c r="I317" i="6"/>
  <c r="M331" i="6"/>
  <c r="J331" i="6"/>
  <c r="I445" i="6"/>
  <c r="H445" i="6"/>
  <c r="G445" i="6"/>
  <c r="J461" i="6"/>
  <c r="K16" i="6"/>
  <c r="J25" i="6"/>
  <c r="K31" i="6"/>
  <c r="K37" i="6"/>
  <c r="H70" i="6"/>
  <c r="H88" i="6"/>
  <c r="M94" i="6"/>
  <c r="K99" i="6"/>
  <c r="G110" i="6"/>
  <c r="M112" i="6"/>
  <c r="G130" i="6"/>
  <c r="K132" i="6"/>
  <c r="K143" i="6"/>
  <c r="H148" i="6"/>
  <c r="K154" i="6"/>
  <c r="H176" i="6"/>
  <c r="K183" i="6"/>
  <c r="K195" i="6"/>
  <c r="M203" i="6"/>
  <c r="J203" i="6"/>
  <c r="I203" i="6"/>
  <c r="H203" i="6"/>
  <c r="G203" i="6"/>
  <c r="K215" i="6"/>
  <c r="K248" i="6"/>
  <c r="I253" i="6"/>
  <c r="J284" i="6"/>
  <c r="I287" i="6"/>
  <c r="G303" i="6"/>
  <c r="K314" i="6"/>
  <c r="J317" i="6"/>
  <c r="I331" i="6"/>
  <c r="M356" i="6"/>
  <c r="I359" i="6"/>
  <c r="G379" i="6"/>
  <c r="K391" i="6"/>
  <c r="G476" i="6"/>
  <c r="H164" i="6"/>
  <c r="M295" i="6"/>
  <c r="J295" i="6"/>
  <c r="I295" i="6"/>
  <c r="H295" i="6"/>
  <c r="G295" i="6"/>
  <c r="G9" i="2"/>
  <c r="K34" i="6"/>
  <c r="J40" i="6"/>
  <c r="J46" i="6"/>
  <c r="I70" i="6"/>
  <c r="G75" i="6"/>
  <c r="I88" i="6"/>
  <c r="H110" i="6"/>
  <c r="G121" i="6"/>
  <c r="H130" i="6"/>
  <c r="H137" i="6"/>
  <c r="M143" i="6"/>
  <c r="I148" i="6"/>
  <c r="M154" i="6"/>
  <c r="G165" i="6"/>
  <c r="I176" i="6"/>
  <c r="M179" i="6"/>
  <c r="J179" i="6"/>
  <c r="I179" i="6"/>
  <c r="G179" i="6"/>
  <c r="M191" i="6"/>
  <c r="J191" i="6"/>
  <c r="I191" i="6"/>
  <c r="G191" i="6"/>
  <c r="K205" i="6"/>
  <c r="M241" i="6"/>
  <c r="J241" i="6"/>
  <c r="I241" i="6"/>
  <c r="H241" i="6"/>
  <c r="G241" i="6"/>
  <c r="M248" i="6"/>
  <c r="J253" i="6"/>
  <c r="G273" i="6"/>
  <c r="J287" i="6"/>
  <c r="H303" i="6"/>
  <c r="K317" i="6"/>
  <c r="K331" i="6"/>
  <c r="M357" i="6"/>
  <c r="K357" i="6"/>
  <c r="J357" i="6"/>
  <c r="I357" i="6"/>
  <c r="H357" i="6"/>
  <c r="G357" i="6"/>
  <c r="H379" i="6"/>
  <c r="H415" i="6"/>
  <c r="M415" i="6"/>
  <c r="K415" i="6"/>
  <c r="I415" i="6"/>
  <c r="G260" i="6"/>
  <c r="J260" i="6"/>
  <c r="M34" i="6"/>
  <c r="M70" i="6"/>
  <c r="J88" i="6"/>
  <c r="I110" i="6"/>
  <c r="H121" i="6"/>
  <c r="J130" i="6"/>
  <c r="M231" i="6"/>
  <c r="J231" i="6"/>
  <c r="I231" i="6"/>
  <c r="H231" i="6"/>
  <c r="G231" i="6"/>
  <c r="K243" i="6"/>
  <c r="M249" i="6"/>
  <c r="K249" i="6"/>
  <c r="I249" i="6"/>
  <c r="M253" i="6"/>
  <c r="I273" i="6"/>
  <c r="I276" i="6"/>
  <c r="M285" i="6"/>
  <c r="K285" i="6"/>
  <c r="J285" i="6"/>
  <c r="I285" i="6"/>
  <c r="G285" i="6"/>
  <c r="M287" i="6"/>
  <c r="J303" i="6"/>
  <c r="M315" i="6"/>
  <c r="K315" i="6"/>
  <c r="J315" i="6"/>
  <c r="I315" i="6"/>
  <c r="G315" i="6"/>
  <c r="H320" i="6"/>
  <c r="J379" i="6"/>
  <c r="K419" i="6"/>
  <c r="G419" i="6"/>
  <c r="J467" i="6"/>
  <c r="M467" i="6"/>
  <c r="G503" i="6"/>
  <c r="G399" i="6"/>
  <c r="G436" i="6"/>
  <c r="G439" i="6"/>
  <c r="I393" i="6"/>
  <c r="H399" i="6"/>
  <c r="G413" i="6"/>
  <c r="H436" i="6"/>
  <c r="H439" i="6"/>
  <c r="I489" i="6"/>
  <c r="I278" i="6"/>
  <c r="H293" i="6"/>
  <c r="I343" i="6"/>
  <c r="J393" i="6"/>
  <c r="I399" i="6"/>
  <c r="H413" i="6"/>
  <c r="J436" i="6"/>
  <c r="K439" i="6"/>
  <c r="J489" i="6"/>
  <c r="J278" i="6"/>
  <c r="I293" i="6"/>
  <c r="J343" i="6"/>
  <c r="G352" i="6"/>
  <c r="G362" i="6"/>
  <c r="H368" i="6"/>
  <c r="G382" i="6"/>
  <c r="J399" i="6"/>
  <c r="G402" i="6"/>
  <c r="G411" i="6"/>
  <c r="I413" i="6"/>
  <c r="G434" i="6"/>
  <c r="K489" i="6"/>
  <c r="H330" i="6"/>
  <c r="M343" i="6"/>
  <c r="J362" i="6"/>
  <c r="J368" i="6"/>
  <c r="G380" i="6"/>
  <c r="I382" i="6"/>
  <c r="I411" i="6"/>
  <c r="G416" i="6"/>
  <c r="J425" i="6"/>
  <c r="H431" i="6"/>
  <c r="G448" i="6"/>
  <c r="H451" i="6"/>
  <c r="H460" i="6"/>
  <c r="I330" i="6"/>
  <c r="H380" i="6"/>
  <c r="J382" i="6"/>
  <c r="J411" i="6"/>
  <c r="H416" i="6"/>
  <c r="K425" i="6"/>
  <c r="K431" i="6"/>
  <c r="H448" i="6"/>
  <c r="K451" i="6"/>
  <c r="J460" i="6"/>
  <c r="H252" i="6"/>
  <c r="I254" i="6"/>
  <c r="I306" i="6"/>
  <c r="H328" i="6"/>
  <c r="J330" i="6"/>
  <c r="H360" i="6"/>
  <c r="I380" i="6"/>
  <c r="M382" i="6"/>
  <c r="G423" i="6"/>
  <c r="J171" i="6"/>
  <c r="I171" i="6"/>
  <c r="H171" i="6"/>
  <c r="M171" i="6"/>
  <c r="K171" i="6"/>
  <c r="G171" i="6"/>
  <c r="G290" i="6"/>
  <c r="M290" i="6"/>
  <c r="K290" i="6"/>
  <c r="J290" i="6"/>
  <c r="H290" i="6"/>
  <c r="H417" i="6"/>
  <c r="G417" i="6"/>
  <c r="I417" i="6"/>
  <c r="M417" i="6"/>
  <c r="K417" i="6"/>
  <c r="J417" i="6"/>
  <c r="K432" i="6"/>
  <c r="I432" i="6"/>
  <c r="M432" i="6"/>
  <c r="J432" i="6"/>
  <c r="H432" i="6"/>
  <c r="G432" i="6"/>
  <c r="K452" i="6"/>
  <c r="I452" i="6"/>
  <c r="J452" i="6"/>
  <c r="H452" i="6"/>
  <c r="G452" i="6"/>
  <c r="C16" i="2"/>
  <c r="C14" i="2"/>
  <c r="K66" i="6"/>
  <c r="K80" i="6"/>
  <c r="J80" i="6"/>
  <c r="I80" i="6"/>
  <c r="G80" i="6"/>
  <c r="J103" i="6"/>
  <c r="I103" i="6"/>
  <c r="K103" i="6"/>
  <c r="H103" i="6"/>
  <c r="G103" i="6"/>
  <c r="J113" i="6"/>
  <c r="I113" i="6"/>
  <c r="G113" i="6"/>
  <c r="K364" i="6"/>
  <c r="J364" i="6"/>
  <c r="I364" i="6"/>
  <c r="M364" i="6"/>
  <c r="H364" i="6"/>
  <c r="G364" i="6"/>
  <c r="K398" i="6"/>
  <c r="I398" i="6"/>
  <c r="G398" i="6"/>
  <c r="M429" i="6"/>
  <c r="H429" i="6"/>
  <c r="G429" i="6"/>
  <c r="K429" i="6"/>
  <c r="J429" i="6"/>
  <c r="I429" i="6"/>
  <c r="H449" i="6"/>
  <c r="K449" i="6"/>
  <c r="J449" i="6"/>
  <c r="M449" i="6"/>
  <c r="I449" i="6"/>
  <c r="G449" i="6"/>
  <c r="H8" i="6"/>
  <c r="G8" i="6"/>
  <c r="I16" i="6"/>
  <c r="H16" i="6"/>
  <c r="G16" i="6"/>
  <c r="I24" i="6"/>
  <c r="H24" i="6"/>
  <c r="G24" i="6"/>
  <c r="I32" i="6"/>
  <c r="H32" i="6"/>
  <c r="G32" i="6"/>
  <c r="I40" i="6"/>
  <c r="H40" i="6"/>
  <c r="G40" i="6"/>
  <c r="I48" i="6"/>
  <c r="H48" i="6"/>
  <c r="G48" i="6"/>
  <c r="I56" i="6"/>
  <c r="H56" i="6"/>
  <c r="G56" i="6"/>
  <c r="I64" i="6"/>
  <c r="H64" i="6"/>
  <c r="G64" i="6"/>
  <c r="J93" i="6"/>
  <c r="I93" i="6"/>
  <c r="M93" i="6"/>
  <c r="K93" i="6"/>
  <c r="G93" i="6"/>
  <c r="K116" i="6"/>
  <c r="J116" i="6"/>
  <c r="I116" i="6"/>
  <c r="H116" i="6"/>
  <c r="G116" i="6"/>
  <c r="J139" i="6"/>
  <c r="I139" i="6"/>
  <c r="K139" i="6"/>
  <c r="H139" i="6"/>
  <c r="G139" i="6"/>
  <c r="G274" i="6"/>
  <c r="M274" i="6"/>
  <c r="K274" i="6"/>
  <c r="J274" i="6"/>
  <c r="I274" i="6"/>
  <c r="H274" i="6"/>
  <c r="K392" i="6"/>
  <c r="M392" i="6"/>
  <c r="G392" i="6"/>
  <c r="J392" i="6"/>
  <c r="H392" i="6"/>
  <c r="K464" i="6"/>
  <c r="I464" i="6"/>
  <c r="M464" i="6"/>
  <c r="J464" i="6"/>
  <c r="H464" i="6"/>
  <c r="G464" i="6"/>
  <c r="K470" i="6"/>
  <c r="I470" i="6"/>
  <c r="H470" i="6"/>
  <c r="M470" i="6"/>
  <c r="J470" i="6"/>
  <c r="G470" i="6"/>
  <c r="I90" i="6"/>
  <c r="H90" i="6"/>
  <c r="G90" i="6"/>
  <c r="J163" i="6"/>
  <c r="I163" i="6"/>
  <c r="H163" i="6"/>
  <c r="M163" i="6"/>
  <c r="G163" i="6"/>
  <c r="G264" i="6"/>
  <c r="I264" i="6"/>
  <c r="H264" i="6"/>
  <c r="M264" i="6"/>
  <c r="G310" i="6"/>
  <c r="H310" i="6"/>
  <c r="K310" i="6"/>
  <c r="J310" i="6"/>
  <c r="I310" i="6"/>
  <c r="K444" i="6"/>
  <c r="I444" i="6"/>
  <c r="M444" i="6"/>
  <c r="J444" i="6"/>
  <c r="H444" i="6"/>
  <c r="G444" i="6"/>
  <c r="M124" i="6"/>
  <c r="G124" i="6"/>
  <c r="G288" i="6"/>
  <c r="K288" i="6"/>
  <c r="J288" i="6"/>
  <c r="I288" i="6"/>
  <c r="H11" i="6"/>
  <c r="G11" i="6"/>
  <c r="I19" i="6"/>
  <c r="H19" i="6"/>
  <c r="G19" i="6"/>
  <c r="I27" i="6"/>
  <c r="H27" i="6"/>
  <c r="G27" i="6"/>
  <c r="I35" i="6"/>
  <c r="H35" i="6"/>
  <c r="G35" i="6"/>
  <c r="I43" i="6"/>
  <c r="H43" i="6"/>
  <c r="G43" i="6"/>
  <c r="I51" i="6"/>
  <c r="H51" i="6"/>
  <c r="G51" i="6"/>
  <c r="I59" i="6"/>
  <c r="H59" i="6"/>
  <c r="G59" i="6"/>
  <c r="I150" i="6"/>
  <c r="H150" i="6"/>
  <c r="G150" i="6"/>
  <c r="J153" i="6"/>
  <c r="I153" i="6"/>
  <c r="M153" i="6"/>
  <c r="K153" i="6"/>
  <c r="H153" i="6"/>
  <c r="G153" i="6"/>
  <c r="I67" i="6"/>
  <c r="K67" i="6"/>
  <c r="J67" i="6"/>
  <c r="H67" i="6"/>
  <c r="G332" i="6"/>
  <c r="M332" i="6"/>
  <c r="K332" i="6"/>
  <c r="J332" i="6"/>
  <c r="K340" i="6"/>
  <c r="I340" i="6"/>
  <c r="J340" i="6"/>
  <c r="H340" i="6"/>
  <c r="G340" i="6"/>
  <c r="G389" i="6"/>
  <c r="M389" i="6"/>
  <c r="I389" i="6"/>
  <c r="K389" i="6"/>
  <c r="J389" i="6"/>
  <c r="H389" i="6"/>
  <c r="H6" i="6"/>
  <c r="G6" i="6"/>
  <c r="I6" i="6" s="1"/>
  <c r="H14" i="6"/>
  <c r="G14" i="6"/>
  <c r="I22" i="6"/>
  <c r="H22" i="6"/>
  <c r="G22" i="6"/>
  <c r="I30" i="6"/>
  <c r="H30" i="6"/>
  <c r="G30" i="6"/>
  <c r="I38" i="6"/>
  <c r="H38" i="6"/>
  <c r="G38" i="6"/>
  <c r="I46" i="6"/>
  <c r="H46" i="6"/>
  <c r="G46" i="6"/>
  <c r="I54" i="6"/>
  <c r="H54" i="6"/>
  <c r="G54" i="6"/>
  <c r="I62" i="6"/>
  <c r="H62" i="6"/>
  <c r="G62" i="6"/>
  <c r="M80" i="6"/>
  <c r="K104" i="6"/>
  <c r="J104" i="6"/>
  <c r="I104" i="6"/>
  <c r="G104" i="6"/>
  <c r="K113" i="6"/>
  <c r="J127" i="6"/>
  <c r="I127" i="6"/>
  <c r="K127" i="6"/>
  <c r="H127" i="6"/>
  <c r="G127" i="6"/>
  <c r="J137" i="6"/>
  <c r="I137" i="6"/>
  <c r="G137" i="6"/>
  <c r="G286" i="6"/>
  <c r="J286" i="6"/>
  <c r="I286" i="6"/>
  <c r="H286" i="6"/>
  <c r="J349" i="6"/>
  <c r="I349" i="6"/>
  <c r="H349" i="6"/>
  <c r="G349" i="6"/>
  <c r="M349" i="6"/>
  <c r="J398" i="6"/>
  <c r="G67" i="6"/>
  <c r="I78" i="6"/>
  <c r="H78" i="6"/>
  <c r="G78" i="6"/>
  <c r="J81" i="6"/>
  <c r="I81" i="6"/>
  <c r="M81" i="6"/>
  <c r="K81" i="6"/>
  <c r="H81" i="6"/>
  <c r="G81" i="6"/>
  <c r="J90" i="6"/>
  <c r="M113" i="6"/>
  <c r="J117" i="6"/>
  <c r="I117" i="6"/>
  <c r="M117" i="6"/>
  <c r="K117" i="6"/>
  <c r="G117" i="6"/>
  <c r="K140" i="6"/>
  <c r="J140" i="6"/>
  <c r="I140" i="6"/>
  <c r="H140" i="6"/>
  <c r="G140" i="6"/>
  <c r="K163" i="6"/>
  <c r="J264" i="6"/>
  <c r="M310" i="6"/>
  <c r="K346" i="6"/>
  <c r="H346" i="6"/>
  <c r="G346" i="6"/>
  <c r="M346" i="6"/>
  <c r="J346" i="6"/>
  <c r="I346" i="6"/>
  <c r="M398" i="6"/>
  <c r="J407" i="6"/>
  <c r="I407" i="6"/>
  <c r="M407" i="6"/>
  <c r="K407" i="6"/>
  <c r="H407" i="6"/>
  <c r="G407" i="6"/>
  <c r="I497" i="6"/>
  <c r="H497" i="6"/>
  <c r="G497" i="6"/>
  <c r="J497" i="6"/>
  <c r="J503" i="6"/>
  <c r="I503" i="6"/>
  <c r="M503" i="6"/>
  <c r="K503" i="6"/>
  <c r="J337" i="6"/>
  <c r="I337" i="6"/>
  <c r="H337" i="6"/>
  <c r="G337" i="6"/>
  <c r="M337" i="6"/>
  <c r="K337" i="6"/>
  <c r="M67" i="6"/>
  <c r="K90" i="6"/>
  <c r="I114" i="6"/>
  <c r="H114" i="6"/>
  <c r="G114" i="6"/>
  <c r="H124" i="6"/>
  <c r="M148" i="6"/>
  <c r="G148" i="6"/>
  <c r="K264" i="6"/>
  <c r="H288" i="6"/>
  <c r="K396" i="6"/>
  <c r="I396" i="6"/>
  <c r="M396" i="6"/>
  <c r="J396" i="6"/>
  <c r="H396" i="6"/>
  <c r="G396" i="6"/>
  <c r="K422" i="6"/>
  <c r="I422" i="6"/>
  <c r="M422" i="6"/>
  <c r="H422" i="6"/>
  <c r="G422" i="6"/>
  <c r="H401" i="6"/>
  <c r="K401" i="6"/>
  <c r="J401" i="6"/>
  <c r="I401" i="6"/>
  <c r="G401" i="6"/>
  <c r="M401" i="6"/>
  <c r="H9" i="6"/>
  <c r="G9" i="6"/>
  <c r="I9" i="6" s="1"/>
  <c r="J9" i="6" s="1"/>
  <c r="M9" i="6" s="1"/>
  <c r="I17" i="6"/>
  <c r="H17" i="6"/>
  <c r="G17" i="6"/>
  <c r="J19" i="6"/>
  <c r="I25" i="6"/>
  <c r="H25" i="6"/>
  <c r="G25" i="6"/>
  <c r="J27" i="6"/>
  <c r="I33" i="6"/>
  <c r="H33" i="6"/>
  <c r="G33" i="6"/>
  <c r="J35" i="6"/>
  <c r="I41" i="6"/>
  <c r="H41" i="6"/>
  <c r="G41" i="6"/>
  <c r="J43" i="6"/>
  <c r="I49" i="6"/>
  <c r="H49" i="6"/>
  <c r="G49" i="6"/>
  <c r="J51" i="6"/>
  <c r="I57" i="6"/>
  <c r="H57" i="6"/>
  <c r="G57" i="6"/>
  <c r="J59" i="6"/>
  <c r="I65" i="6"/>
  <c r="J65" i="6"/>
  <c r="H65" i="6"/>
  <c r="G65" i="6"/>
  <c r="K68" i="6"/>
  <c r="J68" i="6"/>
  <c r="I68" i="6"/>
  <c r="H68" i="6"/>
  <c r="G68" i="6"/>
  <c r="M90" i="6"/>
  <c r="I124" i="6"/>
  <c r="J150" i="6"/>
  <c r="G284" i="6"/>
  <c r="I284" i="6"/>
  <c r="H284" i="6"/>
  <c r="M288" i="6"/>
  <c r="I371" i="6"/>
  <c r="H371" i="6"/>
  <c r="K371" i="6"/>
  <c r="J371" i="6"/>
  <c r="G371" i="6"/>
  <c r="K474" i="6"/>
  <c r="I474" i="6"/>
  <c r="M474" i="6"/>
  <c r="J474" i="6"/>
  <c r="H474" i="6"/>
  <c r="G474" i="6"/>
  <c r="K19" i="6"/>
  <c r="K27" i="6"/>
  <c r="K35" i="6"/>
  <c r="K43" i="6"/>
  <c r="K51" i="6"/>
  <c r="K59" i="6"/>
  <c r="J91" i="6"/>
  <c r="I91" i="6"/>
  <c r="K91" i="6"/>
  <c r="H91" i="6"/>
  <c r="G91" i="6"/>
  <c r="J124" i="6"/>
  <c r="K150" i="6"/>
  <c r="H332" i="6"/>
  <c r="M340" i="6"/>
  <c r="K390" i="6"/>
  <c r="J390" i="6"/>
  <c r="G390" i="6"/>
  <c r="M390" i="6"/>
  <c r="I390" i="6"/>
  <c r="H390" i="6"/>
  <c r="K124" i="6"/>
  <c r="J161" i="6"/>
  <c r="I161" i="6"/>
  <c r="H161" i="6"/>
  <c r="K161" i="6"/>
  <c r="G161" i="6"/>
  <c r="G282" i="6"/>
  <c r="H282" i="6"/>
  <c r="M341" i="6"/>
  <c r="K341" i="6"/>
  <c r="J341" i="6"/>
  <c r="I341" i="6"/>
  <c r="G341" i="6"/>
  <c r="H12" i="6"/>
  <c r="G12" i="6"/>
  <c r="I20" i="6"/>
  <c r="H20" i="6"/>
  <c r="G20" i="6"/>
  <c r="J22" i="6"/>
  <c r="I28" i="6"/>
  <c r="H28" i="6"/>
  <c r="G28" i="6"/>
  <c r="I36" i="6"/>
  <c r="H36" i="6"/>
  <c r="G36" i="6"/>
  <c r="I44" i="6"/>
  <c r="H44" i="6"/>
  <c r="G44" i="6"/>
  <c r="I52" i="6"/>
  <c r="H52" i="6"/>
  <c r="G52" i="6"/>
  <c r="I60" i="6"/>
  <c r="H60" i="6"/>
  <c r="G60" i="6"/>
  <c r="M76" i="6"/>
  <c r="G76" i="6"/>
  <c r="J151" i="6"/>
  <c r="I151" i="6"/>
  <c r="K151" i="6"/>
  <c r="H151" i="6"/>
  <c r="G151" i="6"/>
  <c r="G258" i="6"/>
  <c r="M258" i="6"/>
  <c r="K258" i="6"/>
  <c r="J258" i="6"/>
  <c r="I258" i="6"/>
  <c r="H258" i="6"/>
  <c r="I387" i="6"/>
  <c r="H387" i="6"/>
  <c r="G387" i="6"/>
  <c r="K128" i="6"/>
  <c r="J128" i="6"/>
  <c r="I128" i="6"/>
  <c r="G128" i="6"/>
  <c r="K486" i="6"/>
  <c r="I486" i="6"/>
  <c r="J486" i="6"/>
  <c r="H486" i="6"/>
  <c r="G486" i="6"/>
  <c r="M486" i="6"/>
  <c r="G318" i="6"/>
  <c r="M318" i="6"/>
  <c r="K318" i="6"/>
  <c r="J318" i="6"/>
  <c r="I318" i="6"/>
  <c r="H318" i="6"/>
  <c r="I102" i="6"/>
  <c r="H102" i="6"/>
  <c r="G102" i="6"/>
  <c r="I15" i="6"/>
  <c r="H15" i="6"/>
  <c r="G15" i="6"/>
  <c r="I39" i="6"/>
  <c r="H39" i="6"/>
  <c r="G39" i="6"/>
  <c r="M453" i="6"/>
  <c r="K453" i="6"/>
  <c r="H453" i="6"/>
  <c r="G453" i="6"/>
  <c r="J453" i="6"/>
  <c r="I453" i="6"/>
  <c r="J105" i="6"/>
  <c r="I105" i="6"/>
  <c r="M105" i="6"/>
  <c r="K105" i="6"/>
  <c r="H105" i="6"/>
  <c r="G105" i="6"/>
  <c r="J141" i="6"/>
  <c r="I141" i="6"/>
  <c r="M141" i="6"/>
  <c r="K141" i="6"/>
  <c r="G141" i="6"/>
  <c r="H7" i="6"/>
  <c r="G7" i="6"/>
  <c r="I7" i="6" s="1"/>
  <c r="I23" i="6"/>
  <c r="H23" i="6"/>
  <c r="G23" i="6"/>
  <c r="I31" i="6"/>
  <c r="H31" i="6"/>
  <c r="G31" i="6"/>
  <c r="I47" i="6"/>
  <c r="H47" i="6"/>
  <c r="G47" i="6"/>
  <c r="I55" i="6"/>
  <c r="H55" i="6"/>
  <c r="G55" i="6"/>
  <c r="I63" i="6"/>
  <c r="H63" i="6"/>
  <c r="G63" i="6"/>
  <c r="I138" i="6"/>
  <c r="H138" i="6"/>
  <c r="G138" i="6"/>
  <c r="K344" i="6"/>
  <c r="M344" i="6"/>
  <c r="G344" i="6"/>
  <c r="J344" i="6"/>
  <c r="K378" i="6"/>
  <c r="M378" i="6"/>
  <c r="J378" i="6"/>
  <c r="G378" i="6"/>
  <c r="I378" i="6"/>
  <c r="H378" i="6"/>
  <c r="K17" i="6"/>
  <c r="K25" i="6"/>
  <c r="K33" i="6"/>
  <c r="K41" i="6"/>
  <c r="K49" i="6"/>
  <c r="K57" i="6"/>
  <c r="M65" i="6"/>
  <c r="J69" i="6"/>
  <c r="I69" i="6"/>
  <c r="M69" i="6"/>
  <c r="K69" i="6"/>
  <c r="J79" i="6"/>
  <c r="I79" i="6"/>
  <c r="K79" i="6"/>
  <c r="H79" i="6"/>
  <c r="G79" i="6"/>
  <c r="J89" i="6"/>
  <c r="I89" i="6"/>
  <c r="G89" i="6"/>
  <c r="M91" i="6"/>
  <c r="M114" i="6"/>
  <c r="J148" i="6"/>
  <c r="G268" i="6"/>
  <c r="K268" i="6"/>
  <c r="J268" i="6"/>
  <c r="I268" i="6"/>
  <c r="H268" i="6"/>
  <c r="K284" i="6"/>
  <c r="G324" i="6"/>
  <c r="M324" i="6"/>
  <c r="K324" i="6"/>
  <c r="J324" i="6"/>
  <c r="I324" i="6"/>
  <c r="H324" i="6"/>
  <c r="M353" i="6"/>
  <c r="K353" i="6"/>
  <c r="J353" i="6"/>
  <c r="G353" i="6"/>
  <c r="I353" i="6"/>
  <c r="H353" i="6"/>
  <c r="K375" i="6"/>
  <c r="J375" i="6"/>
  <c r="M375" i="6"/>
  <c r="I375" i="6"/>
  <c r="H375" i="6"/>
  <c r="G375" i="6"/>
  <c r="M481" i="6"/>
  <c r="K481" i="6"/>
  <c r="J481" i="6"/>
  <c r="I481" i="6"/>
  <c r="H481" i="6"/>
  <c r="G481" i="6"/>
  <c r="J66" i="6"/>
  <c r="I66" i="6"/>
  <c r="H66" i="6"/>
  <c r="G66" i="6"/>
  <c r="K92" i="6"/>
  <c r="J92" i="6"/>
  <c r="I92" i="6"/>
  <c r="H92" i="6"/>
  <c r="G92" i="6"/>
  <c r="J115" i="6"/>
  <c r="I115" i="6"/>
  <c r="K115" i="6"/>
  <c r="H115" i="6"/>
  <c r="G115" i="6"/>
  <c r="M161" i="6"/>
  <c r="I282" i="6"/>
  <c r="G292" i="6"/>
  <c r="M292" i="6"/>
  <c r="K292" i="6"/>
  <c r="I292" i="6"/>
  <c r="H292" i="6"/>
  <c r="H341" i="6"/>
  <c r="H463" i="6"/>
  <c r="G463" i="6"/>
  <c r="K463" i="6"/>
  <c r="J463" i="6"/>
  <c r="I463" i="6"/>
  <c r="K170" i="6"/>
  <c r="J170" i="6"/>
  <c r="I170" i="6"/>
  <c r="G170" i="6"/>
  <c r="H10" i="6"/>
  <c r="G10" i="6"/>
  <c r="I18" i="6"/>
  <c r="H18" i="6"/>
  <c r="G18" i="6"/>
  <c r="J20" i="6"/>
  <c r="I26" i="6"/>
  <c r="H26" i="6"/>
  <c r="G26" i="6"/>
  <c r="J28" i="6"/>
  <c r="I34" i="6"/>
  <c r="H34" i="6"/>
  <c r="G34" i="6"/>
  <c r="J36" i="6"/>
  <c r="I42" i="6"/>
  <c r="H42" i="6"/>
  <c r="G42" i="6"/>
  <c r="J44" i="6"/>
  <c r="I50" i="6"/>
  <c r="H50" i="6"/>
  <c r="G50" i="6"/>
  <c r="J52" i="6"/>
  <c r="I58" i="6"/>
  <c r="H58" i="6"/>
  <c r="G58" i="6"/>
  <c r="J60" i="6"/>
  <c r="H76" i="6"/>
  <c r="M151" i="6"/>
  <c r="K162" i="6"/>
  <c r="J162" i="6"/>
  <c r="I162" i="6"/>
  <c r="H162" i="6"/>
  <c r="G162" i="6"/>
  <c r="G256" i="6"/>
  <c r="M256" i="6"/>
  <c r="K256" i="6"/>
  <c r="J256" i="6"/>
  <c r="I256" i="6"/>
  <c r="H256" i="6"/>
  <c r="J282" i="6"/>
  <c r="J387" i="6"/>
  <c r="G437" i="6"/>
  <c r="J437" i="6"/>
  <c r="M437" i="6"/>
  <c r="K437" i="6"/>
  <c r="I437" i="6"/>
  <c r="H437" i="6"/>
  <c r="K440" i="6"/>
  <c r="I440" i="6"/>
  <c r="M440" i="6"/>
  <c r="J440" i="6"/>
  <c r="H440" i="6"/>
  <c r="G440" i="6"/>
  <c r="J443" i="6"/>
  <c r="I443" i="6"/>
  <c r="H443" i="6"/>
  <c r="G443" i="6"/>
  <c r="K443" i="6"/>
  <c r="M493" i="6"/>
  <c r="K493" i="6"/>
  <c r="J493" i="6"/>
  <c r="H493" i="6"/>
  <c r="I493" i="6"/>
  <c r="G493" i="6"/>
  <c r="K282" i="6"/>
  <c r="K420" i="6"/>
  <c r="I420" i="6"/>
  <c r="M420" i="6"/>
  <c r="J420" i="6"/>
  <c r="H420" i="6"/>
  <c r="G420" i="6"/>
  <c r="K490" i="6"/>
  <c r="I490" i="6"/>
  <c r="H490" i="6"/>
  <c r="G490" i="6"/>
  <c r="M490" i="6"/>
  <c r="J490" i="6"/>
  <c r="M20" i="6"/>
  <c r="M28" i="6"/>
  <c r="M36" i="6"/>
  <c r="M44" i="6"/>
  <c r="M52" i="6"/>
  <c r="M60" i="6"/>
  <c r="J76" i="6"/>
  <c r="J102" i="6"/>
  <c r="M128" i="6"/>
  <c r="H141" i="6"/>
  <c r="H170" i="6"/>
  <c r="M282" i="6"/>
  <c r="G312" i="6"/>
  <c r="I312" i="6"/>
  <c r="H312" i="6"/>
  <c r="M312" i="6"/>
  <c r="K312" i="6"/>
  <c r="J312" i="6"/>
  <c r="M387" i="6"/>
  <c r="M100" i="6"/>
  <c r="G100" i="6"/>
  <c r="H128" i="6"/>
  <c r="K152" i="6"/>
  <c r="J152" i="6"/>
  <c r="I152" i="6"/>
  <c r="G152" i="6"/>
  <c r="A5" i="2"/>
  <c r="H5" i="6"/>
  <c r="G5" i="6"/>
  <c r="H13" i="6"/>
  <c r="G13" i="6"/>
  <c r="J15" i="6"/>
  <c r="I21" i="6"/>
  <c r="H21" i="6"/>
  <c r="G21" i="6"/>
  <c r="J23" i="6"/>
  <c r="I29" i="6"/>
  <c r="H29" i="6"/>
  <c r="G29" i="6"/>
  <c r="J31" i="6"/>
  <c r="I37" i="6"/>
  <c r="H37" i="6"/>
  <c r="G37" i="6"/>
  <c r="J39" i="6"/>
  <c r="I45" i="6"/>
  <c r="H45" i="6"/>
  <c r="G45" i="6"/>
  <c r="J47" i="6"/>
  <c r="I53" i="6"/>
  <c r="H53" i="6"/>
  <c r="G53" i="6"/>
  <c r="J55" i="6"/>
  <c r="I61" i="6"/>
  <c r="H61" i="6"/>
  <c r="G61" i="6"/>
  <c r="J63" i="6"/>
  <c r="K76" i="6"/>
  <c r="K102" i="6"/>
  <c r="I126" i="6"/>
  <c r="H126" i="6"/>
  <c r="G126" i="6"/>
  <c r="J129" i="6"/>
  <c r="I129" i="6"/>
  <c r="M129" i="6"/>
  <c r="K129" i="6"/>
  <c r="H129" i="6"/>
  <c r="G129" i="6"/>
  <c r="J138" i="6"/>
  <c r="H168" i="6"/>
  <c r="G168" i="6"/>
  <c r="M170" i="6"/>
  <c r="G266" i="6"/>
  <c r="J266" i="6"/>
  <c r="I266" i="6"/>
  <c r="H266" i="6"/>
  <c r="K266" i="6"/>
  <c r="K336" i="6"/>
  <c r="G336" i="6"/>
  <c r="I336" i="6"/>
  <c r="H336" i="6"/>
  <c r="H344" i="6"/>
  <c r="K388" i="6"/>
  <c r="I388" i="6"/>
  <c r="J388" i="6"/>
  <c r="H388" i="6"/>
  <c r="G388" i="6"/>
  <c r="G316" i="6"/>
  <c r="K316" i="6"/>
  <c r="J316" i="6"/>
  <c r="I316" i="6"/>
  <c r="H316" i="6"/>
  <c r="K362" i="6"/>
  <c r="H362" i="6"/>
  <c r="J395" i="6"/>
  <c r="I395" i="6"/>
  <c r="H395" i="6"/>
  <c r="G395" i="6"/>
  <c r="K446" i="6"/>
  <c r="I446" i="6"/>
  <c r="K492" i="6"/>
  <c r="I492" i="6"/>
  <c r="M492" i="6"/>
  <c r="J492" i="6"/>
  <c r="J87" i="6"/>
  <c r="I87" i="6"/>
  <c r="J111" i="6"/>
  <c r="I111" i="6"/>
  <c r="J135" i="6"/>
  <c r="I135" i="6"/>
  <c r="J159" i="6"/>
  <c r="I159" i="6"/>
  <c r="H159" i="6"/>
  <c r="G334" i="6"/>
  <c r="H334" i="6"/>
  <c r="M339" i="6"/>
  <c r="K339" i="6"/>
  <c r="J339" i="6"/>
  <c r="I339" i="6"/>
  <c r="M409" i="6"/>
  <c r="K409" i="6"/>
  <c r="J427" i="6"/>
  <c r="G427" i="6"/>
  <c r="J85" i="6"/>
  <c r="I85" i="6"/>
  <c r="J109" i="6"/>
  <c r="I109" i="6"/>
  <c r="J133" i="6"/>
  <c r="I133" i="6"/>
  <c r="J157" i="6"/>
  <c r="I157" i="6"/>
  <c r="G276" i="6"/>
  <c r="M276" i="6"/>
  <c r="J373" i="6"/>
  <c r="I373" i="6"/>
  <c r="M433" i="6"/>
  <c r="K433" i="6"/>
  <c r="J433" i="6"/>
  <c r="I433" i="6"/>
  <c r="K454" i="6"/>
  <c r="I454" i="6"/>
  <c r="H454" i="6"/>
  <c r="G454" i="6"/>
  <c r="M454" i="6"/>
  <c r="K476" i="6"/>
  <c r="I476" i="6"/>
  <c r="K482" i="6"/>
  <c r="I482" i="6"/>
  <c r="M482" i="6"/>
  <c r="K500" i="6"/>
  <c r="I500" i="6"/>
  <c r="G500" i="6"/>
  <c r="J173" i="6"/>
  <c r="I173" i="6"/>
  <c r="H173" i="6"/>
  <c r="G262" i="6"/>
  <c r="H262" i="6"/>
  <c r="G314" i="6"/>
  <c r="J314" i="6"/>
  <c r="I314" i="6"/>
  <c r="H314" i="6"/>
  <c r="K350" i="6"/>
  <c r="J350" i="6"/>
  <c r="I350" i="6"/>
  <c r="J365" i="6"/>
  <c r="M365" i="6"/>
  <c r="K365" i="6"/>
  <c r="I365" i="6"/>
  <c r="H365" i="6"/>
  <c r="K468" i="6"/>
  <c r="I468" i="6"/>
  <c r="M468" i="6"/>
  <c r="J468" i="6"/>
  <c r="H468" i="6"/>
  <c r="G468" i="6"/>
  <c r="K370" i="6"/>
  <c r="H370" i="6"/>
  <c r="G370" i="6"/>
  <c r="J370" i="6"/>
  <c r="I370" i="6"/>
  <c r="K406" i="6"/>
  <c r="I406" i="6"/>
  <c r="H406" i="6"/>
  <c r="G406" i="6"/>
  <c r="J406" i="6"/>
  <c r="M457" i="6"/>
  <c r="K457" i="6"/>
  <c r="H457" i="6"/>
  <c r="G457" i="6"/>
  <c r="K462" i="6"/>
  <c r="I462" i="6"/>
  <c r="J462" i="6"/>
  <c r="H462" i="6"/>
  <c r="G462" i="6"/>
  <c r="I473" i="6"/>
  <c r="H473" i="6"/>
  <c r="G473" i="6"/>
  <c r="M473" i="6"/>
  <c r="K473" i="6"/>
  <c r="J473" i="6"/>
  <c r="J83" i="6"/>
  <c r="I83" i="6"/>
  <c r="J107" i="6"/>
  <c r="I107" i="6"/>
  <c r="J131" i="6"/>
  <c r="I131" i="6"/>
  <c r="J155" i="6"/>
  <c r="I155" i="6"/>
  <c r="K438" i="6"/>
  <c r="I438" i="6"/>
  <c r="H438" i="6"/>
  <c r="G438" i="6"/>
  <c r="J487" i="6"/>
  <c r="I487" i="6"/>
  <c r="J74" i="6"/>
  <c r="M87" i="6"/>
  <c r="J98" i="6"/>
  <c r="M111" i="6"/>
  <c r="J122" i="6"/>
  <c r="M135" i="6"/>
  <c r="J146" i="6"/>
  <c r="J166" i="6"/>
  <c r="J169" i="6"/>
  <c r="I169" i="6"/>
  <c r="H169" i="6"/>
  <c r="G272" i="6"/>
  <c r="M272" i="6"/>
  <c r="K272" i="6"/>
  <c r="J272" i="6"/>
  <c r="K278" i="6"/>
  <c r="M280" i="6"/>
  <c r="M334" i="6"/>
  <c r="I363" i="6"/>
  <c r="J363" i="6"/>
  <c r="H363" i="6"/>
  <c r="G363" i="6"/>
  <c r="H373" i="6"/>
  <c r="J409" i="6"/>
  <c r="M427" i="6"/>
  <c r="H433" i="6"/>
  <c r="K458" i="6"/>
  <c r="I458" i="6"/>
  <c r="M458" i="6"/>
  <c r="J458" i="6"/>
  <c r="H458" i="6"/>
  <c r="G458" i="6"/>
  <c r="H476" i="6"/>
  <c r="H482" i="6"/>
  <c r="J500" i="6"/>
  <c r="K74" i="6"/>
  <c r="J77" i="6"/>
  <c r="I77" i="6"/>
  <c r="K98" i="6"/>
  <c r="J101" i="6"/>
  <c r="I101" i="6"/>
  <c r="K122" i="6"/>
  <c r="J125" i="6"/>
  <c r="I125" i="6"/>
  <c r="K146" i="6"/>
  <c r="J149" i="6"/>
  <c r="I149" i="6"/>
  <c r="K166" i="6"/>
  <c r="M278" i="6"/>
  <c r="H345" i="6"/>
  <c r="G345" i="6"/>
  <c r="J345" i="6"/>
  <c r="K348" i="6"/>
  <c r="I348" i="6"/>
  <c r="H348" i="6"/>
  <c r="M377" i="6"/>
  <c r="K377" i="6"/>
  <c r="K386" i="6"/>
  <c r="H386" i="6"/>
  <c r="K410" i="6"/>
  <c r="I410" i="6"/>
  <c r="M410" i="6"/>
  <c r="H410" i="6"/>
  <c r="G410" i="6"/>
  <c r="I425" i="6"/>
  <c r="K428" i="6"/>
  <c r="I428" i="6"/>
  <c r="H428" i="6"/>
  <c r="G428" i="6"/>
  <c r="J431" i="6"/>
  <c r="I431" i="6"/>
  <c r="J476" i="6"/>
  <c r="J482" i="6"/>
  <c r="G487" i="6"/>
  <c r="M500" i="6"/>
  <c r="M501" i="6"/>
  <c r="K501" i="6"/>
  <c r="H501" i="6"/>
  <c r="G501" i="6"/>
  <c r="J501" i="6"/>
  <c r="I501" i="6"/>
  <c r="J75" i="6"/>
  <c r="I75" i="6"/>
  <c r="J99" i="6"/>
  <c r="I99" i="6"/>
  <c r="J123" i="6"/>
  <c r="I123" i="6"/>
  <c r="J147" i="6"/>
  <c r="I147" i="6"/>
  <c r="J167" i="6"/>
  <c r="I167" i="6"/>
  <c r="H167" i="6"/>
  <c r="K374" i="6"/>
  <c r="J374" i="6"/>
  <c r="I374" i="6"/>
  <c r="H374" i="6"/>
  <c r="G374" i="6"/>
  <c r="K402" i="6"/>
  <c r="I402" i="6"/>
  <c r="M402" i="6"/>
  <c r="J439" i="6"/>
  <c r="I439" i="6"/>
  <c r="M477" i="6"/>
  <c r="K477" i="6"/>
  <c r="H477" i="6"/>
  <c r="G477" i="6"/>
  <c r="I477" i="6"/>
  <c r="J70" i="6"/>
  <c r="M83" i="6"/>
  <c r="J94" i="6"/>
  <c r="M107" i="6"/>
  <c r="J118" i="6"/>
  <c r="M131" i="6"/>
  <c r="J142" i="6"/>
  <c r="M155" i="6"/>
  <c r="K164" i="6"/>
  <c r="K260" i="6"/>
  <c r="G320" i="6"/>
  <c r="M320" i="6"/>
  <c r="K320" i="6"/>
  <c r="J320" i="6"/>
  <c r="K326" i="6"/>
  <c r="M328" i="6"/>
  <c r="H361" i="6"/>
  <c r="G361" i="6"/>
  <c r="M425" i="6"/>
  <c r="M487" i="6"/>
  <c r="J73" i="6"/>
  <c r="I73" i="6"/>
  <c r="J97" i="6"/>
  <c r="I97" i="6"/>
  <c r="J121" i="6"/>
  <c r="I121" i="6"/>
  <c r="K142" i="6"/>
  <c r="J145" i="6"/>
  <c r="I145" i="6"/>
  <c r="M260" i="6"/>
  <c r="G270" i="6"/>
  <c r="M270" i="6"/>
  <c r="K270" i="6"/>
  <c r="J270" i="6"/>
  <c r="I270" i="6"/>
  <c r="M326" i="6"/>
  <c r="K354" i="6"/>
  <c r="M354" i="6"/>
  <c r="J354" i="6"/>
  <c r="I354" i="6"/>
  <c r="H354" i="6"/>
  <c r="G354" i="6"/>
  <c r="G391" i="6"/>
  <c r="J391" i="6"/>
  <c r="I391" i="6"/>
  <c r="H391" i="6"/>
  <c r="M421" i="6"/>
  <c r="K421" i="6"/>
  <c r="J421" i="6"/>
  <c r="H421" i="6"/>
  <c r="G421" i="6"/>
  <c r="K426" i="6"/>
  <c r="I426" i="6"/>
  <c r="K442" i="6"/>
  <c r="I442" i="6"/>
  <c r="H442" i="6"/>
  <c r="G442" i="6"/>
  <c r="K488" i="6"/>
  <c r="I488" i="6"/>
  <c r="M488" i="6"/>
  <c r="J488" i="6"/>
  <c r="H488" i="6"/>
  <c r="G488" i="6"/>
  <c r="G160" i="6"/>
  <c r="J165" i="6"/>
  <c r="I165" i="6"/>
  <c r="H165" i="6"/>
  <c r="G169" i="6"/>
  <c r="H272" i="6"/>
  <c r="H308" i="6"/>
  <c r="K338" i="6"/>
  <c r="H338" i="6"/>
  <c r="M338" i="6"/>
  <c r="K363" i="6"/>
  <c r="G415" i="6"/>
  <c r="K418" i="6"/>
  <c r="I418" i="6"/>
  <c r="H418" i="6"/>
  <c r="G418" i="6"/>
  <c r="M418" i="6"/>
  <c r="J418" i="6"/>
  <c r="K450" i="6"/>
  <c r="I450" i="6"/>
  <c r="M450" i="6"/>
  <c r="J450" i="6"/>
  <c r="H450" i="6"/>
  <c r="G485" i="6"/>
  <c r="K494" i="6"/>
  <c r="I494" i="6"/>
  <c r="J71" i="6"/>
  <c r="I71" i="6"/>
  <c r="G77" i="6"/>
  <c r="J95" i="6"/>
  <c r="I95" i="6"/>
  <c r="G101" i="6"/>
  <c r="J119" i="6"/>
  <c r="I119" i="6"/>
  <c r="G125" i="6"/>
  <c r="J143" i="6"/>
  <c r="I143" i="6"/>
  <c r="G149" i="6"/>
  <c r="K169" i="6"/>
  <c r="H248" i="6"/>
  <c r="I272" i="6"/>
  <c r="H306" i="6"/>
  <c r="I308" i="6"/>
  <c r="I345" i="6"/>
  <c r="G348" i="6"/>
  <c r="M363" i="6"/>
  <c r="G366" i="6"/>
  <c r="M369" i="6"/>
  <c r="H369" i="6"/>
  <c r="G369" i="6"/>
  <c r="G377" i="6"/>
  <c r="G386" i="6"/>
  <c r="M405" i="6"/>
  <c r="H405" i="6"/>
  <c r="G405" i="6"/>
  <c r="J410" i="6"/>
  <c r="J428" i="6"/>
  <c r="G431" i="6"/>
  <c r="M445" i="6"/>
  <c r="K445" i="6"/>
  <c r="J445" i="6"/>
  <c r="K475" i="6"/>
  <c r="J475" i="6"/>
  <c r="I475" i="6"/>
  <c r="K351" i="6"/>
  <c r="J351" i="6"/>
  <c r="I351" i="6"/>
  <c r="K367" i="6"/>
  <c r="G367" i="6"/>
  <c r="K384" i="6"/>
  <c r="G384" i="6"/>
  <c r="H393" i="6"/>
  <c r="G393" i="6"/>
  <c r="K408" i="6"/>
  <c r="I408" i="6"/>
  <c r="M408" i="6"/>
  <c r="J408" i="6"/>
  <c r="H408" i="6"/>
  <c r="K430" i="6"/>
  <c r="I430" i="6"/>
  <c r="H430" i="6"/>
  <c r="G430" i="6"/>
  <c r="J455" i="6"/>
  <c r="I455" i="6"/>
  <c r="K322" i="6"/>
  <c r="K352" i="6"/>
  <c r="M352" i="6"/>
  <c r="J352" i="6"/>
  <c r="M367" i="6"/>
  <c r="M384" i="6"/>
  <c r="M393" i="6"/>
  <c r="K403" i="6"/>
  <c r="J413" i="6"/>
  <c r="K416" i="6"/>
  <c r="I416" i="6"/>
  <c r="M416" i="6"/>
  <c r="M455" i="6"/>
  <c r="K499" i="6"/>
  <c r="J499" i="6"/>
  <c r="I499" i="6"/>
  <c r="M322" i="6"/>
  <c r="K368" i="6"/>
  <c r="G368" i="6"/>
  <c r="K394" i="6"/>
  <c r="I394" i="6"/>
  <c r="H394" i="6"/>
  <c r="G394" i="6"/>
  <c r="M403" i="6"/>
  <c r="K413" i="6"/>
  <c r="J479" i="6"/>
  <c r="I479" i="6"/>
  <c r="K342" i="6"/>
  <c r="J342" i="6"/>
  <c r="M397" i="6"/>
  <c r="K397" i="6"/>
  <c r="J397" i="6"/>
  <c r="K404" i="6"/>
  <c r="I404" i="6"/>
  <c r="K434" i="6"/>
  <c r="I434" i="6"/>
  <c r="M434" i="6"/>
  <c r="K466" i="6"/>
  <c r="I466" i="6"/>
  <c r="H466" i="6"/>
  <c r="G466" i="6"/>
  <c r="K376" i="6"/>
  <c r="M376" i="6"/>
  <c r="J376" i="6"/>
  <c r="I376" i="6"/>
  <c r="K414" i="6"/>
  <c r="I414" i="6"/>
  <c r="H414" i="6"/>
  <c r="J419" i="6"/>
  <c r="I419" i="6"/>
  <c r="H419" i="6"/>
  <c r="H441" i="6"/>
  <c r="G441" i="6"/>
  <c r="J451" i="6"/>
  <c r="I451" i="6"/>
  <c r="M469" i="6"/>
  <c r="K469" i="6"/>
  <c r="J469" i="6"/>
  <c r="K412" i="6"/>
  <c r="I412" i="6"/>
  <c r="K436" i="6"/>
  <c r="I436" i="6"/>
  <c r="K460" i="6"/>
  <c r="I460" i="6"/>
  <c r="K484" i="6"/>
  <c r="I484" i="6"/>
  <c r="K456" i="6"/>
  <c r="I456" i="6"/>
  <c r="K480" i="6"/>
  <c r="I480" i="6"/>
  <c r="K504" i="6"/>
  <c r="I504" i="6"/>
  <c r="K478" i="6"/>
  <c r="I478" i="6"/>
  <c r="K502" i="6"/>
  <c r="I502" i="6"/>
  <c r="K498" i="6"/>
  <c r="I498" i="6"/>
  <c r="G347" i="6"/>
  <c r="K355" i="6"/>
  <c r="G372" i="6"/>
  <c r="M380" i="6"/>
  <c r="H456" i="6"/>
  <c r="H467" i="6"/>
  <c r="H480" i="6"/>
  <c r="H491" i="6"/>
  <c r="H504" i="6"/>
  <c r="H347" i="6"/>
  <c r="H372" i="6"/>
  <c r="K400" i="6"/>
  <c r="I400" i="6"/>
  <c r="K424" i="6"/>
  <c r="I424" i="6"/>
  <c r="K448" i="6"/>
  <c r="I448" i="6"/>
  <c r="J456" i="6"/>
  <c r="G465" i="6"/>
  <c r="I467" i="6"/>
  <c r="K472" i="6"/>
  <c r="I472" i="6"/>
  <c r="G478" i="6"/>
  <c r="J480" i="6"/>
  <c r="G489" i="6"/>
  <c r="I491" i="6"/>
  <c r="K496" i="6"/>
  <c r="I496" i="6"/>
  <c r="G502" i="6"/>
  <c r="J504" i="6"/>
  <c r="I372" i="6"/>
  <c r="M456" i="6"/>
  <c r="H478" i="6"/>
  <c r="M480" i="6"/>
  <c r="H502" i="6"/>
  <c r="M504" i="6"/>
  <c r="I14" i="6" l="1"/>
  <c r="K14" i="6" s="1"/>
  <c r="I10" i="6"/>
  <c r="I11" i="6"/>
  <c r="I13" i="6"/>
  <c r="I8" i="6"/>
  <c r="K8" i="6" s="1"/>
  <c r="B16" i="2"/>
  <c r="I12" i="6"/>
  <c r="J8" i="6"/>
  <c r="M8" i="6" s="1"/>
  <c r="B14" i="2"/>
  <c r="K7" i="6"/>
  <c r="J7" i="6"/>
  <c r="M7" i="6" s="1"/>
  <c r="K6" i="6"/>
  <c r="J6" i="6"/>
  <c r="J11" i="6"/>
  <c r="M11" i="6" s="1"/>
  <c r="K11" i="6"/>
  <c r="K10" i="6"/>
  <c r="B15" i="2"/>
  <c r="J10" i="6"/>
  <c r="M10" i="6" s="1"/>
  <c r="K12" i="6"/>
  <c r="J12" i="6"/>
  <c r="M12" i="6" s="1"/>
  <c r="J14" i="6"/>
  <c r="M14" i="6" s="1"/>
  <c r="K13" i="6"/>
  <c r="J13" i="6"/>
  <c r="M13" i="6" s="1"/>
  <c r="F13" i="2"/>
  <c r="A9" i="2"/>
  <c r="D9" i="2"/>
  <c r="F14" i="2"/>
  <c r="K9" i="6"/>
  <c r="I5" i="6"/>
  <c r="D5" i="2" l="1"/>
  <c r="F15" i="2"/>
  <c r="K5" i="6"/>
  <c r="B13" i="2"/>
  <c r="J5" i="6"/>
  <c r="M6" i="6" s="1"/>
  <c r="J9" i="2" l="1"/>
  <c r="J5" i="2"/>
  <c r="M5" i="6"/>
  <c r="G5" i="2"/>
  <c r="F28" i="2" l="1"/>
  <c r="F24" i="2"/>
  <c r="F20" i="2"/>
  <c r="E24" i="2"/>
  <c r="B20" i="2"/>
  <c r="E28" i="2"/>
  <c r="E20" i="2"/>
  <c r="B28" i="2"/>
  <c r="D28" i="2"/>
  <c r="D24" i="2"/>
  <c r="D20" i="2"/>
  <c r="C28" i="2"/>
  <c r="C24" i="2"/>
  <c r="C20" i="2"/>
  <c r="B24" i="2"/>
  <c r="F30" i="2"/>
  <c r="F26" i="2"/>
  <c r="F22" i="2"/>
  <c r="D30" i="2"/>
  <c r="D22" i="2"/>
  <c r="E30" i="2"/>
  <c r="E26" i="2"/>
  <c r="E22" i="2"/>
  <c r="D26" i="2"/>
  <c r="A29" i="2"/>
  <c r="C22" i="2"/>
  <c r="A28" i="2"/>
  <c r="B22" i="2"/>
  <c r="F27" i="2"/>
  <c r="A27" i="2"/>
  <c r="E27" i="2"/>
  <c r="F21" i="2"/>
  <c r="D27" i="2"/>
  <c r="E21" i="2"/>
  <c r="C27" i="2"/>
  <c r="D21" i="2"/>
  <c r="B27" i="2"/>
  <c r="C21" i="2"/>
  <c r="C26" i="2"/>
  <c r="A21" i="2"/>
  <c r="A26" i="2"/>
  <c r="B26" i="2"/>
  <c r="A20" i="2"/>
  <c r="F31" i="2"/>
  <c r="E31" i="2"/>
  <c r="F25" i="2"/>
  <c r="D31" i="2"/>
  <c r="E25" i="2"/>
  <c r="C25" i="2"/>
  <c r="C31" i="2"/>
  <c r="D25" i="2"/>
  <c r="A31" i="2"/>
  <c r="C30" i="2"/>
  <c r="B31" i="2"/>
  <c r="B25" i="2"/>
  <c r="B30" i="2"/>
  <c r="A24" i="2"/>
  <c r="F23" i="2"/>
  <c r="F29" i="2"/>
  <c r="D23" i="2"/>
  <c r="A30" i="2"/>
  <c r="E23" i="2"/>
  <c r="E29" i="2"/>
  <c r="D29" i="2"/>
  <c r="C23" i="2"/>
  <c r="C29" i="2"/>
  <c r="B23" i="2"/>
  <c r="A23" i="2"/>
  <c r="A22" i="2"/>
  <c r="A25" i="2"/>
  <c r="B29" i="2"/>
  <c r="B21" i="2"/>
</calcChain>
</file>

<file path=xl/sharedStrings.xml><?xml version="1.0" encoding="utf-8"?>
<sst xmlns="http://schemas.openxmlformats.org/spreadsheetml/2006/main" count="189" uniqueCount="126">
  <si>
    <t>INVENTARIO Y COMPRAS PARA PYMES</t>
  </si>
  <si>
    <t>Registra productos, compras y ventas. El Excel calcula automáticamente stock, entradas, salidas y alertas.</t>
  </si>
  <si>
    <t>Promesa de la plantilla</t>
  </si>
  <si>
    <t>Controla tu inventario, registra compras y salidas, y conoce automáticamente tu stock disponible.</t>
  </si>
  <si>
    <t>Paso</t>
  </si>
  <si>
    <t>Hoja</t>
  </si>
  <si>
    <t>Qué hace</t>
  </si>
  <si>
    <t>Idea clave</t>
  </si>
  <si>
    <t>1</t>
  </si>
  <si>
    <t>Productos</t>
  </si>
  <si>
    <t>Registra código, descripción, categoría, proveedor, stock mínimo y stock inicial.</t>
  </si>
  <si>
    <t>La persona solo rellena Productos, Compras Entradas y Ventas Salidas. El inventario se calcula solo con la fórmula: Stock actual = Stock inicial + Entradas - Salidas.</t>
  </si>
  <si>
    <t>2</t>
  </si>
  <si>
    <t>Compras Entradas</t>
  </si>
  <si>
    <t>Anota cada compra o entrada de mercadería.</t>
  </si>
  <si>
    <t>3</t>
  </si>
  <si>
    <t>Ventas Salidas</t>
  </si>
  <si>
    <t>Anota cada venta, merma, muestra o salida de inventario.</t>
  </si>
  <si>
    <t>4</t>
  </si>
  <si>
    <t>Inventario</t>
  </si>
  <si>
    <t>Revisa stock actual, entradas, salidas y alertas automáticas.</t>
  </si>
  <si>
    <t>5</t>
  </si>
  <si>
    <t>Dashboard</t>
  </si>
  <si>
    <t>Visualiza productos críticos, stock total y movimientos.</t>
  </si>
  <si>
    <t>DASHBOARD INVENTARIO PYME</t>
  </si>
  <si>
    <t>Visualiza stock total, productos críticos, entradas, salidas y categorías de inventario.</t>
  </si>
  <si>
    <t>Total productos</t>
  </si>
  <si>
    <t>Stock total</t>
  </si>
  <si>
    <t>Bajo stock</t>
  </si>
  <si>
    <t>Sin stock</t>
  </si>
  <si>
    <t>Uso recomendado: primero registra productos, luego entradas/compras y salidas/ventas. El inventario se actualiza automáticamente por código de producto.</t>
  </si>
  <si>
    <t>Unidades entradas</t>
  </si>
  <si>
    <t>Unidades salidas</t>
  </si>
  <si>
    <t>Monto comprado</t>
  </si>
  <si>
    <t>Productos OK</t>
  </si>
  <si>
    <t>Categoría</t>
  </si>
  <si>
    <t>Stock</t>
  </si>
  <si>
    <t>Movimiento</t>
  </si>
  <si>
    <t>Unidades</t>
  </si>
  <si>
    <t>Anillos</t>
  </si>
  <si>
    <t>Entradas</t>
  </si>
  <si>
    <t>Pulseras</t>
  </si>
  <si>
    <t>Salidas</t>
  </si>
  <si>
    <t>Pendientes</t>
  </si>
  <si>
    <t>Stock actual</t>
  </si>
  <si>
    <t>Otros</t>
  </si>
  <si>
    <t>PRODUCTOS CRÍTICOS</t>
  </si>
  <si>
    <t>Código</t>
  </si>
  <si>
    <t>Descripción</t>
  </si>
  <si>
    <t>Stock mín.</t>
  </si>
  <si>
    <t>Estado</t>
  </si>
  <si>
    <t>Acción</t>
  </si>
  <si>
    <t>PRODUCTOS</t>
  </si>
  <si>
    <t>Registra tus productos. Estos códigos alimentan las listas desplegables de compras y salidas.</t>
  </si>
  <si>
    <t>Código producto</t>
  </si>
  <si>
    <t>Proveedor</t>
  </si>
  <si>
    <t>Stock mínimo</t>
  </si>
  <si>
    <t>Stock inicial</t>
  </si>
  <si>
    <t>Costo referencia</t>
  </si>
  <si>
    <t>Ubicación</t>
  </si>
  <si>
    <t>Nota</t>
  </si>
  <si>
    <t>AN001</t>
  </si>
  <si>
    <t>Anillo luna plata</t>
  </si>
  <si>
    <t>Proveedor A</t>
  </si>
  <si>
    <t>Caja A1</t>
  </si>
  <si>
    <t>AN002</t>
  </si>
  <si>
    <t>Anillo venus plata</t>
  </si>
  <si>
    <t>AN003</t>
  </si>
  <si>
    <t>Anillo marte oro</t>
  </si>
  <si>
    <t>Proveedor B</t>
  </si>
  <si>
    <t>Caja A2</t>
  </si>
  <si>
    <t>PU001</t>
  </si>
  <si>
    <t>Pulsera rubí plata</t>
  </si>
  <si>
    <t>Caja B1</t>
  </si>
  <si>
    <t>PU002</t>
  </si>
  <si>
    <t>Pulsera rubí oro</t>
  </si>
  <si>
    <t>PE001</t>
  </si>
  <si>
    <t>Pendientes rubí plata</t>
  </si>
  <si>
    <t>Proveedor C</t>
  </si>
  <si>
    <t>Caja C1</t>
  </si>
  <si>
    <t>PE002</t>
  </si>
  <si>
    <t>Pendientes camee vermeil</t>
  </si>
  <si>
    <t>PE003</t>
  </si>
  <si>
    <t>Pendientes ídolo oro rosa</t>
  </si>
  <si>
    <t>Caja C2</t>
  </si>
  <si>
    <t>AN004</t>
  </si>
  <si>
    <t>Anillo tierra plata</t>
  </si>
  <si>
    <t>Caja A3</t>
  </si>
  <si>
    <t>AN005</t>
  </si>
  <si>
    <t>Anillo cielo plata</t>
  </si>
  <si>
    <t>COMPRAS / ENTRADAS</t>
  </si>
  <si>
    <t>Registra compras, reposiciones o cualquier entrada de mercadería.</t>
  </si>
  <si>
    <t>N° factura</t>
  </si>
  <si>
    <t>Fecha</t>
  </si>
  <si>
    <t>Cantidad</t>
  </si>
  <si>
    <t>Costo unitario</t>
  </si>
  <si>
    <t>Total compra</t>
  </si>
  <si>
    <t>F-1001</t>
  </si>
  <si>
    <t>Reposición inicial</t>
  </si>
  <si>
    <t>F-1002</t>
  </si>
  <si>
    <t>F-1003</t>
  </si>
  <si>
    <t>F-1004</t>
  </si>
  <si>
    <t>VENTAS / SALIDAS</t>
  </si>
  <si>
    <t>Registra ventas, mermas, muestras, devoluciones o cualquier salida de inventario.</t>
  </si>
  <si>
    <t>N° documento</t>
  </si>
  <si>
    <t>Motivo</t>
  </si>
  <si>
    <t>Cliente / destino</t>
  </si>
  <si>
    <t>Responsable</t>
  </si>
  <si>
    <t>V-2001</t>
  </si>
  <si>
    <t>Venta</t>
  </si>
  <si>
    <t>Cliente A</t>
  </si>
  <si>
    <t>Vendedor 1</t>
  </si>
  <si>
    <t>V-2002</t>
  </si>
  <si>
    <t>Cliente B</t>
  </si>
  <si>
    <t>V-2003</t>
  </si>
  <si>
    <t>Cliente C</t>
  </si>
  <si>
    <t>Vendedor 2</t>
  </si>
  <si>
    <t>V-2004</t>
  </si>
  <si>
    <t>Muestra</t>
  </si>
  <si>
    <t>Feria</t>
  </si>
  <si>
    <t>V-2005</t>
  </si>
  <si>
    <t>Cliente D</t>
  </si>
  <si>
    <t>INVENTARIO ACTUAL</t>
  </si>
  <si>
    <t>Stock actualizado automáticamente desde productos, compras y salidas.</t>
  </si>
  <si>
    <t>Acción sugerida</t>
  </si>
  <si>
    <t>_rank_critico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</si>
</sst>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\$#,##0;[Red]&quot;($&quot;#,##0\);\-"/>
    <numFmt numFmtId="166" formatCode="dd\-mm\-yyyy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Segoe UI"/>
      <charset val="1"/>
    </font>
    <font>
      <sz val="10"/>
      <color rgb="FFFFFFFF"/>
      <name val="Segoe UI"/>
      <charset val="1"/>
    </font>
    <font>
      <b/>
      <sz val="15"/>
      <color rgb="FF161524"/>
      <name val="Segoe UI"/>
      <charset val="1"/>
    </font>
    <font>
      <b/>
      <sz val="12"/>
      <color rgb="FF161524"/>
      <name val="Segoe UI"/>
      <charset val="1"/>
    </font>
    <font>
      <b/>
      <sz val="10"/>
      <color rgb="FFFFFFFF"/>
      <name val="Segoe UI"/>
      <charset val="1"/>
    </font>
    <font>
      <b/>
      <sz val="10"/>
      <color rgb="FF161524"/>
      <name val="Segoe UI"/>
      <charset val="1"/>
    </font>
    <font>
      <sz val="10"/>
      <color rgb="FF161524"/>
      <name val="Segoe UI"/>
      <charset val="1"/>
    </font>
    <font>
      <sz val="11"/>
      <color rgb="FFFFFFFF"/>
      <name val="Segoe UI"/>
      <family val="2"/>
    </font>
    <font>
      <b/>
      <sz val="18"/>
      <color rgb="FFFFFFFF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sz val="11"/>
      <name val="Calibri"/>
      <family val="2"/>
      <charset val="1"/>
    </font>
    <font>
      <b/>
      <sz val="10"/>
      <color theme="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161524"/>
      </patternFill>
    </fill>
    <fill>
      <patternFill patternType="solid">
        <fgColor rgb="FF8B3333"/>
        <bgColor rgb="FF993300"/>
      </patternFill>
    </fill>
    <fill>
      <patternFill patternType="solid">
        <fgColor rgb="FFD4AF37"/>
        <bgColor rgb="FF9BBB59"/>
      </patternFill>
    </fill>
    <fill>
      <patternFill patternType="solid">
        <fgColor rgb="FFFFFEF9"/>
        <bgColor rgb="FFFFFFFF"/>
      </patternFill>
    </fill>
    <fill>
      <patternFill patternType="solid">
        <fgColor theme="0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FFF6D8"/>
        <bgColor rgb="FFFFFFFF"/>
      </patternFill>
    </fill>
    <fill>
      <patternFill patternType="solid">
        <fgColor rgb="FFFFF6D8"/>
        <bgColor indexed="64"/>
      </patternFill>
    </fill>
    <fill>
      <patternFill patternType="solid">
        <fgColor rgb="FFE7E6E6"/>
        <bgColor rgb="FFD9D9D9"/>
      </patternFill>
    </fill>
    <fill>
      <patternFill patternType="solid">
        <fgColor rgb="FFFFF6D8"/>
        <bgColor rgb="FF0033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auto="1"/>
      </left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6" fillId="5" borderId="2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164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165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6" borderId="0" xfId="0" applyFill="1" applyProtection="1">
      <protection locked="0"/>
    </xf>
    <xf numFmtId="0" fontId="0" fillId="7" borderId="0" xfId="0" applyFill="1"/>
    <xf numFmtId="0" fontId="8" fillId="3" borderId="3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left" vertical="center" wrapText="1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0" fillId="6" borderId="0" xfId="0" applyFill="1"/>
    <xf numFmtId="0" fontId="10" fillId="3" borderId="1" xfId="0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vertical="center" wrapText="1"/>
      <protection locked="0"/>
    </xf>
    <xf numFmtId="0" fontId="7" fillId="10" borderId="0" xfId="0" applyFont="1" applyFill="1" applyAlignment="1" applyProtection="1">
      <alignment horizontal="center" vertical="center" wrapText="1"/>
      <protection locked="0"/>
    </xf>
    <xf numFmtId="0" fontId="7" fillId="11" borderId="2" xfId="0" applyFont="1" applyFill="1" applyBorder="1" applyAlignment="1" applyProtection="1">
      <alignment horizontal="center" vertical="center" wrapText="1"/>
      <protection locked="0"/>
    </xf>
    <xf numFmtId="164" fontId="7" fillId="11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12" borderId="2" xfId="0" applyFont="1" applyFill="1" applyBorder="1" applyAlignment="1" applyProtection="1">
      <alignment horizontal="center" vertical="center" wrapText="1"/>
      <protection locked="0"/>
    </xf>
    <xf numFmtId="164" fontId="11" fillId="12" borderId="2" xfId="0" applyNumberFormat="1" applyFont="1" applyFill="1" applyBorder="1" applyAlignment="1" applyProtection="1">
      <alignment horizontal="center" vertical="center" wrapText="1"/>
      <protection locked="0"/>
    </xf>
    <xf numFmtId="165" fontId="11" fillId="12" borderId="2" xfId="0" applyNumberFormat="1" applyFont="1" applyFill="1" applyBorder="1" applyAlignment="1" applyProtection="1">
      <alignment horizontal="center" vertical="center" wrapText="1"/>
      <protection locked="0"/>
    </xf>
    <xf numFmtId="166" fontId="11" fillId="12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6" borderId="0" xfId="0" applyFont="1" applyFill="1" applyProtection="1">
      <protection locked="0"/>
    </xf>
    <xf numFmtId="0" fontId="12" fillId="7" borderId="0" xfId="0" applyFont="1" applyFill="1"/>
    <xf numFmtId="0" fontId="12" fillId="0" borderId="0" xfId="0" applyFont="1"/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165" fontId="7" fillId="11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11" borderId="4" xfId="0" applyFont="1" applyFill="1" applyBorder="1" applyAlignment="1" applyProtection="1">
      <alignment horizontal="center" vertical="center" wrapText="1"/>
      <protection locked="0"/>
    </xf>
    <xf numFmtId="164" fontId="7" fillId="11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Protection="1">
      <protection locked="0"/>
    </xf>
  </cellXfs>
  <cellStyles count="1">
    <cellStyle name="Normal" xfId="0" builtinId="0"/>
  </cellStyles>
  <dxfs count="43"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</dxf>
    <dxf>
      <fill>
        <patternFill patternType="solid">
          <fgColor rgb="FFD9D9D9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ill>
        <patternFill patternType="solid">
          <fgColor rgb="FFD9D9D9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ill>
        <patternFill patternType="solid">
          <fgColor rgb="FFD9D9D9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rgb="FF003366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rgb="FF003366"/>
          <bgColor rgb="FFFFF6D8"/>
        </patternFill>
      </fill>
      <border outline="0">
        <right style="thin">
          <color rgb="FF1F1F1F"/>
        </right>
      </border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Segoe UI"/>
        <charset val="1"/>
        <scheme val="none"/>
      </font>
      <fill>
        <patternFill patternType="solid">
          <fgColor rgb="FF003366"/>
          <bgColor rgb="FFFFF6D8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3F6F91"/>
      <rgbColor rgb="FFC0C0C0"/>
      <rgbColor rgb="FF878787"/>
      <rgbColor rgb="FF9999FF"/>
      <rgbColor rgb="FF8B3333"/>
      <rgbColor rgb="FFFFF2CC"/>
      <rgbColor rgb="FFDCEA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EF9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D4AF37"/>
      <rgbColor rgb="FFFF6600"/>
      <rgbColor rgb="FF8064A2"/>
      <rgbColor rgb="FF5287A5"/>
      <rgbColor rgb="FF003366"/>
      <rgbColor rgb="FF20A87D"/>
      <rgbColor rgb="FF161524"/>
      <rgbColor rgb="FF333300"/>
      <rgbColor rgb="FF993300"/>
      <rgbColor rgb="FFC0504D"/>
      <rgbColor rgb="FF24476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E6E6"/>
      <color rgb="FFFFF6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Stock por categoría</a:t>
            </a:r>
          </a:p>
        </c:rich>
      </c:tx>
      <c:layout>
        <c:manualLayout>
          <c:xMode val="edge"/>
          <c:yMode val="edge"/>
          <c:x val="0.37364560760126703"/>
          <c:y val="6.1765441360340102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Dashboard!$B$12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443-4789-A62C-024D3D0E85C2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443-4789-A62C-024D3D0E85C2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443-4789-A62C-024D3D0E85C2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443-4789-A62C-024D3D0E85C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43-4789-A62C-024D3D0E85C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43-4789-A62C-024D3D0E85C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43-4789-A62C-024D3D0E85C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43-4789-A62C-024D3D0E85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Anillos</c:v>
                </c:pt>
                <c:pt idx="1">
                  <c:v>Pulseras</c:v>
                </c:pt>
                <c:pt idx="2">
                  <c:v>Pendientes</c:v>
                </c:pt>
                <c:pt idx="3">
                  <c:v>Otros</c:v>
                </c:pt>
              </c:strCache>
            </c:strRef>
          </c:cat>
          <c:val>
            <c:numRef>
              <c:f>Dashboard!$B$13:$B$16</c:f>
              <c:numCache>
                <c:formatCode>#,##0;[Red]\(#,##0\);\-</c:formatCode>
                <c:ptCount val="4"/>
                <c:pt idx="0">
                  <c:v>63</c:v>
                </c:pt>
                <c:pt idx="1">
                  <c:v>25</c:v>
                </c:pt>
                <c:pt idx="2">
                  <c:v>47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43-4789-A62C-024D3D0E8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05937"/>
        <c:axId val="59755021"/>
      </c:barChart>
      <c:catAx>
        <c:axId val="3500593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Categoría</a:t>
                </a:r>
              </a:p>
            </c:rich>
          </c:tx>
          <c:layout>
            <c:manualLayout>
              <c:xMode val="edge"/>
              <c:yMode val="edge"/>
              <c:x val="0.37906317719619897"/>
              <c:y val="0.932983245811452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59755021"/>
        <c:crosses val="autoZero"/>
        <c:auto val="1"/>
        <c:lblAlgn val="ctr"/>
        <c:lblOffset val="100"/>
        <c:noMultiLvlLbl val="0"/>
      </c:catAx>
      <c:valAx>
        <c:axId val="59755021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crossAx val="35005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7247361111111101"/>
          <c:y val="0.30083124999999999"/>
          <c:w val="0.2098875"/>
          <c:h val="0.358650000000000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Entradas, salidas y stock</a:t>
            </a:r>
          </a:p>
        </c:rich>
      </c:tx>
      <c:layout>
        <c:manualLayout>
          <c:xMode val="edge"/>
          <c:yMode val="edge"/>
          <c:x val="0.19672098272695479"/>
          <c:y val="0.831724664911628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7332448037798698"/>
          <c:y val="0.13357233948643335"/>
          <c:w val="0.46078703262142856"/>
          <c:h val="0.65741416277191311"/>
        </c:manualLayout>
      </c:layout>
      <c:pieChart>
        <c:varyColors val="1"/>
        <c:ser>
          <c:idx val="0"/>
          <c:order val="0"/>
          <c:tx>
            <c:strRef>
              <c:f>Dashboard!$F$12</c:f>
              <c:strCache>
                <c:ptCount val="1"/>
                <c:pt idx="0">
                  <c:v>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B2-42F3-9E24-F1BC4C5C3B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B2-42F3-9E24-F1BC4C5C3B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B2-42F3-9E24-F1BC4C5C3B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Dashboard!$E$13:$E$15</c:f>
              <c:strCache>
                <c:ptCount val="3"/>
                <c:pt idx="0">
                  <c:v>Entradas</c:v>
                </c:pt>
                <c:pt idx="1">
                  <c:v>Salidas</c:v>
                </c:pt>
                <c:pt idx="2">
                  <c:v>Stock actual</c:v>
                </c:pt>
              </c:strCache>
            </c:strRef>
          </c:cat>
          <c:val>
            <c:numRef>
              <c:f>Dashboard!$F$13:$F$15</c:f>
              <c:numCache>
                <c:formatCode>#,##0;[Red]\(#,##0\);\-</c:formatCode>
                <c:ptCount val="3"/>
                <c:pt idx="0">
                  <c:v>53</c:v>
                </c:pt>
                <c:pt idx="1">
                  <c:v>35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B2-42F3-9E24-F1BC4C5C3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162000</xdr:colOff>
      <xdr:row>11</xdr:row>
      <xdr:rowOff>0</xdr:rowOff>
    </xdr:from>
    <xdr:to>
      <xdr:col>10</xdr:col>
      <xdr:colOff>533880</xdr:colOff>
      <xdr:row>21</xdr:row>
      <xdr:rowOff>116640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780945</xdr:colOff>
      <xdr:row>10</xdr:row>
      <xdr:rowOff>266565</xdr:rowOff>
    </xdr:from>
    <xdr:to>
      <xdr:col>16</xdr:col>
      <xdr:colOff>126525</xdr:colOff>
      <xdr:row>21</xdr:row>
      <xdr:rowOff>94125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ProductosInventario" displayName="TablaProductosInventario" ref="A4:I204" totalsRowShown="0" dataDxfId="30">
  <autoFilter ref="A4:I204" xr:uid="{00000000-0009-0000-0100-000003000000}"/>
  <tableColumns count="9">
    <tableColumn id="1" xr3:uid="{00000000-0010-0000-0000-000001000000}" name="Código producto" dataDxfId="39"/>
    <tableColumn id="2" xr3:uid="{00000000-0010-0000-0000-000002000000}" name="Descripción" dataDxfId="38"/>
    <tableColumn id="3" xr3:uid="{00000000-0010-0000-0000-000003000000}" name="Categoría" dataDxfId="37"/>
    <tableColumn id="4" xr3:uid="{00000000-0010-0000-0000-000004000000}" name="Proveedor" dataDxfId="36"/>
    <tableColumn id="5" xr3:uid="{00000000-0010-0000-0000-000005000000}" name="Stock mínimo" dataDxfId="35"/>
    <tableColumn id="6" xr3:uid="{00000000-0010-0000-0000-000006000000}" name="Stock inicial" dataDxfId="34"/>
    <tableColumn id="7" xr3:uid="{00000000-0010-0000-0000-000007000000}" name="Costo referencia" dataDxfId="33"/>
    <tableColumn id="8" xr3:uid="{00000000-0010-0000-0000-000008000000}" name="Ubicación" dataDxfId="32"/>
    <tableColumn id="9" xr3:uid="{00000000-0010-0000-0000-000009000000}" name="Nota" dataDxfId="3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ComprasEntradas" displayName="TablaComprasEntradas" ref="A4:I604" totalsRowShown="0">
  <autoFilter ref="A4:I604" xr:uid="{00000000-0009-0000-0100-000001000000}"/>
  <tableColumns count="9">
    <tableColumn id="1" xr3:uid="{00000000-0010-0000-0100-000001000000}" name="N° factura" dataDxfId="29"/>
    <tableColumn id="2" xr3:uid="{00000000-0010-0000-0100-000002000000}" name="Fecha" dataDxfId="28"/>
    <tableColumn id="3" xr3:uid="{00000000-0010-0000-0100-000003000000}" name="Código producto" dataDxfId="25"/>
    <tableColumn id="4" xr3:uid="{00000000-0010-0000-0100-000004000000}" name="Descripción" dataDxfId="23"/>
    <tableColumn id="5" xr3:uid="{00000000-0010-0000-0100-000005000000}" name="Cantidad" dataDxfId="24"/>
    <tableColumn id="6" xr3:uid="{00000000-0010-0000-0100-000006000000}" name="Costo unitario" dataDxfId="27"/>
    <tableColumn id="7" xr3:uid="{00000000-0010-0000-0100-000007000000}" name="Total compra" dataDxfId="26"/>
    <tableColumn id="8" xr3:uid="{00000000-0010-0000-0100-000008000000}" name="Proveedor" dataDxfId="22"/>
    <tableColumn id="9" xr3:uid="{00000000-0010-0000-0100-000009000000}" name="Nota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VentasSalidas" displayName="TablaVentasSalidas" ref="A4:I604" totalsRowShown="0">
  <autoFilter ref="A4:I604" xr:uid="{00000000-0009-0000-0100-000004000000}"/>
  <tableColumns count="9">
    <tableColumn id="1" xr3:uid="{00000000-0010-0000-0200-000001000000}" name="N° documento" dataDxfId="20"/>
    <tableColumn id="2" xr3:uid="{00000000-0010-0000-0200-000002000000}" name="Fecha" dataDxfId="19"/>
    <tableColumn id="3" xr3:uid="{00000000-0010-0000-0200-000003000000}" name="Código producto" dataDxfId="14"/>
    <tableColumn id="4" xr3:uid="{00000000-0010-0000-0200-000004000000}" name="Descripción" dataDxfId="12"/>
    <tableColumn id="5" xr3:uid="{00000000-0010-0000-0200-000005000000}" name="Cantidad" dataDxfId="13"/>
    <tableColumn id="6" xr3:uid="{00000000-0010-0000-0200-000006000000}" name="Motivo" dataDxfId="18"/>
    <tableColumn id="7" xr3:uid="{00000000-0010-0000-0200-000007000000}" name="Cliente / destino" dataDxfId="17"/>
    <tableColumn id="8" xr3:uid="{00000000-0010-0000-0200-000008000000}" name="Responsable" dataDxfId="16"/>
    <tableColumn id="9" xr3:uid="{00000000-0010-0000-0200-000009000000}" name="Nota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InventarioActual" displayName="TablaInventarioActual" ref="A4:K204" totalsRowShown="0" dataDxfId="0">
  <autoFilter ref="A4:K204" xr:uid="{00000000-0009-0000-0100-000002000000}"/>
  <tableColumns count="11">
    <tableColumn id="1" xr3:uid="{00000000-0010-0000-0300-000001000000}" name="Código producto" dataDxfId="11"/>
    <tableColumn id="2" xr3:uid="{00000000-0010-0000-0300-000002000000}" name="Descripción" dataDxfId="10"/>
    <tableColumn id="3" xr3:uid="{00000000-0010-0000-0300-000003000000}" name="Categoría" dataDxfId="9"/>
    <tableColumn id="4" xr3:uid="{00000000-0010-0000-0300-000004000000}" name="Proveedor" dataDxfId="8"/>
    <tableColumn id="5" xr3:uid="{00000000-0010-0000-0300-000005000000}" name="Stock mínimo" dataDxfId="7"/>
    <tableColumn id="6" xr3:uid="{00000000-0010-0000-0300-000006000000}" name="Stock inicial" dataDxfId="6"/>
    <tableColumn id="7" xr3:uid="{00000000-0010-0000-0300-000007000000}" name="Entradas" dataDxfId="5"/>
    <tableColumn id="8" xr3:uid="{00000000-0010-0000-0300-000008000000}" name="Salidas" dataDxfId="4"/>
    <tableColumn id="9" xr3:uid="{00000000-0010-0000-0300-000009000000}" name="Stock actual" dataDxfId="3"/>
    <tableColumn id="10" xr3:uid="{00000000-0010-0000-0300-00000A000000}" name="Estado" dataDxfId="2"/>
    <tableColumn id="11" xr3:uid="{00000000-0010-0000-0300-00000B000000}" name="Acción sugerid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B1:Q643"/>
  <sheetViews>
    <sheetView showGridLines="0" tabSelected="1" zoomScale="80" zoomScaleNormal="80" workbookViewId="0">
      <selection activeCell="E16" sqref="E16"/>
    </sheetView>
  </sheetViews>
  <sheetFormatPr baseColWidth="10" defaultColWidth="9.140625" defaultRowHeight="15" x14ac:dyDescent="0.25"/>
  <cols>
    <col min="2" max="2" width="4" customWidth="1"/>
    <col min="3" max="3" width="24" customWidth="1"/>
    <col min="4" max="4" width="34" customWidth="1"/>
    <col min="5" max="5" width="42" customWidth="1"/>
    <col min="6" max="6" width="20" customWidth="1"/>
    <col min="7" max="9" width="22" customWidth="1"/>
    <col min="10" max="15" width="22" style="13" customWidth="1"/>
    <col min="16" max="17" width="9.140625" style="13"/>
  </cols>
  <sheetData>
    <row r="1" spans="2:17" ht="31.5" customHeight="1" x14ac:dyDescent="0.25">
      <c r="B1" s="16" t="s">
        <v>0</v>
      </c>
      <c r="C1" s="17"/>
      <c r="D1" s="17"/>
      <c r="E1" s="17"/>
      <c r="F1" s="17"/>
      <c r="G1" s="17"/>
      <c r="H1" s="17"/>
      <c r="I1" s="17"/>
      <c r="J1" s="12"/>
      <c r="K1" s="12"/>
      <c r="L1" s="12"/>
      <c r="M1" s="12"/>
      <c r="N1" s="12"/>
      <c r="O1" s="12"/>
    </row>
    <row r="2" spans="2:17" ht="21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2"/>
      <c r="K2" s="12"/>
      <c r="L2" s="12"/>
      <c r="M2" s="12"/>
      <c r="N2" s="12"/>
      <c r="O2" s="12"/>
    </row>
    <row r="3" spans="2:17" ht="21.75" customHeight="1" x14ac:dyDescent="0.25"/>
    <row r="4" spans="2:17" ht="21.75" customHeight="1" x14ac:dyDescent="0.25">
      <c r="B4" s="12"/>
      <c r="C4" s="6" t="s">
        <v>2</v>
      </c>
      <c r="D4" s="6"/>
      <c r="E4" s="6"/>
      <c r="F4" s="6"/>
      <c r="G4" s="12"/>
      <c r="H4" s="12"/>
      <c r="I4" s="12"/>
      <c r="J4" s="12"/>
      <c r="K4" s="12"/>
      <c r="L4" s="12"/>
      <c r="M4" s="12"/>
      <c r="N4" s="12"/>
      <c r="O4" s="12"/>
    </row>
    <row r="5" spans="2:17" ht="21.75" customHeight="1" x14ac:dyDescent="0.25">
      <c r="B5" s="12"/>
      <c r="C5" s="21" t="s">
        <v>3</v>
      </c>
      <c r="D5" s="21"/>
      <c r="E5" s="21"/>
      <c r="F5" s="21"/>
      <c r="G5" s="12"/>
      <c r="H5" s="12"/>
      <c r="I5" s="12"/>
      <c r="J5" s="12"/>
      <c r="K5" s="12"/>
      <c r="L5" s="12"/>
      <c r="M5" s="12"/>
      <c r="N5" s="12"/>
      <c r="O5" s="12"/>
    </row>
    <row r="6" spans="2:17" ht="21.75" customHeight="1" x14ac:dyDescent="0.25">
      <c r="B6" s="12"/>
      <c r="C6" s="21"/>
      <c r="D6" s="21"/>
      <c r="E6" s="21"/>
      <c r="F6" s="21"/>
      <c r="G6" s="12"/>
      <c r="H6" s="12"/>
      <c r="I6" s="12"/>
      <c r="J6" s="12"/>
      <c r="K6" s="12"/>
      <c r="L6" s="12"/>
      <c r="M6" s="12"/>
      <c r="N6" s="12"/>
      <c r="O6" s="12"/>
    </row>
    <row r="7" spans="2:17" ht="21.75" customHeight="1" x14ac:dyDescent="0.25">
      <c r="B7" s="12"/>
      <c r="C7" s="21"/>
      <c r="D7" s="21"/>
      <c r="E7" s="21"/>
      <c r="F7" s="21"/>
      <c r="G7" s="12"/>
      <c r="H7" s="12"/>
      <c r="I7" s="12"/>
      <c r="J7" s="12"/>
      <c r="K7" s="12"/>
      <c r="L7" s="12"/>
      <c r="M7" s="12"/>
      <c r="N7" s="12"/>
      <c r="O7" s="12"/>
    </row>
    <row r="8" spans="2:17" s="13" customFormat="1" ht="21.75" customHeight="1" x14ac:dyDescent="0.2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2:17" ht="21.75" customHeight="1" x14ac:dyDescent="0.25">
      <c r="B9" s="12"/>
      <c r="C9" s="1" t="s">
        <v>4</v>
      </c>
      <c r="D9" s="1" t="s">
        <v>5</v>
      </c>
      <c r="E9" s="1" t="s">
        <v>6</v>
      </c>
      <c r="F9" s="12"/>
      <c r="G9" s="7" t="s">
        <v>7</v>
      </c>
      <c r="H9" s="7"/>
      <c r="I9" s="7"/>
      <c r="J9" s="12"/>
      <c r="K9" s="12"/>
      <c r="L9" s="12"/>
      <c r="M9" s="12"/>
      <c r="N9" s="12"/>
      <c r="O9" s="12"/>
      <c r="P9" s="12"/>
      <c r="Q9" s="12"/>
    </row>
    <row r="10" spans="2:17" ht="36.75" customHeight="1" x14ac:dyDescent="0.25">
      <c r="B10" s="12"/>
      <c r="C10" s="2" t="s">
        <v>8</v>
      </c>
      <c r="D10" s="3" t="s">
        <v>9</v>
      </c>
      <c r="E10" s="3" t="s">
        <v>10</v>
      </c>
      <c r="F10" s="12"/>
      <c r="G10" s="20" t="s">
        <v>11</v>
      </c>
      <c r="H10" s="20"/>
      <c r="I10" s="20"/>
      <c r="J10" s="12"/>
      <c r="K10" s="12"/>
      <c r="L10" s="12"/>
      <c r="M10" s="12"/>
      <c r="N10" s="12"/>
      <c r="O10" s="12"/>
      <c r="P10" s="12"/>
      <c r="Q10" s="12"/>
    </row>
    <row r="11" spans="2:17" ht="22.5" customHeight="1" x14ac:dyDescent="0.25">
      <c r="B11" s="12"/>
      <c r="C11" s="18" t="s">
        <v>12</v>
      </c>
      <c r="D11" s="19" t="s">
        <v>13</v>
      </c>
      <c r="E11" s="19" t="s">
        <v>14</v>
      </c>
      <c r="F11" s="12"/>
      <c r="G11" s="20"/>
      <c r="H11" s="20"/>
      <c r="I11" s="20"/>
      <c r="J11" s="12"/>
      <c r="K11" s="12"/>
      <c r="L11" s="12"/>
      <c r="M11" s="12"/>
      <c r="N11" s="12"/>
      <c r="O11" s="12"/>
      <c r="P11" s="12"/>
      <c r="Q11" s="12"/>
    </row>
    <row r="12" spans="2:17" ht="29.25" customHeight="1" x14ac:dyDescent="0.25">
      <c r="B12" s="12"/>
      <c r="C12" s="2" t="s">
        <v>15</v>
      </c>
      <c r="D12" s="3" t="s">
        <v>16</v>
      </c>
      <c r="E12" s="3" t="s">
        <v>17</v>
      </c>
      <c r="F12" s="12"/>
      <c r="G12" s="20"/>
      <c r="H12" s="20"/>
      <c r="I12" s="20"/>
      <c r="J12" s="12"/>
      <c r="K12" s="12"/>
      <c r="L12" s="12"/>
      <c r="M12" s="12"/>
      <c r="N12" s="12"/>
      <c r="O12" s="12"/>
      <c r="P12" s="12"/>
      <c r="Q12" s="12"/>
    </row>
    <row r="13" spans="2:17" ht="30" customHeight="1" x14ac:dyDescent="0.25">
      <c r="B13" s="12"/>
      <c r="C13" s="18" t="s">
        <v>18</v>
      </c>
      <c r="D13" s="19" t="s">
        <v>19</v>
      </c>
      <c r="E13" s="19" t="s">
        <v>20</v>
      </c>
      <c r="F13" s="12"/>
      <c r="G13" s="20"/>
      <c r="H13" s="20"/>
      <c r="I13" s="20"/>
      <c r="J13" s="12"/>
      <c r="K13" s="12"/>
      <c r="L13" s="12"/>
      <c r="M13" s="12"/>
      <c r="N13" s="12"/>
      <c r="O13" s="12"/>
      <c r="P13" s="12"/>
      <c r="Q13" s="12"/>
    </row>
    <row r="14" spans="2:17" ht="26.25" customHeight="1" x14ac:dyDescent="0.25">
      <c r="B14" s="12"/>
      <c r="C14" s="2" t="s">
        <v>21</v>
      </c>
      <c r="D14" s="3" t="s">
        <v>22</v>
      </c>
      <c r="E14" s="3" t="s">
        <v>23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2:17" s="13" customFormat="1" ht="21.75" customHeight="1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2:17" s="13" customFormat="1" ht="21.75" customHeight="1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2:15" s="13" customFormat="1" ht="21.75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2:15" s="13" customFormat="1" ht="21.75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2:15" s="13" customFormat="1" ht="21.75" customHeight="1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2:15" s="13" customFormat="1" ht="21.75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2:15" s="13" customFormat="1" ht="21.75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2:15" s="13" customFormat="1" ht="21.75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2:15" s="13" customFormat="1" ht="21.75" customHeight="1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2:15" s="13" customFormat="1" ht="21.75" customHeight="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2:15" s="13" customFormat="1" ht="21.75" customHeight="1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2:15" s="13" customFormat="1" ht="21.75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2:15" s="13" customFormat="1" ht="21.75" customHeight="1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2:15" s="13" customFormat="1" ht="21.75" customHeight="1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2:15" s="13" customFormat="1" ht="21.75" customHeight="1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2:15" s="13" customFormat="1" ht="21.75" customHeight="1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2:15" s="13" customFormat="1" ht="21.75" customHeight="1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2:15" s="13" customFormat="1" ht="21.75" customHeight="1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2:15" s="13" customFormat="1" ht="21.75" customHeight="1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2:15" s="13" customFormat="1" ht="21.75" customHeight="1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2:15" s="13" customFormat="1" ht="21.75" customHeight="1" x14ac:dyDescent="0.25"/>
    <row r="36" spans="2:15" s="13" customFormat="1" ht="21.75" customHeight="1" x14ac:dyDescent="0.25"/>
    <row r="37" spans="2:15" s="13" customFormat="1" ht="21.75" customHeight="1" x14ac:dyDescent="0.25"/>
    <row r="38" spans="2:15" s="13" customFormat="1" ht="21.75" customHeight="1" x14ac:dyDescent="0.25"/>
    <row r="39" spans="2:15" s="13" customFormat="1" ht="21.75" customHeight="1" x14ac:dyDescent="0.25"/>
    <row r="40" spans="2:15" s="13" customFormat="1" ht="21.75" customHeight="1" x14ac:dyDescent="0.25"/>
    <row r="41" spans="2:15" s="13" customFormat="1" ht="21.75" customHeight="1" x14ac:dyDescent="0.25"/>
    <row r="42" spans="2:15" s="13" customFormat="1" ht="21.75" customHeight="1" x14ac:dyDescent="0.25"/>
    <row r="43" spans="2:15" s="13" customFormat="1" ht="21.75" customHeight="1" x14ac:dyDescent="0.25"/>
    <row r="44" spans="2:15" s="13" customFormat="1" ht="21.75" customHeight="1" x14ac:dyDescent="0.25"/>
    <row r="45" spans="2:15" s="13" customFormat="1" ht="21.75" customHeight="1" x14ac:dyDescent="0.25"/>
    <row r="46" spans="2:15" s="13" customFormat="1" ht="21.75" customHeight="1" x14ac:dyDescent="0.25"/>
    <row r="47" spans="2:15" s="13" customFormat="1" ht="21.75" customHeight="1" x14ac:dyDescent="0.25"/>
    <row r="48" spans="2:15" s="13" customFormat="1" ht="21.75" customHeight="1" x14ac:dyDescent="0.25"/>
    <row r="49" s="13" customFormat="1" ht="21.75" customHeight="1" x14ac:dyDescent="0.25"/>
    <row r="50" s="13" customFormat="1" ht="21.75" customHeight="1" x14ac:dyDescent="0.25"/>
    <row r="51" s="13" customFormat="1" ht="21.75" customHeight="1" x14ac:dyDescent="0.25"/>
    <row r="52" s="13" customFormat="1" ht="21.75" customHeight="1" x14ac:dyDescent="0.25"/>
    <row r="53" s="13" customFormat="1" ht="21.75" customHeight="1" x14ac:dyDescent="0.25"/>
    <row r="54" s="13" customFormat="1" ht="21.75" customHeight="1" x14ac:dyDescent="0.25"/>
    <row r="55" s="13" customFormat="1" ht="21.75" customHeight="1" x14ac:dyDescent="0.25"/>
    <row r="56" s="13" customFormat="1" ht="21.75" customHeight="1" x14ac:dyDescent="0.25"/>
    <row r="57" s="13" customFormat="1" ht="21.75" customHeight="1" x14ac:dyDescent="0.25"/>
    <row r="58" s="13" customFormat="1" ht="21.75" customHeight="1" x14ac:dyDescent="0.25"/>
    <row r="59" s="13" customFormat="1" ht="21.75" customHeight="1" x14ac:dyDescent="0.25"/>
    <row r="60" s="13" customFormat="1" ht="21.75" customHeight="1" x14ac:dyDescent="0.25"/>
    <row r="61" s="13" customFormat="1" ht="21.75" customHeight="1" x14ac:dyDescent="0.25"/>
    <row r="62" s="13" customFormat="1" ht="21.75" customHeight="1" x14ac:dyDescent="0.25"/>
    <row r="63" s="13" customFormat="1" ht="21.75" customHeight="1" x14ac:dyDescent="0.25"/>
    <row r="64" s="13" customFormat="1" ht="21.75" customHeight="1" x14ac:dyDescent="0.25"/>
    <row r="65" s="13" customFormat="1" ht="21.75" customHeight="1" x14ac:dyDescent="0.25"/>
    <row r="66" s="13" customFormat="1" ht="21.75" customHeight="1" x14ac:dyDescent="0.25"/>
    <row r="67" s="13" customFormat="1" ht="21.75" customHeight="1" x14ac:dyDescent="0.25"/>
    <row r="68" s="13" customFormat="1" ht="21.75" customHeight="1" x14ac:dyDescent="0.25"/>
    <row r="69" s="13" customFormat="1" ht="21.75" customHeight="1" x14ac:dyDescent="0.25"/>
    <row r="70" s="13" customFormat="1" ht="21.75" customHeight="1" x14ac:dyDescent="0.25"/>
    <row r="71" s="13" customFormat="1" ht="21.75" customHeight="1" x14ac:dyDescent="0.25"/>
    <row r="72" s="13" customFormat="1" ht="21.75" customHeight="1" x14ac:dyDescent="0.25"/>
    <row r="73" s="13" customFormat="1" ht="21.75" customHeight="1" x14ac:dyDescent="0.25"/>
    <row r="74" s="13" customFormat="1" ht="21.75" customHeight="1" x14ac:dyDescent="0.25"/>
    <row r="75" s="13" customFormat="1" ht="21.75" customHeight="1" x14ac:dyDescent="0.25"/>
    <row r="76" s="13" customFormat="1" ht="21.75" customHeight="1" x14ac:dyDescent="0.25"/>
    <row r="77" s="13" customFormat="1" ht="21.75" customHeight="1" x14ac:dyDescent="0.25"/>
    <row r="78" s="13" customFormat="1" ht="21.75" customHeight="1" x14ac:dyDescent="0.25"/>
    <row r="79" s="13" customFormat="1" ht="21.75" customHeight="1" x14ac:dyDescent="0.25"/>
    <row r="80" s="13" customFormat="1" ht="21.75" customHeight="1" x14ac:dyDescent="0.25"/>
    <row r="81" s="13" customFormat="1" ht="21.75" customHeight="1" x14ac:dyDescent="0.25"/>
    <row r="82" s="13" customFormat="1" ht="21.75" customHeight="1" x14ac:dyDescent="0.25"/>
    <row r="83" s="13" customFormat="1" ht="21.75" customHeight="1" x14ac:dyDescent="0.25"/>
    <row r="84" s="13" customFormat="1" ht="21.75" customHeight="1" x14ac:dyDescent="0.25"/>
    <row r="85" s="13" customFormat="1" ht="21.75" customHeight="1" x14ac:dyDescent="0.25"/>
    <row r="86" s="13" customFormat="1" ht="21.75" customHeight="1" x14ac:dyDescent="0.25"/>
    <row r="87" s="13" customFormat="1" ht="21.75" customHeight="1" x14ac:dyDescent="0.25"/>
    <row r="88" s="13" customFormat="1" ht="21.75" customHeight="1" x14ac:dyDescent="0.25"/>
    <row r="89" s="13" customFormat="1" ht="21.75" customHeight="1" x14ac:dyDescent="0.25"/>
    <row r="90" s="13" customFormat="1" ht="21.75" customHeight="1" x14ac:dyDescent="0.25"/>
    <row r="91" s="13" customFormat="1" ht="21.75" customHeight="1" x14ac:dyDescent="0.25"/>
    <row r="92" s="13" customFormat="1" ht="21.75" customHeight="1" x14ac:dyDescent="0.25"/>
    <row r="93" s="13" customFormat="1" ht="21.75" customHeight="1" x14ac:dyDescent="0.25"/>
    <row r="94" s="13" customFormat="1" ht="21.75" customHeight="1" x14ac:dyDescent="0.25"/>
    <row r="95" s="13" customFormat="1" ht="21.75" customHeight="1" x14ac:dyDescent="0.25"/>
    <row r="96" s="13" customFormat="1" ht="21.75" customHeight="1" x14ac:dyDescent="0.25"/>
    <row r="97" s="13" customFormat="1" ht="21.75" customHeight="1" x14ac:dyDescent="0.25"/>
    <row r="98" s="13" customFormat="1" ht="21.75" customHeight="1" x14ac:dyDescent="0.25"/>
    <row r="99" s="13" customFormat="1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</sheetData>
  <mergeCells count="6">
    <mergeCell ref="G10:I13"/>
    <mergeCell ref="C4:F4"/>
    <mergeCell ref="C5:F7"/>
    <mergeCell ref="G9:I9"/>
    <mergeCell ref="B1:I1"/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BE637"/>
  <sheetViews>
    <sheetView showGridLines="0" zoomScaleNormal="100" workbookViewId="0">
      <selection activeCell="G5" sqref="G5:I6"/>
    </sheetView>
  </sheetViews>
  <sheetFormatPr baseColWidth="10" defaultColWidth="9.140625" defaultRowHeight="15" x14ac:dyDescent="0.25"/>
  <cols>
    <col min="1" max="12" width="14" customWidth="1"/>
    <col min="13" max="13" width="10.85546875" customWidth="1"/>
    <col min="14" max="14" width="14" customWidth="1"/>
    <col min="15" max="57" width="9.140625" style="13"/>
  </cols>
  <sheetData>
    <row r="1" spans="1:57" ht="21.75" customHeight="1" x14ac:dyDescent="0.25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</row>
    <row r="2" spans="1:57" ht="21.75" customHeight="1" x14ac:dyDescent="0.25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</row>
    <row r="3" spans="1:57" s="13" customFormat="1" ht="21.7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</row>
    <row r="4" spans="1:57" ht="21.75" customHeight="1" x14ac:dyDescent="0.25">
      <c r="A4" s="7" t="s">
        <v>26</v>
      </c>
      <c r="B4" s="7"/>
      <c r="C4" s="7"/>
      <c r="D4" s="7" t="s">
        <v>27</v>
      </c>
      <c r="E4" s="7"/>
      <c r="F4" s="7"/>
      <c r="G4" s="7" t="s">
        <v>28</v>
      </c>
      <c r="H4" s="7"/>
      <c r="I4" s="7"/>
      <c r="J4" s="7" t="s">
        <v>29</v>
      </c>
      <c r="K4" s="7"/>
      <c r="L4" s="7"/>
      <c r="M4" s="12"/>
      <c r="N4" s="25" t="s">
        <v>30</v>
      </c>
      <c r="O4" s="25"/>
      <c r="P4" s="25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</row>
    <row r="5" spans="1:57" ht="21.75" customHeight="1" x14ac:dyDescent="0.25">
      <c r="A5" s="8">
        <f>COUNTIF(Inventario!A5:A504,"?*")</f>
        <v>10</v>
      </c>
      <c r="B5" s="8"/>
      <c r="C5" s="8"/>
      <c r="D5" s="8">
        <f>SUMIF(Inventario!A5:A504,"?*",Inventario!I5:I504)</f>
        <v>135</v>
      </c>
      <c r="E5" s="8"/>
      <c r="F5" s="8"/>
      <c r="G5" s="8">
        <f>COUNTIF(Inventario!J5:J504,"Bajo stock")</f>
        <v>0</v>
      </c>
      <c r="H5" s="8"/>
      <c r="I5" s="8"/>
      <c r="J5" s="8">
        <f>COUNTIF(Inventario!J5:J504,"Sin stock")</f>
        <v>1</v>
      </c>
      <c r="K5" s="8"/>
      <c r="L5" s="8"/>
      <c r="M5" s="12"/>
      <c r="N5" s="25"/>
      <c r="O5" s="25"/>
      <c r="P5" s="25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</row>
    <row r="6" spans="1:57" ht="21.7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2"/>
      <c r="N6" s="25"/>
      <c r="O6" s="25"/>
      <c r="P6" s="25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</row>
    <row r="7" spans="1:57" s="13" customFormat="1" ht="21.7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25"/>
      <c r="O7" s="25"/>
      <c r="P7" s="25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</row>
    <row r="8" spans="1:57" ht="21.75" customHeight="1" x14ac:dyDescent="0.25">
      <c r="A8" s="7" t="s">
        <v>31</v>
      </c>
      <c r="B8" s="7"/>
      <c r="C8" s="7"/>
      <c r="D8" s="7" t="s">
        <v>32</v>
      </c>
      <c r="E8" s="7"/>
      <c r="F8" s="7"/>
      <c r="G8" s="7" t="s">
        <v>33</v>
      </c>
      <c r="H8" s="7"/>
      <c r="I8" s="7"/>
      <c r="J8" s="7" t="s">
        <v>34</v>
      </c>
      <c r="K8" s="7"/>
      <c r="L8" s="7"/>
      <c r="M8" s="12"/>
      <c r="N8" s="25"/>
      <c r="O8" s="25"/>
      <c r="P8" s="25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</row>
    <row r="9" spans="1:57" ht="21.75" customHeight="1" x14ac:dyDescent="0.25">
      <c r="A9" s="8">
        <f>SUMIF(Inventario!A5:A504,"?*",Inventario!G5:G504)</f>
        <v>53</v>
      </c>
      <c r="B9" s="8"/>
      <c r="C9" s="8"/>
      <c r="D9" s="8">
        <f>SUMIF(Inventario!A5:A504,"?*",Inventario!H5:H504)</f>
        <v>35</v>
      </c>
      <c r="E9" s="8"/>
      <c r="F9" s="8"/>
      <c r="G9" s="9">
        <f>SUM('Compras Entradas'!G5:G504)</f>
        <v>221900</v>
      </c>
      <c r="H9" s="9"/>
      <c r="I9" s="9"/>
      <c r="J9" s="8">
        <f>COUNTIF(Inventario!J5:J504,"OK")</f>
        <v>9</v>
      </c>
      <c r="K9" s="8"/>
      <c r="L9" s="8"/>
      <c r="M9" s="12"/>
      <c r="N9" s="25"/>
      <c r="O9" s="25"/>
      <c r="P9" s="25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</row>
    <row r="10" spans="1:57" ht="21.75" customHeight="1" x14ac:dyDescent="0.25">
      <c r="A10" s="8"/>
      <c r="B10" s="8"/>
      <c r="C10" s="8"/>
      <c r="D10" s="8"/>
      <c r="E10" s="8"/>
      <c r="F10" s="8"/>
      <c r="G10" s="9"/>
      <c r="H10" s="9"/>
      <c r="I10" s="9"/>
      <c r="J10" s="8"/>
      <c r="K10" s="8"/>
      <c r="L10" s="8"/>
      <c r="M10" s="12"/>
      <c r="N10" s="25"/>
      <c r="O10" s="25"/>
      <c r="P10" s="25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</row>
    <row r="11" spans="1:57" s="13" customFormat="1" ht="21.7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</row>
    <row r="12" spans="1:57" ht="21.75" customHeight="1" x14ac:dyDescent="0.25">
      <c r="A12" s="1" t="s">
        <v>35</v>
      </c>
      <c r="B12" s="1" t="s">
        <v>36</v>
      </c>
      <c r="C12" s="1" t="s">
        <v>9</v>
      </c>
      <c r="D12" s="12"/>
      <c r="E12" s="1" t="s">
        <v>37</v>
      </c>
      <c r="F12" s="1" t="s">
        <v>38</v>
      </c>
      <c r="G12" s="12"/>
      <c r="H12" s="12"/>
      <c r="I12" s="12"/>
      <c r="J12" s="12"/>
      <c r="K12" s="12"/>
      <c r="L12" s="12"/>
      <c r="M12" s="12"/>
      <c r="N12" s="1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</row>
    <row r="13" spans="1:57" ht="21.75" customHeight="1" x14ac:dyDescent="0.25">
      <c r="A13" s="26" t="s">
        <v>39</v>
      </c>
      <c r="B13" s="27">
        <f>SUMIF(Inventario!C5:C504,A13,Inventario!I5:I504)</f>
        <v>63</v>
      </c>
      <c r="C13" s="27">
        <f>COUNTIF(Inventario!C5:C504,A13)</f>
        <v>5</v>
      </c>
      <c r="D13" s="12"/>
      <c r="E13" s="26" t="s">
        <v>40</v>
      </c>
      <c r="F13" s="27">
        <f>SUM(Inventario!G5:G504)</f>
        <v>53</v>
      </c>
      <c r="G13" s="12"/>
      <c r="H13" s="12"/>
      <c r="I13" s="12"/>
      <c r="J13" s="12"/>
      <c r="K13" s="12"/>
      <c r="L13" s="12"/>
      <c r="M13" s="12"/>
      <c r="N13" s="1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</row>
    <row r="14" spans="1:57" ht="21.75" customHeight="1" x14ac:dyDescent="0.25">
      <c r="A14" s="26" t="s">
        <v>41</v>
      </c>
      <c r="B14" s="27">
        <f>SUMIF(Inventario!C5:C504,A14,Inventario!I5:I504)</f>
        <v>25</v>
      </c>
      <c r="C14" s="27">
        <f>COUNTIF(Inventario!C5:C504,A14)</f>
        <v>2</v>
      </c>
      <c r="D14" s="12"/>
      <c r="E14" s="26" t="s">
        <v>42</v>
      </c>
      <c r="F14" s="27">
        <f>SUM(Inventario!H5:H504)</f>
        <v>35</v>
      </c>
      <c r="G14" s="12"/>
      <c r="H14" s="12"/>
      <c r="I14" s="12"/>
      <c r="J14" s="12"/>
      <c r="K14" s="12"/>
      <c r="L14" s="12"/>
      <c r="M14" s="12"/>
      <c r="N14" s="1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</row>
    <row r="15" spans="1:57" ht="21.75" customHeight="1" x14ac:dyDescent="0.25">
      <c r="A15" s="26" t="s">
        <v>43</v>
      </c>
      <c r="B15" s="27">
        <f>SUMIF(Inventario!C5:C504,A15,Inventario!I5:I504)</f>
        <v>47</v>
      </c>
      <c r="C15" s="27">
        <f>COUNTIF(Inventario!C5:C504,A15)</f>
        <v>3</v>
      </c>
      <c r="D15" s="12"/>
      <c r="E15" s="26" t="s">
        <v>44</v>
      </c>
      <c r="F15" s="27">
        <f>SUM(Inventario!I5:I504)</f>
        <v>135</v>
      </c>
      <c r="G15" s="12"/>
      <c r="H15" s="12"/>
      <c r="I15" s="12"/>
      <c r="J15" s="12"/>
      <c r="K15" s="12"/>
      <c r="L15" s="12"/>
      <c r="M15" s="12"/>
      <c r="N15" s="1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</row>
    <row r="16" spans="1:57" ht="21.75" customHeight="1" x14ac:dyDescent="0.25">
      <c r="A16" s="26" t="s">
        <v>45</v>
      </c>
      <c r="B16" s="27">
        <f>SUMIFS(Inventario!I5:I504,Inventario!C5:C504,"&lt;&gt;Anillos",Inventario!C5:C504,"&lt;&gt;Pulseras",Inventario!C5:C504,"&lt;&gt;Pendientes")</f>
        <v>0</v>
      </c>
      <c r="C16" s="27">
        <f>COUNTIFS(Inventario!C5:C504,"&lt;&gt;Anillos",Inventario!C5:C504,"&lt;&gt;Pulseras",Inventario!C5:C504,"&lt;&gt;Pendientes",Inventario!A5:A504,"?*")</f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</row>
    <row r="17" spans="1:57" s="13" customFormat="1" ht="21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</row>
    <row r="18" spans="1:57" ht="21.75" customHeight="1" x14ac:dyDescent="0.25">
      <c r="A18" s="23" t="s">
        <v>46</v>
      </c>
      <c r="B18" s="23"/>
      <c r="C18" s="23"/>
      <c r="D18" s="23"/>
      <c r="E18" s="23"/>
      <c r="F18" s="23"/>
      <c r="G18" s="12"/>
      <c r="H18" s="12"/>
      <c r="I18" s="12"/>
      <c r="J18" s="12"/>
      <c r="K18" s="12"/>
      <c r="L18" s="12"/>
      <c r="M18" s="12"/>
      <c r="N18" s="1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</row>
    <row r="19" spans="1:57" ht="21.75" customHeight="1" x14ac:dyDescent="0.25">
      <c r="A19" s="1" t="s">
        <v>47</v>
      </c>
      <c r="B19" s="1" t="s">
        <v>48</v>
      </c>
      <c r="C19" s="1" t="s">
        <v>49</v>
      </c>
      <c r="D19" s="1" t="s">
        <v>44</v>
      </c>
      <c r="E19" s="1" t="s">
        <v>50</v>
      </c>
      <c r="F19" s="1" t="s">
        <v>51</v>
      </c>
      <c r="G19" s="12"/>
      <c r="H19" s="12"/>
      <c r="I19" s="12"/>
      <c r="J19" s="12"/>
      <c r="K19" s="12"/>
      <c r="L19" s="12"/>
      <c r="M19" s="12"/>
      <c r="N19" s="1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</row>
    <row r="20" spans="1:57" ht="21.75" customHeight="1" x14ac:dyDescent="0.25">
      <c r="A20" s="26" t="str">
        <f>IFERROR(INDEX(Inventario!$A$5:$A$504,MATCH(1,Inventario!$M$5:$M$504,0)),"")</f>
        <v>AN002</v>
      </c>
      <c r="B20" s="26" t="str">
        <f>IFERROR(INDEX(Inventario!$B$5:$B$504,MATCH(1,Inventario!$M$5:$M$504,0)),"")</f>
        <v>Anillo venus plata</v>
      </c>
      <c r="C20" s="27">
        <f>IFERROR(INDEX(Inventario!$E$5:$E$504,MATCH(1,Inventario!$M$5:$M$504,0)),"")</f>
        <v>5</v>
      </c>
      <c r="D20" s="27">
        <f>IFERROR(INDEX(Inventario!$I$5:$I$504,MATCH(1,Inventario!$M$5:$M$504,0)),"")</f>
        <v>0</v>
      </c>
      <c r="E20" s="26" t="str">
        <f>IFERROR(INDEX(Inventario!$J$5:$J$504,MATCH(1,Inventario!$M$5:$M$504,0)),"")</f>
        <v>Sin stock</v>
      </c>
      <c r="F20" s="26" t="str">
        <f>IFERROR(INDEX(Inventario!$K$5:$K$504,MATCH(1,Inventario!$M$5:$M$504,0)),"")</f>
        <v>Comprar urgente</v>
      </c>
      <c r="G20" s="12"/>
      <c r="H20" s="12"/>
      <c r="I20" s="12"/>
      <c r="J20" s="12"/>
      <c r="K20" s="12"/>
      <c r="L20" s="12"/>
      <c r="M20" s="12"/>
      <c r="N20" s="1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</row>
    <row r="21" spans="1:57" ht="21.75" customHeight="1" x14ac:dyDescent="0.25">
      <c r="A21" s="26" t="str">
        <f>IFERROR(INDEX(Inventario!$A$5:$A$504,MATCH(2,Inventario!$M$5:$M$504,0)),"")</f>
        <v/>
      </c>
      <c r="B21" s="26" t="str">
        <f>IFERROR(INDEX(Inventario!$B$5:$B$504,MATCH(2,Inventario!$M$5:$M$504,0)),"")</f>
        <v/>
      </c>
      <c r="C21" s="27" t="str">
        <f>IFERROR(INDEX(Inventario!$E$5:$E$504,MATCH(2,Inventario!$M$5:$M$504,0)),"")</f>
        <v/>
      </c>
      <c r="D21" s="27" t="str">
        <f>IFERROR(INDEX(Inventario!$I$5:$I$504,MATCH(2,Inventario!$M$5:$M$504,0)),"")</f>
        <v/>
      </c>
      <c r="E21" s="26" t="str">
        <f>IFERROR(INDEX(Inventario!$J$5:$J$504,MATCH(2,Inventario!$M$5:$M$504,0)),"")</f>
        <v/>
      </c>
      <c r="F21" s="26" t="str">
        <f>IFERROR(INDEX(Inventario!$K$5:$K$504,MATCH(2,Inventario!$M$5:$M$504,0)),"")</f>
        <v/>
      </c>
      <c r="G21" s="12"/>
      <c r="H21" s="12"/>
      <c r="I21" s="12"/>
      <c r="J21" s="12"/>
      <c r="K21" s="12"/>
      <c r="L21" s="12"/>
      <c r="M21" s="12"/>
      <c r="N21" s="1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</row>
    <row r="22" spans="1:57" ht="21.75" customHeight="1" x14ac:dyDescent="0.25">
      <c r="A22" s="26" t="str">
        <f>IFERROR(INDEX(Inventario!$A$5:$A$504,MATCH(3,Inventario!$M$5:$M$504,0)),"")</f>
        <v/>
      </c>
      <c r="B22" s="26" t="str">
        <f>IFERROR(INDEX(Inventario!$B$5:$B$504,MATCH(3,Inventario!$M$5:$M$504,0)),"")</f>
        <v/>
      </c>
      <c r="C22" s="27" t="str">
        <f>IFERROR(INDEX(Inventario!$E$5:$E$504,MATCH(3,Inventario!$M$5:$M$504,0)),"")</f>
        <v/>
      </c>
      <c r="D22" s="27" t="str">
        <f>IFERROR(INDEX(Inventario!$I$5:$I$504,MATCH(3,Inventario!$M$5:$M$504,0)),"")</f>
        <v/>
      </c>
      <c r="E22" s="26" t="str">
        <f>IFERROR(INDEX(Inventario!$J$5:$J$504,MATCH(3,Inventario!$M$5:$M$504,0)),"")</f>
        <v/>
      </c>
      <c r="F22" s="26" t="str">
        <f>IFERROR(INDEX(Inventario!$K$5:$K$504,MATCH(3,Inventario!$M$5:$M$504,0)),"")</f>
        <v/>
      </c>
      <c r="G22" s="12"/>
      <c r="H22" s="12"/>
      <c r="I22" s="12"/>
      <c r="J22" s="12"/>
      <c r="K22" s="12"/>
      <c r="L22" s="12"/>
      <c r="M22" s="12"/>
      <c r="N22" s="1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</row>
    <row r="23" spans="1:57" ht="21.75" customHeight="1" x14ac:dyDescent="0.25">
      <c r="A23" s="26" t="str">
        <f>IFERROR(INDEX(Inventario!$A$5:$A$504,MATCH(4,Inventario!$M$5:$M$504,0)),"")</f>
        <v/>
      </c>
      <c r="B23" s="26" t="str">
        <f>IFERROR(INDEX(Inventario!$B$5:$B$504,MATCH(4,Inventario!$M$5:$M$504,0)),"")</f>
        <v/>
      </c>
      <c r="C23" s="27" t="str">
        <f>IFERROR(INDEX(Inventario!$E$5:$E$504,MATCH(4,Inventario!$M$5:$M$504,0)),"")</f>
        <v/>
      </c>
      <c r="D23" s="27" t="str">
        <f>IFERROR(INDEX(Inventario!$I$5:$I$504,MATCH(4,Inventario!$M$5:$M$504,0)),"")</f>
        <v/>
      </c>
      <c r="E23" s="26" t="str">
        <f>IFERROR(INDEX(Inventario!$J$5:$J$504,MATCH(4,Inventario!$M$5:$M$504,0)),"")</f>
        <v/>
      </c>
      <c r="F23" s="26" t="str">
        <f>IFERROR(INDEX(Inventario!$K$5:$K$504,MATCH(4,Inventario!$M$5:$M$504,0)),"")</f>
        <v/>
      </c>
      <c r="G23" s="12"/>
      <c r="H23" s="12"/>
      <c r="I23" s="12"/>
      <c r="J23" s="12"/>
      <c r="K23" s="12"/>
      <c r="L23" s="12"/>
      <c r="M23" s="12"/>
      <c r="N23" s="1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</row>
    <row r="24" spans="1:57" ht="21.75" customHeight="1" x14ac:dyDescent="0.25">
      <c r="A24" s="26" t="str">
        <f>IFERROR(INDEX(Inventario!$A$5:$A$504,MATCH(5,Inventario!$M$5:$M$504,0)),"")</f>
        <v/>
      </c>
      <c r="B24" s="26" t="str">
        <f>IFERROR(INDEX(Inventario!$B$5:$B$504,MATCH(5,Inventario!$M$5:$M$504,0)),"")</f>
        <v/>
      </c>
      <c r="C24" s="27" t="str">
        <f>IFERROR(INDEX(Inventario!$E$5:$E$504,MATCH(5,Inventario!$M$5:$M$504,0)),"")</f>
        <v/>
      </c>
      <c r="D24" s="27" t="str">
        <f>IFERROR(INDEX(Inventario!$I$5:$I$504,MATCH(5,Inventario!$M$5:$M$504,0)),"")</f>
        <v/>
      </c>
      <c r="E24" s="26" t="str">
        <f>IFERROR(INDEX(Inventario!$J$5:$J$504,MATCH(5,Inventario!$M$5:$M$504,0)),"")</f>
        <v/>
      </c>
      <c r="F24" s="26" t="str">
        <f>IFERROR(INDEX(Inventario!$K$5:$K$504,MATCH(5,Inventario!$M$5:$M$504,0)),"")</f>
        <v/>
      </c>
      <c r="G24" s="12"/>
      <c r="H24" s="12"/>
      <c r="I24" s="12"/>
      <c r="J24" s="12"/>
      <c r="K24" s="12"/>
      <c r="L24" s="12"/>
      <c r="M24" s="12"/>
      <c r="N24" s="1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</row>
    <row r="25" spans="1:57" ht="21.75" customHeight="1" x14ac:dyDescent="0.25">
      <c r="A25" s="26" t="str">
        <f>IFERROR(INDEX(Inventario!$A$5:$A$504,MATCH(6,Inventario!$M$5:$M$504,0)),"")</f>
        <v/>
      </c>
      <c r="B25" s="26" t="str">
        <f>IFERROR(INDEX(Inventario!$B$5:$B$504,MATCH(6,Inventario!$M$5:$M$504,0)),"")</f>
        <v/>
      </c>
      <c r="C25" s="27" t="str">
        <f>IFERROR(INDEX(Inventario!$E$5:$E$504,MATCH(6,Inventario!$M$5:$M$504,0)),"")</f>
        <v/>
      </c>
      <c r="D25" s="27" t="str">
        <f>IFERROR(INDEX(Inventario!$I$5:$I$504,MATCH(6,Inventario!$M$5:$M$504,0)),"")</f>
        <v/>
      </c>
      <c r="E25" s="26" t="str">
        <f>IFERROR(INDEX(Inventario!$J$5:$J$504,MATCH(6,Inventario!$M$5:$M$504,0)),"")</f>
        <v/>
      </c>
      <c r="F25" s="26" t="str">
        <f>IFERROR(INDEX(Inventario!$K$5:$K$504,MATCH(6,Inventario!$M$5:$M$504,0)),"")</f>
        <v/>
      </c>
      <c r="G25" s="12"/>
      <c r="H25" s="12"/>
      <c r="I25" s="12"/>
      <c r="J25" s="12"/>
      <c r="K25" s="12"/>
      <c r="L25" s="12"/>
      <c r="M25" s="12"/>
      <c r="N25" s="1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</row>
    <row r="26" spans="1:57" ht="21.75" customHeight="1" x14ac:dyDescent="0.25">
      <c r="A26" s="26" t="str">
        <f>IFERROR(INDEX(Inventario!$A$5:$A$504,MATCH(7,Inventario!$M$5:$M$504,0)),"")</f>
        <v/>
      </c>
      <c r="B26" s="26" t="str">
        <f>IFERROR(INDEX(Inventario!$B$5:$B$504,MATCH(7,Inventario!$M$5:$M$504,0)),"")</f>
        <v/>
      </c>
      <c r="C26" s="27" t="str">
        <f>IFERROR(INDEX(Inventario!$E$5:$E$504,MATCH(7,Inventario!$M$5:$M$504,0)),"")</f>
        <v/>
      </c>
      <c r="D26" s="27" t="str">
        <f>IFERROR(INDEX(Inventario!$I$5:$I$504,MATCH(7,Inventario!$M$5:$M$504,0)),"")</f>
        <v/>
      </c>
      <c r="E26" s="26" t="str">
        <f>IFERROR(INDEX(Inventario!$J$5:$J$504,MATCH(7,Inventario!$M$5:$M$504,0)),"")</f>
        <v/>
      </c>
      <c r="F26" s="26" t="str">
        <f>IFERROR(INDEX(Inventario!$K$5:$K$504,MATCH(7,Inventario!$M$5:$M$504,0)),"")</f>
        <v/>
      </c>
      <c r="G26" s="12"/>
      <c r="H26" s="12"/>
      <c r="I26" s="12"/>
      <c r="J26" s="12"/>
      <c r="K26" s="12"/>
      <c r="L26" s="12"/>
      <c r="M26" s="12"/>
      <c r="N26" s="1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</row>
    <row r="27" spans="1:57" ht="21.75" customHeight="1" x14ac:dyDescent="0.25">
      <c r="A27" s="26" t="str">
        <f>IFERROR(INDEX(Inventario!$A$5:$A$504,MATCH(8,Inventario!$M$5:$M$504,0)),"")</f>
        <v/>
      </c>
      <c r="B27" s="26" t="str">
        <f>IFERROR(INDEX(Inventario!$B$5:$B$504,MATCH(8,Inventario!$M$5:$M$504,0)),"")</f>
        <v/>
      </c>
      <c r="C27" s="27" t="str">
        <f>IFERROR(INDEX(Inventario!$E$5:$E$504,MATCH(8,Inventario!$M$5:$M$504,0)),"")</f>
        <v/>
      </c>
      <c r="D27" s="27" t="str">
        <f>IFERROR(INDEX(Inventario!$I$5:$I$504,MATCH(8,Inventario!$M$5:$M$504,0)),"")</f>
        <v/>
      </c>
      <c r="E27" s="26" t="str">
        <f>IFERROR(INDEX(Inventario!$J$5:$J$504,MATCH(8,Inventario!$M$5:$M$504,0)),"")</f>
        <v/>
      </c>
      <c r="F27" s="26" t="str">
        <f>IFERROR(INDEX(Inventario!$K$5:$K$504,MATCH(8,Inventario!$M$5:$M$504,0)),"")</f>
        <v/>
      </c>
      <c r="G27" s="12"/>
      <c r="H27" s="12"/>
      <c r="I27" s="12"/>
      <c r="J27" s="12"/>
      <c r="K27" s="12"/>
      <c r="L27" s="12"/>
      <c r="M27" s="12"/>
      <c r="N27" s="1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</row>
    <row r="28" spans="1:57" ht="21.75" customHeight="1" x14ac:dyDescent="0.25">
      <c r="A28" s="26" t="str">
        <f>IFERROR(INDEX(Inventario!$A$5:$A$504,MATCH(9,Inventario!$M$5:$M$504,0)),"")</f>
        <v/>
      </c>
      <c r="B28" s="26" t="str">
        <f>IFERROR(INDEX(Inventario!$B$5:$B$504,MATCH(9,Inventario!$M$5:$M$504,0)),"")</f>
        <v/>
      </c>
      <c r="C28" s="27" t="str">
        <f>IFERROR(INDEX(Inventario!$E$5:$E$504,MATCH(9,Inventario!$M$5:$M$504,0)),"")</f>
        <v/>
      </c>
      <c r="D28" s="27" t="str">
        <f>IFERROR(INDEX(Inventario!$I$5:$I$504,MATCH(9,Inventario!$M$5:$M$504,0)),"")</f>
        <v/>
      </c>
      <c r="E28" s="26" t="str">
        <f>IFERROR(INDEX(Inventario!$J$5:$J$504,MATCH(9,Inventario!$M$5:$M$504,0)),"")</f>
        <v/>
      </c>
      <c r="F28" s="26" t="str">
        <f>IFERROR(INDEX(Inventario!$K$5:$K$504,MATCH(9,Inventario!$M$5:$M$504,0)),"")</f>
        <v/>
      </c>
      <c r="G28" s="12"/>
      <c r="H28" s="12"/>
      <c r="I28" s="12"/>
      <c r="J28" s="12"/>
      <c r="K28" s="12"/>
      <c r="L28" s="12"/>
      <c r="M28" s="12"/>
      <c r="N28" s="1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</row>
    <row r="29" spans="1:57" ht="21.75" customHeight="1" x14ac:dyDescent="0.25">
      <c r="A29" s="26" t="str">
        <f>IFERROR(INDEX(Inventario!$A$5:$A$504,MATCH(10,Inventario!$M$5:$M$504,0)),"")</f>
        <v/>
      </c>
      <c r="B29" s="26" t="str">
        <f>IFERROR(INDEX(Inventario!$B$5:$B$504,MATCH(10,Inventario!$M$5:$M$504,0)),"")</f>
        <v/>
      </c>
      <c r="C29" s="27" t="str">
        <f>IFERROR(INDEX(Inventario!$E$5:$E$504,MATCH(10,Inventario!$M$5:$M$504,0)),"")</f>
        <v/>
      </c>
      <c r="D29" s="27" t="str">
        <f>IFERROR(INDEX(Inventario!$I$5:$I$504,MATCH(10,Inventario!$M$5:$M$504,0)),"")</f>
        <v/>
      </c>
      <c r="E29" s="26" t="str">
        <f>IFERROR(INDEX(Inventario!$J$5:$J$504,MATCH(10,Inventario!$M$5:$M$504,0)),"")</f>
        <v/>
      </c>
      <c r="F29" s="26" t="str">
        <f>IFERROR(INDEX(Inventario!$K$5:$K$504,MATCH(10,Inventario!$M$5:$M$504,0)),"")</f>
        <v/>
      </c>
      <c r="G29" s="12"/>
      <c r="H29" s="12"/>
      <c r="I29" s="12"/>
      <c r="J29" s="12"/>
      <c r="K29" s="12"/>
      <c r="L29" s="12"/>
      <c r="M29" s="12"/>
      <c r="N29" s="1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</row>
    <row r="30" spans="1:57" ht="21.75" customHeight="1" x14ac:dyDescent="0.25">
      <c r="A30" s="26" t="str">
        <f>IFERROR(INDEX(Inventario!$A$5:$A$504,MATCH(11,Inventario!$M$5:$M$504,0)),"")</f>
        <v/>
      </c>
      <c r="B30" s="26" t="str">
        <f>IFERROR(INDEX(Inventario!$B$5:$B$504,MATCH(11,Inventario!$M$5:$M$504,0)),"")</f>
        <v/>
      </c>
      <c r="C30" s="27" t="str">
        <f>IFERROR(INDEX(Inventario!$E$5:$E$504,MATCH(11,Inventario!$M$5:$M$504,0)),"")</f>
        <v/>
      </c>
      <c r="D30" s="27" t="str">
        <f>IFERROR(INDEX(Inventario!$I$5:$I$504,MATCH(11,Inventario!$M$5:$M$504,0)),"")</f>
        <v/>
      </c>
      <c r="E30" s="26" t="str">
        <f>IFERROR(INDEX(Inventario!$J$5:$J$504,MATCH(11,Inventario!$M$5:$M$504,0)),"")</f>
        <v/>
      </c>
      <c r="F30" s="26" t="str">
        <f>IFERROR(INDEX(Inventario!$K$5:$K$504,MATCH(11,Inventario!$M$5:$M$504,0)),"")</f>
        <v/>
      </c>
      <c r="G30" s="12"/>
      <c r="H30" s="12"/>
      <c r="I30" s="12"/>
      <c r="J30" s="12"/>
      <c r="K30" s="12"/>
      <c r="L30" s="12"/>
      <c r="M30" s="12"/>
      <c r="N30" s="1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</row>
    <row r="31" spans="1:57" ht="21.75" customHeight="1" x14ac:dyDescent="0.25">
      <c r="A31" s="26" t="str">
        <f>IFERROR(INDEX(Inventario!$A$5:$A$504,MATCH(12,Inventario!$M$5:$M$504,0)),"")</f>
        <v/>
      </c>
      <c r="B31" s="26" t="str">
        <f>IFERROR(INDEX(Inventario!$B$5:$B$504,MATCH(12,Inventario!$M$5:$M$504,0)),"")</f>
        <v/>
      </c>
      <c r="C31" s="27" t="str">
        <f>IFERROR(INDEX(Inventario!$E$5:$E$504,MATCH(12,Inventario!$M$5:$M$504,0)),"")</f>
        <v/>
      </c>
      <c r="D31" s="27" t="str">
        <f>IFERROR(INDEX(Inventario!$I$5:$I$504,MATCH(12,Inventario!$M$5:$M$504,0)),"")</f>
        <v/>
      </c>
      <c r="E31" s="26" t="str">
        <f>IFERROR(INDEX(Inventario!$J$5:$J$504,MATCH(12,Inventario!$M$5:$M$504,0)),"")</f>
        <v/>
      </c>
      <c r="F31" s="26" t="str">
        <f>IFERROR(INDEX(Inventario!$K$5:$K$504,MATCH(12,Inventario!$M$5:$M$504,0)),"")</f>
        <v/>
      </c>
      <c r="G31" s="12"/>
      <c r="H31" s="12"/>
      <c r="I31" s="12"/>
      <c r="J31" s="12"/>
      <c r="K31" s="12"/>
      <c r="L31" s="12"/>
      <c r="M31" s="12"/>
      <c r="N31" s="1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</row>
    <row r="32" spans="1:57" s="13" customFormat="1" ht="21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</row>
    <row r="33" spans="1:57" s="13" customFormat="1" ht="21.75" customHeight="1" x14ac:dyDescent="0.25">
      <c r="A33" s="2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</row>
    <row r="34" spans="1:57" s="13" customFormat="1" ht="21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</row>
    <row r="35" spans="1:57" s="13" customFormat="1" ht="21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</row>
    <row r="36" spans="1:57" s="13" customFormat="1" ht="21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</row>
    <row r="37" spans="1:57" s="13" customFormat="1" ht="21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</row>
    <row r="38" spans="1:57" s="13" customFormat="1" ht="21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</row>
    <row r="39" spans="1:57" s="13" customFormat="1" ht="21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</row>
    <row r="40" spans="1:57" s="13" customFormat="1" ht="21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</row>
    <row r="41" spans="1:57" s="13" customFormat="1" ht="21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</row>
    <row r="42" spans="1:57" s="13" customFormat="1" ht="21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</row>
    <row r="43" spans="1:57" s="13" customFormat="1" ht="21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</row>
    <row r="44" spans="1:57" s="13" customFormat="1" ht="21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</row>
    <row r="45" spans="1:57" s="13" customFormat="1" ht="21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</row>
    <row r="46" spans="1:57" s="13" customFormat="1" ht="21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</row>
    <row r="47" spans="1:57" s="13" customFormat="1" ht="21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</row>
    <row r="48" spans="1:57" s="13" customFormat="1" ht="21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</row>
    <row r="49" spans="1:57" s="13" customFormat="1" ht="21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</row>
    <row r="50" spans="1:57" s="13" customFormat="1" ht="21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</row>
    <row r="51" spans="1:57" s="13" customFormat="1" ht="21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</row>
    <row r="52" spans="1:57" s="13" customFormat="1" ht="21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</row>
    <row r="53" spans="1:57" s="13" customFormat="1" ht="21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</row>
    <row r="54" spans="1:57" s="13" customFormat="1" ht="21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</row>
    <row r="55" spans="1:57" s="13" customFormat="1" ht="21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</row>
    <row r="56" spans="1:57" s="13" customFormat="1" ht="21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</row>
    <row r="57" spans="1:57" s="13" customFormat="1" ht="21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</row>
    <row r="58" spans="1:57" s="13" customFormat="1" ht="21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</row>
    <row r="59" spans="1:57" s="13" customFormat="1" ht="21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</row>
    <row r="60" spans="1:57" s="13" customFormat="1" ht="21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</row>
    <row r="61" spans="1:57" s="13" customFormat="1" ht="21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</row>
    <row r="62" spans="1:57" s="13" customFormat="1" ht="21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</row>
    <row r="63" spans="1:57" s="13" customFormat="1" ht="21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</row>
    <row r="64" spans="1:57" s="13" customFormat="1" ht="21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</row>
    <row r="65" spans="1:57" s="13" customFormat="1" ht="21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</row>
    <row r="66" spans="1:57" s="13" customFormat="1" ht="21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</row>
    <row r="67" spans="1:57" s="13" customFormat="1" ht="21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</row>
    <row r="68" spans="1:57" s="13" customFormat="1" ht="21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</row>
    <row r="69" spans="1:57" s="13" customFormat="1" ht="21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</row>
    <row r="70" spans="1:57" s="13" customFormat="1" ht="21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</row>
    <row r="71" spans="1:57" s="13" customFormat="1" ht="21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</row>
    <row r="72" spans="1:57" s="13" customFormat="1" ht="21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</row>
    <row r="73" spans="1:57" s="13" customFormat="1" ht="21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</row>
    <row r="74" spans="1:57" s="13" customFormat="1" ht="21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</row>
    <row r="75" spans="1:57" s="13" customFormat="1" ht="21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</row>
    <row r="76" spans="1:57" s="13" customFormat="1" ht="21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</row>
    <row r="77" spans="1:57" s="13" customFormat="1" ht="21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</row>
    <row r="78" spans="1:57" s="13" customFormat="1" ht="21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</row>
    <row r="79" spans="1:57" s="13" customFormat="1" ht="21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</row>
    <row r="80" spans="1:57" s="13" customFormat="1" ht="21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</row>
    <row r="81" spans="1:57" s="13" customFormat="1" ht="21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</row>
    <row r="82" spans="1:57" s="13" customFormat="1" ht="21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</row>
    <row r="83" spans="1:57" s="13" customFormat="1" ht="21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</row>
    <row r="84" spans="1:57" s="13" customFormat="1" ht="21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</row>
    <row r="85" spans="1:57" s="13" customFormat="1" ht="21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</row>
    <row r="86" spans="1:57" s="13" customFormat="1" ht="21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</row>
    <row r="87" spans="1:57" s="13" customFormat="1" ht="21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</row>
    <row r="88" spans="1:57" s="13" customFormat="1" ht="21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</row>
    <row r="89" spans="1:57" s="13" customFormat="1" ht="21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</row>
    <row r="90" spans="1:57" s="13" customFormat="1" ht="21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</row>
    <row r="91" spans="1:57" s="13" customFormat="1" ht="21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</row>
    <row r="92" spans="1:57" s="13" customFormat="1" ht="21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</row>
    <row r="93" spans="1:57" s="13" customFormat="1" ht="21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</row>
    <row r="94" spans="1:57" s="13" customFormat="1" ht="21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</row>
    <row r="95" spans="1:57" s="13" customFormat="1" ht="21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</row>
    <row r="96" spans="1:57" s="13" customFormat="1" ht="21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</row>
    <row r="97" spans="1:57" s="13" customFormat="1" ht="21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</row>
    <row r="98" spans="1:57" s="13" customFormat="1" ht="21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</row>
    <row r="99" spans="1:57" s="13" customFormat="1" ht="21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</row>
    <row r="100" spans="1:57" s="13" customFormat="1" ht="21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</row>
    <row r="101" spans="1:57" s="13" customFormat="1" ht="21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</row>
    <row r="102" spans="1:57" s="13" customFormat="1" ht="21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</row>
    <row r="103" spans="1:57" s="13" customFormat="1" ht="21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</row>
    <row r="104" spans="1:57" s="13" customFormat="1" ht="21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</row>
    <row r="105" spans="1:57" s="13" customFormat="1" ht="21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</row>
    <row r="106" spans="1:57" s="13" customFormat="1" ht="21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</row>
    <row r="107" spans="1:57" s="13" customFormat="1" ht="21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</row>
    <row r="108" spans="1:57" s="13" customFormat="1" ht="21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</row>
    <row r="109" spans="1:57" s="13" customFormat="1" ht="21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</row>
    <row r="110" spans="1:57" s="13" customFormat="1" ht="21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</row>
    <row r="111" spans="1:57" s="13" customFormat="1" ht="21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</row>
    <row r="112" spans="1:57" s="13" customFormat="1" ht="21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</row>
    <row r="113" spans="1:57" s="13" customFormat="1" ht="21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</row>
    <row r="114" spans="1:57" s="13" customFormat="1" ht="21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</row>
    <row r="115" spans="1:57" s="13" customFormat="1" ht="21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</row>
    <row r="116" spans="1:57" s="13" customFormat="1" ht="21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</row>
    <row r="117" spans="1:57" s="13" customFormat="1" ht="21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</row>
    <row r="118" spans="1:57" s="13" customFormat="1" ht="21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</row>
    <row r="119" spans="1:57" s="13" customFormat="1" ht="21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</row>
    <row r="120" spans="1:57" s="13" customFormat="1" ht="21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</row>
    <row r="121" spans="1:57" s="13" customFormat="1" ht="21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</row>
    <row r="122" spans="1:57" s="13" customFormat="1" ht="21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</row>
    <row r="123" spans="1:57" s="13" customFormat="1" ht="21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</row>
    <row r="124" spans="1:57" s="13" customFormat="1" ht="21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</row>
    <row r="125" spans="1:57" s="13" customFormat="1" ht="21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</row>
    <row r="126" spans="1:57" s="13" customFormat="1" ht="21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</row>
    <row r="127" spans="1:57" s="13" customFormat="1" ht="21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</row>
    <row r="128" spans="1:57" s="13" customFormat="1" ht="21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</row>
    <row r="129" spans="1:57" s="13" customFormat="1" ht="21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</row>
    <row r="130" spans="1:57" s="13" customFormat="1" ht="21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</row>
    <row r="131" spans="1:57" s="13" customFormat="1" ht="21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</row>
    <row r="132" spans="1:57" s="13" customFormat="1" ht="21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</row>
    <row r="133" spans="1:57" s="13" customFormat="1" ht="21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</row>
    <row r="134" spans="1:57" s="13" customFormat="1" ht="21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</row>
    <row r="135" spans="1:57" s="13" customFormat="1" ht="21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</row>
    <row r="136" spans="1:57" s="13" customFormat="1" ht="21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</row>
    <row r="137" spans="1:57" s="13" customFormat="1" ht="21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</row>
    <row r="138" spans="1:57" s="13" customFormat="1" ht="21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</row>
    <row r="139" spans="1:57" s="13" customFormat="1" ht="21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</row>
    <row r="140" spans="1:57" s="13" customFormat="1" ht="21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</row>
    <row r="141" spans="1:57" s="13" customFormat="1" ht="21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</row>
    <row r="142" spans="1:57" s="13" customFormat="1" ht="21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</row>
    <row r="143" spans="1:57" s="13" customFormat="1" ht="21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</row>
    <row r="144" spans="1:57" s="13" customFormat="1" ht="21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</row>
    <row r="145" spans="1:57" s="13" customFormat="1" ht="21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</row>
    <row r="146" spans="1:57" s="13" customFormat="1" ht="21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</row>
    <row r="147" spans="1:57" s="13" customFormat="1" ht="21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</row>
    <row r="148" spans="1:57" s="13" customFormat="1" ht="21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</row>
    <row r="149" spans="1:57" s="13" customFormat="1" ht="21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</row>
    <row r="150" spans="1:57" s="13" customFormat="1" ht="21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</row>
    <row r="151" spans="1:57" s="13" customFormat="1" ht="21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</row>
    <row r="152" spans="1:57" s="13" customFormat="1" ht="21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</row>
    <row r="153" spans="1:57" s="13" customFormat="1" ht="21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</row>
    <row r="154" spans="1:57" s="13" customFormat="1" ht="21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</row>
    <row r="155" spans="1:57" s="13" customFormat="1" ht="21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</row>
    <row r="156" spans="1:57" s="13" customFormat="1" ht="21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</row>
    <row r="157" spans="1:57" s="13" customFormat="1" ht="21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</row>
    <row r="158" spans="1:57" s="13" customFormat="1" ht="21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</row>
    <row r="159" spans="1:57" s="13" customFormat="1" ht="21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</row>
    <row r="160" spans="1:57" s="13" customFormat="1" ht="21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</row>
    <row r="161" spans="1:57" s="13" customFormat="1" ht="21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</row>
    <row r="162" spans="1:57" s="13" customFormat="1" ht="21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</row>
    <row r="163" spans="1:57" s="13" customFormat="1" ht="21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</row>
    <row r="164" spans="1:57" s="13" customFormat="1" ht="21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</row>
    <row r="165" spans="1:57" s="13" customFormat="1" ht="21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</row>
    <row r="166" spans="1:57" s="13" customFormat="1" ht="21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</row>
    <row r="167" spans="1:57" s="13" customFormat="1" ht="21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</row>
    <row r="168" spans="1:57" s="13" customFormat="1" ht="21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</row>
    <row r="169" spans="1:57" s="13" customFormat="1" ht="21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</row>
    <row r="170" spans="1:57" s="13" customFormat="1" ht="21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</row>
    <row r="171" spans="1:57" s="13" customFormat="1" ht="21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</row>
    <row r="172" spans="1:57" s="13" customFormat="1" ht="21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</row>
    <row r="173" spans="1:57" s="13" customFormat="1" ht="21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</row>
    <row r="174" spans="1:57" s="13" customFormat="1" ht="21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</row>
    <row r="175" spans="1:57" s="13" customFormat="1" ht="21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</row>
    <row r="176" spans="1:57" s="13" customFormat="1" ht="21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</row>
    <row r="177" spans="1:57" s="13" customFormat="1" ht="21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</row>
    <row r="178" spans="1:57" s="13" customFormat="1" ht="21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</row>
    <row r="179" spans="1:57" s="13" customFormat="1" ht="21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</row>
    <row r="180" spans="1:57" s="13" customFormat="1" ht="21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</row>
    <row r="181" spans="1:57" s="13" customFormat="1" ht="21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</row>
    <row r="182" spans="1:57" s="13" customFormat="1" ht="21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</row>
    <row r="183" spans="1:57" s="13" customFormat="1" ht="21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</row>
    <row r="184" spans="1:57" s="13" customFormat="1" ht="21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</row>
    <row r="185" spans="1:57" s="13" customFormat="1" ht="21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</row>
    <row r="186" spans="1:57" s="13" customFormat="1" ht="21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</row>
    <row r="187" spans="1:57" s="13" customFormat="1" ht="21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</row>
    <row r="188" spans="1:57" s="13" customFormat="1" ht="21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</row>
    <row r="189" spans="1:57" s="13" customFormat="1" ht="21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</row>
    <row r="190" spans="1:57" s="13" customFormat="1" ht="21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</row>
    <row r="191" spans="1:57" s="13" customFormat="1" ht="21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</row>
    <row r="192" spans="1:57" s="13" customFormat="1" ht="21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</row>
    <row r="193" spans="1:57" s="13" customFormat="1" ht="21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</row>
    <row r="194" spans="1:57" s="13" customFormat="1" ht="21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</row>
    <row r="195" spans="1:57" s="13" customFormat="1" ht="21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</row>
    <row r="196" spans="1:57" s="13" customFormat="1" ht="21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</row>
    <row r="197" spans="1:57" s="13" customFormat="1" ht="21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</row>
    <row r="198" spans="1:57" s="13" customFormat="1" ht="21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</row>
    <row r="199" spans="1:57" s="13" customFormat="1" ht="21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</row>
    <row r="200" spans="1:57" s="13" customFormat="1" ht="21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</row>
    <row r="201" spans="1:57" s="13" customFormat="1" ht="21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</row>
    <row r="202" spans="1:57" s="13" customFormat="1" ht="21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</row>
    <row r="203" spans="1:57" s="13" customFormat="1" ht="21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</row>
    <row r="204" spans="1:57" s="13" customFormat="1" ht="21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</row>
    <row r="205" spans="1:57" s="13" customFormat="1" ht="21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</row>
    <row r="206" spans="1:57" s="13" customFormat="1" ht="21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</row>
    <row r="207" spans="1:57" s="13" customFormat="1" ht="21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</row>
    <row r="208" spans="1:57" s="13" customFormat="1" ht="21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</row>
    <row r="209" spans="1:57" s="13" customFormat="1" ht="21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</row>
    <row r="210" spans="1:57" s="13" customFormat="1" ht="21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</row>
    <row r="211" spans="1:57" s="13" customFormat="1" ht="21.75" customHeight="1" x14ac:dyDescent="0.25"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</row>
    <row r="212" spans="1:57" s="13" customFormat="1" ht="21.75" customHeight="1" x14ac:dyDescent="0.25"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</row>
    <row r="213" spans="1:57" s="13" customFormat="1" ht="21.75" customHeight="1" x14ac:dyDescent="0.25"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</row>
    <row r="214" spans="1:57" s="13" customFormat="1" ht="21.75" customHeight="1" x14ac:dyDescent="0.25"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</row>
    <row r="215" spans="1:57" s="13" customFormat="1" ht="21.75" customHeight="1" x14ac:dyDescent="0.25"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</row>
    <row r="216" spans="1:57" s="13" customFormat="1" ht="21.75" customHeight="1" x14ac:dyDescent="0.25"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</row>
    <row r="217" spans="1:57" s="13" customFormat="1" ht="21.75" customHeight="1" x14ac:dyDescent="0.25"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</row>
    <row r="218" spans="1:57" s="13" customFormat="1" ht="21.75" customHeight="1" x14ac:dyDescent="0.25"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</row>
    <row r="219" spans="1:57" s="13" customFormat="1" ht="21.75" customHeight="1" x14ac:dyDescent="0.25"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</row>
    <row r="220" spans="1:57" s="13" customFormat="1" ht="21.75" customHeight="1" x14ac:dyDescent="0.25"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</row>
    <row r="221" spans="1:57" s="13" customFormat="1" ht="21.75" customHeight="1" x14ac:dyDescent="0.25"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</row>
    <row r="222" spans="1:57" s="13" customFormat="1" ht="21.75" customHeight="1" x14ac:dyDescent="0.25"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</row>
    <row r="223" spans="1:57" s="13" customFormat="1" ht="21.75" customHeight="1" x14ac:dyDescent="0.25"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</row>
    <row r="224" spans="1:57" s="13" customFormat="1" ht="21.75" customHeight="1" x14ac:dyDescent="0.25"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</row>
    <row r="225" spans="15:57" s="13" customFormat="1" ht="21.75" customHeight="1" x14ac:dyDescent="0.25"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</row>
    <row r="226" spans="15:57" s="13" customFormat="1" ht="21.75" customHeight="1" x14ac:dyDescent="0.25"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</row>
    <row r="227" spans="15:57" s="13" customFormat="1" ht="21.75" customHeight="1" x14ac:dyDescent="0.25"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</row>
    <row r="228" spans="15:57" s="13" customFormat="1" ht="21.75" customHeight="1" x14ac:dyDescent="0.25"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</row>
    <row r="229" spans="15:57" s="13" customFormat="1" ht="21.75" customHeight="1" x14ac:dyDescent="0.25"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</row>
    <row r="230" spans="15:57" s="13" customFormat="1" ht="21.75" customHeight="1" x14ac:dyDescent="0.25"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</row>
    <row r="231" spans="15:57" s="13" customFormat="1" ht="21.75" customHeight="1" x14ac:dyDescent="0.25"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</row>
    <row r="232" spans="15:57" s="13" customFormat="1" ht="21.75" customHeight="1" x14ac:dyDescent="0.25"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</row>
    <row r="233" spans="15:57" s="13" customFormat="1" ht="21.75" customHeight="1" x14ac:dyDescent="0.25"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</row>
    <row r="234" spans="15:57" s="13" customFormat="1" ht="21.75" customHeight="1" x14ac:dyDescent="0.25"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</row>
    <row r="235" spans="15:57" s="13" customFormat="1" ht="21.75" customHeight="1" x14ac:dyDescent="0.25"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</row>
    <row r="236" spans="15:57" s="13" customFormat="1" ht="21.75" customHeight="1" x14ac:dyDescent="0.25"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</row>
    <row r="237" spans="15:57" s="13" customFormat="1" ht="21.75" customHeight="1" x14ac:dyDescent="0.25"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</row>
    <row r="238" spans="15:57" s="13" customFormat="1" ht="21.75" customHeight="1" x14ac:dyDescent="0.25"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</row>
    <row r="239" spans="15:57" s="13" customFormat="1" ht="21.75" customHeight="1" x14ac:dyDescent="0.25"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</row>
    <row r="240" spans="15:57" s="13" customFormat="1" ht="21.75" customHeight="1" x14ac:dyDescent="0.25"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</row>
    <row r="241" spans="15:57" s="13" customFormat="1" ht="21.75" customHeight="1" x14ac:dyDescent="0.25"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</row>
    <row r="242" spans="15:57" s="13" customFormat="1" ht="21.75" customHeight="1" x14ac:dyDescent="0.25"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</row>
    <row r="243" spans="15:57" s="13" customFormat="1" ht="21.75" customHeight="1" x14ac:dyDescent="0.25"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</row>
    <row r="244" spans="15:57" s="13" customFormat="1" ht="21.75" customHeight="1" x14ac:dyDescent="0.25"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</row>
    <row r="245" spans="15:57" s="13" customFormat="1" ht="21.75" customHeight="1" x14ac:dyDescent="0.25"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</row>
    <row r="246" spans="15:57" s="13" customFormat="1" ht="21.75" customHeight="1" x14ac:dyDescent="0.25"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</row>
    <row r="247" spans="15:57" s="13" customFormat="1" ht="21.75" customHeight="1" x14ac:dyDescent="0.25"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</row>
    <row r="248" spans="15:57" s="13" customFormat="1" ht="21.75" customHeight="1" x14ac:dyDescent="0.25"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</row>
    <row r="249" spans="15:57" s="13" customFormat="1" ht="21.75" customHeight="1" x14ac:dyDescent="0.25"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</row>
    <row r="250" spans="15:57" s="13" customFormat="1" ht="21.75" customHeight="1" x14ac:dyDescent="0.25"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</row>
    <row r="251" spans="15:57" s="13" customFormat="1" ht="21.75" customHeight="1" x14ac:dyDescent="0.25"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</row>
    <row r="252" spans="15:57" s="13" customFormat="1" ht="21.75" customHeight="1" x14ac:dyDescent="0.25"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</row>
    <row r="253" spans="15:57" s="13" customFormat="1" ht="21.75" customHeight="1" x14ac:dyDescent="0.25"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</row>
    <row r="254" spans="15:57" s="13" customFormat="1" ht="21.75" customHeight="1" x14ac:dyDescent="0.25"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</row>
    <row r="255" spans="15:57" s="13" customFormat="1" ht="21.75" customHeight="1" x14ac:dyDescent="0.25"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</row>
    <row r="256" spans="15:57" s="13" customFormat="1" ht="21.75" customHeight="1" x14ac:dyDescent="0.25"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</row>
    <row r="257" spans="15:57" s="13" customFormat="1" ht="21.75" customHeight="1" x14ac:dyDescent="0.25"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</row>
    <row r="258" spans="15:57" s="13" customFormat="1" ht="21.75" customHeight="1" x14ac:dyDescent="0.25"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</row>
    <row r="259" spans="15:57" s="13" customFormat="1" ht="21.75" customHeight="1" x14ac:dyDescent="0.25"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</row>
    <row r="260" spans="15:57" s="13" customFormat="1" ht="21.75" customHeight="1" x14ac:dyDescent="0.25"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</row>
    <row r="261" spans="15:57" s="13" customFormat="1" ht="21.75" customHeight="1" x14ac:dyDescent="0.25"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</row>
    <row r="262" spans="15:57" s="13" customFormat="1" ht="21.75" customHeight="1" x14ac:dyDescent="0.25"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</row>
    <row r="263" spans="15:57" s="13" customFormat="1" ht="21.75" customHeight="1" x14ac:dyDescent="0.25"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</row>
    <row r="264" spans="15:57" s="13" customFormat="1" ht="21.75" customHeight="1" x14ac:dyDescent="0.25"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</row>
    <row r="265" spans="15:57" s="13" customFormat="1" ht="21.75" customHeight="1" x14ac:dyDescent="0.25"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</row>
    <row r="266" spans="15:57" s="13" customFormat="1" ht="21.75" customHeight="1" x14ac:dyDescent="0.25"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</row>
    <row r="267" spans="15:57" s="13" customFormat="1" ht="21.75" customHeight="1" x14ac:dyDescent="0.25"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</row>
    <row r="268" spans="15:57" s="13" customFormat="1" ht="21.75" customHeight="1" x14ac:dyDescent="0.25"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</row>
    <row r="269" spans="15:57" s="13" customFormat="1" ht="21.75" customHeight="1" x14ac:dyDescent="0.25"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</row>
    <row r="270" spans="15:57" s="13" customFormat="1" ht="21.75" customHeight="1" x14ac:dyDescent="0.25"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</row>
    <row r="271" spans="15:57" s="13" customFormat="1" ht="21.75" customHeight="1" x14ac:dyDescent="0.25"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</row>
    <row r="272" spans="15:57" s="13" customFormat="1" ht="21.75" customHeight="1" x14ac:dyDescent="0.25"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</row>
    <row r="273" spans="15:57" s="13" customFormat="1" ht="21.75" customHeight="1" x14ac:dyDescent="0.25"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</row>
    <row r="274" spans="15:57" s="13" customFormat="1" ht="21.75" customHeight="1" x14ac:dyDescent="0.25"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</row>
    <row r="275" spans="15:57" s="13" customFormat="1" ht="21.75" customHeight="1" x14ac:dyDescent="0.25"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</row>
    <row r="276" spans="15:57" s="13" customFormat="1" ht="21.75" customHeight="1" x14ac:dyDescent="0.25"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</row>
    <row r="277" spans="15:57" s="13" customFormat="1" ht="21.75" customHeight="1" x14ac:dyDescent="0.25"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</row>
    <row r="278" spans="15:57" s="13" customFormat="1" ht="21.75" customHeight="1" x14ac:dyDescent="0.25"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</row>
    <row r="279" spans="15:57" s="13" customFormat="1" ht="21.75" customHeight="1" x14ac:dyDescent="0.25"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</row>
    <row r="280" spans="15:57" s="13" customFormat="1" ht="21.75" customHeight="1" x14ac:dyDescent="0.25"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</row>
    <row r="281" spans="15:57" s="13" customFormat="1" ht="21.75" customHeight="1" x14ac:dyDescent="0.25"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</row>
    <row r="282" spans="15:57" s="13" customFormat="1" ht="21.75" customHeight="1" x14ac:dyDescent="0.25"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</row>
    <row r="283" spans="15:57" s="13" customFormat="1" ht="21.75" customHeight="1" x14ac:dyDescent="0.25"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</row>
    <row r="284" spans="15:57" s="13" customFormat="1" ht="21.75" customHeight="1" x14ac:dyDescent="0.25"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</row>
    <row r="285" spans="15:57" s="13" customFormat="1" ht="21.75" customHeight="1" x14ac:dyDescent="0.25"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</row>
    <row r="286" spans="15:57" s="13" customFormat="1" ht="21.75" customHeight="1" x14ac:dyDescent="0.25"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</row>
    <row r="287" spans="15:57" s="13" customFormat="1" ht="21.75" customHeight="1" x14ac:dyDescent="0.25"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</row>
    <row r="288" spans="15:57" s="13" customFormat="1" ht="21.75" customHeight="1" x14ac:dyDescent="0.25"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</row>
    <row r="289" spans="15:57" s="13" customFormat="1" ht="21.75" customHeight="1" x14ac:dyDescent="0.25"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</row>
    <row r="290" spans="15:57" s="13" customFormat="1" ht="21.75" customHeight="1" x14ac:dyDescent="0.25"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</row>
    <row r="291" spans="15:57" s="13" customFormat="1" ht="21.75" customHeight="1" x14ac:dyDescent="0.25"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</row>
    <row r="292" spans="15:57" s="13" customFormat="1" ht="21.75" customHeight="1" x14ac:dyDescent="0.25"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</row>
    <row r="293" spans="15:57" s="13" customFormat="1" ht="21.75" customHeight="1" x14ac:dyDescent="0.25"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</row>
    <row r="294" spans="15:57" s="13" customFormat="1" ht="21.75" customHeight="1" x14ac:dyDescent="0.25"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</row>
    <row r="295" spans="15:57" s="13" customFormat="1" ht="21.75" customHeight="1" x14ac:dyDescent="0.25"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</row>
    <row r="296" spans="15:57" s="13" customFormat="1" ht="21.75" customHeight="1" x14ac:dyDescent="0.25"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</row>
    <row r="297" spans="15:57" s="13" customFormat="1" ht="21.75" customHeight="1" x14ac:dyDescent="0.25"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</row>
    <row r="298" spans="15:57" s="13" customFormat="1" ht="21.75" customHeight="1" x14ac:dyDescent="0.25"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</row>
    <row r="299" spans="15:57" s="13" customFormat="1" ht="21.75" customHeight="1" x14ac:dyDescent="0.25"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</row>
    <row r="300" spans="15:57" s="13" customFormat="1" ht="21.75" customHeight="1" x14ac:dyDescent="0.25"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</row>
    <row r="301" spans="15:57" s="13" customFormat="1" ht="21.75" customHeight="1" x14ac:dyDescent="0.25"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</row>
    <row r="302" spans="15:57" s="13" customFormat="1" ht="21.75" customHeight="1" x14ac:dyDescent="0.25"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</row>
    <row r="303" spans="15:57" s="13" customFormat="1" ht="21.75" customHeight="1" x14ac:dyDescent="0.25"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</row>
    <row r="304" spans="15:57" s="13" customFormat="1" ht="21.75" customHeight="1" x14ac:dyDescent="0.25"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</row>
    <row r="305" spans="15:57" s="13" customFormat="1" ht="21.75" customHeight="1" x14ac:dyDescent="0.25"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</row>
    <row r="306" spans="15:57" s="13" customFormat="1" ht="21.75" customHeight="1" x14ac:dyDescent="0.25"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</row>
    <row r="307" spans="15:57" s="13" customFormat="1" ht="21.75" customHeight="1" x14ac:dyDescent="0.25"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</row>
    <row r="308" spans="15:57" s="13" customFormat="1" ht="21.75" customHeight="1" x14ac:dyDescent="0.25"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</row>
    <row r="309" spans="15:57" s="13" customFormat="1" ht="21.75" customHeight="1" x14ac:dyDescent="0.25"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</row>
    <row r="310" spans="15:57" s="13" customFormat="1" ht="21.75" customHeight="1" x14ac:dyDescent="0.25"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</row>
    <row r="311" spans="15:57" s="13" customFormat="1" ht="21.75" customHeight="1" x14ac:dyDescent="0.25"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</row>
    <row r="312" spans="15:57" s="13" customFormat="1" ht="21.75" customHeight="1" x14ac:dyDescent="0.25"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</row>
    <row r="313" spans="15:57" s="13" customFormat="1" ht="21.75" customHeight="1" x14ac:dyDescent="0.25"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</row>
    <row r="314" spans="15:57" s="13" customFormat="1" ht="21.75" customHeight="1" x14ac:dyDescent="0.25"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</row>
    <row r="315" spans="15:57" s="13" customFormat="1" ht="21.75" customHeight="1" x14ac:dyDescent="0.25"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</row>
    <row r="316" spans="15:57" s="13" customFormat="1" ht="21.75" customHeight="1" x14ac:dyDescent="0.25"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</row>
    <row r="317" spans="15:57" s="13" customFormat="1" ht="21.75" customHeight="1" x14ac:dyDescent="0.25"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</row>
    <row r="318" spans="15:57" s="13" customFormat="1" ht="21.75" customHeight="1" x14ac:dyDescent="0.25"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</row>
    <row r="319" spans="15:57" s="13" customFormat="1" ht="21.75" customHeight="1" x14ac:dyDescent="0.25"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</row>
    <row r="320" spans="15:57" s="13" customFormat="1" ht="21.75" customHeight="1" x14ac:dyDescent="0.25"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</row>
    <row r="321" spans="15:57" s="13" customFormat="1" ht="21.75" customHeight="1" x14ac:dyDescent="0.25"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</row>
    <row r="322" spans="15:57" s="13" customFormat="1" ht="21.75" customHeight="1" x14ac:dyDescent="0.25"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</row>
    <row r="323" spans="15:57" s="13" customFormat="1" ht="21.75" customHeight="1" x14ac:dyDescent="0.25"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</row>
    <row r="324" spans="15:57" s="13" customFormat="1" ht="21.75" customHeight="1" x14ac:dyDescent="0.25"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</row>
    <row r="325" spans="15:57" s="13" customFormat="1" ht="21.75" customHeight="1" x14ac:dyDescent="0.25"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</row>
    <row r="326" spans="15:57" s="13" customFormat="1" ht="21.75" customHeight="1" x14ac:dyDescent="0.25"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</row>
    <row r="327" spans="15:57" s="13" customFormat="1" ht="21.75" customHeight="1" x14ac:dyDescent="0.25"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</row>
    <row r="328" spans="15:57" s="13" customFormat="1" ht="21.75" customHeight="1" x14ac:dyDescent="0.25"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</row>
    <row r="329" spans="15:57" s="13" customFormat="1" ht="21.75" customHeight="1" x14ac:dyDescent="0.25"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</row>
    <row r="330" spans="15:57" s="13" customFormat="1" ht="21.75" customHeight="1" x14ac:dyDescent="0.25"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</row>
    <row r="331" spans="15:57" s="13" customFormat="1" ht="21.75" customHeight="1" x14ac:dyDescent="0.25"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</row>
    <row r="332" spans="15:57" s="13" customFormat="1" ht="21.75" customHeight="1" x14ac:dyDescent="0.25"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</row>
    <row r="333" spans="15:57" s="13" customFormat="1" ht="21.75" customHeight="1" x14ac:dyDescent="0.25"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</row>
    <row r="334" spans="15:57" s="13" customFormat="1" ht="21.75" customHeight="1" x14ac:dyDescent="0.25"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</row>
    <row r="335" spans="15:57" s="13" customFormat="1" ht="21.75" customHeight="1" x14ac:dyDescent="0.25"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</row>
    <row r="336" spans="15:57" s="13" customFormat="1" ht="21.75" customHeight="1" x14ac:dyDescent="0.25"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</row>
    <row r="337" spans="15:57" s="13" customFormat="1" ht="21.75" customHeight="1" x14ac:dyDescent="0.25"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</row>
    <row r="338" spans="15:57" s="13" customFormat="1" ht="21.75" customHeight="1" x14ac:dyDescent="0.25"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</row>
    <row r="339" spans="15:57" s="13" customFormat="1" ht="21.75" customHeight="1" x14ac:dyDescent="0.25"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</row>
    <row r="340" spans="15:57" s="13" customFormat="1" ht="21.75" customHeight="1" x14ac:dyDescent="0.25"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</row>
    <row r="341" spans="15:57" s="13" customFormat="1" ht="21.75" customHeight="1" x14ac:dyDescent="0.25"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</row>
    <row r="342" spans="15:57" ht="21.75" customHeight="1" x14ac:dyDescent="0.25"/>
    <row r="343" spans="15:57" ht="21.75" customHeight="1" x14ac:dyDescent="0.25"/>
    <row r="344" spans="15:57" ht="21.75" customHeight="1" x14ac:dyDescent="0.25"/>
    <row r="345" spans="15:57" ht="21.75" customHeight="1" x14ac:dyDescent="0.25"/>
    <row r="346" spans="15:57" ht="21.75" customHeight="1" x14ac:dyDescent="0.25"/>
    <row r="347" spans="15:57" ht="21.75" customHeight="1" x14ac:dyDescent="0.25"/>
    <row r="348" spans="15:57" ht="21.75" customHeight="1" x14ac:dyDescent="0.25"/>
    <row r="349" spans="15:57" ht="21.75" customHeight="1" x14ac:dyDescent="0.25"/>
    <row r="350" spans="15:57" ht="21.75" customHeight="1" x14ac:dyDescent="0.25"/>
    <row r="351" spans="15:57" ht="21.75" customHeight="1" x14ac:dyDescent="0.25"/>
    <row r="352" spans="15:57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</sheetData>
  <mergeCells count="20">
    <mergeCell ref="A1:N1"/>
    <mergeCell ref="A2:N2"/>
    <mergeCell ref="A4:C4"/>
    <mergeCell ref="D4:F4"/>
    <mergeCell ref="G4:I4"/>
    <mergeCell ref="J4:L4"/>
    <mergeCell ref="A5:C6"/>
    <mergeCell ref="D5:F6"/>
    <mergeCell ref="G5:I6"/>
    <mergeCell ref="J5:L6"/>
    <mergeCell ref="A8:C8"/>
    <mergeCell ref="D8:F8"/>
    <mergeCell ref="G8:I8"/>
    <mergeCell ref="J8:L8"/>
    <mergeCell ref="N4:P10"/>
    <mergeCell ref="A9:C10"/>
    <mergeCell ref="D9:F10"/>
    <mergeCell ref="G9:I10"/>
    <mergeCell ref="J9:L10"/>
    <mergeCell ref="A18:F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287A5"/>
  </sheetPr>
  <dimension ref="A1:U644"/>
  <sheetViews>
    <sheetView showGridLines="0" zoomScaleNormal="100" workbookViewId="0">
      <pane ySplit="4" topLeftCell="A5" activePane="bottomLeft" state="frozen"/>
      <selection pane="bottomLeft" activeCell="I12" sqref="I12"/>
    </sheetView>
  </sheetViews>
  <sheetFormatPr baseColWidth="10" defaultColWidth="9.140625" defaultRowHeight="15" x14ac:dyDescent="0.25"/>
  <cols>
    <col min="1" max="1" width="18" customWidth="1"/>
    <col min="2" max="2" width="34" customWidth="1"/>
    <col min="3" max="3" width="20" customWidth="1"/>
    <col min="4" max="4" width="24" customWidth="1"/>
    <col min="5" max="6" width="16" customWidth="1"/>
    <col min="7" max="7" width="18" customWidth="1"/>
    <col min="8" max="8" width="22" customWidth="1"/>
    <col min="9" max="9" width="18" customWidth="1"/>
    <col min="10" max="21" width="9.140625" style="13"/>
  </cols>
  <sheetData>
    <row r="1" spans="1:21" ht="21.75" customHeight="1" x14ac:dyDescent="0.25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21.75" customHeight="1" x14ac:dyDescent="0.25">
      <c r="A2" s="11" t="s">
        <v>53</v>
      </c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s="13" customFormat="1" ht="12.7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21.75" customHeight="1" x14ac:dyDescent="0.25">
      <c r="A4" s="1" t="s">
        <v>54</v>
      </c>
      <c r="B4" s="1" t="s">
        <v>48</v>
      </c>
      <c r="C4" s="1" t="s">
        <v>35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21.75" customHeight="1" x14ac:dyDescent="0.25">
      <c r="A5" s="28" t="s">
        <v>61</v>
      </c>
      <c r="B5" s="28" t="s">
        <v>62</v>
      </c>
      <c r="C5" s="28" t="s">
        <v>39</v>
      </c>
      <c r="D5" s="28" t="s">
        <v>63</v>
      </c>
      <c r="E5" s="29">
        <v>5</v>
      </c>
      <c r="F5" s="29">
        <v>20</v>
      </c>
      <c r="G5" s="30">
        <v>3500</v>
      </c>
      <c r="H5" s="28" t="s">
        <v>64</v>
      </c>
      <c r="I5" s="28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21.75" customHeight="1" x14ac:dyDescent="0.25">
      <c r="A6" s="28" t="s">
        <v>65</v>
      </c>
      <c r="B6" s="28" t="s">
        <v>66</v>
      </c>
      <c r="C6" s="28" t="s">
        <v>39</v>
      </c>
      <c r="D6" s="28" t="s">
        <v>63</v>
      </c>
      <c r="E6" s="29">
        <v>5</v>
      </c>
      <c r="F6" s="29">
        <v>15</v>
      </c>
      <c r="G6" s="30">
        <v>3200</v>
      </c>
      <c r="H6" s="28" t="s">
        <v>64</v>
      </c>
      <c r="I6" s="28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21.75" customHeight="1" x14ac:dyDescent="0.25">
      <c r="A7" s="28" t="s">
        <v>67</v>
      </c>
      <c r="B7" s="28" t="s">
        <v>68</v>
      </c>
      <c r="C7" s="28" t="s">
        <v>39</v>
      </c>
      <c r="D7" s="28" t="s">
        <v>69</v>
      </c>
      <c r="E7" s="29">
        <v>4</v>
      </c>
      <c r="F7" s="29">
        <v>12</v>
      </c>
      <c r="G7" s="30">
        <v>5200</v>
      </c>
      <c r="H7" s="28" t="s">
        <v>70</v>
      </c>
      <c r="I7" s="28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21.75" customHeight="1" x14ac:dyDescent="0.25">
      <c r="A8" s="28" t="s">
        <v>71</v>
      </c>
      <c r="B8" s="28" t="s">
        <v>72</v>
      </c>
      <c r="C8" s="28" t="s">
        <v>41</v>
      </c>
      <c r="D8" s="28" t="s">
        <v>69</v>
      </c>
      <c r="E8" s="29">
        <v>3</v>
      </c>
      <c r="F8" s="29">
        <v>10</v>
      </c>
      <c r="G8" s="30">
        <v>4300</v>
      </c>
      <c r="H8" s="28" t="s">
        <v>73</v>
      </c>
      <c r="I8" s="28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21.75" customHeight="1" x14ac:dyDescent="0.25">
      <c r="A9" s="28" t="s">
        <v>74</v>
      </c>
      <c r="B9" s="28" t="s">
        <v>75</v>
      </c>
      <c r="C9" s="28" t="s">
        <v>41</v>
      </c>
      <c r="D9" s="28" t="s">
        <v>69</v>
      </c>
      <c r="E9" s="29">
        <v>3</v>
      </c>
      <c r="F9" s="29">
        <v>8</v>
      </c>
      <c r="G9" s="30">
        <v>4800</v>
      </c>
      <c r="H9" s="28" t="s">
        <v>73</v>
      </c>
      <c r="I9" s="28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21.75" customHeight="1" x14ac:dyDescent="0.25">
      <c r="A10" s="28" t="s">
        <v>76</v>
      </c>
      <c r="B10" s="28" t="s">
        <v>77</v>
      </c>
      <c r="C10" s="28" t="s">
        <v>43</v>
      </c>
      <c r="D10" s="28" t="s">
        <v>78</v>
      </c>
      <c r="E10" s="29">
        <v>4</v>
      </c>
      <c r="F10" s="29">
        <v>18</v>
      </c>
      <c r="G10" s="30">
        <v>3000</v>
      </c>
      <c r="H10" s="28" t="s">
        <v>79</v>
      </c>
      <c r="I10" s="28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21.75" customHeight="1" x14ac:dyDescent="0.25">
      <c r="A11" s="28" t="s">
        <v>80</v>
      </c>
      <c r="B11" s="28" t="s">
        <v>81</v>
      </c>
      <c r="C11" s="28" t="s">
        <v>43</v>
      </c>
      <c r="D11" s="28" t="s">
        <v>78</v>
      </c>
      <c r="E11" s="29">
        <v>4</v>
      </c>
      <c r="F11" s="29">
        <v>11</v>
      </c>
      <c r="G11" s="30">
        <v>3400</v>
      </c>
      <c r="H11" s="28" t="s">
        <v>79</v>
      </c>
      <c r="I11" s="28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21.75" customHeight="1" x14ac:dyDescent="0.25">
      <c r="A12" s="28" t="s">
        <v>82</v>
      </c>
      <c r="B12" s="28" t="s">
        <v>83</v>
      </c>
      <c r="C12" s="28" t="s">
        <v>43</v>
      </c>
      <c r="D12" s="28" t="s">
        <v>78</v>
      </c>
      <c r="E12" s="29">
        <v>4</v>
      </c>
      <c r="F12" s="29">
        <v>0</v>
      </c>
      <c r="G12" s="30">
        <v>5000</v>
      </c>
      <c r="H12" s="28" t="s">
        <v>84</v>
      </c>
      <c r="I12" s="28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1.75" customHeight="1" x14ac:dyDescent="0.25">
      <c r="A13" s="28" t="s">
        <v>85</v>
      </c>
      <c r="B13" s="28" t="s">
        <v>86</v>
      </c>
      <c r="C13" s="28" t="s">
        <v>39</v>
      </c>
      <c r="D13" s="28" t="s">
        <v>63</v>
      </c>
      <c r="E13" s="29">
        <v>5</v>
      </c>
      <c r="F13" s="29">
        <v>14</v>
      </c>
      <c r="G13" s="30">
        <v>3600</v>
      </c>
      <c r="H13" s="28" t="s">
        <v>87</v>
      </c>
      <c r="I13" s="2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21.75" customHeight="1" x14ac:dyDescent="0.25">
      <c r="A14" s="28" t="s">
        <v>88</v>
      </c>
      <c r="B14" s="28" t="s">
        <v>89</v>
      </c>
      <c r="C14" s="28" t="s">
        <v>39</v>
      </c>
      <c r="D14" s="28" t="s">
        <v>63</v>
      </c>
      <c r="E14" s="29">
        <v>5</v>
      </c>
      <c r="F14" s="29">
        <v>9</v>
      </c>
      <c r="G14" s="30">
        <v>3300</v>
      </c>
      <c r="H14" s="28" t="s">
        <v>87</v>
      </c>
      <c r="I14" s="2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21.75" customHeight="1" x14ac:dyDescent="0.25">
      <c r="A15" s="28"/>
      <c r="B15" s="28"/>
      <c r="C15" s="28"/>
      <c r="D15" s="28"/>
      <c r="E15" s="29"/>
      <c r="F15" s="29"/>
      <c r="G15" s="30"/>
      <c r="H15" s="28"/>
      <c r="I15" s="2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21.75" customHeight="1" x14ac:dyDescent="0.25">
      <c r="A16" s="28"/>
      <c r="B16" s="28"/>
      <c r="C16" s="28"/>
      <c r="D16" s="28"/>
      <c r="E16" s="29"/>
      <c r="F16" s="29"/>
      <c r="G16" s="30"/>
      <c r="H16" s="28"/>
      <c r="I16" s="28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21.75" customHeight="1" x14ac:dyDescent="0.25">
      <c r="A17" s="28"/>
      <c r="B17" s="28"/>
      <c r="C17" s="28"/>
      <c r="D17" s="28"/>
      <c r="E17" s="29"/>
      <c r="F17" s="29"/>
      <c r="G17" s="30"/>
      <c r="H17" s="28"/>
      <c r="I17" s="2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21.75" customHeight="1" x14ac:dyDescent="0.25">
      <c r="A18" s="28"/>
      <c r="B18" s="28"/>
      <c r="C18" s="28"/>
      <c r="D18" s="28"/>
      <c r="E18" s="29"/>
      <c r="F18" s="29"/>
      <c r="G18" s="30"/>
      <c r="H18" s="28"/>
      <c r="I18" s="2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21.75" customHeight="1" x14ac:dyDescent="0.25">
      <c r="A19" s="28"/>
      <c r="B19" s="28"/>
      <c r="C19" s="28"/>
      <c r="D19" s="28"/>
      <c r="E19" s="29"/>
      <c r="F19" s="29"/>
      <c r="G19" s="30"/>
      <c r="H19" s="28"/>
      <c r="I19" s="2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21.75" customHeight="1" x14ac:dyDescent="0.25">
      <c r="A20" s="28"/>
      <c r="B20" s="28"/>
      <c r="C20" s="28"/>
      <c r="D20" s="28"/>
      <c r="E20" s="29"/>
      <c r="F20" s="29"/>
      <c r="G20" s="30"/>
      <c r="H20" s="28"/>
      <c r="I20" s="2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21.75" customHeight="1" x14ac:dyDescent="0.25">
      <c r="A21" s="28"/>
      <c r="B21" s="28"/>
      <c r="C21" s="28"/>
      <c r="D21" s="28"/>
      <c r="E21" s="29"/>
      <c r="F21" s="29"/>
      <c r="G21" s="30"/>
      <c r="H21" s="28"/>
      <c r="I21" s="2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21.75" customHeight="1" x14ac:dyDescent="0.25">
      <c r="A22" s="28"/>
      <c r="B22" s="28"/>
      <c r="C22" s="28"/>
      <c r="D22" s="28"/>
      <c r="E22" s="29"/>
      <c r="F22" s="29"/>
      <c r="G22" s="30"/>
      <c r="H22" s="28"/>
      <c r="I22" s="2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21.75" customHeight="1" x14ac:dyDescent="0.25">
      <c r="A23" s="28"/>
      <c r="B23" s="28"/>
      <c r="C23" s="28"/>
      <c r="D23" s="28"/>
      <c r="E23" s="29"/>
      <c r="F23" s="29"/>
      <c r="G23" s="30"/>
      <c r="H23" s="28"/>
      <c r="I23" s="28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21.75" customHeight="1" x14ac:dyDescent="0.25">
      <c r="A24" s="28"/>
      <c r="B24" s="28"/>
      <c r="C24" s="28"/>
      <c r="D24" s="28"/>
      <c r="E24" s="29"/>
      <c r="F24" s="29"/>
      <c r="G24" s="30"/>
      <c r="H24" s="28"/>
      <c r="I24" s="2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21.75" customHeight="1" x14ac:dyDescent="0.25">
      <c r="A25" s="28"/>
      <c r="B25" s="28"/>
      <c r="C25" s="28"/>
      <c r="D25" s="28"/>
      <c r="E25" s="29"/>
      <c r="F25" s="29"/>
      <c r="G25" s="30"/>
      <c r="H25" s="28"/>
      <c r="I25" s="28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21.75" customHeight="1" x14ac:dyDescent="0.25">
      <c r="A26" s="28"/>
      <c r="B26" s="28"/>
      <c r="C26" s="28"/>
      <c r="D26" s="28"/>
      <c r="E26" s="29"/>
      <c r="F26" s="29"/>
      <c r="G26" s="30"/>
      <c r="H26" s="28"/>
      <c r="I26" s="28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21.75" customHeight="1" x14ac:dyDescent="0.25">
      <c r="A27" s="28"/>
      <c r="B27" s="28"/>
      <c r="C27" s="28"/>
      <c r="D27" s="28"/>
      <c r="E27" s="29"/>
      <c r="F27" s="29"/>
      <c r="G27" s="30"/>
      <c r="H27" s="28"/>
      <c r="I27" s="28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21.75" customHeight="1" x14ac:dyDescent="0.25">
      <c r="A28" s="28"/>
      <c r="B28" s="28"/>
      <c r="C28" s="28"/>
      <c r="D28" s="28"/>
      <c r="E28" s="29"/>
      <c r="F28" s="29"/>
      <c r="G28" s="30"/>
      <c r="H28" s="28"/>
      <c r="I28" s="2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1.75" customHeight="1" x14ac:dyDescent="0.25">
      <c r="A29" s="28"/>
      <c r="B29" s="28"/>
      <c r="C29" s="28"/>
      <c r="D29" s="28"/>
      <c r="E29" s="29"/>
      <c r="F29" s="29"/>
      <c r="G29" s="30"/>
      <c r="H29" s="28"/>
      <c r="I29" s="28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21.75" customHeight="1" x14ac:dyDescent="0.25">
      <c r="A30" s="28"/>
      <c r="B30" s="28"/>
      <c r="C30" s="28"/>
      <c r="D30" s="28"/>
      <c r="E30" s="29"/>
      <c r="F30" s="29"/>
      <c r="G30" s="30"/>
      <c r="H30" s="28"/>
      <c r="I30" s="2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21.75" customHeight="1" x14ac:dyDescent="0.25">
      <c r="A31" s="28"/>
      <c r="B31" s="28"/>
      <c r="C31" s="28"/>
      <c r="D31" s="28"/>
      <c r="E31" s="29"/>
      <c r="F31" s="29"/>
      <c r="G31" s="30"/>
      <c r="H31" s="28"/>
      <c r="I31" s="28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21.75" customHeight="1" x14ac:dyDescent="0.25">
      <c r="A32" s="28"/>
      <c r="B32" s="28"/>
      <c r="C32" s="28"/>
      <c r="D32" s="28"/>
      <c r="E32" s="29"/>
      <c r="F32" s="29"/>
      <c r="G32" s="30"/>
      <c r="H32" s="28"/>
      <c r="I32" s="28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21.75" customHeight="1" x14ac:dyDescent="0.25">
      <c r="A33" s="28"/>
      <c r="B33" s="28"/>
      <c r="C33" s="28"/>
      <c r="D33" s="28"/>
      <c r="E33" s="29"/>
      <c r="F33" s="29"/>
      <c r="G33" s="30"/>
      <c r="H33" s="28"/>
      <c r="I33" s="28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21.75" customHeight="1" x14ac:dyDescent="0.25">
      <c r="A34" s="28"/>
      <c r="B34" s="28"/>
      <c r="C34" s="28"/>
      <c r="D34" s="28"/>
      <c r="E34" s="29"/>
      <c r="F34" s="29"/>
      <c r="G34" s="30"/>
      <c r="H34" s="28"/>
      <c r="I34" s="2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21.75" customHeight="1" x14ac:dyDescent="0.25">
      <c r="A35" s="28"/>
      <c r="B35" s="28"/>
      <c r="C35" s="28"/>
      <c r="D35" s="28"/>
      <c r="E35" s="29"/>
      <c r="F35" s="29"/>
      <c r="G35" s="30"/>
      <c r="H35" s="28"/>
      <c r="I35" s="28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21.75" customHeight="1" x14ac:dyDescent="0.25">
      <c r="A36" s="28"/>
      <c r="B36" s="28"/>
      <c r="C36" s="28"/>
      <c r="D36" s="28"/>
      <c r="E36" s="29"/>
      <c r="F36" s="29"/>
      <c r="G36" s="30"/>
      <c r="H36" s="28"/>
      <c r="I36" s="28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21.75" customHeight="1" x14ac:dyDescent="0.25">
      <c r="A37" s="28"/>
      <c r="B37" s="28"/>
      <c r="C37" s="28"/>
      <c r="D37" s="28"/>
      <c r="E37" s="29"/>
      <c r="F37" s="29"/>
      <c r="G37" s="30"/>
      <c r="H37" s="28"/>
      <c r="I37" s="28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21.75" customHeight="1" x14ac:dyDescent="0.25">
      <c r="A38" s="28"/>
      <c r="B38" s="28"/>
      <c r="C38" s="28"/>
      <c r="D38" s="28"/>
      <c r="E38" s="29"/>
      <c r="F38" s="29"/>
      <c r="G38" s="30"/>
      <c r="H38" s="28"/>
      <c r="I38" s="28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21.75" customHeight="1" x14ac:dyDescent="0.25">
      <c r="A39" s="28"/>
      <c r="B39" s="28"/>
      <c r="C39" s="28"/>
      <c r="D39" s="28"/>
      <c r="E39" s="29"/>
      <c r="F39" s="29"/>
      <c r="G39" s="30"/>
      <c r="H39" s="28"/>
      <c r="I39" s="28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21.75" customHeight="1" x14ac:dyDescent="0.25">
      <c r="A40" s="28"/>
      <c r="B40" s="28"/>
      <c r="C40" s="28"/>
      <c r="D40" s="28"/>
      <c r="E40" s="29"/>
      <c r="F40" s="29"/>
      <c r="G40" s="30"/>
      <c r="H40" s="28"/>
      <c r="I40" s="28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21.75" customHeight="1" x14ac:dyDescent="0.25">
      <c r="A41" s="28"/>
      <c r="B41" s="28"/>
      <c r="C41" s="28"/>
      <c r="D41" s="28"/>
      <c r="E41" s="29"/>
      <c r="F41" s="29"/>
      <c r="G41" s="30"/>
      <c r="H41" s="28"/>
      <c r="I41" s="28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1.75" customHeight="1" x14ac:dyDescent="0.25">
      <c r="A42" s="28"/>
      <c r="B42" s="28"/>
      <c r="C42" s="28"/>
      <c r="D42" s="28"/>
      <c r="E42" s="29"/>
      <c r="F42" s="29"/>
      <c r="G42" s="30"/>
      <c r="H42" s="28"/>
      <c r="I42" s="28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21.75" customHeight="1" x14ac:dyDescent="0.25">
      <c r="A43" s="28"/>
      <c r="B43" s="28"/>
      <c r="C43" s="28"/>
      <c r="D43" s="28"/>
      <c r="E43" s="29"/>
      <c r="F43" s="29"/>
      <c r="G43" s="30"/>
      <c r="H43" s="28"/>
      <c r="I43" s="28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21.75" customHeight="1" x14ac:dyDescent="0.25">
      <c r="A44" s="28"/>
      <c r="B44" s="28"/>
      <c r="C44" s="28"/>
      <c r="D44" s="28"/>
      <c r="E44" s="29"/>
      <c r="F44" s="29"/>
      <c r="G44" s="30"/>
      <c r="H44" s="28"/>
      <c r="I44" s="28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21.75" customHeight="1" x14ac:dyDescent="0.25">
      <c r="A45" s="28"/>
      <c r="B45" s="28"/>
      <c r="C45" s="28"/>
      <c r="D45" s="28"/>
      <c r="E45" s="29"/>
      <c r="F45" s="29"/>
      <c r="G45" s="30"/>
      <c r="H45" s="28"/>
      <c r="I45" s="28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21.75" customHeight="1" x14ac:dyDescent="0.25">
      <c r="A46" s="28"/>
      <c r="B46" s="28"/>
      <c r="C46" s="28"/>
      <c r="D46" s="28"/>
      <c r="E46" s="29"/>
      <c r="F46" s="29"/>
      <c r="G46" s="30"/>
      <c r="H46" s="28"/>
      <c r="I46" s="28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21.75" customHeight="1" x14ac:dyDescent="0.25">
      <c r="A47" s="28"/>
      <c r="B47" s="28"/>
      <c r="C47" s="28"/>
      <c r="D47" s="28"/>
      <c r="E47" s="29"/>
      <c r="F47" s="29"/>
      <c r="G47" s="30"/>
      <c r="H47" s="28"/>
      <c r="I47" s="28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21.75" customHeight="1" x14ac:dyDescent="0.25">
      <c r="A48" s="28"/>
      <c r="B48" s="28"/>
      <c r="C48" s="28"/>
      <c r="D48" s="28"/>
      <c r="E48" s="29"/>
      <c r="F48" s="29"/>
      <c r="G48" s="30"/>
      <c r="H48" s="28"/>
      <c r="I48" s="28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ht="21.75" customHeight="1" x14ac:dyDescent="0.25">
      <c r="A49" s="28"/>
      <c r="B49" s="28"/>
      <c r="C49" s="28"/>
      <c r="D49" s="28"/>
      <c r="E49" s="29"/>
      <c r="F49" s="29"/>
      <c r="G49" s="30"/>
      <c r="H49" s="28"/>
      <c r="I49" s="28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21.75" customHeight="1" x14ac:dyDescent="0.25">
      <c r="A50" s="28"/>
      <c r="B50" s="28"/>
      <c r="C50" s="28"/>
      <c r="D50" s="28"/>
      <c r="E50" s="29"/>
      <c r="F50" s="29"/>
      <c r="G50" s="30"/>
      <c r="H50" s="28"/>
      <c r="I50" s="28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21.75" customHeight="1" x14ac:dyDescent="0.25">
      <c r="A51" s="28"/>
      <c r="B51" s="28"/>
      <c r="C51" s="28"/>
      <c r="D51" s="28"/>
      <c r="E51" s="29"/>
      <c r="F51" s="29"/>
      <c r="G51" s="30"/>
      <c r="H51" s="28"/>
      <c r="I51" s="28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ht="21.75" customHeight="1" x14ac:dyDescent="0.25">
      <c r="A52" s="28"/>
      <c r="B52" s="28"/>
      <c r="C52" s="28"/>
      <c r="D52" s="28"/>
      <c r="E52" s="29"/>
      <c r="F52" s="29"/>
      <c r="G52" s="30"/>
      <c r="H52" s="28"/>
      <c r="I52" s="28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1.75" customHeight="1" x14ac:dyDescent="0.25">
      <c r="A53" s="28"/>
      <c r="B53" s="28"/>
      <c r="C53" s="28"/>
      <c r="D53" s="28"/>
      <c r="E53" s="29"/>
      <c r="F53" s="29"/>
      <c r="G53" s="30"/>
      <c r="H53" s="28"/>
      <c r="I53" s="28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21.75" customHeight="1" x14ac:dyDescent="0.25">
      <c r="A54" s="28"/>
      <c r="B54" s="28"/>
      <c r="C54" s="28"/>
      <c r="D54" s="28"/>
      <c r="E54" s="29"/>
      <c r="F54" s="29"/>
      <c r="G54" s="30"/>
      <c r="H54" s="28"/>
      <c r="I54" s="28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21.75" customHeight="1" x14ac:dyDescent="0.25">
      <c r="A55" s="28"/>
      <c r="B55" s="28"/>
      <c r="C55" s="28"/>
      <c r="D55" s="28"/>
      <c r="E55" s="29"/>
      <c r="F55" s="29"/>
      <c r="G55" s="30"/>
      <c r="H55" s="28"/>
      <c r="I55" s="28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21.75" customHeight="1" x14ac:dyDescent="0.25">
      <c r="A56" s="28"/>
      <c r="B56" s="28"/>
      <c r="C56" s="28"/>
      <c r="D56" s="28"/>
      <c r="E56" s="29"/>
      <c r="F56" s="29"/>
      <c r="G56" s="30"/>
      <c r="H56" s="28"/>
      <c r="I56" s="28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21.75" customHeight="1" x14ac:dyDescent="0.25">
      <c r="A57" s="28"/>
      <c r="B57" s="28"/>
      <c r="C57" s="28"/>
      <c r="D57" s="28"/>
      <c r="E57" s="29"/>
      <c r="F57" s="29"/>
      <c r="G57" s="30"/>
      <c r="H57" s="28"/>
      <c r="I57" s="28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1.75" customHeight="1" x14ac:dyDescent="0.25">
      <c r="A58" s="28"/>
      <c r="B58" s="28"/>
      <c r="C58" s="28"/>
      <c r="D58" s="28"/>
      <c r="E58" s="29"/>
      <c r="F58" s="29"/>
      <c r="G58" s="30"/>
      <c r="H58" s="28"/>
      <c r="I58" s="28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ht="21.75" customHeight="1" x14ac:dyDescent="0.25">
      <c r="A59" s="28"/>
      <c r="B59" s="28"/>
      <c r="C59" s="28"/>
      <c r="D59" s="28"/>
      <c r="E59" s="29"/>
      <c r="F59" s="29"/>
      <c r="G59" s="30"/>
      <c r="H59" s="28"/>
      <c r="I59" s="28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21.75" customHeight="1" x14ac:dyDescent="0.25">
      <c r="A60" s="28"/>
      <c r="B60" s="28"/>
      <c r="C60" s="28"/>
      <c r="D60" s="28"/>
      <c r="E60" s="29"/>
      <c r="F60" s="29"/>
      <c r="G60" s="30"/>
      <c r="H60" s="28"/>
      <c r="I60" s="28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21.75" customHeight="1" x14ac:dyDescent="0.25">
      <c r="A61" s="28"/>
      <c r="B61" s="28"/>
      <c r="C61" s="28"/>
      <c r="D61" s="28"/>
      <c r="E61" s="29"/>
      <c r="F61" s="29"/>
      <c r="G61" s="30"/>
      <c r="H61" s="28"/>
      <c r="I61" s="28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21.75" customHeight="1" x14ac:dyDescent="0.25">
      <c r="A62" s="28"/>
      <c r="B62" s="28"/>
      <c r="C62" s="28"/>
      <c r="D62" s="28"/>
      <c r="E62" s="29"/>
      <c r="F62" s="29"/>
      <c r="G62" s="30"/>
      <c r="H62" s="28"/>
      <c r="I62" s="28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21.75" customHeight="1" x14ac:dyDescent="0.25">
      <c r="A63" s="28"/>
      <c r="B63" s="28"/>
      <c r="C63" s="28"/>
      <c r="D63" s="28"/>
      <c r="E63" s="29"/>
      <c r="F63" s="29"/>
      <c r="G63" s="30"/>
      <c r="H63" s="28"/>
      <c r="I63" s="28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21.75" customHeight="1" x14ac:dyDescent="0.25">
      <c r="A64" s="28"/>
      <c r="B64" s="28"/>
      <c r="C64" s="28"/>
      <c r="D64" s="28"/>
      <c r="E64" s="29"/>
      <c r="F64" s="29"/>
      <c r="G64" s="30"/>
      <c r="H64" s="28"/>
      <c r="I64" s="28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21.75" customHeight="1" x14ac:dyDescent="0.25">
      <c r="A65" s="28"/>
      <c r="B65" s="28"/>
      <c r="C65" s="28"/>
      <c r="D65" s="28"/>
      <c r="E65" s="29"/>
      <c r="F65" s="29"/>
      <c r="G65" s="30"/>
      <c r="H65" s="28"/>
      <c r="I65" s="28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1.75" customHeight="1" x14ac:dyDescent="0.25">
      <c r="A66" s="28"/>
      <c r="B66" s="28"/>
      <c r="C66" s="28"/>
      <c r="D66" s="28"/>
      <c r="E66" s="29"/>
      <c r="F66" s="29"/>
      <c r="G66" s="30"/>
      <c r="H66" s="28"/>
      <c r="I66" s="28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ht="21.75" customHeight="1" x14ac:dyDescent="0.25">
      <c r="A67" s="28"/>
      <c r="B67" s="28"/>
      <c r="C67" s="28"/>
      <c r="D67" s="28"/>
      <c r="E67" s="29"/>
      <c r="F67" s="29"/>
      <c r="G67" s="30"/>
      <c r="H67" s="28"/>
      <c r="I67" s="28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ht="21.75" customHeight="1" x14ac:dyDescent="0.25">
      <c r="A68" s="28"/>
      <c r="B68" s="28"/>
      <c r="C68" s="28"/>
      <c r="D68" s="28"/>
      <c r="E68" s="29"/>
      <c r="F68" s="29"/>
      <c r="G68" s="30"/>
      <c r="H68" s="28"/>
      <c r="I68" s="28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ht="21.75" customHeight="1" x14ac:dyDescent="0.25">
      <c r="A69" s="28"/>
      <c r="B69" s="28"/>
      <c r="C69" s="28"/>
      <c r="D69" s="28"/>
      <c r="E69" s="29"/>
      <c r="F69" s="29"/>
      <c r="G69" s="30"/>
      <c r="H69" s="28"/>
      <c r="I69" s="28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1.75" customHeight="1" x14ac:dyDescent="0.25">
      <c r="A70" s="28"/>
      <c r="B70" s="28"/>
      <c r="C70" s="28"/>
      <c r="D70" s="28"/>
      <c r="E70" s="29"/>
      <c r="F70" s="29"/>
      <c r="G70" s="30"/>
      <c r="H70" s="28"/>
      <c r="I70" s="28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ht="21.75" customHeight="1" x14ac:dyDescent="0.25">
      <c r="A71" s="28"/>
      <c r="B71" s="28"/>
      <c r="C71" s="28"/>
      <c r="D71" s="28"/>
      <c r="E71" s="29"/>
      <c r="F71" s="29"/>
      <c r="G71" s="30"/>
      <c r="H71" s="28"/>
      <c r="I71" s="28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ht="21.75" customHeight="1" x14ac:dyDescent="0.25">
      <c r="A72" s="28"/>
      <c r="B72" s="28"/>
      <c r="C72" s="28"/>
      <c r="D72" s="28"/>
      <c r="E72" s="29"/>
      <c r="F72" s="29"/>
      <c r="G72" s="30"/>
      <c r="H72" s="28"/>
      <c r="I72" s="28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ht="21.75" customHeight="1" x14ac:dyDescent="0.25">
      <c r="A73" s="28"/>
      <c r="B73" s="28"/>
      <c r="C73" s="28"/>
      <c r="D73" s="28"/>
      <c r="E73" s="29"/>
      <c r="F73" s="29"/>
      <c r="G73" s="30"/>
      <c r="H73" s="28"/>
      <c r="I73" s="28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1.75" customHeight="1" x14ac:dyDescent="0.25">
      <c r="A74" s="28"/>
      <c r="B74" s="28"/>
      <c r="C74" s="28"/>
      <c r="D74" s="28"/>
      <c r="E74" s="29"/>
      <c r="F74" s="29"/>
      <c r="G74" s="30"/>
      <c r="H74" s="28"/>
      <c r="I74" s="28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ht="21.75" customHeight="1" x14ac:dyDescent="0.25">
      <c r="A75" s="28"/>
      <c r="B75" s="28"/>
      <c r="C75" s="28"/>
      <c r="D75" s="28"/>
      <c r="E75" s="29"/>
      <c r="F75" s="29"/>
      <c r="G75" s="30"/>
      <c r="H75" s="28"/>
      <c r="I75" s="28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ht="21.75" customHeight="1" x14ac:dyDescent="0.25">
      <c r="A76" s="28"/>
      <c r="B76" s="28"/>
      <c r="C76" s="28"/>
      <c r="D76" s="28"/>
      <c r="E76" s="29"/>
      <c r="F76" s="29"/>
      <c r="G76" s="30"/>
      <c r="H76" s="28"/>
      <c r="I76" s="28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ht="21.75" customHeight="1" x14ac:dyDescent="0.25">
      <c r="A77" s="28"/>
      <c r="B77" s="28"/>
      <c r="C77" s="28"/>
      <c r="D77" s="28"/>
      <c r="E77" s="29"/>
      <c r="F77" s="29"/>
      <c r="G77" s="30"/>
      <c r="H77" s="28"/>
      <c r="I77" s="28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ht="21.75" customHeight="1" x14ac:dyDescent="0.25">
      <c r="A78" s="28"/>
      <c r="B78" s="28"/>
      <c r="C78" s="28"/>
      <c r="D78" s="28"/>
      <c r="E78" s="29"/>
      <c r="F78" s="29"/>
      <c r="G78" s="30"/>
      <c r="H78" s="28"/>
      <c r="I78" s="28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ht="21.75" customHeight="1" x14ac:dyDescent="0.25">
      <c r="A79" s="28"/>
      <c r="B79" s="28"/>
      <c r="C79" s="28"/>
      <c r="D79" s="28"/>
      <c r="E79" s="29"/>
      <c r="F79" s="29"/>
      <c r="G79" s="30"/>
      <c r="H79" s="28"/>
      <c r="I79" s="28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ht="21.75" customHeight="1" x14ac:dyDescent="0.25">
      <c r="A80" s="28"/>
      <c r="B80" s="28"/>
      <c r="C80" s="28"/>
      <c r="D80" s="28"/>
      <c r="E80" s="29"/>
      <c r="F80" s="29"/>
      <c r="G80" s="30"/>
      <c r="H80" s="28"/>
      <c r="I80" s="28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1.75" customHeight="1" x14ac:dyDescent="0.25">
      <c r="A81" s="28"/>
      <c r="B81" s="28"/>
      <c r="C81" s="28"/>
      <c r="D81" s="28"/>
      <c r="E81" s="29"/>
      <c r="F81" s="29"/>
      <c r="G81" s="30"/>
      <c r="H81" s="28"/>
      <c r="I81" s="28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ht="21.75" customHeight="1" x14ac:dyDescent="0.25">
      <c r="A82" s="28"/>
      <c r="B82" s="28"/>
      <c r="C82" s="28"/>
      <c r="D82" s="28"/>
      <c r="E82" s="29"/>
      <c r="F82" s="29"/>
      <c r="G82" s="30"/>
      <c r="H82" s="28"/>
      <c r="I82" s="28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ht="21.75" customHeight="1" x14ac:dyDescent="0.25">
      <c r="A83" s="28"/>
      <c r="B83" s="28"/>
      <c r="C83" s="28"/>
      <c r="D83" s="28"/>
      <c r="E83" s="29"/>
      <c r="F83" s="29"/>
      <c r="G83" s="30"/>
      <c r="H83" s="28"/>
      <c r="I83" s="28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1.75" customHeight="1" x14ac:dyDescent="0.25">
      <c r="A84" s="28"/>
      <c r="B84" s="28"/>
      <c r="C84" s="28"/>
      <c r="D84" s="28"/>
      <c r="E84" s="29"/>
      <c r="F84" s="29"/>
      <c r="G84" s="30"/>
      <c r="H84" s="28"/>
      <c r="I84" s="28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21.75" customHeight="1" x14ac:dyDescent="0.25">
      <c r="A85" s="28"/>
      <c r="B85" s="28"/>
      <c r="C85" s="28"/>
      <c r="D85" s="28"/>
      <c r="E85" s="29"/>
      <c r="F85" s="29"/>
      <c r="G85" s="30"/>
      <c r="H85" s="28"/>
      <c r="I85" s="28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ht="21.75" customHeight="1" x14ac:dyDescent="0.25">
      <c r="A86" s="28"/>
      <c r="B86" s="28"/>
      <c r="C86" s="28"/>
      <c r="D86" s="28"/>
      <c r="E86" s="29"/>
      <c r="F86" s="29"/>
      <c r="G86" s="30"/>
      <c r="H86" s="28"/>
      <c r="I86" s="28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ht="21.75" customHeight="1" x14ac:dyDescent="0.25">
      <c r="A87" s="28"/>
      <c r="B87" s="28"/>
      <c r="C87" s="28"/>
      <c r="D87" s="28"/>
      <c r="E87" s="29"/>
      <c r="F87" s="29"/>
      <c r="G87" s="30"/>
      <c r="H87" s="28"/>
      <c r="I87" s="28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ht="21.75" customHeight="1" x14ac:dyDescent="0.25">
      <c r="A88" s="28"/>
      <c r="B88" s="28"/>
      <c r="C88" s="28"/>
      <c r="D88" s="28"/>
      <c r="E88" s="29"/>
      <c r="F88" s="29"/>
      <c r="G88" s="30"/>
      <c r="H88" s="28"/>
      <c r="I88" s="28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ht="21.75" customHeight="1" x14ac:dyDescent="0.25">
      <c r="A89" s="28"/>
      <c r="B89" s="28"/>
      <c r="C89" s="28"/>
      <c r="D89" s="28"/>
      <c r="E89" s="29"/>
      <c r="F89" s="29"/>
      <c r="G89" s="30"/>
      <c r="H89" s="28"/>
      <c r="I89" s="28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ht="21.75" customHeight="1" x14ac:dyDescent="0.25">
      <c r="A90" s="28"/>
      <c r="B90" s="28"/>
      <c r="C90" s="28"/>
      <c r="D90" s="28"/>
      <c r="E90" s="29"/>
      <c r="F90" s="29"/>
      <c r="G90" s="30"/>
      <c r="H90" s="28"/>
      <c r="I90" s="28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ht="21.75" customHeight="1" x14ac:dyDescent="0.25">
      <c r="A91" s="28"/>
      <c r="B91" s="28"/>
      <c r="C91" s="28"/>
      <c r="D91" s="28"/>
      <c r="E91" s="29"/>
      <c r="F91" s="29"/>
      <c r="G91" s="30"/>
      <c r="H91" s="28"/>
      <c r="I91" s="28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ht="21.75" customHeight="1" x14ac:dyDescent="0.25">
      <c r="A92" s="28"/>
      <c r="B92" s="28"/>
      <c r="C92" s="28"/>
      <c r="D92" s="28"/>
      <c r="E92" s="29"/>
      <c r="F92" s="29"/>
      <c r="G92" s="30"/>
      <c r="H92" s="28"/>
      <c r="I92" s="28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ht="21.75" customHeight="1" x14ac:dyDescent="0.25">
      <c r="A93" s="28"/>
      <c r="B93" s="28"/>
      <c r="C93" s="28"/>
      <c r="D93" s="28"/>
      <c r="E93" s="29"/>
      <c r="F93" s="29"/>
      <c r="G93" s="30"/>
      <c r="H93" s="28"/>
      <c r="I93" s="28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ht="21.75" customHeight="1" x14ac:dyDescent="0.25">
      <c r="A94" s="28"/>
      <c r="B94" s="28"/>
      <c r="C94" s="28"/>
      <c r="D94" s="28"/>
      <c r="E94" s="29"/>
      <c r="F94" s="29"/>
      <c r="G94" s="30"/>
      <c r="H94" s="28"/>
      <c r="I94" s="28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ht="21.75" customHeight="1" x14ac:dyDescent="0.25">
      <c r="A95" s="28"/>
      <c r="B95" s="28"/>
      <c r="C95" s="28"/>
      <c r="D95" s="28"/>
      <c r="E95" s="29"/>
      <c r="F95" s="29"/>
      <c r="G95" s="30"/>
      <c r="H95" s="28"/>
      <c r="I95" s="28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21.75" customHeight="1" x14ac:dyDescent="0.25">
      <c r="A96" s="28"/>
      <c r="B96" s="28"/>
      <c r="C96" s="28"/>
      <c r="D96" s="28"/>
      <c r="E96" s="29"/>
      <c r="F96" s="29"/>
      <c r="G96" s="30"/>
      <c r="H96" s="28"/>
      <c r="I96" s="28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ht="21.75" customHeight="1" x14ac:dyDescent="0.25">
      <c r="A97" s="28"/>
      <c r="B97" s="28"/>
      <c r="C97" s="28"/>
      <c r="D97" s="28"/>
      <c r="E97" s="29"/>
      <c r="F97" s="29"/>
      <c r="G97" s="30"/>
      <c r="H97" s="28"/>
      <c r="I97" s="28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ht="21.75" customHeight="1" x14ac:dyDescent="0.25">
      <c r="A98" s="28"/>
      <c r="B98" s="28"/>
      <c r="C98" s="28"/>
      <c r="D98" s="28"/>
      <c r="E98" s="29"/>
      <c r="F98" s="29"/>
      <c r="G98" s="30"/>
      <c r="H98" s="28"/>
      <c r="I98" s="28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21.75" customHeight="1" x14ac:dyDescent="0.25">
      <c r="A99" s="28"/>
      <c r="B99" s="28"/>
      <c r="C99" s="28"/>
      <c r="D99" s="28"/>
      <c r="E99" s="29"/>
      <c r="F99" s="29"/>
      <c r="G99" s="30"/>
      <c r="H99" s="28"/>
      <c r="I99" s="28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1.75" customHeight="1" x14ac:dyDescent="0.25">
      <c r="A100" s="28"/>
      <c r="B100" s="28"/>
      <c r="C100" s="28"/>
      <c r="D100" s="28"/>
      <c r="E100" s="29"/>
      <c r="F100" s="29"/>
      <c r="G100" s="30"/>
      <c r="H100" s="28"/>
      <c r="I100" s="28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ht="21.75" customHeight="1" x14ac:dyDescent="0.25">
      <c r="A101" s="28"/>
      <c r="B101" s="28"/>
      <c r="C101" s="28"/>
      <c r="D101" s="28"/>
      <c r="E101" s="29"/>
      <c r="F101" s="29"/>
      <c r="G101" s="30"/>
      <c r="H101" s="28"/>
      <c r="I101" s="28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ht="21.75" customHeight="1" x14ac:dyDescent="0.25">
      <c r="A102" s="28"/>
      <c r="B102" s="28"/>
      <c r="C102" s="28"/>
      <c r="D102" s="28"/>
      <c r="E102" s="29"/>
      <c r="F102" s="29"/>
      <c r="G102" s="30"/>
      <c r="H102" s="28"/>
      <c r="I102" s="28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ht="21.75" customHeight="1" x14ac:dyDescent="0.25">
      <c r="A103" s="28"/>
      <c r="B103" s="28"/>
      <c r="C103" s="28"/>
      <c r="D103" s="28"/>
      <c r="E103" s="29"/>
      <c r="F103" s="29"/>
      <c r="G103" s="30"/>
      <c r="H103" s="28"/>
      <c r="I103" s="28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ht="21.75" customHeight="1" x14ac:dyDescent="0.25">
      <c r="A104" s="28"/>
      <c r="B104" s="28"/>
      <c r="C104" s="28"/>
      <c r="D104" s="28"/>
      <c r="E104" s="29"/>
      <c r="F104" s="29"/>
      <c r="G104" s="30"/>
      <c r="H104" s="28"/>
      <c r="I104" s="28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ht="21.75" customHeight="1" x14ac:dyDescent="0.25">
      <c r="A105" s="28"/>
      <c r="B105" s="28"/>
      <c r="C105" s="28"/>
      <c r="D105" s="28"/>
      <c r="E105" s="29"/>
      <c r="F105" s="29"/>
      <c r="G105" s="30"/>
      <c r="H105" s="28"/>
      <c r="I105" s="28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 ht="21.75" customHeight="1" x14ac:dyDescent="0.25">
      <c r="A106" s="28"/>
      <c r="B106" s="28"/>
      <c r="C106" s="28"/>
      <c r="D106" s="28"/>
      <c r="E106" s="29"/>
      <c r="F106" s="29"/>
      <c r="G106" s="30"/>
      <c r="H106" s="28"/>
      <c r="I106" s="28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ht="21.75" customHeight="1" x14ac:dyDescent="0.25">
      <c r="A107" s="28"/>
      <c r="B107" s="28"/>
      <c r="C107" s="28"/>
      <c r="D107" s="28"/>
      <c r="E107" s="29"/>
      <c r="F107" s="29"/>
      <c r="G107" s="30"/>
      <c r="H107" s="28"/>
      <c r="I107" s="28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 ht="21.75" customHeight="1" x14ac:dyDescent="0.25">
      <c r="A108" s="28"/>
      <c r="B108" s="28"/>
      <c r="C108" s="28"/>
      <c r="D108" s="28"/>
      <c r="E108" s="29"/>
      <c r="F108" s="29"/>
      <c r="G108" s="30"/>
      <c r="H108" s="28"/>
      <c r="I108" s="28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ht="21.75" customHeight="1" x14ac:dyDescent="0.25">
      <c r="A109" s="28"/>
      <c r="B109" s="28"/>
      <c r="C109" s="28"/>
      <c r="D109" s="28"/>
      <c r="E109" s="29"/>
      <c r="F109" s="29"/>
      <c r="G109" s="30"/>
      <c r="H109" s="28"/>
      <c r="I109" s="28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 ht="21.75" customHeight="1" x14ac:dyDescent="0.25">
      <c r="A110" s="28"/>
      <c r="B110" s="28"/>
      <c r="C110" s="28"/>
      <c r="D110" s="28"/>
      <c r="E110" s="29"/>
      <c r="F110" s="29"/>
      <c r="G110" s="30"/>
      <c r="H110" s="28"/>
      <c r="I110" s="28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ht="21.75" customHeight="1" x14ac:dyDescent="0.25">
      <c r="A111" s="28"/>
      <c r="B111" s="28"/>
      <c r="C111" s="28"/>
      <c r="D111" s="28"/>
      <c r="E111" s="29"/>
      <c r="F111" s="29"/>
      <c r="G111" s="30"/>
      <c r="H111" s="28"/>
      <c r="I111" s="28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 ht="21.75" customHeight="1" x14ac:dyDescent="0.25">
      <c r="A112" s="28"/>
      <c r="B112" s="28"/>
      <c r="C112" s="28"/>
      <c r="D112" s="28"/>
      <c r="E112" s="29"/>
      <c r="F112" s="29"/>
      <c r="G112" s="30"/>
      <c r="H112" s="28"/>
      <c r="I112" s="28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1.75" customHeight="1" x14ac:dyDescent="0.25">
      <c r="A113" s="28"/>
      <c r="B113" s="28"/>
      <c r="C113" s="28"/>
      <c r="D113" s="28"/>
      <c r="E113" s="29"/>
      <c r="F113" s="29"/>
      <c r="G113" s="30"/>
      <c r="H113" s="28"/>
      <c r="I113" s="28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 ht="21.75" customHeight="1" x14ac:dyDescent="0.25">
      <c r="A114" s="28"/>
      <c r="B114" s="28"/>
      <c r="C114" s="28"/>
      <c r="D114" s="28"/>
      <c r="E114" s="29"/>
      <c r="F114" s="29"/>
      <c r="G114" s="30"/>
      <c r="H114" s="28"/>
      <c r="I114" s="28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ht="21.75" customHeight="1" x14ac:dyDescent="0.25">
      <c r="A115" s="28"/>
      <c r="B115" s="28"/>
      <c r="C115" s="28"/>
      <c r="D115" s="28"/>
      <c r="E115" s="29"/>
      <c r="F115" s="29"/>
      <c r="G115" s="30"/>
      <c r="H115" s="28"/>
      <c r="I115" s="28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 ht="21.75" customHeight="1" x14ac:dyDescent="0.25">
      <c r="A116" s="28"/>
      <c r="B116" s="28"/>
      <c r="C116" s="28"/>
      <c r="D116" s="28"/>
      <c r="E116" s="29"/>
      <c r="F116" s="29"/>
      <c r="G116" s="30"/>
      <c r="H116" s="28"/>
      <c r="I116" s="28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ht="21.75" customHeight="1" x14ac:dyDescent="0.25">
      <c r="A117" s="28"/>
      <c r="B117" s="28"/>
      <c r="C117" s="28"/>
      <c r="D117" s="28"/>
      <c r="E117" s="29"/>
      <c r="F117" s="29"/>
      <c r="G117" s="30"/>
      <c r="H117" s="28"/>
      <c r="I117" s="28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 ht="21.75" customHeight="1" x14ac:dyDescent="0.25">
      <c r="A118" s="28"/>
      <c r="B118" s="28"/>
      <c r="C118" s="28"/>
      <c r="D118" s="28"/>
      <c r="E118" s="29"/>
      <c r="F118" s="29"/>
      <c r="G118" s="30"/>
      <c r="H118" s="28"/>
      <c r="I118" s="28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ht="21.75" customHeight="1" x14ac:dyDescent="0.25">
      <c r="A119" s="28"/>
      <c r="B119" s="28"/>
      <c r="C119" s="28"/>
      <c r="D119" s="28"/>
      <c r="E119" s="29"/>
      <c r="F119" s="29"/>
      <c r="G119" s="30"/>
      <c r="H119" s="28"/>
      <c r="I119" s="28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 ht="21.75" customHeight="1" x14ac:dyDescent="0.25">
      <c r="A120" s="28"/>
      <c r="B120" s="28"/>
      <c r="C120" s="28"/>
      <c r="D120" s="28"/>
      <c r="E120" s="29"/>
      <c r="F120" s="29"/>
      <c r="G120" s="30"/>
      <c r="H120" s="28"/>
      <c r="I120" s="28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ht="21.75" customHeight="1" x14ac:dyDescent="0.25">
      <c r="A121" s="28"/>
      <c r="B121" s="28"/>
      <c r="C121" s="28"/>
      <c r="D121" s="28"/>
      <c r="E121" s="29"/>
      <c r="F121" s="29"/>
      <c r="G121" s="30"/>
      <c r="H121" s="28"/>
      <c r="I121" s="28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 ht="21.75" customHeight="1" x14ac:dyDescent="0.25">
      <c r="A122" s="28"/>
      <c r="B122" s="28"/>
      <c r="C122" s="28"/>
      <c r="D122" s="28"/>
      <c r="E122" s="29"/>
      <c r="F122" s="29"/>
      <c r="G122" s="30"/>
      <c r="H122" s="28"/>
      <c r="I122" s="28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ht="21.75" customHeight="1" x14ac:dyDescent="0.25">
      <c r="A123" s="28"/>
      <c r="B123" s="28"/>
      <c r="C123" s="28"/>
      <c r="D123" s="28"/>
      <c r="E123" s="29"/>
      <c r="F123" s="29"/>
      <c r="G123" s="30"/>
      <c r="H123" s="28"/>
      <c r="I123" s="28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1.75" customHeight="1" x14ac:dyDescent="0.25">
      <c r="A124" s="28"/>
      <c r="B124" s="28"/>
      <c r="C124" s="28"/>
      <c r="D124" s="28"/>
      <c r="E124" s="29"/>
      <c r="F124" s="29"/>
      <c r="G124" s="30"/>
      <c r="H124" s="28"/>
      <c r="I124" s="28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ht="21.75" customHeight="1" x14ac:dyDescent="0.25">
      <c r="A125" s="28"/>
      <c r="B125" s="28"/>
      <c r="C125" s="28"/>
      <c r="D125" s="28"/>
      <c r="E125" s="29"/>
      <c r="F125" s="29"/>
      <c r="G125" s="30"/>
      <c r="H125" s="28"/>
      <c r="I125" s="28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1:21" ht="21.75" customHeight="1" x14ac:dyDescent="0.25">
      <c r="A126" s="28"/>
      <c r="B126" s="28"/>
      <c r="C126" s="28"/>
      <c r="D126" s="28"/>
      <c r="E126" s="29"/>
      <c r="F126" s="29"/>
      <c r="G126" s="30"/>
      <c r="H126" s="28"/>
      <c r="I126" s="28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ht="21.75" customHeight="1" x14ac:dyDescent="0.25">
      <c r="A127" s="28"/>
      <c r="B127" s="28"/>
      <c r="C127" s="28"/>
      <c r="D127" s="28"/>
      <c r="E127" s="29"/>
      <c r="F127" s="29"/>
      <c r="G127" s="30"/>
      <c r="H127" s="28"/>
      <c r="I127" s="28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1:21" ht="21.75" customHeight="1" x14ac:dyDescent="0.25">
      <c r="A128" s="28"/>
      <c r="B128" s="28"/>
      <c r="C128" s="28"/>
      <c r="D128" s="28"/>
      <c r="E128" s="29"/>
      <c r="F128" s="29"/>
      <c r="G128" s="30"/>
      <c r="H128" s="28"/>
      <c r="I128" s="28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1.75" customHeight="1" x14ac:dyDescent="0.25">
      <c r="A129" s="28"/>
      <c r="B129" s="28"/>
      <c r="C129" s="28"/>
      <c r="D129" s="28"/>
      <c r="E129" s="29"/>
      <c r="F129" s="29"/>
      <c r="G129" s="30"/>
      <c r="H129" s="28"/>
      <c r="I129" s="28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1:21" ht="21.75" customHeight="1" x14ac:dyDescent="0.25">
      <c r="A130" s="28"/>
      <c r="B130" s="28"/>
      <c r="C130" s="28"/>
      <c r="D130" s="28"/>
      <c r="E130" s="29"/>
      <c r="F130" s="29"/>
      <c r="G130" s="30"/>
      <c r="H130" s="28"/>
      <c r="I130" s="28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ht="21.75" customHeight="1" x14ac:dyDescent="0.25">
      <c r="A131" s="28"/>
      <c r="B131" s="28"/>
      <c r="C131" s="28"/>
      <c r="D131" s="28"/>
      <c r="E131" s="29"/>
      <c r="F131" s="29"/>
      <c r="G131" s="30"/>
      <c r="H131" s="28"/>
      <c r="I131" s="28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1:21" ht="21.75" customHeight="1" x14ac:dyDescent="0.25">
      <c r="A132" s="28"/>
      <c r="B132" s="28"/>
      <c r="C132" s="28"/>
      <c r="D132" s="28"/>
      <c r="E132" s="29"/>
      <c r="F132" s="29"/>
      <c r="G132" s="30"/>
      <c r="H132" s="28"/>
      <c r="I132" s="28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ht="21.75" customHeight="1" x14ac:dyDescent="0.25">
      <c r="A133" s="28"/>
      <c r="B133" s="28"/>
      <c r="C133" s="28"/>
      <c r="D133" s="28"/>
      <c r="E133" s="29"/>
      <c r="F133" s="29"/>
      <c r="G133" s="30"/>
      <c r="H133" s="28"/>
      <c r="I133" s="28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1:21" ht="21.75" customHeight="1" x14ac:dyDescent="0.25">
      <c r="A134" s="28"/>
      <c r="B134" s="28"/>
      <c r="C134" s="28"/>
      <c r="D134" s="28"/>
      <c r="E134" s="29"/>
      <c r="F134" s="29"/>
      <c r="G134" s="30"/>
      <c r="H134" s="28"/>
      <c r="I134" s="28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ht="21.75" customHeight="1" x14ac:dyDescent="0.25">
      <c r="A135" s="28"/>
      <c r="B135" s="28"/>
      <c r="C135" s="28"/>
      <c r="D135" s="28"/>
      <c r="E135" s="29"/>
      <c r="F135" s="29"/>
      <c r="G135" s="30"/>
      <c r="H135" s="28"/>
      <c r="I135" s="28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1:21" ht="21.75" customHeight="1" x14ac:dyDescent="0.25">
      <c r="A136" s="28"/>
      <c r="B136" s="28"/>
      <c r="C136" s="28"/>
      <c r="D136" s="28"/>
      <c r="E136" s="29"/>
      <c r="F136" s="29"/>
      <c r="G136" s="30"/>
      <c r="H136" s="28"/>
      <c r="I136" s="28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1.75" customHeight="1" x14ac:dyDescent="0.25">
      <c r="A137" s="28"/>
      <c r="B137" s="28"/>
      <c r="C137" s="28"/>
      <c r="D137" s="28"/>
      <c r="E137" s="29"/>
      <c r="F137" s="29"/>
      <c r="G137" s="30"/>
      <c r="H137" s="28"/>
      <c r="I137" s="28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1:21" ht="21.75" customHeight="1" x14ac:dyDescent="0.25">
      <c r="A138" s="28"/>
      <c r="B138" s="28"/>
      <c r="C138" s="28"/>
      <c r="D138" s="28"/>
      <c r="E138" s="29"/>
      <c r="F138" s="29"/>
      <c r="G138" s="30"/>
      <c r="H138" s="28"/>
      <c r="I138" s="28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ht="21.75" customHeight="1" x14ac:dyDescent="0.25">
      <c r="A139" s="28"/>
      <c r="B139" s="28"/>
      <c r="C139" s="28"/>
      <c r="D139" s="28"/>
      <c r="E139" s="29"/>
      <c r="F139" s="29"/>
      <c r="G139" s="30"/>
      <c r="H139" s="28"/>
      <c r="I139" s="28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1:21" ht="21.75" customHeight="1" x14ac:dyDescent="0.25">
      <c r="A140" s="28"/>
      <c r="B140" s="28"/>
      <c r="C140" s="28"/>
      <c r="D140" s="28"/>
      <c r="E140" s="29"/>
      <c r="F140" s="29"/>
      <c r="G140" s="30"/>
      <c r="H140" s="28"/>
      <c r="I140" s="28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1.75" customHeight="1" x14ac:dyDescent="0.25">
      <c r="A141" s="28"/>
      <c r="B141" s="28"/>
      <c r="C141" s="28"/>
      <c r="D141" s="28"/>
      <c r="E141" s="29"/>
      <c r="F141" s="29"/>
      <c r="G141" s="30"/>
      <c r="H141" s="28"/>
      <c r="I141" s="28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ht="21.75" customHeight="1" x14ac:dyDescent="0.25">
      <c r="A142" s="28"/>
      <c r="B142" s="28"/>
      <c r="C142" s="28"/>
      <c r="D142" s="28"/>
      <c r="E142" s="29"/>
      <c r="F142" s="29"/>
      <c r="G142" s="30"/>
      <c r="H142" s="28"/>
      <c r="I142" s="28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ht="21.75" customHeight="1" x14ac:dyDescent="0.25">
      <c r="A143" s="28"/>
      <c r="B143" s="28"/>
      <c r="C143" s="28"/>
      <c r="D143" s="28"/>
      <c r="E143" s="29"/>
      <c r="F143" s="29"/>
      <c r="G143" s="30"/>
      <c r="H143" s="28"/>
      <c r="I143" s="28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1:21" ht="21.75" customHeight="1" x14ac:dyDescent="0.25">
      <c r="A144" s="28"/>
      <c r="B144" s="28"/>
      <c r="C144" s="28"/>
      <c r="D144" s="28"/>
      <c r="E144" s="29"/>
      <c r="F144" s="29"/>
      <c r="G144" s="30"/>
      <c r="H144" s="28"/>
      <c r="I144" s="28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ht="21.75" customHeight="1" x14ac:dyDescent="0.25">
      <c r="A145" s="28"/>
      <c r="B145" s="28"/>
      <c r="C145" s="28"/>
      <c r="D145" s="28"/>
      <c r="E145" s="29"/>
      <c r="F145" s="29"/>
      <c r="G145" s="30"/>
      <c r="H145" s="28"/>
      <c r="I145" s="28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1:21" ht="21.75" customHeight="1" x14ac:dyDescent="0.25">
      <c r="A146" s="28"/>
      <c r="B146" s="28"/>
      <c r="C146" s="28"/>
      <c r="D146" s="28"/>
      <c r="E146" s="29"/>
      <c r="F146" s="29"/>
      <c r="G146" s="30"/>
      <c r="H146" s="28"/>
      <c r="I146" s="28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ht="21.75" customHeight="1" x14ac:dyDescent="0.25">
      <c r="A147" s="28"/>
      <c r="B147" s="28"/>
      <c r="C147" s="28"/>
      <c r="D147" s="28"/>
      <c r="E147" s="29"/>
      <c r="F147" s="29"/>
      <c r="G147" s="30"/>
      <c r="H147" s="28"/>
      <c r="I147" s="28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1:21" ht="21.75" customHeight="1" x14ac:dyDescent="0.25">
      <c r="A148" s="28"/>
      <c r="B148" s="28"/>
      <c r="C148" s="28"/>
      <c r="D148" s="28"/>
      <c r="E148" s="29"/>
      <c r="F148" s="29"/>
      <c r="G148" s="30"/>
      <c r="H148" s="28"/>
      <c r="I148" s="28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ht="21.75" customHeight="1" x14ac:dyDescent="0.25">
      <c r="A149" s="28"/>
      <c r="B149" s="28"/>
      <c r="C149" s="28"/>
      <c r="D149" s="28"/>
      <c r="E149" s="29"/>
      <c r="F149" s="29"/>
      <c r="G149" s="30"/>
      <c r="H149" s="28"/>
      <c r="I149" s="28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1:21" ht="21.75" customHeight="1" x14ac:dyDescent="0.25">
      <c r="A150" s="28"/>
      <c r="B150" s="28"/>
      <c r="C150" s="28"/>
      <c r="D150" s="28"/>
      <c r="E150" s="29"/>
      <c r="F150" s="29"/>
      <c r="G150" s="30"/>
      <c r="H150" s="28"/>
      <c r="I150" s="28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ht="21.75" customHeight="1" x14ac:dyDescent="0.25">
      <c r="A151" s="28"/>
      <c r="B151" s="28"/>
      <c r="C151" s="28"/>
      <c r="D151" s="28"/>
      <c r="E151" s="29"/>
      <c r="F151" s="29"/>
      <c r="G151" s="30"/>
      <c r="H151" s="28"/>
      <c r="I151" s="28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1.75" customHeight="1" x14ac:dyDescent="0.25">
      <c r="A152" s="28"/>
      <c r="B152" s="28"/>
      <c r="C152" s="28"/>
      <c r="D152" s="28"/>
      <c r="E152" s="29"/>
      <c r="F152" s="29"/>
      <c r="G152" s="30"/>
      <c r="H152" s="28"/>
      <c r="I152" s="28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ht="21.75" customHeight="1" x14ac:dyDescent="0.25">
      <c r="A153" s="28"/>
      <c r="B153" s="28"/>
      <c r="C153" s="28"/>
      <c r="D153" s="28"/>
      <c r="E153" s="29"/>
      <c r="F153" s="29"/>
      <c r="G153" s="30"/>
      <c r="H153" s="28"/>
      <c r="I153" s="28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1:21" ht="21.75" customHeight="1" x14ac:dyDescent="0.25">
      <c r="A154" s="28"/>
      <c r="B154" s="28"/>
      <c r="C154" s="28"/>
      <c r="D154" s="28"/>
      <c r="E154" s="29"/>
      <c r="F154" s="29"/>
      <c r="G154" s="30"/>
      <c r="H154" s="28"/>
      <c r="I154" s="28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1.75" customHeight="1" x14ac:dyDescent="0.25">
      <c r="A155" s="28"/>
      <c r="B155" s="28"/>
      <c r="C155" s="28"/>
      <c r="D155" s="28"/>
      <c r="E155" s="29"/>
      <c r="F155" s="29"/>
      <c r="G155" s="30"/>
      <c r="H155" s="28"/>
      <c r="I155" s="28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ht="21.75" customHeight="1" x14ac:dyDescent="0.25">
      <c r="A156" s="28"/>
      <c r="B156" s="28"/>
      <c r="C156" s="28"/>
      <c r="D156" s="28"/>
      <c r="E156" s="29"/>
      <c r="F156" s="29"/>
      <c r="G156" s="30"/>
      <c r="H156" s="28"/>
      <c r="I156" s="28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ht="21.75" customHeight="1" x14ac:dyDescent="0.25">
      <c r="A157" s="28"/>
      <c r="B157" s="28"/>
      <c r="C157" s="28"/>
      <c r="D157" s="28"/>
      <c r="E157" s="29"/>
      <c r="F157" s="29"/>
      <c r="G157" s="30"/>
      <c r="H157" s="28"/>
      <c r="I157" s="28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1:21" ht="21.75" customHeight="1" x14ac:dyDescent="0.25">
      <c r="A158" s="28"/>
      <c r="B158" s="28"/>
      <c r="C158" s="28"/>
      <c r="D158" s="28"/>
      <c r="E158" s="29"/>
      <c r="F158" s="29"/>
      <c r="G158" s="30"/>
      <c r="H158" s="28"/>
      <c r="I158" s="28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ht="21.75" customHeight="1" x14ac:dyDescent="0.25">
      <c r="A159" s="28"/>
      <c r="B159" s="28"/>
      <c r="C159" s="28"/>
      <c r="D159" s="28"/>
      <c r="E159" s="29"/>
      <c r="F159" s="29"/>
      <c r="G159" s="30"/>
      <c r="H159" s="28"/>
      <c r="I159" s="28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1:21" ht="21.75" customHeight="1" x14ac:dyDescent="0.25">
      <c r="A160" s="28"/>
      <c r="B160" s="28"/>
      <c r="C160" s="28"/>
      <c r="D160" s="28"/>
      <c r="E160" s="29"/>
      <c r="F160" s="29"/>
      <c r="G160" s="30"/>
      <c r="H160" s="28"/>
      <c r="I160" s="28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ht="21.75" customHeight="1" x14ac:dyDescent="0.25">
      <c r="A161" s="28"/>
      <c r="B161" s="28"/>
      <c r="C161" s="28"/>
      <c r="D161" s="28"/>
      <c r="E161" s="29"/>
      <c r="F161" s="29"/>
      <c r="G161" s="30"/>
      <c r="H161" s="28"/>
      <c r="I161" s="28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1:21" ht="21.75" customHeight="1" x14ac:dyDescent="0.25">
      <c r="A162" s="28"/>
      <c r="B162" s="28"/>
      <c r="C162" s="28"/>
      <c r="D162" s="28"/>
      <c r="E162" s="29"/>
      <c r="F162" s="29"/>
      <c r="G162" s="30"/>
      <c r="H162" s="28"/>
      <c r="I162" s="28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ht="21.75" customHeight="1" x14ac:dyDescent="0.25">
      <c r="A163" s="28"/>
      <c r="B163" s="28"/>
      <c r="C163" s="28"/>
      <c r="D163" s="28"/>
      <c r="E163" s="29"/>
      <c r="F163" s="29"/>
      <c r="G163" s="30"/>
      <c r="H163" s="28"/>
      <c r="I163" s="28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1:21" ht="21.75" customHeight="1" x14ac:dyDescent="0.25">
      <c r="A164" s="28"/>
      <c r="B164" s="28"/>
      <c r="C164" s="28"/>
      <c r="D164" s="28"/>
      <c r="E164" s="29"/>
      <c r="F164" s="29"/>
      <c r="G164" s="30"/>
      <c r="H164" s="28"/>
      <c r="I164" s="28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ht="21.75" customHeight="1" x14ac:dyDescent="0.25">
      <c r="A165" s="28"/>
      <c r="B165" s="28"/>
      <c r="C165" s="28"/>
      <c r="D165" s="28"/>
      <c r="E165" s="29"/>
      <c r="F165" s="29"/>
      <c r="G165" s="30"/>
      <c r="H165" s="28"/>
      <c r="I165" s="28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1:21" ht="21.75" customHeight="1" x14ac:dyDescent="0.25">
      <c r="A166" s="28"/>
      <c r="B166" s="28"/>
      <c r="C166" s="28"/>
      <c r="D166" s="28"/>
      <c r="E166" s="29"/>
      <c r="F166" s="29"/>
      <c r="G166" s="30"/>
      <c r="H166" s="28"/>
      <c r="I166" s="28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ht="21.75" customHeight="1" x14ac:dyDescent="0.25">
      <c r="A167" s="28"/>
      <c r="B167" s="28"/>
      <c r="C167" s="28"/>
      <c r="D167" s="28"/>
      <c r="E167" s="29"/>
      <c r="F167" s="29"/>
      <c r="G167" s="30"/>
      <c r="H167" s="28"/>
      <c r="I167" s="28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1:21" ht="21.75" customHeight="1" x14ac:dyDescent="0.25">
      <c r="A168" s="28"/>
      <c r="B168" s="28"/>
      <c r="C168" s="28"/>
      <c r="D168" s="28"/>
      <c r="E168" s="29"/>
      <c r="F168" s="29"/>
      <c r="G168" s="30"/>
      <c r="H168" s="28"/>
      <c r="I168" s="28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ht="21.75" customHeight="1" x14ac:dyDescent="0.25">
      <c r="A169" s="28"/>
      <c r="B169" s="28"/>
      <c r="C169" s="28"/>
      <c r="D169" s="28"/>
      <c r="E169" s="29"/>
      <c r="F169" s="29"/>
      <c r="G169" s="30"/>
      <c r="H169" s="28"/>
      <c r="I169" s="28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1:21" ht="21.75" customHeight="1" x14ac:dyDescent="0.25">
      <c r="A170" s="28"/>
      <c r="B170" s="28"/>
      <c r="C170" s="28"/>
      <c r="D170" s="28"/>
      <c r="E170" s="29"/>
      <c r="F170" s="29"/>
      <c r="G170" s="30"/>
      <c r="H170" s="28"/>
      <c r="I170" s="28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1.75" customHeight="1" x14ac:dyDescent="0.25">
      <c r="A171" s="28"/>
      <c r="B171" s="28"/>
      <c r="C171" s="28"/>
      <c r="D171" s="28"/>
      <c r="E171" s="29"/>
      <c r="F171" s="29"/>
      <c r="G171" s="30"/>
      <c r="H171" s="28"/>
      <c r="I171" s="28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1:21" ht="21.75" customHeight="1" x14ac:dyDescent="0.25">
      <c r="A172" s="28"/>
      <c r="B172" s="28"/>
      <c r="C172" s="28"/>
      <c r="D172" s="28"/>
      <c r="E172" s="29"/>
      <c r="F172" s="29"/>
      <c r="G172" s="30"/>
      <c r="H172" s="28"/>
      <c r="I172" s="28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ht="21.75" customHeight="1" x14ac:dyDescent="0.25">
      <c r="A173" s="28"/>
      <c r="B173" s="28"/>
      <c r="C173" s="28"/>
      <c r="D173" s="28"/>
      <c r="E173" s="29"/>
      <c r="F173" s="29"/>
      <c r="G173" s="30"/>
      <c r="H173" s="28"/>
      <c r="I173" s="28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1:21" ht="21.75" customHeight="1" x14ac:dyDescent="0.25">
      <c r="A174" s="28"/>
      <c r="B174" s="28"/>
      <c r="C174" s="28"/>
      <c r="D174" s="28"/>
      <c r="E174" s="29"/>
      <c r="F174" s="29"/>
      <c r="G174" s="30"/>
      <c r="H174" s="28"/>
      <c r="I174" s="28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ht="21.75" customHeight="1" x14ac:dyDescent="0.25">
      <c r="A175" s="28"/>
      <c r="B175" s="28"/>
      <c r="C175" s="28"/>
      <c r="D175" s="28"/>
      <c r="E175" s="29"/>
      <c r="F175" s="29"/>
      <c r="G175" s="30"/>
      <c r="H175" s="28"/>
      <c r="I175" s="28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1:21" ht="21.75" customHeight="1" x14ac:dyDescent="0.25">
      <c r="A176" s="28"/>
      <c r="B176" s="28"/>
      <c r="C176" s="28"/>
      <c r="D176" s="28"/>
      <c r="E176" s="29"/>
      <c r="F176" s="29"/>
      <c r="G176" s="30"/>
      <c r="H176" s="28"/>
      <c r="I176" s="28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ht="21.75" customHeight="1" x14ac:dyDescent="0.25">
      <c r="A177" s="28"/>
      <c r="B177" s="28"/>
      <c r="C177" s="28"/>
      <c r="D177" s="28"/>
      <c r="E177" s="29"/>
      <c r="F177" s="29"/>
      <c r="G177" s="30"/>
      <c r="H177" s="28"/>
      <c r="I177" s="28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1:21" ht="21.75" customHeight="1" x14ac:dyDescent="0.25">
      <c r="A178" s="28"/>
      <c r="B178" s="28"/>
      <c r="C178" s="28"/>
      <c r="D178" s="28"/>
      <c r="E178" s="29"/>
      <c r="F178" s="29"/>
      <c r="G178" s="30"/>
      <c r="H178" s="28"/>
      <c r="I178" s="28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ht="21.75" customHeight="1" x14ac:dyDescent="0.25">
      <c r="A179" s="28"/>
      <c r="B179" s="28"/>
      <c r="C179" s="28"/>
      <c r="D179" s="28"/>
      <c r="E179" s="29"/>
      <c r="F179" s="29"/>
      <c r="G179" s="30"/>
      <c r="H179" s="28"/>
      <c r="I179" s="28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1:21" ht="21.75" customHeight="1" x14ac:dyDescent="0.25">
      <c r="A180" s="28"/>
      <c r="B180" s="28"/>
      <c r="C180" s="28"/>
      <c r="D180" s="28"/>
      <c r="E180" s="29"/>
      <c r="F180" s="29"/>
      <c r="G180" s="30"/>
      <c r="H180" s="28"/>
      <c r="I180" s="28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ht="21.75" customHeight="1" x14ac:dyDescent="0.25">
      <c r="A181" s="28"/>
      <c r="B181" s="28"/>
      <c r="C181" s="28"/>
      <c r="D181" s="28"/>
      <c r="E181" s="29"/>
      <c r="F181" s="29"/>
      <c r="G181" s="30"/>
      <c r="H181" s="28"/>
      <c r="I181" s="28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1:21" ht="21.75" customHeight="1" x14ac:dyDescent="0.25">
      <c r="A182" s="28"/>
      <c r="B182" s="28"/>
      <c r="C182" s="28"/>
      <c r="D182" s="28"/>
      <c r="E182" s="29"/>
      <c r="F182" s="29"/>
      <c r="G182" s="30"/>
      <c r="H182" s="28"/>
      <c r="I182" s="28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ht="21.75" customHeight="1" x14ac:dyDescent="0.25">
      <c r="A183" s="28"/>
      <c r="B183" s="28"/>
      <c r="C183" s="28"/>
      <c r="D183" s="28"/>
      <c r="E183" s="29"/>
      <c r="F183" s="29"/>
      <c r="G183" s="30"/>
      <c r="H183" s="28"/>
      <c r="I183" s="28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1.75" customHeight="1" x14ac:dyDescent="0.25">
      <c r="A184" s="28"/>
      <c r="B184" s="28"/>
      <c r="C184" s="28"/>
      <c r="D184" s="28"/>
      <c r="E184" s="29"/>
      <c r="F184" s="29"/>
      <c r="G184" s="30"/>
      <c r="H184" s="28"/>
      <c r="I184" s="28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ht="21.75" customHeight="1" x14ac:dyDescent="0.25">
      <c r="A185" s="28"/>
      <c r="B185" s="28"/>
      <c r="C185" s="28"/>
      <c r="D185" s="28"/>
      <c r="E185" s="29"/>
      <c r="F185" s="29"/>
      <c r="G185" s="30"/>
      <c r="H185" s="28"/>
      <c r="I185" s="28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1:21" ht="21.75" customHeight="1" x14ac:dyDescent="0.25">
      <c r="A186" s="28"/>
      <c r="B186" s="28"/>
      <c r="C186" s="28"/>
      <c r="D186" s="28"/>
      <c r="E186" s="29"/>
      <c r="F186" s="29"/>
      <c r="G186" s="30"/>
      <c r="H186" s="28"/>
      <c r="I186" s="28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ht="21.75" customHeight="1" x14ac:dyDescent="0.25">
      <c r="A187" s="28"/>
      <c r="B187" s="28"/>
      <c r="C187" s="28"/>
      <c r="D187" s="28"/>
      <c r="E187" s="29"/>
      <c r="F187" s="29"/>
      <c r="G187" s="30"/>
      <c r="H187" s="28"/>
      <c r="I187" s="28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ht="21.75" customHeight="1" x14ac:dyDescent="0.25">
      <c r="A188" s="28"/>
      <c r="B188" s="28"/>
      <c r="C188" s="28"/>
      <c r="D188" s="28"/>
      <c r="E188" s="29"/>
      <c r="F188" s="29"/>
      <c r="G188" s="30"/>
      <c r="H188" s="28"/>
      <c r="I188" s="28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ht="21.75" customHeight="1" x14ac:dyDescent="0.25">
      <c r="A189" s="28"/>
      <c r="B189" s="28"/>
      <c r="C189" s="28"/>
      <c r="D189" s="28"/>
      <c r="E189" s="29"/>
      <c r="F189" s="29"/>
      <c r="G189" s="30"/>
      <c r="H189" s="28"/>
      <c r="I189" s="28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1:21" ht="21.75" customHeight="1" x14ac:dyDescent="0.25">
      <c r="A190" s="28"/>
      <c r="B190" s="28"/>
      <c r="C190" s="28"/>
      <c r="D190" s="28"/>
      <c r="E190" s="29"/>
      <c r="F190" s="29"/>
      <c r="G190" s="30"/>
      <c r="H190" s="28"/>
      <c r="I190" s="28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ht="21.75" customHeight="1" x14ac:dyDescent="0.25">
      <c r="A191" s="28"/>
      <c r="B191" s="28"/>
      <c r="C191" s="28"/>
      <c r="D191" s="28"/>
      <c r="E191" s="29"/>
      <c r="F191" s="29"/>
      <c r="G191" s="30"/>
      <c r="H191" s="28"/>
      <c r="I191" s="28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1:21" ht="21.75" customHeight="1" x14ac:dyDescent="0.25">
      <c r="A192" s="28"/>
      <c r="B192" s="28"/>
      <c r="C192" s="28"/>
      <c r="D192" s="28"/>
      <c r="E192" s="29"/>
      <c r="F192" s="29"/>
      <c r="G192" s="30"/>
      <c r="H192" s="28"/>
      <c r="I192" s="28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ht="21.75" customHeight="1" x14ac:dyDescent="0.25">
      <c r="A193" s="28"/>
      <c r="B193" s="28"/>
      <c r="C193" s="28"/>
      <c r="D193" s="28"/>
      <c r="E193" s="29"/>
      <c r="F193" s="29"/>
      <c r="G193" s="30"/>
      <c r="H193" s="28"/>
      <c r="I193" s="28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1:21" ht="21.75" customHeight="1" x14ac:dyDescent="0.25">
      <c r="A194" s="28"/>
      <c r="B194" s="28"/>
      <c r="C194" s="28"/>
      <c r="D194" s="28"/>
      <c r="E194" s="29"/>
      <c r="F194" s="29"/>
      <c r="G194" s="30"/>
      <c r="H194" s="28"/>
      <c r="I194" s="28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1.75" customHeight="1" x14ac:dyDescent="0.25">
      <c r="A195" s="28"/>
      <c r="B195" s="28"/>
      <c r="C195" s="28"/>
      <c r="D195" s="28"/>
      <c r="E195" s="29"/>
      <c r="F195" s="29"/>
      <c r="G195" s="30"/>
      <c r="H195" s="28"/>
      <c r="I195" s="28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1:21" ht="21.75" customHeight="1" x14ac:dyDescent="0.25">
      <c r="A196" s="28"/>
      <c r="B196" s="28"/>
      <c r="C196" s="28"/>
      <c r="D196" s="28"/>
      <c r="E196" s="29"/>
      <c r="F196" s="29"/>
      <c r="G196" s="30"/>
      <c r="H196" s="28"/>
      <c r="I196" s="28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ht="21.75" customHeight="1" x14ac:dyDescent="0.25">
      <c r="A197" s="28"/>
      <c r="B197" s="28"/>
      <c r="C197" s="28"/>
      <c r="D197" s="28"/>
      <c r="E197" s="29"/>
      <c r="F197" s="29"/>
      <c r="G197" s="30"/>
      <c r="H197" s="28"/>
      <c r="I197" s="28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1:21" ht="21.75" customHeight="1" x14ac:dyDescent="0.25">
      <c r="A198" s="28"/>
      <c r="B198" s="28"/>
      <c r="C198" s="28"/>
      <c r="D198" s="28"/>
      <c r="E198" s="29"/>
      <c r="F198" s="29"/>
      <c r="G198" s="30"/>
      <c r="H198" s="28"/>
      <c r="I198" s="28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ht="21.75" customHeight="1" x14ac:dyDescent="0.25">
      <c r="A199" s="28"/>
      <c r="B199" s="28"/>
      <c r="C199" s="28"/>
      <c r="D199" s="28"/>
      <c r="E199" s="29"/>
      <c r="F199" s="29"/>
      <c r="G199" s="30"/>
      <c r="H199" s="28"/>
      <c r="I199" s="28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1.75" customHeight="1" x14ac:dyDescent="0.25">
      <c r="A200" s="28"/>
      <c r="B200" s="28"/>
      <c r="C200" s="28"/>
      <c r="D200" s="28"/>
      <c r="E200" s="29"/>
      <c r="F200" s="29"/>
      <c r="G200" s="30"/>
      <c r="H200" s="28"/>
      <c r="I200" s="28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ht="21.75" customHeight="1" x14ac:dyDescent="0.25">
      <c r="A201" s="28"/>
      <c r="B201" s="28"/>
      <c r="C201" s="28"/>
      <c r="D201" s="28"/>
      <c r="E201" s="29"/>
      <c r="F201" s="29"/>
      <c r="G201" s="30"/>
      <c r="H201" s="28"/>
      <c r="I201" s="28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1:21" ht="21.75" customHeight="1" x14ac:dyDescent="0.25">
      <c r="A202" s="28"/>
      <c r="B202" s="28"/>
      <c r="C202" s="28"/>
      <c r="D202" s="28"/>
      <c r="E202" s="29"/>
      <c r="F202" s="29"/>
      <c r="G202" s="30"/>
      <c r="H202" s="28"/>
      <c r="I202" s="28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ht="21.75" customHeight="1" x14ac:dyDescent="0.25">
      <c r="A203" s="28"/>
      <c r="B203" s="28"/>
      <c r="C203" s="28"/>
      <c r="D203" s="28"/>
      <c r="E203" s="29"/>
      <c r="F203" s="29"/>
      <c r="G203" s="30"/>
      <c r="H203" s="28"/>
      <c r="I203" s="28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1:21" ht="21.75" customHeight="1" x14ac:dyDescent="0.25">
      <c r="A204" s="28"/>
      <c r="B204" s="28"/>
      <c r="C204" s="28"/>
      <c r="D204" s="28"/>
      <c r="E204" s="29"/>
      <c r="F204" s="29"/>
      <c r="G204" s="30"/>
      <c r="H204" s="28"/>
      <c r="I204" s="28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s="13" customFormat="1" ht="21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1:21" s="13" customFormat="1" ht="21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s="13" customFormat="1" ht="21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s="13" customFormat="1" ht="21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s="13" customFormat="1" ht="21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1:21" s="13" customFormat="1" ht="21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s="13" customFormat="1" ht="21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s="13" customFormat="1" ht="21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s="13" customFormat="1" ht="21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1:21" s="13" customFormat="1" ht="21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s="13" customFormat="1" ht="21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1:21" s="13" customFormat="1" ht="21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s="13" customFormat="1" ht="21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1:21" s="13" customFormat="1" ht="21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s="13" customFormat="1" ht="21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1:21" s="13" customFormat="1" ht="21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s="13" customFormat="1" ht="21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1:21" s="13" customFormat="1" ht="21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s="13" customFormat="1" ht="21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1:21" s="13" customFormat="1" ht="21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s="13" customFormat="1" ht="21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1:21" s="13" customFormat="1" ht="21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s="13" customFormat="1" ht="21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1:21" s="13" customFormat="1" ht="21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s="13" customFormat="1" ht="21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1:21" s="13" customFormat="1" ht="21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s="13" customFormat="1" ht="21.75" customHeight="1" x14ac:dyDescent="0.25"/>
    <row r="232" spans="1:21" s="13" customFormat="1" ht="21.75" customHeight="1" x14ac:dyDescent="0.25"/>
    <row r="233" spans="1:21" s="13" customFormat="1" ht="21.75" customHeight="1" x14ac:dyDescent="0.25"/>
    <row r="234" spans="1:21" s="13" customFormat="1" ht="21.75" customHeight="1" x14ac:dyDescent="0.25"/>
    <row r="235" spans="1:21" s="13" customFormat="1" ht="21.75" customHeight="1" x14ac:dyDescent="0.25"/>
    <row r="236" spans="1:21" s="13" customFormat="1" ht="21.75" customHeight="1" x14ac:dyDescent="0.25"/>
    <row r="237" spans="1:21" s="13" customFormat="1" ht="21.75" customHeight="1" x14ac:dyDescent="0.25"/>
    <row r="238" spans="1:21" s="13" customFormat="1" ht="21.75" customHeight="1" x14ac:dyDescent="0.25"/>
    <row r="239" spans="1:21" s="13" customFormat="1" ht="21.75" customHeight="1" x14ac:dyDescent="0.25"/>
    <row r="240" spans="1:21" s="13" customFormat="1" ht="21.75" customHeight="1" x14ac:dyDescent="0.25"/>
    <row r="241" s="13" customFormat="1" ht="21.75" customHeight="1" x14ac:dyDescent="0.25"/>
    <row r="242" s="13" customFormat="1" ht="21.75" customHeight="1" x14ac:dyDescent="0.25"/>
    <row r="243" s="13" customFormat="1" ht="21.75" customHeight="1" x14ac:dyDescent="0.25"/>
    <row r="244" s="13" customFormat="1" ht="21.75" customHeight="1" x14ac:dyDescent="0.25"/>
    <row r="245" s="13" customFormat="1" ht="21.75" customHeight="1" x14ac:dyDescent="0.25"/>
    <row r="246" s="13" customFormat="1" ht="21.75" customHeight="1" x14ac:dyDescent="0.25"/>
    <row r="247" s="13" customFormat="1" ht="21.75" customHeight="1" x14ac:dyDescent="0.25"/>
    <row r="248" s="13" customFormat="1" ht="21.75" customHeight="1" x14ac:dyDescent="0.25"/>
    <row r="249" s="13" customFormat="1" ht="21.75" customHeight="1" x14ac:dyDescent="0.25"/>
    <row r="250" s="13" customFormat="1" ht="21.75" customHeight="1" x14ac:dyDescent="0.25"/>
    <row r="251" s="13" customFormat="1" ht="21.75" customHeight="1" x14ac:dyDescent="0.25"/>
    <row r="252" s="13" customFormat="1" ht="21.75" customHeight="1" x14ac:dyDescent="0.25"/>
    <row r="253" s="13" customFormat="1" ht="21.75" customHeight="1" x14ac:dyDescent="0.25"/>
    <row r="254" s="13" customFormat="1" ht="21.75" customHeight="1" x14ac:dyDescent="0.25"/>
    <row r="255" s="13" customFormat="1" ht="21.75" customHeight="1" x14ac:dyDescent="0.25"/>
    <row r="256" s="13" customFormat="1" ht="21.75" customHeight="1" x14ac:dyDescent="0.25"/>
    <row r="257" s="13" customFormat="1" ht="21.75" customHeight="1" x14ac:dyDescent="0.25"/>
    <row r="258" s="13" customFormat="1" ht="21.75" customHeight="1" x14ac:dyDescent="0.25"/>
    <row r="259" s="13" customFormat="1" ht="21.75" customHeight="1" x14ac:dyDescent="0.25"/>
    <row r="260" s="13" customFormat="1" ht="21.75" customHeight="1" x14ac:dyDescent="0.25"/>
    <row r="261" s="13" customFormat="1" ht="21.75" customHeight="1" x14ac:dyDescent="0.25"/>
    <row r="262" s="13" customFormat="1" ht="21.75" customHeight="1" x14ac:dyDescent="0.25"/>
    <row r="263" s="13" customFormat="1" ht="21.75" customHeight="1" x14ac:dyDescent="0.25"/>
    <row r="264" s="13" customFormat="1" ht="21.75" customHeight="1" x14ac:dyDescent="0.25"/>
    <row r="265" s="13" customFormat="1" ht="21.75" customHeight="1" x14ac:dyDescent="0.25"/>
    <row r="266" s="13" customFormat="1" ht="21.75" customHeight="1" x14ac:dyDescent="0.25"/>
    <row r="267" s="13" customFormat="1" ht="21.75" customHeight="1" x14ac:dyDescent="0.25"/>
    <row r="268" s="13" customFormat="1" ht="21.75" customHeight="1" x14ac:dyDescent="0.25"/>
    <row r="269" s="13" customFormat="1" ht="21.75" customHeight="1" x14ac:dyDescent="0.25"/>
    <row r="270" s="13" customFormat="1" ht="21.75" customHeight="1" x14ac:dyDescent="0.25"/>
    <row r="271" s="13" customFormat="1" ht="21.75" customHeight="1" x14ac:dyDescent="0.25"/>
    <row r="272" s="13" customFormat="1" ht="21.75" customHeight="1" x14ac:dyDescent="0.25"/>
    <row r="273" s="13" customFormat="1" ht="21.75" customHeight="1" x14ac:dyDescent="0.25"/>
    <row r="274" s="13" customFormat="1" ht="21.75" customHeight="1" x14ac:dyDescent="0.25"/>
    <row r="275" s="13" customFormat="1" ht="21.75" customHeight="1" x14ac:dyDescent="0.25"/>
    <row r="276" s="13" customFormat="1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  <row r="393" ht="21.75" customHeight="1" x14ac:dyDescent="0.25"/>
    <row r="394" ht="21.75" customHeight="1" x14ac:dyDescent="0.25"/>
    <row r="395" ht="21.75" customHeight="1" x14ac:dyDescent="0.25"/>
    <row r="396" ht="21.75" customHeight="1" x14ac:dyDescent="0.25"/>
    <row r="397" ht="21.75" customHeight="1" x14ac:dyDescent="0.25"/>
    <row r="398" ht="21.75" customHeight="1" x14ac:dyDescent="0.25"/>
    <row r="399" ht="21.75" customHeight="1" x14ac:dyDescent="0.25"/>
    <row r="400" ht="21.75" customHeight="1" x14ac:dyDescent="0.25"/>
    <row r="401" ht="21.75" customHeight="1" x14ac:dyDescent="0.25"/>
    <row r="402" ht="21.75" customHeight="1" x14ac:dyDescent="0.25"/>
    <row r="403" ht="21.75" customHeight="1" x14ac:dyDescent="0.25"/>
    <row r="404" ht="21.75" customHeight="1" x14ac:dyDescent="0.25"/>
    <row r="405" ht="21.75" customHeight="1" x14ac:dyDescent="0.25"/>
    <row r="406" ht="21.75" customHeight="1" x14ac:dyDescent="0.25"/>
    <row r="407" ht="21.75" customHeight="1" x14ac:dyDescent="0.25"/>
    <row r="408" ht="21.75" customHeight="1" x14ac:dyDescent="0.25"/>
    <row r="409" ht="21.75" customHeight="1" x14ac:dyDescent="0.25"/>
    <row r="410" ht="21.75" customHeight="1" x14ac:dyDescent="0.25"/>
    <row r="411" ht="21.75" customHeight="1" x14ac:dyDescent="0.25"/>
    <row r="412" ht="21.75" customHeight="1" x14ac:dyDescent="0.25"/>
    <row r="413" ht="21.75" customHeight="1" x14ac:dyDescent="0.25"/>
    <row r="414" ht="21.75" customHeight="1" x14ac:dyDescent="0.25"/>
    <row r="415" ht="21.75" customHeight="1" x14ac:dyDescent="0.25"/>
    <row r="416" ht="21.75" customHeight="1" x14ac:dyDescent="0.25"/>
    <row r="417" ht="21.75" customHeight="1" x14ac:dyDescent="0.25"/>
    <row r="418" ht="21.75" customHeight="1" x14ac:dyDescent="0.25"/>
    <row r="419" ht="21.75" customHeight="1" x14ac:dyDescent="0.25"/>
    <row r="420" ht="21.75" customHeight="1" x14ac:dyDescent="0.25"/>
    <row r="421" ht="21.75" customHeight="1" x14ac:dyDescent="0.25"/>
    <row r="422" ht="21.75" customHeight="1" x14ac:dyDescent="0.25"/>
    <row r="423" ht="21.75" customHeight="1" x14ac:dyDescent="0.25"/>
    <row r="424" ht="21.75" customHeight="1" x14ac:dyDescent="0.25"/>
    <row r="425" ht="21.75" customHeight="1" x14ac:dyDescent="0.25"/>
    <row r="426" ht="21.75" customHeight="1" x14ac:dyDescent="0.25"/>
    <row r="427" ht="21.75" customHeight="1" x14ac:dyDescent="0.25"/>
    <row r="428" ht="21.75" customHeight="1" x14ac:dyDescent="0.25"/>
    <row r="429" ht="21.75" customHeight="1" x14ac:dyDescent="0.25"/>
    <row r="430" ht="21.75" customHeight="1" x14ac:dyDescent="0.25"/>
    <row r="431" ht="21.75" customHeight="1" x14ac:dyDescent="0.25"/>
    <row r="432" ht="21.75" customHeight="1" x14ac:dyDescent="0.25"/>
    <row r="433" ht="21.75" customHeight="1" x14ac:dyDescent="0.25"/>
    <row r="434" ht="21.75" customHeight="1" x14ac:dyDescent="0.25"/>
    <row r="435" ht="21.75" customHeight="1" x14ac:dyDescent="0.25"/>
    <row r="436" ht="21.75" customHeight="1" x14ac:dyDescent="0.25"/>
    <row r="437" ht="21.75" customHeight="1" x14ac:dyDescent="0.25"/>
    <row r="438" ht="21.75" customHeight="1" x14ac:dyDescent="0.25"/>
    <row r="439" ht="21.75" customHeight="1" x14ac:dyDescent="0.25"/>
    <row r="440" ht="21.75" customHeight="1" x14ac:dyDescent="0.25"/>
    <row r="441" ht="21.75" customHeight="1" x14ac:dyDescent="0.25"/>
    <row r="442" ht="21.75" customHeight="1" x14ac:dyDescent="0.25"/>
    <row r="443" ht="21.75" customHeight="1" x14ac:dyDescent="0.25"/>
    <row r="444" ht="21.75" customHeight="1" x14ac:dyDescent="0.25"/>
    <row r="445" ht="21.75" customHeight="1" x14ac:dyDescent="0.25"/>
    <row r="446" ht="21.75" customHeight="1" x14ac:dyDescent="0.25"/>
    <row r="447" ht="21.75" customHeight="1" x14ac:dyDescent="0.25"/>
    <row r="448" ht="21.75" customHeight="1" x14ac:dyDescent="0.25"/>
    <row r="449" ht="21.75" customHeight="1" x14ac:dyDescent="0.25"/>
    <row r="450" ht="21.75" customHeight="1" x14ac:dyDescent="0.25"/>
    <row r="451" ht="21.75" customHeight="1" x14ac:dyDescent="0.25"/>
    <row r="452" ht="21.75" customHeight="1" x14ac:dyDescent="0.25"/>
    <row r="453" ht="21.75" customHeight="1" x14ac:dyDescent="0.25"/>
    <row r="454" ht="21.75" customHeight="1" x14ac:dyDescent="0.25"/>
    <row r="455" ht="21.75" customHeight="1" x14ac:dyDescent="0.25"/>
    <row r="456" ht="21.75" customHeight="1" x14ac:dyDescent="0.25"/>
    <row r="457" ht="21.75" customHeight="1" x14ac:dyDescent="0.25"/>
    <row r="458" ht="21.75" customHeight="1" x14ac:dyDescent="0.25"/>
    <row r="459" ht="21.75" customHeight="1" x14ac:dyDescent="0.25"/>
    <row r="460" ht="21.75" customHeight="1" x14ac:dyDescent="0.25"/>
    <row r="461" ht="21.75" customHeight="1" x14ac:dyDescent="0.25"/>
    <row r="462" ht="21.75" customHeight="1" x14ac:dyDescent="0.25"/>
    <row r="463" ht="21.75" customHeight="1" x14ac:dyDescent="0.25"/>
    <row r="464" ht="21.75" customHeight="1" x14ac:dyDescent="0.25"/>
    <row r="465" ht="21.75" customHeight="1" x14ac:dyDescent="0.25"/>
    <row r="466" ht="21.75" customHeight="1" x14ac:dyDescent="0.25"/>
    <row r="467" ht="21.75" customHeight="1" x14ac:dyDescent="0.25"/>
    <row r="468" ht="21.75" customHeight="1" x14ac:dyDescent="0.25"/>
    <row r="469" ht="21.75" customHeight="1" x14ac:dyDescent="0.25"/>
    <row r="470" ht="21.75" customHeight="1" x14ac:dyDescent="0.25"/>
    <row r="471" ht="21.75" customHeight="1" x14ac:dyDescent="0.25"/>
    <row r="472" ht="21.75" customHeight="1" x14ac:dyDescent="0.25"/>
    <row r="473" ht="21.75" customHeight="1" x14ac:dyDescent="0.25"/>
    <row r="474" ht="21.75" customHeight="1" x14ac:dyDescent="0.25"/>
    <row r="475" ht="21.75" customHeight="1" x14ac:dyDescent="0.25"/>
    <row r="476" ht="21.75" customHeight="1" x14ac:dyDescent="0.25"/>
    <row r="477" ht="21.75" customHeight="1" x14ac:dyDescent="0.25"/>
    <row r="478" ht="21.75" customHeight="1" x14ac:dyDescent="0.25"/>
    <row r="479" ht="21.75" customHeight="1" x14ac:dyDescent="0.25"/>
    <row r="480" ht="21.75" customHeight="1" x14ac:dyDescent="0.25"/>
    <row r="481" ht="21.75" customHeight="1" x14ac:dyDescent="0.25"/>
    <row r="482" ht="21.75" customHeight="1" x14ac:dyDescent="0.25"/>
    <row r="483" ht="21.75" customHeight="1" x14ac:dyDescent="0.25"/>
    <row r="484" ht="21.75" customHeight="1" x14ac:dyDescent="0.25"/>
    <row r="485" ht="21.75" customHeight="1" x14ac:dyDescent="0.25"/>
    <row r="486" ht="21.75" customHeight="1" x14ac:dyDescent="0.25"/>
    <row r="487" ht="21.75" customHeight="1" x14ac:dyDescent="0.25"/>
    <row r="488" ht="21.75" customHeight="1" x14ac:dyDescent="0.25"/>
    <row r="489" ht="21.75" customHeight="1" x14ac:dyDescent="0.25"/>
    <row r="490" ht="21.75" customHeight="1" x14ac:dyDescent="0.25"/>
    <row r="491" ht="21.75" customHeight="1" x14ac:dyDescent="0.25"/>
    <row r="492" ht="21.75" customHeight="1" x14ac:dyDescent="0.25"/>
    <row r="493" ht="21.75" customHeight="1" x14ac:dyDescent="0.25"/>
    <row r="494" ht="21.75" customHeight="1" x14ac:dyDescent="0.25"/>
    <row r="495" ht="21.75" customHeight="1" x14ac:dyDescent="0.25"/>
    <row r="496" ht="21.75" customHeight="1" x14ac:dyDescent="0.25"/>
    <row r="497" ht="21.75" customHeight="1" x14ac:dyDescent="0.25"/>
    <row r="498" ht="21.75" customHeight="1" x14ac:dyDescent="0.25"/>
    <row r="499" ht="21.75" customHeight="1" x14ac:dyDescent="0.25"/>
    <row r="500" ht="21.75" customHeight="1" x14ac:dyDescent="0.25"/>
    <row r="501" ht="21.75" customHeight="1" x14ac:dyDescent="0.25"/>
    <row r="502" ht="21.75" customHeight="1" x14ac:dyDescent="0.25"/>
    <row r="503" ht="21.75" customHeight="1" x14ac:dyDescent="0.25"/>
    <row r="504" ht="21.75" customHeight="1" x14ac:dyDescent="0.25"/>
    <row r="505" ht="21.75" customHeight="1" x14ac:dyDescent="0.25"/>
    <row r="506" ht="21.75" customHeight="1" x14ac:dyDescent="0.25"/>
    <row r="507" ht="21.75" customHeight="1" x14ac:dyDescent="0.25"/>
    <row r="508" ht="21.75" customHeight="1" x14ac:dyDescent="0.25"/>
    <row r="509" ht="21.75" customHeight="1" x14ac:dyDescent="0.25"/>
    <row r="510" ht="21.75" customHeight="1" x14ac:dyDescent="0.25"/>
    <row r="511" ht="21.75" customHeight="1" x14ac:dyDescent="0.25"/>
    <row r="512" ht="21.75" customHeight="1" x14ac:dyDescent="0.25"/>
    <row r="513" ht="21.75" customHeight="1" x14ac:dyDescent="0.25"/>
    <row r="514" ht="21.75" customHeight="1" x14ac:dyDescent="0.25"/>
    <row r="515" ht="21.75" customHeight="1" x14ac:dyDescent="0.25"/>
    <row r="516" ht="21.75" customHeight="1" x14ac:dyDescent="0.25"/>
    <row r="517" ht="21.75" customHeight="1" x14ac:dyDescent="0.25"/>
    <row r="518" ht="21.75" customHeight="1" x14ac:dyDescent="0.25"/>
    <row r="519" ht="21.75" customHeight="1" x14ac:dyDescent="0.25"/>
    <row r="520" ht="21.75" customHeight="1" x14ac:dyDescent="0.25"/>
    <row r="521" ht="21.75" customHeight="1" x14ac:dyDescent="0.25"/>
    <row r="522" ht="21.75" customHeight="1" x14ac:dyDescent="0.25"/>
    <row r="523" ht="21.75" customHeight="1" x14ac:dyDescent="0.25"/>
    <row r="524" ht="21.75" customHeight="1" x14ac:dyDescent="0.25"/>
    <row r="525" ht="21.75" customHeight="1" x14ac:dyDescent="0.25"/>
    <row r="526" ht="21.75" customHeight="1" x14ac:dyDescent="0.25"/>
    <row r="527" ht="21.75" customHeight="1" x14ac:dyDescent="0.25"/>
    <row r="528" ht="21.75" customHeight="1" x14ac:dyDescent="0.25"/>
    <row r="529" ht="21.75" customHeight="1" x14ac:dyDescent="0.25"/>
    <row r="530" ht="21.75" customHeight="1" x14ac:dyDescent="0.25"/>
    <row r="531" ht="21.75" customHeight="1" x14ac:dyDescent="0.25"/>
    <row r="532" ht="21.75" customHeight="1" x14ac:dyDescent="0.25"/>
    <row r="533" ht="21.75" customHeight="1" x14ac:dyDescent="0.25"/>
    <row r="534" ht="21.75" customHeight="1" x14ac:dyDescent="0.25"/>
    <row r="535" ht="21.75" customHeight="1" x14ac:dyDescent="0.25"/>
    <row r="536" ht="21.75" customHeight="1" x14ac:dyDescent="0.25"/>
    <row r="537" ht="21.75" customHeight="1" x14ac:dyDescent="0.25"/>
    <row r="538" ht="21.75" customHeight="1" x14ac:dyDescent="0.25"/>
    <row r="539" ht="21.75" customHeight="1" x14ac:dyDescent="0.25"/>
    <row r="540" ht="21.75" customHeight="1" x14ac:dyDescent="0.25"/>
    <row r="541" ht="21.75" customHeight="1" x14ac:dyDescent="0.25"/>
    <row r="542" ht="21.75" customHeight="1" x14ac:dyDescent="0.25"/>
    <row r="543" ht="21.75" customHeight="1" x14ac:dyDescent="0.25"/>
    <row r="544" ht="21.75" customHeight="1" x14ac:dyDescent="0.25"/>
    <row r="545" ht="21.75" customHeight="1" x14ac:dyDescent="0.25"/>
    <row r="546" ht="21.75" customHeight="1" x14ac:dyDescent="0.25"/>
    <row r="547" ht="21.75" customHeight="1" x14ac:dyDescent="0.25"/>
    <row r="548" ht="21.75" customHeight="1" x14ac:dyDescent="0.25"/>
    <row r="549" ht="21.75" customHeight="1" x14ac:dyDescent="0.25"/>
    <row r="550" ht="21.75" customHeight="1" x14ac:dyDescent="0.25"/>
    <row r="551" ht="21.75" customHeight="1" x14ac:dyDescent="0.25"/>
    <row r="552" ht="21.75" customHeight="1" x14ac:dyDescent="0.25"/>
    <row r="553" ht="21.75" customHeight="1" x14ac:dyDescent="0.25"/>
    <row r="554" ht="21.75" customHeight="1" x14ac:dyDescent="0.25"/>
    <row r="555" ht="21.75" customHeight="1" x14ac:dyDescent="0.25"/>
    <row r="556" ht="21.75" customHeight="1" x14ac:dyDescent="0.25"/>
    <row r="557" ht="21.75" customHeight="1" x14ac:dyDescent="0.25"/>
    <row r="558" ht="21.75" customHeight="1" x14ac:dyDescent="0.25"/>
    <row r="559" ht="21.75" customHeight="1" x14ac:dyDescent="0.25"/>
    <row r="560" ht="21.75" customHeight="1" x14ac:dyDescent="0.25"/>
    <row r="561" ht="21.75" customHeight="1" x14ac:dyDescent="0.25"/>
    <row r="562" ht="21.75" customHeight="1" x14ac:dyDescent="0.25"/>
    <row r="563" ht="21.75" customHeight="1" x14ac:dyDescent="0.25"/>
    <row r="564" ht="21.75" customHeight="1" x14ac:dyDescent="0.25"/>
    <row r="565" ht="21.75" customHeight="1" x14ac:dyDescent="0.25"/>
    <row r="566" ht="21.75" customHeight="1" x14ac:dyDescent="0.25"/>
    <row r="567" ht="21.75" customHeight="1" x14ac:dyDescent="0.25"/>
    <row r="568" ht="21.75" customHeight="1" x14ac:dyDescent="0.25"/>
    <row r="569" ht="21.75" customHeight="1" x14ac:dyDescent="0.25"/>
    <row r="570" ht="21.75" customHeight="1" x14ac:dyDescent="0.25"/>
    <row r="571" ht="21.75" customHeight="1" x14ac:dyDescent="0.25"/>
    <row r="572" ht="21.75" customHeight="1" x14ac:dyDescent="0.25"/>
    <row r="573" ht="21.75" customHeight="1" x14ac:dyDescent="0.25"/>
    <row r="574" ht="21.75" customHeight="1" x14ac:dyDescent="0.25"/>
    <row r="575" ht="21.75" customHeight="1" x14ac:dyDescent="0.25"/>
    <row r="576" ht="21.75" customHeight="1" x14ac:dyDescent="0.25"/>
    <row r="577" ht="21.75" customHeight="1" x14ac:dyDescent="0.25"/>
    <row r="578" ht="21.75" customHeight="1" x14ac:dyDescent="0.25"/>
    <row r="579" ht="21.75" customHeight="1" x14ac:dyDescent="0.25"/>
    <row r="580" ht="21.75" customHeight="1" x14ac:dyDescent="0.25"/>
    <row r="581" ht="21.75" customHeight="1" x14ac:dyDescent="0.25"/>
    <row r="582" ht="21.75" customHeight="1" x14ac:dyDescent="0.25"/>
    <row r="583" ht="21.75" customHeight="1" x14ac:dyDescent="0.25"/>
    <row r="584" ht="21.75" customHeight="1" x14ac:dyDescent="0.25"/>
    <row r="585" ht="21.75" customHeight="1" x14ac:dyDescent="0.25"/>
    <row r="586" ht="21.75" customHeight="1" x14ac:dyDescent="0.25"/>
    <row r="587" ht="21.75" customHeight="1" x14ac:dyDescent="0.25"/>
    <row r="588" ht="21.75" customHeight="1" x14ac:dyDescent="0.25"/>
    <row r="589" ht="21.75" customHeight="1" x14ac:dyDescent="0.25"/>
    <row r="590" ht="21.75" customHeight="1" x14ac:dyDescent="0.25"/>
    <row r="591" ht="21.75" customHeight="1" x14ac:dyDescent="0.25"/>
    <row r="592" ht="21.75" customHeight="1" x14ac:dyDescent="0.25"/>
    <row r="593" ht="21.75" customHeight="1" x14ac:dyDescent="0.25"/>
    <row r="594" ht="21.75" customHeight="1" x14ac:dyDescent="0.25"/>
    <row r="595" ht="21.75" customHeight="1" x14ac:dyDescent="0.25"/>
    <row r="596" ht="21.75" customHeight="1" x14ac:dyDescent="0.25"/>
    <row r="597" ht="21.75" customHeight="1" x14ac:dyDescent="0.25"/>
    <row r="598" ht="21.75" customHeight="1" x14ac:dyDescent="0.25"/>
    <row r="599" ht="21.75" customHeight="1" x14ac:dyDescent="0.25"/>
    <row r="600" ht="21.75" customHeight="1" x14ac:dyDescent="0.25"/>
    <row r="601" ht="21.75" customHeight="1" x14ac:dyDescent="0.25"/>
    <row r="602" ht="21.75" customHeight="1" x14ac:dyDescent="0.25"/>
    <row r="603" ht="21.75" customHeight="1" x14ac:dyDescent="0.25"/>
    <row r="604" ht="21.75" customHeight="1" x14ac:dyDescent="0.25"/>
    <row r="605" ht="21.75" customHeight="1" x14ac:dyDescent="0.25"/>
    <row r="606" ht="21.75" customHeight="1" x14ac:dyDescent="0.25"/>
    <row r="607" ht="21.75" customHeight="1" x14ac:dyDescent="0.25"/>
    <row r="608" ht="21.75" customHeight="1" x14ac:dyDescent="0.25"/>
    <row r="609" ht="21.75" customHeight="1" x14ac:dyDescent="0.25"/>
    <row r="610" ht="21.75" customHeight="1" x14ac:dyDescent="0.25"/>
    <row r="611" ht="21.75" customHeight="1" x14ac:dyDescent="0.25"/>
    <row r="612" ht="21.75" customHeight="1" x14ac:dyDescent="0.25"/>
    <row r="613" ht="21.75" customHeight="1" x14ac:dyDescent="0.25"/>
    <row r="614" ht="21.75" customHeight="1" x14ac:dyDescent="0.25"/>
    <row r="615" ht="21.75" customHeight="1" x14ac:dyDescent="0.25"/>
    <row r="616" ht="21.75" customHeight="1" x14ac:dyDescent="0.25"/>
    <row r="617" ht="21.75" customHeight="1" x14ac:dyDescent="0.25"/>
    <row r="618" ht="21.75" customHeight="1" x14ac:dyDescent="0.25"/>
    <row r="619" ht="21.75" customHeight="1" x14ac:dyDescent="0.25"/>
    <row r="620" ht="21.75" customHeight="1" x14ac:dyDescent="0.25"/>
    <row r="621" ht="21.75" customHeight="1" x14ac:dyDescent="0.25"/>
    <row r="622" ht="21.75" customHeight="1" x14ac:dyDescent="0.25"/>
    <row r="623" ht="21.75" customHeight="1" x14ac:dyDescent="0.25"/>
    <row r="624" ht="21.75" customHeight="1" x14ac:dyDescent="0.25"/>
    <row r="625" ht="21.75" customHeight="1" x14ac:dyDescent="0.25"/>
    <row r="626" ht="21.75" customHeight="1" x14ac:dyDescent="0.25"/>
    <row r="627" ht="21.75" customHeight="1" x14ac:dyDescent="0.25"/>
    <row r="628" ht="21.75" customHeight="1" x14ac:dyDescent="0.25"/>
    <row r="629" ht="21.75" customHeight="1" x14ac:dyDescent="0.25"/>
    <row r="630" ht="21.75" customHeight="1" x14ac:dyDescent="0.25"/>
    <row r="631" ht="21.75" customHeight="1" x14ac:dyDescent="0.25"/>
    <row r="632" ht="21.75" customHeight="1" x14ac:dyDescent="0.25"/>
    <row r="633" ht="21.75" customHeight="1" x14ac:dyDescent="0.25"/>
    <row r="634" ht="21.75" customHeight="1" x14ac:dyDescent="0.25"/>
    <row r="635" ht="21.75" customHeight="1" x14ac:dyDescent="0.25"/>
    <row r="636" ht="21.75" customHeight="1" x14ac:dyDescent="0.25"/>
    <row r="637" ht="21.75" customHeight="1" x14ac:dyDescent="0.25"/>
    <row r="638" ht="21.75" customHeight="1" x14ac:dyDescent="0.25"/>
    <row r="639" ht="21.75" customHeight="1" x14ac:dyDescent="0.25"/>
    <row r="640" ht="21.75" customHeight="1" x14ac:dyDescent="0.25"/>
    <row r="641" ht="21.75" customHeight="1" x14ac:dyDescent="0.25"/>
    <row r="642" ht="21.75" customHeight="1" x14ac:dyDescent="0.25"/>
    <row r="643" ht="21.75" customHeight="1" x14ac:dyDescent="0.25"/>
    <row r="644" ht="21.75" customHeight="1" x14ac:dyDescent="0.25"/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A87D"/>
  </sheetPr>
  <dimension ref="A1:AA644"/>
  <sheetViews>
    <sheetView showGridLines="0" zoomScaleNormal="100" workbookViewId="0">
      <pane ySplit="4" topLeftCell="A5" activePane="bottomLeft" state="frozen"/>
      <selection pane="bottomLeft" activeCell="H4" sqref="H4:I4"/>
    </sheetView>
  </sheetViews>
  <sheetFormatPr baseColWidth="10" defaultColWidth="9.140625" defaultRowHeight="15" x14ac:dyDescent="0.25"/>
  <cols>
    <col min="1" max="1" width="18" style="34" customWidth="1"/>
    <col min="2" max="2" width="14" style="34" customWidth="1"/>
    <col min="3" max="3" width="18" style="34" customWidth="1"/>
    <col min="4" max="4" width="34" customWidth="1"/>
    <col min="5" max="5" width="14" customWidth="1"/>
    <col min="6" max="6" width="16" customWidth="1"/>
    <col min="7" max="7" width="18" customWidth="1"/>
    <col min="8" max="8" width="22" style="34" customWidth="1"/>
    <col min="9" max="9" width="26" style="34" customWidth="1"/>
    <col min="10" max="27" width="9.140625" style="13"/>
  </cols>
  <sheetData>
    <row r="1" spans="1:26" ht="21.75" customHeight="1" x14ac:dyDescent="0.25">
      <c r="A1" s="10" t="s">
        <v>90</v>
      </c>
      <c r="B1" s="10"/>
      <c r="C1" s="10"/>
      <c r="D1" s="10"/>
      <c r="E1" s="10"/>
      <c r="F1" s="10"/>
      <c r="G1" s="10"/>
      <c r="H1" s="10"/>
      <c r="I1" s="10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1.75" customHeight="1" x14ac:dyDescent="0.25">
      <c r="A2" s="11" t="s">
        <v>91</v>
      </c>
      <c r="B2" s="11"/>
      <c r="C2" s="11"/>
      <c r="D2" s="11"/>
      <c r="E2" s="11"/>
      <c r="F2" s="11"/>
      <c r="G2" s="11"/>
      <c r="H2" s="11"/>
      <c r="I2" s="1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13" customFormat="1" ht="16.5" customHeight="1" x14ac:dyDescent="0.25">
      <c r="A3" s="32"/>
      <c r="B3" s="32"/>
      <c r="C3" s="32"/>
      <c r="D3" s="12"/>
      <c r="E3" s="12"/>
      <c r="F3" s="12"/>
      <c r="G3" s="12"/>
      <c r="H3" s="32"/>
      <c r="I3" s="3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1.75" customHeight="1" x14ac:dyDescent="0.25">
      <c r="A4" s="35" t="s">
        <v>92</v>
      </c>
      <c r="B4" s="35" t="s">
        <v>93</v>
      </c>
      <c r="C4" s="35" t="s">
        <v>54</v>
      </c>
      <c r="D4" s="1" t="s">
        <v>48</v>
      </c>
      <c r="E4" s="1" t="s">
        <v>94</v>
      </c>
      <c r="F4" s="1" t="s">
        <v>95</v>
      </c>
      <c r="G4" s="1" t="s">
        <v>96</v>
      </c>
      <c r="H4" s="35" t="s">
        <v>55</v>
      </c>
      <c r="I4" s="35" t="s">
        <v>60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1.75" customHeight="1" x14ac:dyDescent="0.25">
      <c r="A5" s="28" t="s">
        <v>97</v>
      </c>
      <c r="B5" s="31">
        <f>DATE(2026,1,26)</f>
        <v>46048</v>
      </c>
      <c r="C5" s="28" t="s">
        <v>82</v>
      </c>
      <c r="D5" s="26" t="str">
        <f>IF(C5="","",IFERROR(VLOOKUP(C5,Productos!$A$5:$I$504,2,FALSE()),"Revisar código"))</f>
        <v>Pendientes ídolo oro rosa</v>
      </c>
      <c r="E5" s="29">
        <v>20</v>
      </c>
      <c r="F5" s="30">
        <v>5000</v>
      </c>
      <c r="G5" s="36">
        <f t="shared" ref="G5:G68" si="0">IF(OR(E5="",F5=""),"",E5*F5)</f>
        <v>100000</v>
      </c>
      <c r="H5" s="28" t="s">
        <v>78</v>
      </c>
      <c r="I5" s="28" t="s">
        <v>98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1.75" customHeight="1" x14ac:dyDescent="0.25">
      <c r="A6" s="28" t="s">
        <v>99</v>
      </c>
      <c r="B6" s="31">
        <f>DATE(2026,2,10)</f>
        <v>46063</v>
      </c>
      <c r="C6" s="28" t="s">
        <v>61</v>
      </c>
      <c r="D6" s="26" t="str">
        <f>IF(C6="","",IFERROR(VLOOKUP(C6,Productos!$A$5:$I$504,2,FALSE()),"Revisar código"))</f>
        <v>Anillo luna plata</v>
      </c>
      <c r="E6" s="29">
        <v>15</v>
      </c>
      <c r="F6" s="30">
        <v>3500</v>
      </c>
      <c r="G6" s="36">
        <f t="shared" si="0"/>
        <v>52500</v>
      </c>
      <c r="H6" s="28" t="s">
        <v>63</v>
      </c>
      <c r="I6" s="28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1.75" customHeight="1" x14ac:dyDescent="0.25">
      <c r="A7" s="28" t="s">
        <v>100</v>
      </c>
      <c r="B7" s="31">
        <f>DATE(2026,3,14)</f>
        <v>46095</v>
      </c>
      <c r="C7" s="28" t="s">
        <v>71</v>
      </c>
      <c r="D7" s="26" t="str">
        <f>IF(C7="","",IFERROR(VLOOKUP(C7,Productos!$A$5:$I$504,2,FALSE()),"Revisar código"))</f>
        <v>Pulsera rubí plata</v>
      </c>
      <c r="E7" s="29">
        <v>10</v>
      </c>
      <c r="F7" s="30">
        <v>4300</v>
      </c>
      <c r="G7" s="36">
        <f t="shared" si="0"/>
        <v>43000</v>
      </c>
      <c r="H7" s="28" t="s">
        <v>69</v>
      </c>
      <c r="I7" s="28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1.75" customHeight="1" x14ac:dyDescent="0.25">
      <c r="A8" s="28" t="s">
        <v>101</v>
      </c>
      <c r="B8" s="31">
        <f>DATE(2026,3,20)</f>
        <v>46101</v>
      </c>
      <c r="C8" s="28" t="s">
        <v>88</v>
      </c>
      <c r="D8" s="26" t="str">
        <f>IF(C8="","",IFERROR(VLOOKUP(C8,Productos!$A$5:$I$504,2,FALSE()),"Revisar código"))</f>
        <v>Anillo cielo plata</v>
      </c>
      <c r="E8" s="29">
        <v>8</v>
      </c>
      <c r="F8" s="30">
        <v>3300</v>
      </c>
      <c r="G8" s="36">
        <f t="shared" si="0"/>
        <v>26400</v>
      </c>
      <c r="H8" s="28" t="s">
        <v>63</v>
      </c>
      <c r="I8" s="28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1.75" customHeight="1" x14ac:dyDescent="0.25">
      <c r="A9" s="28"/>
      <c r="B9" s="31"/>
      <c r="C9" s="28"/>
      <c r="D9" s="26" t="str">
        <f>IF(C9="","",IFERROR(VLOOKUP(C9,Productos!$A$5:$I$504,2,FALSE()),"Revisar código"))</f>
        <v/>
      </c>
      <c r="E9" s="29"/>
      <c r="F9" s="30"/>
      <c r="G9" s="36" t="str">
        <f t="shared" si="0"/>
        <v/>
      </c>
      <c r="H9" s="28"/>
      <c r="I9" s="28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1.75" customHeight="1" x14ac:dyDescent="0.25">
      <c r="A10" s="28"/>
      <c r="B10" s="31"/>
      <c r="C10" s="28"/>
      <c r="D10" s="26" t="str">
        <f>IF(C10="","",IFERROR(VLOOKUP(C10,Productos!$A$5:$I$504,2,FALSE()),"Revisar código"))</f>
        <v/>
      </c>
      <c r="E10" s="29"/>
      <c r="F10" s="30"/>
      <c r="G10" s="36" t="str">
        <f t="shared" si="0"/>
        <v/>
      </c>
      <c r="H10" s="28"/>
      <c r="I10" s="28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1.75" customHeight="1" x14ac:dyDescent="0.25">
      <c r="A11" s="28"/>
      <c r="B11" s="31"/>
      <c r="C11" s="28"/>
      <c r="D11" s="26" t="str">
        <f>IF(C11="","",IFERROR(VLOOKUP(C11,Productos!$A$5:$I$504,2,FALSE()),"Revisar código"))</f>
        <v/>
      </c>
      <c r="E11" s="29"/>
      <c r="F11" s="30"/>
      <c r="G11" s="36" t="str">
        <f t="shared" si="0"/>
        <v/>
      </c>
      <c r="H11" s="28"/>
      <c r="I11" s="28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1.75" customHeight="1" x14ac:dyDescent="0.25">
      <c r="A12" s="28"/>
      <c r="B12" s="31"/>
      <c r="C12" s="28"/>
      <c r="D12" s="26" t="str">
        <f>IF(C12="","",IFERROR(VLOOKUP(C12,Productos!$A$5:$I$504,2,FALSE()),"Revisar código"))</f>
        <v/>
      </c>
      <c r="E12" s="29"/>
      <c r="F12" s="30"/>
      <c r="G12" s="36" t="str">
        <f t="shared" si="0"/>
        <v/>
      </c>
      <c r="H12" s="28"/>
      <c r="I12" s="28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1.75" customHeight="1" x14ac:dyDescent="0.25">
      <c r="A13" s="28"/>
      <c r="B13" s="31"/>
      <c r="C13" s="28"/>
      <c r="D13" s="26" t="str">
        <f>IF(C13="","",IFERROR(VLOOKUP(C13,Productos!$A$5:$I$504,2,FALSE()),"Revisar código"))</f>
        <v/>
      </c>
      <c r="E13" s="29"/>
      <c r="F13" s="30"/>
      <c r="G13" s="36" t="str">
        <f t="shared" si="0"/>
        <v/>
      </c>
      <c r="H13" s="28"/>
      <c r="I13" s="28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1.75" customHeight="1" x14ac:dyDescent="0.25">
      <c r="A14" s="28"/>
      <c r="B14" s="31"/>
      <c r="C14" s="28"/>
      <c r="D14" s="26" t="str">
        <f>IF(C14="","",IFERROR(VLOOKUP(C14,Productos!$A$5:$I$504,2,FALSE()),"Revisar código"))</f>
        <v/>
      </c>
      <c r="E14" s="29"/>
      <c r="F14" s="30"/>
      <c r="G14" s="36" t="str">
        <f t="shared" si="0"/>
        <v/>
      </c>
      <c r="H14" s="28"/>
      <c r="I14" s="28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1.75" customHeight="1" x14ac:dyDescent="0.25">
      <c r="A15" s="28"/>
      <c r="B15" s="31"/>
      <c r="C15" s="28"/>
      <c r="D15" s="26" t="str">
        <f>IF(C15="","",IFERROR(VLOOKUP(C15,Productos!$A$5:$I$504,2,FALSE()),"Revisar código"))</f>
        <v/>
      </c>
      <c r="E15" s="29"/>
      <c r="F15" s="30"/>
      <c r="G15" s="36" t="str">
        <f t="shared" si="0"/>
        <v/>
      </c>
      <c r="H15" s="28"/>
      <c r="I15" s="28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1.75" customHeight="1" x14ac:dyDescent="0.25">
      <c r="A16" s="28"/>
      <c r="B16" s="31"/>
      <c r="C16" s="28"/>
      <c r="D16" s="26" t="str">
        <f>IF(C16="","",IFERROR(VLOOKUP(C16,Productos!$A$5:$I$504,2,FALSE()),"Revisar código"))</f>
        <v/>
      </c>
      <c r="E16" s="29"/>
      <c r="F16" s="30"/>
      <c r="G16" s="36" t="str">
        <f t="shared" si="0"/>
        <v/>
      </c>
      <c r="H16" s="28"/>
      <c r="I16" s="28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1.75" customHeight="1" x14ac:dyDescent="0.25">
      <c r="A17" s="28"/>
      <c r="B17" s="31"/>
      <c r="C17" s="28"/>
      <c r="D17" s="26" t="str">
        <f>IF(C17="","",IFERROR(VLOOKUP(C17,Productos!$A$5:$I$504,2,FALSE()),"Revisar código"))</f>
        <v/>
      </c>
      <c r="E17" s="29"/>
      <c r="F17" s="30"/>
      <c r="G17" s="36" t="str">
        <f t="shared" si="0"/>
        <v/>
      </c>
      <c r="H17" s="28"/>
      <c r="I17" s="28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1.75" customHeight="1" x14ac:dyDescent="0.25">
      <c r="A18" s="28"/>
      <c r="B18" s="31"/>
      <c r="C18" s="28"/>
      <c r="D18" s="26" t="str">
        <f>IF(C18="","",IFERROR(VLOOKUP(C18,Productos!$A$5:$I$504,2,FALSE()),"Revisar código"))</f>
        <v/>
      </c>
      <c r="E18" s="29"/>
      <c r="F18" s="30"/>
      <c r="G18" s="36" t="str">
        <f t="shared" si="0"/>
        <v/>
      </c>
      <c r="H18" s="28"/>
      <c r="I18" s="28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1.75" customHeight="1" x14ac:dyDescent="0.25">
      <c r="A19" s="28"/>
      <c r="B19" s="31"/>
      <c r="C19" s="28"/>
      <c r="D19" s="26" t="str">
        <f>IF(C19="","",IFERROR(VLOOKUP(C19,Productos!$A$5:$I$504,2,FALSE()),"Revisar código"))</f>
        <v/>
      </c>
      <c r="E19" s="29"/>
      <c r="F19" s="30"/>
      <c r="G19" s="36" t="str">
        <f t="shared" si="0"/>
        <v/>
      </c>
      <c r="H19" s="28"/>
      <c r="I19" s="28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1.75" customHeight="1" x14ac:dyDescent="0.25">
      <c r="A20" s="28"/>
      <c r="B20" s="31"/>
      <c r="C20" s="28"/>
      <c r="D20" s="26" t="str">
        <f>IF(C20="","",IFERROR(VLOOKUP(C20,Productos!$A$5:$I$504,2,FALSE()),"Revisar código"))</f>
        <v/>
      </c>
      <c r="E20" s="29"/>
      <c r="F20" s="30"/>
      <c r="G20" s="36" t="str">
        <f t="shared" si="0"/>
        <v/>
      </c>
      <c r="H20" s="28"/>
      <c r="I20" s="28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1.75" customHeight="1" x14ac:dyDescent="0.25">
      <c r="A21" s="28"/>
      <c r="B21" s="31"/>
      <c r="C21" s="28"/>
      <c r="D21" s="26" t="str">
        <f>IF(C21="","",IFERROR(VLOOKUP(C21,Productos!$A$5:$I$504,2,FALSE()),"Revisar código"))</f>
        <v/>
      </c>
      <c r="E21" s="29"/>
      <c r="F21" s="30"/>
      <c r="G21" s="36" t="str">
        <f t="shared" si="0"/>
        <v/>
      </c>
      <c r="H21" s="28"/>
      <c r="I21" s="28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1.75" customHeight="1" x14ac:dyDescent="0.25">
      <c r="A22" s="28"/>
      <c r="B22" s="31"/>
      <c r="C22" s="28"/>
      <c r="D22" s="26" t="str">
        <f>IF(C22="","",IFERROR(VLOOKUP(C22,Productos!$A$5:$I$504,2,FALSE()),"Revisar código"))</f>
        <v/>
      </c>
      <c r="E22" s="29"/>
      <c r="F22" s="30"/>
      <c r="G22" s="36" t="str">
        <f t="shared" si="0"/>
        <v/>
      </c>
      <c r="H22" s="28"/>
      <c r="I22" s="28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1.75" customHeight="1" x14ac:dyDescent="0.25">
      <c r="A23" s="28"/>
      <c r="B23" s="31"/>
      <c r="C23" s="28"/>
      <c r="D23" s="26" t="str">
        <f>IF(C23="","",IFERROR(VLOOKUP(C23,Productos!$A$5:$I$504,2,FALSE()),"Revisar código"))</f>
        <v/>
      </c>
      <c r="E23" s="29"/>
      <c r="F23" s="30"/>
      <c r="G23" s="36" t="str">
        <f t="shared" si="0"/>
        <v/>
      </c>
      <c r="H23" s="28"/>
      <c r="I23" s="28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1.75" customHeight="1" x14ac:dyDescent="0.25">
      <c r="A24" s="28"/>
      <c r="B24" s="31"/>
      <c r="C24" s="28"/>
      <c r="D24" s="26" t="str">
        <f>IF(C24="","",IFERROR(VLOOKUP(C24,Productos!$A$5:$I$504,2,FALSE()),"Revisar código"))</f>
        <v/>
      </c>
      <c r="E24" s="29"/>
      <c r="F24" s="30"/>
      <c r="G24" s="36" t="str">
        <f t="shared" si="0"/>
        <v/>
      </c>
      <c r="H24" s="28"/>
      <c r="I24" s="28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1.75" customHeight="1" x14ac:dyDescent="0.25">
      <c r="A25" s="28"/>
      <c r="B25" s="31"/>
      <c r="C25" s="28"/>
      <c r="D25" s="26" t="str">
        <f>IF(C25="","",IFERROR(VLOOKUP(C25,Productos!$A$5:$I$504,2,FALSE()),"Revisar código"))</f>
        <v/>
      </c>
      <c r="E25" s="29"/>
      <c r="F25" s="30"/>
      <c r="G25" s="36" t="str">
        <f t="shared" si="0"/>
        <v/>
      </c>
      <c r="H25" s="28"/>
      <c r="I25" s="28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1.75" customHeight="1" x14ac:dyDescent="0.25">
      <c r="A26" s="28"/>
      <c r="B26" s="31"/>
      <c r="C26" s="28"/>
      <c r="D26" s="26" t="str">
        <f>IF(C26="","",IFERROR(VLOOKUP(C26,Productos!$A$5:$I$504,2,FALSE()),"Revisar código"))</f>
        <v/>
      </c>
      <c r="E26" s="29"/>
      <c r="F26" s="30"/>
      <c r="G26" s="36" t="str">
        <f t="shared" si="0"/>
        <v/>
      </c>
      <c r="H26" s="28"/>
      <c r="I26" s="28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1.75" customHeight="1" x14ac:dyDescent="0.25">
      <c r="A27" s="28"/>
      <c r="B27" s="31"/>
      <c r="C27" s="28"/>
      <c r="D27" s="26" t="str">
        <f>IF(C27="","",IFERROR(VLOOKUP(C27,Productos!$A$5:$I$504,2,FALSE()),"Revisar código"))</f>
        <v/>
      </c>
      <c r="E27" s="29"/>
      <c r="F27" s="30"/>
      <c r="G27" s="36" t="str">
        <f t="shared" si="0"/>
        <v/>
      </c>
      <c r="H27" s="28"/>
      <c r="I27" s="28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1.75" customHeight="1" x14ac:dyDescent="0.25">
      <c r="A28" s="28"/>
      <c r="B28" s="31"/>
      <c r="C28" s="28"/>
      <c r="D28" s="26" t="str">
        <f>IF(C28="","",IFERROR(VLOOKUP(C28,Productos!$A$5:$I$504,2,FALSE()),"Revisar código"))</f>
        <v/>
      </c>
      <c r="E28" s="29"/>
      <c r="F28" s="30"/>
      <c r="G28" s="36" t="str">
        <f t="shared" si="0"/>
        <v/>
      </c>
      <c r="H28" s="28"/>
      <c r="I28" s="28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1.75" customHeight="1" x14ac:dyDescent="0.25">
      <c r="A29" s="28"/>
      <c r="B29" s="31"/>
      <c r="C29" s="28"/>
      <c r="D29" s="26" t="str">
        <f>IF(C29="","",IFERROR(VLOOKUP(C29,Productos!$A$5:$I$504,2,FALSE()),"Revisar código"))</f>
        <v/>
      </c>
      <c r="E29" s="29"/>
      <c r="F29" s="30"/>
      <c r="G29" s="36" t="str">
        <f t="shared" si="0"/>
        <v/>
      </c>
      <c r="H29" s="28"/>
      <c r="I29" s="28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1.75" customHeight="1" x14ac:dyDescent="0.25">
      <c r="A30" s="28"/>
      <c r="B30" s="31"/>
      <c r="C30" s="28"/>
      <c r="D30" s="26" t="str">
        <f>IF(C30="","",IFERROR(VLOOKUP(C30,Productos!$A$5:$I$504,2,FALSE()),"Revisar código"))</f>
        <v/>
      </c>
      <c r="E30" s="29"/>
      <c r="F30" s="30"/>
      <c r="G30" s="36" t="str">
        <f t="shared" si="0"/>
        <v/>
      </c>
      <c r="H30" s="28"/>
      <c r="I30" s="28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1.75" customHeight="1" x14ac:dyDescent="0.25">
      <c r="A31" s="28"/>
      <c r="B31" s="31"/>
      <c r="C31" s="28"/>
      <c r="D31" s="26" t="str">
        <f>IF(C31="","",IFERROR(VLOOKUP(C31,Productos!$A$5:$I$504,2,FALSE()),"Revisar código"))</f>
        <v/>
      </c>
      <c r="E31" s="29"/>
      <c r="F31" s="30"/>
      <c r="G31" s="36" t="str">
        <f t="shared" si="0"/>
        <v/>
      </c>
      <c r="H31" s="28"/>
      <c r="I31" s="28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1.75" customHeight="1" x14ac:dyDescent="0.25">
      <c r="A32" s="28"/>
      <c r="B32" s="31"/>
      <c r="C32" s="28"/>
      <c r="D32" s="26" t="str">
        <f>IF(C32="","",IFERROR(VLOOKUP(C32,Productos!$A$5:$I$504,2,FALSE()),"Revisar código"))</f>
        <v/>
      </c>
      <c r="E32" s="29"/>
      <c r="F32" s="30"/>
      <c r="G32" s="36" t="str">
        <f t="shared" si="0"/>
        <v/>
      </c>
      <c r="H32" s="28"/>
      <c r="I32" s="28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1.75" customHeight="1" x14ac:dyDescent="0.25">
      <c r="A33" s="28"/>
      <c r="B33" s="31"/>
      <c r="C33" s="28"/>
      <c r="D33" s="26" t="str">
        <f>IF(C33="","",IFERROR(VLOOKUP(C33,Productos!$A$5:$I$504,2,FALSE()),"Revisar código"))</f>
        <v/>
      </c>
      <c r="E33" s="29"/>
      <c r="F33" s="30"/>
      <c r="G33" s="36" t="str">
        <f t="shared" si="0"/>
        <v/>
      </c>
      <c r="H33" s="28"/>
      <c r="I33" s="28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1.75" customHeight="1" x14ac:dyDescent="0.25">
      <c r="A34" s="28"/>
      <c r="B34" s="31"/>
      <c r="C34" s="28"/>
      <c r="D34" s="26" t="str">
        <f>IF(C34="","",IFERROR(VLOOKUP(C34,Productos!$A$5:$I$504,2,FALSE()),"Revisar código"))</f>
        <v/>
      </c>
      <c r="E34" s="29"/>
      <c r="F34" s="30"/>
      <c r="G34" s="36" t="str">
        <f t="shared" si="0"/>
        <v/>
      </c>
      <c r="H34" s="28"/>
      <c r="I34" s="28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1.75" customHeight="1" x14ac:dyDescent="0.25">
      <c r="A35" s="28"/>
      <c r="B35" s="31"/>
      <c r="C35" s="28"/>
      <c r="D35" s="26" t="str">
        <f>IF(C35="","",IFERROR(VLOOKUP(C35,Productos!$A$5:$I$504,2,FALSE()),"Revisar código"))</f>
        <v/>
      </c>
      <c r="E35" s="29"/>
      <c r="F35" s="30"/>
      <c r="G35" s="36" t="str">
        <f t="shared" si="0"/>
        <v/>
      </c>
      <c r="H35" s="28"/>
      <c r="I35" s="28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1.75" customHeight="1" x14ac:dyDescent="0.25">
      <c r="A36" s="28"/>
      <c r="B36" s="31"/>
      <c r="C36" s="28"/>
      <c r="D36" s="26" t="str">
        <f>IF(C36="","",IFERROR(VLOOKUP(C36,Productos!$A$5:$I$504,2,FALSE()),"Revisar código"))</f>
        <v/>
      </c>
      <c r="E36" s="29"/>
      <c r="F36" s="30"/>
      <c r="G36" s="36" t="str">
        <f t="shared" si="0"/>
        <v/>
      </c>
      <c r="H36" s="28"/>
      <c r="I36" s="28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1.75" customHeight="1" x14ac:dyDescent="0.25">
      <c r="A37" s="28"/>
      <c r="B37" s="31"/>
      <c r="C37" s="28"/>
      <c r="D37" s="26" t="str">
        <f>IF(C37="","",IFERROR(VLOOKUP(C37,Productos!$A$5:$I$504,2,FALSE()),"Revisar código"))</f>
        <v/>
      </c>
      <c r="E37" s="29"/>
      <c r="F37" s="30"/>
      <c r="G37" s="36" t="str">
        <f t="shared" si="0"/>
        <v/>
      </c>
      <c r="H37" s="28"/>
      <c r="I37" s="28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1.75" customHeight="1" x14ac:dyDescent="0.25">
      <c r="A38" s="28"/>
      <c r="B38" s="31"/>
      <c r="C38" s="28"/>
      <c r="D38" s="26" t="str">
        <f>IF(C38="","",IFERROR(VLOOKUP(C38,Productos!$A$5:$I$504,2,FALSE()),"Revisar código"))</f>
        <v/>
      </c>
      <c r="E38" s="29"/>
      <c r="F38" s="30"/>
      <c r="G38" s="36" t="str">
        <f t="shared" si="0"/>
        <v/>
      </c>
      <c r="H38" s="28"/>
      <c r="I38" s="28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1.75" customHeight="1" x14ac:dyDescent="0.25">
      <c r="A39" s="28"/>
      <c r="B39" s="31"/>
      <c r="C39" s="28"/>
      <c r="D39" s="26" t="str">
        <f>IF(C39="","",IFERROR(VLOOKUP(C39,Productos!$A$5:$I$504,2,FALSE()),"Revisar código"))</f>
        <v/>
      </c>
      <c r="E39" s="29"/>
      <c r="F39" s="30"/>
      <c r="G39" s="36" t="str">
        <f t="shared" si="0"/>
        <v/>
      </c>
      <c r="H39" s="28"/>
      <c r="I39" s="2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1.75" customHeight="1" x14ac:dyDescent="0.25">
      <c r="A40" s="28"/>
      <c r="B40" s="31"/>
      <c r="C40" s="28"/>
      <c r="D40" s="26" t="str">
        <f>IF(C40="","",IFERROR(VLOOKUP(C40,Productos!$A$5:$I$504,2,FALSE()),"Revisar código"))</f>
        <v/>
      </c>
      <c r="E40" s="29"/>
      <c r="F40" s="30"/>
      <c r="G40" s="36" t="str">
        <f t="shared" si="0"/>
        <v/>
      </c>
      <c r="H40" s="28"/>
      <c r="I40" s="28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1.75" customHeight="1" x14ac:dyDescent="0.25">
      <c r="A41" s="28"/>
      <c r="B41" s="31"/>
      <c r="C41" s="28"/>
      <c r="D41" s="26" t="str">
        <f>IF(C41="","",IFERROR(VLOOKUP(C41,Productos!$A$5:$I$504,2,FALSE()),"Revisar código"))</f>
        <v/>
      </c>
      <c r="E41" s="29"/>
      <c r="F41" s="30"/>
      <c r="G41" s="36" t="str">
        <f t="shared" si="0"/>
        <v/>
      </c>
      <c r="H41" s="28"/>
      <c r="I41" s="28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1.75" customHeight="1" x14ac:dyDescent="0.25">
      <c r="A42" s="28"/>
      <c r="B42" s="31"/>
      <c r="C42" s="28"/>
      <c r="D42" s="26" t="str">
        <f>IF(C42="","",IFERROR(VLOOKUP(C42,Productos!$A$5:$I$504,2,FALSE()),"Revisar código"))</f>
        <v/>
      </c>
      <c r="E42" s="29"/>
      <c r="F42" s="30"/>
      <c r="G42" s="36" t="str">
        <f t="shared" si="0"/>
        <v/>
      </c>
      <c r="H42" s="28"/>
      <c r="I42" s="28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1.75" customHeight="1" x14ac:dyDescent="0.25">
      <c r="A43" s="28"/>
      <c r="B43" s="31"/>
      <c r="C43" s="28"/>
      <c r="D43" s="26" t="str">
        <f>IF(C43="","",IFERROR(VLOOKUP(C43,Productos!$A$5:$I$504,2,FALSE()),"Revisar código"))</f>
        <v/>
      </c>
      <c r="E43" s="29"/>
      <c r="F43" s="30"/>
      <c r="G43" s="36" t="str">
        <f t="shared" si="0"/>
        <v/>
      </c>
      <c r="H43" s="28"/>
      <c r="I43" s="2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1.75" customHeight="1" x14ac:dyDescent="0.25">
      <c r="A44" s="28"/>
      <c r="B44" s="31"/>
      <c r="C44" s="28"/>
      <c r="D44" s="26" t="str">
        <f>IF(C44="","",IFERROR(VLOOKUP(C44,Productos!$A$5:$I$504,2,FALSE()),"Revisar código"))</f>
        <v/>
      </c>
      <c r="E44" s="29"/>
      <c r="F44" s="30"/>
      <c r="G44" s="36" t="str">
        <f t="shared" si="0"/>
        <v/>
      </c>
      <c r="H44" s="28"/>
      <c r="I44" s="28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1.75" customHeight="1" x14ac:dyDescent="0.25">
      <c r="A45" s="28"/>
      <c r="B45" s="31"/>
      <c r="C45" s="28"/>
      <c r="D45" s="26" t="str">
        <f>IF(C45="","",IFERROR(VLOOKUP(C45,Productos!$A$5:$I$504,2,FALSE()),"Revisar código"))</f>
        <v/>
      </c>
      <c r="E45" s="29"/>
      <c r="F45" s="30"/>
      <c r="G45" s="36" t="str">
        <f t="shared" si="0"/>
        <v/>
      </c>
      <c r="H45" s="28"/>
      <c r="I45" s="28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1.75" customHeight="1" x14ac:dyDescent="0.25">
      <c r="A46" s="28"/>
      <c r="B46" s="31"/>
      <c r="C46" s="28"/>
      <c r="D46" s="26" t="str">
        <f>IF(C46="","",IFERROR(VLOOKUP(C46,Productos!$A$5:$I$504,2,FALSE()),"Revisar código"))</f>
        <v/>
      </c>
      <c r="E46" s="29"/>
      <c r="F46" s="30"/>
      <c r="G46" s="36" t="str">
        <f t="shared" si="0"/>
        <v/>
      </c>
      <c r="H46" s="28"/>
      <c r="I46" s="28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1.75" customHeight="1" x14ac:dyDescent="0.25">
      <c r="A47" s="28"/>
      <c r="B47" s="31"/>
      <c r="C47" s="28"/>
      <c r="D47" s="26" t="str">
        <f>IF(C47="","",IFERROR(VLOOKUP(C47,Productos!$A$5:$I$504,2,FALSE()),"Revisar código"))</f>
        <v/>
      </c>
      <c r="E47" s="29"/>
      <c r="F47" s="30"/>
      <c r="G47" s="36" t="str">
        <f t="shared" si="0"/>
        <v/>
      </c>
      <c r="H47" s="28"/>
      <c r="I47" s="28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1.75" customHeight="1" x14ac:dyDescent="0.25">
      <c r="A48" s="28"/>
      <c r="B48" s="31"/>
      <c r="C48" s="28"/>
      <c r="D48" s="26" t="str">
        <f>IF(C48="","",IFERROR(VLOOKUP(C48,Productos!$A$5:$I$504,2,FALSE()),"Revisar código"))</f>
        <v/>
      </c>
      <c r="E48" s="29"/>
      <c r="F48" s="30"/>
      <c r="G48" s="36" t="str">
        <f t="shared" si="0"/>
        <v/>
      </c>
      <c r="H48" s="28"/>
      <c r="I48" s="28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1.75" customHeight="1" x14ac:dyDescent="0.25">
      <c r="A49" s="28"/>
      <c r="B49" s="31"/>
      <c r="C49" s="28"/>
      <c r="D49" s="26" t="str">
        <f>IF(C49="","",IFERROR(VLOOKUP(C49,Productos!$A$5:$I$504,2,FALSE()),"Revisar código"))</f>
        <v/>
      </c>
      <c r="E49" s="29"/>
      <c r="F49" s="30"/>
      <c r="G49" s="36" t="str">
        <f t="shared" si="0"/>
        <v/>
      </c>
      <c r="H49" s="28"/>
      <c r="I49" s="28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1.75" customHeight="1" x14ac:dyDescent="0.25">
      <c r="A50" s="28"/>
      <c r="B50" s="31"/>
      <c r="C50" s="28"/>
      <c r="D50" s="26" t="str">
        <f>IF(C50="","",IFERROR(VLOOKUP(C50,Productos!$A$5:$I$504,2,FALSE()),"Revisar código"))</f>
        <v/>
      </c>
      <c r="E50" s="29"/>
      <c r="F50" s="30"/>
      <c r="G50" s="36" t="str">
        <f t="shared" si="0"/>
        <v/>
      </c>
      <c r="H50" s="28"/>
      <c r="I50" s="28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1.75" customHeight="1" x14ac:dyDescent="0.25">
      <c r="A51" s="28"/>
      <c r="B51" s="31"/>
      <c r="C51" s="28"/>
      <c r="D51" s="26" t="str">
        <f>IF(C51="","",IFERROR(VLOOKUP(C51,Productos!$A$5:$I$504,2,FALSE()),"Revisar código"))</f>
        <v/>
      </c>
      <c r="E51" s="29"/>
      <c r="F51" s="30"/>
      <c r="G51" s="36" t="str">
        <f t="shared" si="0"/>
        <v/>
      </c>
      <c r="H51" s="28"/>
      <c r="I51" s="28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1.75" customHeight="1" x14ac:dyDescent="0.25">
      <c r="A52" s="28"/>
      <c r="B52" s="31"/>
      <c r="C52" s="28"/>
      <c r="D52" s="26" t="str">
        <f>IF(C52="","",IFERROR(VLOOKUP(C52,Productos!$A$5:$I$504,2,FALSE()),"Revisar código"))</f>
        <v/>
      </c>
      <c r="E52" s="29"/>
      <c r="F52" s="30"/>
      <c r="G52" s="36" t="str">
        <f t="shared" si="0"/>
        <v/>
      </c>
      <c r="H52" s="28"/>
      <c r="I52" s="28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1.75" customHeight="1" x14ac:dyDescent="0.25">
      <c r="A53" s="28"/>
      <c r="B53" s="31"/>
      <c r="C53" s="28"/>
      <c r="D53" s="26" t="str">
        <f>IF(C53="","",IFERROR(VLOOKUP(C53,Productos!$A$5:$I$504,2,FALSE()),"Revisar código"))</f>
        <v/>
      </c>
      <c r="E53" s="29"/>
      <c r="F53" s="30"/>
      <c r="G53" s="36" t="str">
        <f t="shared" si="0"/>
        <v/>
      </c>
      <c r="H53" s="28"/>
      <c r="I53" s="28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1.75" customHeight="1" x14ac:dyDescent="0.25">
      <c r="A54" s="28"/>
      <c r="B54" s="31"/>
      <c r="C54" s="28"/>
      <c r="D54" s="26" t="str">
        <f>IF(C54="","",IFERROR(VLOOKUP(C54,Productos!$A$5:$I$504,2,FALSE()),"Revisar código"))</f>
        <v/>
      </c>
      <c r="E54" s="29"/>
      <c r="F54" s="30"/>
      <c r="G54" s="36" t="str">
        <f t="shared" si="0"/>
        <v/>
      </c>
      <c r="H54" s="28"/>
      <c r="I54" s="28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1.75" customHeight="1" x14ac:dyDescent="0.25">
      <c r="A55" s="28"/>
      <c r="B55" s="31"/>
      <c r="C55" s="28"/>
      <c r="D55" s="26" t="str">
        <f>IF(C55="","",IFERROR(VLOOKUP(C55,Productos!$A$5:$I$504,2,FALSE()),"Revisar código"))</f>
        <v/>
      </c>
      <c r="E55" s="29"/>
      <c r="F55" s="30"/>
      <c r="G55" s="36" t="str">
        <f t="shared" si="0"/>
        <v/>
      </c>
      <c r="H55" s="28"/>
      <c r="I55" s="28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1.75" customHeight="1" x14ac:dyDescent="0.25">
      <c r="A56" s="28"/>
      <c r="B56" s="31"/>
      <c r="C56" s="28"/>
      <c r="D56" s="26" t="str">
        <f>IF(C56="","",IFERROR(VLOOKUP(C56,Productos!$A$5:$I$504,2,FALSE()),"Revisar código"))</f>
        <v/>
      </c>
      <c r="E56" s="29"/>
      <c r="F56" s="30"/>
      <c r="G56" s="36" t="str">
        <f t="shared" si="0"/>
        <v/>
      </c>
      <c r="H56" s="28"/>
      <c r="I56" s="28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1.75" customHeight="1" x14ac:dyDescent="0.25">
      <c r="A57" s="28"/>
      <c r="B57" s="31"/>
      <c r="C57" s="28"/>
      <c r="D57" s="26" t="str">
        <f>IF(C57="","",IFERROR(VLOOKUP(C57,Productos!$A$5:$I$504,2,FALSE()),"Revisar código"))</f>
        <v/>
      </c>
      <c r="E57" s="29"/>
      <c r="F57" s="30"/>
      <c r="G57" s="36" t="str">
        <f t="shared" si="0"/>
        <v/>
      </c>
      <c r="H57" s="28"/>
      <c r="I57" s="28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1.75" customHeight="1" x14ac:dyDescent="0.25">
      <c r="A58" s="28"/>
      <c r="B58" s="31"/>
      <c r="C58" s="28"/>
      <c r="D58" s="26" t="str">
        <f>IF(C58="","",IFERROR(VLOOKUP(C58,Productos!$A$5:$I$504,2,FALSE()),"Revisar código"))</f>
        <v/>
      </c>
      <c r="E58" s="29"/>
      <c r="F58" s="30"/>
      <c r="G58" s="36" t="str">
        <f t="shared" si="0"/>
        <v/>
      </c>
      <c r="H58" s="28"/>
      <c r="I58" s="28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1.75" customHeight="1" x14ac:dyDescent="0.25">
      <c r="A59" s="28"/>
      <c r="B59" s="31"/>
      <c r="C59" s="28"/>
      <c r="D59" s="26" t="str">
        <f>IF(C59="","",IFERROR(VLOOKUP(C59,Productos!$A$5:$I$504,2,FALSE()),"Revisar código"))</f>
        <v/>
      </c>
      <c r="E59" s="29"/>
      <c r="F59" s="30"/>
      <c r="G59" s="36" t="str">
        <f t="shared" si="0"/>
        <v/>
      </c>
      <c r="H59" s="28"/>
      <c r="I59" s="28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1.75" customHeight="1" x14ac:dyDescent="0.25">
      <c r="A60" s="28"/>
      <c r="B60" s="31"/>
      <c r="C60" s="28"/>
      <c r="D60" s="26" t="str">
        <f>IF(C60="","",IFERROR(VLOOKUP(C60,Productos!$A$5:$I$504,2,FALSE()),"Revisar código"))</f>
        <v/>
      </c>
      <c r="E60" s="29"/>
      <c r="F60" s="30"/>
      <c r="G60" s="36" t="str">
        <f t="shared" si="0"/>
        <v/>
      </c>
      <c r="H60" s="28"/>
      <c r="I60" s="28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1.75" customHeight="1" x14ac:dyDescent="0.25">
      <c r="A61" s="28"/>
      <c r="B61" s="31"/>
      <c r="C61" s="28"/>
      <c r="D61" s="26" t="str">
        <f>IF(C61="","",IFERROR(VLOOKUP(C61,Productos!$A$5:$I$504,2,FALSE()),"Revisar código"))</f>
        <v/>
      </c>
      <c r="E61" s="29"/>
      <c r="F61" s="30"/>
      <c r="G61" s="36" t="str">
        <f t="shared" si="0"/>
        <v/>
      </c>
      <c r="H61" s="28"/>
      <c r="I61" s="28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1.75" customHeight="1" x14ac:dyDescent="0.25">
      <c r="A62" s="28"/>
      <c r="B62" s="31"/>
      <c r="C62" s="28"/>
      <c r="D62" s="26" t="str">
        <f>IF(C62="","",IFERROR(VLOOKUP(C62,Productos!$A$5:$I$504,2,FALSE()),"Revisar código"))</f>
        <v/>
      </c>
      <c r="E62" s="29"/>
      <c r="F62" s="30"/>
      <c r="G62" s="36" t="str">
        <f t="shared" si="0"/>
        <v/>
      </c>
      <c r="H62" s="28"/>
      <c r="I62" s="28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1.75" customHeight="1" x14ac:dyDescent="0.25">
      <c r="A63" s="28"/>
      <c r="B63" s="31"/>
      <c r="C63" s="28"/>
      <c r="D63" s="26" t="str">
        <f>IF(C63="","",IFERROR(VLOOKUP(C63,Productos!$A$5:$I$504,2,FALSE()),"Revisar código"))</f>
        <v/>
      </c>
      <c r="E63" s="29"/>
      <c r="F63" s="30"/>
      <c r="G63" s="36" t="str">
        <f t="shared" si="0"/>
        <v/>
      </c>
      <c r="H63" s="28"/>
      <c r="I63" s="28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1.75" customHeight="1" x14ac:dyDescent="0.25">
      <c r="A64" s="28"/>
      <c r="B64" s="31"/>
      <c r="C64" s="28"/>
      <c r="D64" s="26" t="str">
        <f>IF(C64="","",IFERROR(VLOOKUP(C64,Productos!$A$5:$I$504,2,FALSE()),"Revisar código"))</f>
        <v/>
      </c>
      <c r="E64" s="29"/>
      <c r="F64" s="30"/>
      <c r="G64" s="36" t="str">
        <f t="shared" si="0"/>
        <v/>
      </c>
      <c r="H64" s="28"/>
      <c r="I64" s="28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1.75" customHeight="1" x14ac:dyDescent="0.25">
      <c r="A65" s="28"/>
      <c r="B65" s="31"/>
      <c r="C65" s="28"/>
      <c r="D65" s="26" t="str">
        <f>IF(C65="","",IFERROR(VLOOKUP(C65,Productos!$A$5:$I$504,2,FALSE()),"Revisar código"))</f>
        <v/>
      </c>
      <c r="E65" s="29"/>
      <c r="F65" s="30"/>
      <c r="G65" s="36" t="str">
        <f t="shared" si="0"/>
        <v/>
      </c>
      <c r="H65" s="28"/>
      <c r="I65" s="28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1.75" customHeight="1" x14ac:dyDescent="0.25">
      <c r="A66" s="28"/>
      <c r="B66" s="31"/>
      <c r="C66" s="28"/>
      <c r="D66" s="26" t="str">
        <f>IF(C66="","",IFERROR(VLOOKUP(C66,Productos!$A$5:$I$504,2,FALSE()),"Revisar código"))</f>
        <v/>
      </c>
      <c r="E66" s="29"/>
      <c r="F66" s="30"/>
      <c r="G66" s="36" t="str">
        <f t="shared" si="0"/>
        <v/>
      </c>
      <c r="H66" s="28"/>
      <c r="I66" s="28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1.75" customHeight="1" x14ac:dyDescent="0.25">
      <c r="A67" s="28"/>
      <c r="B67" s="31"/>
      <c r="C67" s="28"/>
      <c r="D67" s="26" t="str">
        <f>IF(C67="","",IFERROR(VLOOKUP(C67,Productos!$A$5:$I$504,2,FALSE()),"Revisar código"))</f>
        <v/>
      </c>
      <c r="E67" s="29"/>
      <c r="F67" s="30"/>
      <c r="G67" s="36" t="str">
        <f t="shared" si="0"/>
        <v/>
      </c>
      <c r="H67" s="28"/>
      <c r="I67" s="28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1.75" customHeight="1" x14ac:dyDescent="0.25">
      <c r="A68" s="28"/>
      <c r="B68" s="31"/>
      <c r="C68" s="28"/>
      <c r="D68" s="26" t="str">
        <f>IF(C68="","",IFERROR(VLOOKUP(C68,Productos!$A$5:$I$504,2,FALSE()),"Revisar código"))</f>
        <v/>
      </c>
      <c r="E68" s="29"/>
      <c r="F68" s="30"/>
      <c r="G68" s="36" t="str">
        <f t="shared" si="0"/>
        <v/>
      </c>
      <c r="H68" s="28"/>
      <c r="I68" s="28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21.75" customHeight="1" x14ac:dyDescent="0.25">
      <c r="A69" s="28"/>
      <c r="B69" s="31"/>
      <c r="C69" s="28"/>
      <c r="D69" s="26" t="str">
        <f>IF(C69="","",IFERROR(VLOOKUP(C69,Productos!$A$5:$I$504,2,FALSE()),"Revisar código"))</f>
        <v/>
      </c>
      <c r="E69" s="29"/>
      <c r="F69" s="30"/>
      <c r="G69" s="36" t="str">
        <f t="shared" ref="G69:G132" si="1">IF(OR(E69="",F69=""),"",E69*F69)</f>
        <v/>
      </c>
      <c r="H69" s="28"/>
      <c r="I69" s="28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1.75" customHeight="1" x14ac:dyDescent="0.25">
      <c r="A70" s="28"/>
      <c r="B70" s="31"/>
      <c r="C70" s="28"/>
      <c r="D70" s="26" t="str">
        <f>IF(C70="","",IFERROR(VLOOKUP(C70,Productos!$A$5:$I$504,2,FALSE()),"Revisar código"))</f>
        <v/>
      </c>
      <c r="E70" s="29"/>
      <c r="F70" s="30"/>
      <c r="G70" s="36" t="str">
        <f t="shared" si="1"/>
        <v/>
      </c>
      <c r="H70" s="28"/>
      <c r="I70" s="28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1.75" customHeight="1" x14ac:dyDescent="0.25">
      <c r="A71" s="28"/>
      <c r="B71" s="31"/>
      <c r="C71" s="28"/>
      <c r="D71" s="26" t="str">
        <f>IF(C71="","",IFERROR(VLOOKUP(C71,Productos!$A$5:$I$504,2,FALSE()),"Revisar código"))</f>
        <v/>
      </c>
      <c r="E71" s="29"/>
      <c r="F71" s="30"/>
      <c r="G71" s="36" t="str">
        <f t="shared" si="1"/>
        <v/>
      </c>
      <c r="H71" s="28"/>
      <c r="I71" s="28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1.75" customHeight="1" x14ac:dyDescent="0.25">
      <c r="A72" s="28"/>
      <c r="B72" s="31"/>
      <c r="C72" s="28"/>
      <c r="D72" s="26" t="str">
        <f>IF(C72="","",IFERROR(VLOOKUP(C72,Productos!$A$5:$I$504,2,FALSE()),"Revisar código"))</f>
        <v/>
      </c>
      <c r="E72" s="29"/>
      <c r="F72" s="30"/>
      <c r="G72" s="36" t="str">
        <f t="shared" si="1"/>
        <v/>
      </c>
      <c r="H72" s="28"/>
      <c r="I72" s="28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1.75" customHeight="1" x14ac:dyDescent="0.25">
      <c r="A73" s="28"/>
      <c r="B73" s="31"/>
      <c r="C73" s="28"/>
      <c r="D73" s="26" t="str">
        <f>IF(C73="","",IFERROR(VLOOKUP(C73,Productos!$A$5:$I$504,2,FALSE()),"Revisar código"))</f>
        <v/>
      </c>
      <c r="E73" s="29"/>
      <c r="F73" s="30"/>
      <c r="G73" s="36" t="str">
        <f t="shared" si="1"/>
        <v/>
      </c>
      <c r="H73" s="28"/>
      <c r="I73" s="28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1.75" customHeight="1" x14ac:dyDescent="0.25">
      <c r="A74" s="28"/>
      <c r="B74" s="31"/>
      <c r="C74" s="28"/>
      <c r="D74" s="26" t="str">
        <f>IF(C74="","",IFERROR(VLOOKUP(C74,Productos!$A$5:$I$504,2,FALSE()),"Revisar código"))</f>
        <v/>
      </c>
      <c r="E74" s="29"/>
      <c r="F74" s="30"/>
      <c r="G74" s="36" t="str">
        <f t="shared" si="1"/>
        <v/>
      </c>
      <c r="H74" s="28"/>
      <c r="I74" s="28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1.75" customHeight="1" x14ac:dyDescent="0.25">
      <c r="A75" s="28"/>
      <c r="B75" s="31"/>
      <c r="C75" s="28"/>
      <c r="D75" s="26" t="str">
        <f>IF(C75="","",IFERROR(VLOOKUP(C75,Productos!$A$5:$I$504,2,FALSE()),"Revisar código"))</f>
        <v/>
      </c>
      <c r="E75" s="29"/>
      <c r="F75" s="30"/>
      <c r="G75" s="36" t="str">
        <f t="shared" si="1"/>
        <v/>
      </c>
      <c r="H75" s="28"/>
      <c r="I75" s="28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1.75" customHeight="1" x14ac:dyDescent="0.25">
      <c r="A76" s="28"/>
      <c r="B76" s="31"/>
      <c r="C76" s="28"/>
      <c r="D76" s="26" t="str">
        <f>IF(C76="","",IFERROR(VLOOKUP(C76,Productos!$A$5:$I$504,2,FALSE()),"Revisar código"))</f>
        <v/>
      </c>
      <c r="E76" s="29"/>
      <c r="F76" s="30"/>
      <c r="G76" s="36" t="str">
        <f t="shared" si="1"/>
        <v/>
      </c>
      <c r="H76" s="28"/>
      <c r="I76" s="28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1.75" customHeight="1" x14ac:dyDescent="0.25">
      <c r="A77" s="28"/>
      <c r="B77" s="31"/>
      <c r="C77" s="28"/>
      <c r="D77" s="26" t="str">
        <f>IF(C77="","",IFERROR(VLOOKUP(C77,Productos!$A$5:$I$504,2,FALSE()),"Revisar código"))</f>
        <v/>
      </c>
      <c r="E77" s="29"/>
      <c r="F77" s="30"/>
      <c r="G77" s="36" t="str">
        <f t="shared" si="1"/>
        <v/>
      </c>
      <c r="H77" s="28"/>
      <c r="I77" s="28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1.75" customHeight="1" x14ac:dyDescent="0.25">
      <c r="A78" s="28"/>
      <c r="B78" s="31"/>
      <c r="C78" s="28"/>
      <c r="D78" s="26" t="str">
        <f>IF(C78="","",IFERROR(VLOOKUP(C78,Productos!$A$5:$I$504,2,FALSE()),"Revisar código"))</f>
        <v/>
      </c>
      <c r="E78" s="29"/>
      <c r="F78" s="30"/>
      <c r="G78" s="36" t="str">
        <f t="shared" si="1"/>
        <v/>
      </c>
      <c r="H78" s="28"/>
      <c r="I78" s="28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1.75" customHeight="1" x14ac:dyDescent="0.25">
      <c r="A79" s="28"/>
      <c r="B79" s="31"/>
      <c r="C79" s="28"/>
      <c r="D79" s="26" t="str">
        <f>IF(C79="","",IFERROR(VLOOKUP(C79,Productos!$A$5:$I$504,2,FALSE()),"Revisar código"))</f>
        <v/>
      </c>
      <c r="E79" s="29"/>
      <c r="F79" s="30"/>
      <c r="G79" s="36" t="str">
        <f t="shared" si="1"/>
        <v/>
      </c>
      <c r="H79" s="28"/>
      <c r="I79" s="28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1.75" customHeight="1" x14ac:dyDescent="0.25">
      <c r="A80" s="28"/>
      <c r="B80" s="31"/>
      <c r="C80" s="28"/>
      <c r="D80" s="26" t="str">
        <f>IF(C80="","",IFERROR(VLOOKUP(C80,Productos!$A$5:$I$504,2,FALSE()),"Revisar código"))</f>
        <v/>
      </c>
      <c r="E80" s="29"/>
      <c r="F80" s="30"/>
      <c r="G80" s="36" t="str">
        <f t="shared" si="1"/>
        <v/>
      </c>
      <c r="H80" s="28"/>
      <c r="I80" s="28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1.75" customHeight="1" x14ac:dyDescent="0.25">
      <c r="A81" s="28"/>
      <c r="B81" s="31"/>
      <c r="C81" s="28"/>
      <c r="D81" s="26" t="str">
        <f>IF(C81="","",IFERROR(VLOOKUP(C81,Productos!$A$5:$I$504,2,FALSE()),"Revisar código"))</f>
        <v/>
      </c>
      <c r="E81" s="29"/>
      <c r="F81" s="30"/>
      <c r="G81" s="36" t="str">
        <f t="shared" si="1"/>
        <v/>
      </c>
      <c r="H81" s="28"/>
      <c r="I81" s="28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1.75" customHeight="1" x14ac:dyDescent="0.25">
      <c r="A82" s="28"/>
      <c r="B82" s="31"/>
      <c r="C82" s="28"/>
      <c r="D82" s="26" t="str">
        <f>IF(C82="","",IFERROR(VLOOKUP(C82,Productos!$A$5:$I$504,2,FALSE()),"Revisar código"))</f>
        <v/>
      </c>
      <c r="E82" s="29"/>
      <c r="F82" s="30"/>
      <c r="G82" s="36" t="str">
        <f t="shared" si="1"/>
        <v/>
      </c>
      <c r="H82" s="28"/>
      <c r="I82" s="28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1.75" customHeight="1" x14ac:dyDescent="0.25">
      <c r="A83" s="28"/>
      <c r="B83" s="31"/>
      <c r="C83" s="28"/>
      <c r="D83" s="26" t="str">
        <f>IF(C83="","",IFERROR(VLOOKUP(C83,Productos!$A$5:$I$504,2,FALSE()),"Revisar código"))</f>
        <v/>
      </c>
      <c r="E83" s="29"/>
      <c r="F83" s="30"/>
      <c r="G83" s="36" t="str">
        <f t="shared" si="1"/>
        <v/>
      </c>
      <c r="H83" s="28"/>
      <c r="I83" s="28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1.75" customHeight="1" x14ac:dyDescent="0.25">
      <c r="A84" s="28"/>
      <c r="B84" s="31"/>
      <c r="C84" s="28"/>
      <c r="D84" s="26" t="str">
        <f>IF(C84="","",IFERROR(VLOOKUP(C84,Productos!$A$5:$I$504,2,FALSE()),"Revisar código"))</f>
        <v/>
      </c>
      <c r="E84" s="29"/>
      <c r="F84" s="30"/>
      <c r="G84" s="36" t="str">
        <f t="shared" si="1"/>
        <v/>
      </c>
      <c r="H84" s="28"/>
      <c r="I84" s="28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1.75" customHeight="1" x14ac:dyDescent="0.25">
      <c r="A85" s="28"/>
      <c r="B85" s="31"/>
      <c r="C85" s="28"/>
      <c r="D85" s="26" t="str">
        <f>IF(C85="","",IFERROR(VLOOKUP(C85,Productos!$A$5:$I$504,2,FALSE()),"Revisar código"))</f>
        <v/>
      </c>
      <c r="E85" s="29"/>
      <c r="F85" s="30"/>
      <c r="G85" s="36" t="str">
        <f t="shared" si="1"/>
        <v/>
      </c>
      <c r="H85" s="28"/>
      <c r="I85" s="28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1.75" customHeight="1" x14ac:dyDescent="0.25">
      <c r="A86" s="28"/>
      <c r="B86" s="31"/>
      <c r="C86" s="28"/>
      <c r="D86" s="26" t="str">
        <f>IF(C86="","",IFERROR(VLOOKUP(C86,Productos!$A$5:$I$504,2,FALSE()),"Revisar código"))</f>
        <v/>
      </c>
      <c r="E86" s="29"/>
      <c r="F86" s="30"/>
      <c r="G86" s="36" t="str">
        <f t="shared" si="1"/>
        <v/>
      </c>
      <c r="H86" s="28"/>
      <c r="I86" s="28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1.75" customHeight="1" x14ac:dyDescent="0.25">
      <c r="A87" s="28"/>
      <c r="B87" s="31"/>
      <c r="C87" s="28"/>
      <c r="D87" s="26" t="str">
        <f>IF(C87="","",IFERROR(VLOOKUP(C87,Productos!$A$5:$I$504,2,FALSE()),"Revisar código"))</f>
        <v/>
      </c>
      <c r="E87" s="29"/>
      <c r="F87" s="30"/>
      <c r="G87" s="36" t="str">
        <f t="shared" si="1"/>
        <v/>
      </c>
      <c r="H87" s="28"/>
      <c r="I87" s="28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1.75" customHeight="1" x14ac:dyDescent="0.25">
      <c r="A88" s="28"/>
      <c r="B88" s="31"/>
      <c r="C88" s="28"/>
      <c r="D88" s="26" t="str">
        <f>IF(C88="","",IFERROR(VLOOKUP(C88,Productos!$A$5:$I$504,2,FALSE()),"Revisar código"))</f>
        <v/>
      </c>
      <c r="E88" s="29"/>
      <c r="F88" s="30"/>
      <c r="G88" s="36" t="str">
        <f t="shared" si="1"/>
        <v/>
      </c>
      <c r="H88" s="28"/>
      <c r="I88" s="28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1.75" customHeight="1" x14ac:dyDescent="0.25">
      <c r="A89" s="28"/>
      <c r="B89" s="31"/>
      <c r="C89" s="28"/>
      <c r="D89" s="26" t="str">
        <f>IF(C89="","",IFERROR(VLOOKUP(C89,Productos!$A$5:$I$504,2,FALSE()),"Revisar código"))</f>
        <v/>
      </c>
      <c r="E89" s="29"/>
      <c r="F89" s="30"/>
      <c r="G89" s="36" t="str">
        <f t="shared" si="1"/>
        <v/>
      </c>
      <c r="H89" s="28"/>
      <c r="I89" s="28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1.75" customHeight="1" x14ac:dyDescent="0.25">
      <c r="A90" s="28"/>
      <c r="B90" s="31"/>
      <c r="C90" s="28"/>
      <c r="D90" s="26" t="str">
        <f>IF(C90="","",IFERROR(VLOOKUP(C90,Productos!$A$5:$I$504,2,FALSE()),"Revisar código"))</f>
        <v/>
      </c>
      <c r="E90" s="29"/>
      <c r="F90" s="30"/>
      <c r="G90" s="36" t="str">
        <f t="shared" si="1"/>
        <v/>
      </c>
      <c r="H90" s="28"/>
      <c r="I90" s="28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1.75" customHeight="1" x14ac:dyDescent="0.25">
      <c r="A91" s="28"/>
      <c r="B91" s="31"/>
      <c r="C91" s="28"/>
      <c r="D91" s="26" t="str">
        <f>IF(C91="","",IFERROR(VLOOKUP(C91,Productos!$A$5:$I$504,2,FALSE()),"Revisar código"))</f>
        <v/>
      </c>
      <c r="E91" s="29"/>
      <c r="F91" s="30"/>
      <c r="G91" s="36" t="str">
        <f t="shared" si="1"/>
        <v/>
      </c>
      <c r="H91" s="28"/>
      <c r="I91" s="28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1.75" customHeight="1" x14ac:dyDescent="0.25">
      <c r="A92" s="28"/>
      <c r="B92" s="31"/>
      <c r="C92" s="28"/>
      <c r="D92" s="26" t="str">
        <f>IF(C92="","",IFERROR(VLOOKUP(C92,Productos!$A$5:$I$504,2,FALSE()),"Revisar código"))</f>
        <v/>
      </c>
      <c r="E92" s="29"/>
      <c r="F92" s="30"/>
      <c r="G92" s="36" t="str">
        <f t="shared" si="1"/>
        <v/>
      </c>
      <c r="H92" s="28"/>
      <c r="I92" s="28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1.75" customHeight="1" x14ac:dyDescent="0.25">
      <c r="A93" s="28"/>
      <c r="B93" s="31"/>
      <c r="C93" s="28"/>
      <c r="D93" s="26" t="str">
        <f>IF(C93="","",IFERROR(VLOOKUP(C93,Productos!$A$5:$I$504,2,FALSE()),"Revisar código"))</f>
        <v/>
      </c>
      <c r="E93" s="29"/>
      <c r="F93" s="30"/>
      <c r="G93" s="36" t="str">
        <f t="shared" si="1"/>
        <v/>
      </c>
      <c r="H93" s="28"/>
      <c r="I93" s="28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1.75" customHeight="1" x14ac:dyDescent="0.25">
      <c r="A94" s="28"/>
      <c r="B94" s="31"/>
      <c r="C94" s="28"/>
      <c r="D94" s="26" t="str">
        <f>IF(C94="","",IFERROR(VLOOKUP(C94,Productos!$A$5:$I$504,2,FALSE()),"Revisar código"))</f>
        <v/>
      </c>
      <c r="E94" s="29"/>
      <c r="F94" s="30"/>
      <c r="G94" s="36" t="str">
        <f t="shared" si="1"/>
        <v/>
      </c>
      <c r="H94" s="28"/>
      <c r="I94" s="28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1.75" customHeight="1" x14ac:dyDescent="0.25">
      <c r="A95" s="28"/>
      <c r="B95" s="31"/>
      <c r="C95" s="28"/>
      <c r="D95" s="26" t="str">
        <f>IF(C95="","",IFERROR(VLOOKUP(C95,Productos!$A$5:$I$504,2,FALSE()),"Revisar código"))</f>
        <v/>
      </c>
      <c r="E95" s="29"/>
      <c r="F95" s="30"/>
      <c r="G95" s="36" t="str">
        <f t="shared" si="1"/>
        <v/>
      </c>
      <c r="H95" s="28"/>
      <c r="I95" s="28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1.75" customHeight="1" x14ac:dyDescent="0.25">
      <c r="A96" s="28"/>
      <c r="B96" s="31"/>
      <c r="C96" s="28"/>
      <c r="D96" s="26" t="str">
        <f>IF(C96="","",IFERROR(VLOOKUP(C96,Productos!$A$5:$I$504,2,FALSE()),"Revisar código"))</f>
        <v/>
      </c>
      <c r="E96" s="29"/>
      <c r="F96" s="30"/>
      <c r="G96" s="36" t="str">
        <f t="shared" si="1"/>
        <v/>
      </c>
      <c r="H96" s="28"/>
      <c r="I96" s="28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1.75" customHeight="1" x14ac:dyDescent="0.25">
      <c r="A97" s="28"/>
      <c r="B97" s="31"/>
      <c r="C97" s="28"/>
      <c r="D97" s="26" t="str">
        <f>IF(C97="","",IFERROR(VLOOKUP(C97,Productos!$A$5:$I$504,2,FALSE()),"Revisar código"))</f>
        <v/>
      </c>
      <c r="E97" s="29"/>
      <c r="F97" s="30"/>
      <c r="G97" s="36" t="str">
        <f t="shared" si="1"/>
        <v/>
      </c>
      <c r="H97" s="28"/>
      <c r="I97" s="28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1.75" customHeight="1" x14ac:dyDescent="0.25">
      <c r="A98" s="28"/>
      <c r="B98" s="31"/>
      <c r="C98" s="28"/>
      <c r="D98" s="26" t="str">
        <f>IF(C98="","",IFERROR(VLOOKUP(C98,Productos!$A$5:$I$504,2,FALSE()),"Revisar código"))</f>
        <v/>
      </c>
      <c r="E98" s="29"/>
      <c r="F98" s="30"/>
      <c r="G98" s="36" t="str">
        <f t="shared" si="1"/>
        <v/>
      </c>
      <c r="H98" s="28"/>
      <c r="I98" s="28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21.75" customHeight="1" x14ac:dyDescent="0.25">
      <c r="A99" s="28"/>
      <c r="B99" s="31"/>
      <c r="C99" s="28"/>
      <c r="D99" s="26" t="str">
        <f>IF(C99="","",IFERROR(VLOOKUP(C99,Productos!$A$5:$I$504,2,FALSE()),"Revisar código"))</f>
        <v/>
      </c>
      <c r="E99" s="29"/>
      <c r="F99" s="30"/>
      <c r="G99" s="36" t="str">
        <f t="shared" si="1"/>
        <v/>
      </c>
      <c r="H99" s="28"/>
      <c r="I99" s="28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21.75" customHeight="1" x14ac:dyDescent="0.25">
      <c r="A100" s="28"/>
      <c r="B100" s="31"/>
      <c r="C100" s="28"/>
      <c r="D100" s="26" t="str">
        <f>IF(C100="","",IFERROR(VLOOKUP(C100,Productos!$A$5:$I$504,2,FALSE()),"Revisar código"))</f>
        <v/>
      </c>
      <c r="E100" s="29"/>
      <c r="F100" s="30"/>
      <c r="G100" s="36" t="str">
        <f t="shared" si="1"/>
        <v/>
      </c>
      <c r="H100" s="28"/>
      <c r="I100" s="28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21.75" customHeight="1" x14ac:dyDescent="0.25">
      <c r="A101" s="28"/>
      <c r="B101" s="31"/>
      <c r="C101" s="28"/>
      <c r="D101" s="26" t="str">
        <f>IF(C101="","",IFERROR(VLOOKUP(C101,Productos!$A$5:$I$504,2,FALSE()),"Revisar código"))</f>
        <v/>
      </c>
      <c r="E101" s="29"/>
      <c r="F101" s="30"/>
      <c r="G101" s="36" t="str">
        <f t="shared" si="1"/>
        <v/>
      </c>
      <c r="H101" s="28"/>
      <c r="I101" s="28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21.75" customHeight="1" x14ac:dyDescent="0.25">
      <c r="A102" s="28"/>
      <c r="B102" s="31"/>
      <c r="C102" s="28"/>
      <c r="D102" s="26" t="str">
        <f>IF(C102="","",IFERROR(VLOOKUP(C102,Productos!$A$5:$I$504,2,FALSE()),"Revisar código"))</f>
        <v/>
      </c>
      <c r="E102" s="29"/>
      <c r="F102" s="30"/>
      <c r="G102" s="36" t="str">
        <f t="shared" si="1"/>
        <v/>
      </c>
      <c r="H102" s="28"/>
      <c r="I102" s="28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21.75" customHeight="1" x14ac:dyDescent="0.25">
      <c r="A103" s="28"/>
      <c r="B103" s="31"/>
      <c r="C103" s="28"/>
      <c r="D103" s="26" t="str">
        <f>IF(C103="","",IFERROR(VLOOKUP(C103,Productos!$A$5:$I$504,2,FALSE()),"Revisar código"))</f>
        <v/>
      </c>
      <c r="E103" s="29"/>
      <c r="F103" s="30"/>
      <c r="G103" s="36" t="str">
        <f t="shared" si="1"/>
        <v/>
      </c>
      <c r="H103" s="28"/>
      <c r="I103" s="28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21.75" customHeight="1" x14ac:dyDescent="0.25">
      <c r="A104" s="28"/>
      <c r="B104" s="31"/>
      <c r="C104" s="28"/>
      <c r="D104" s="26" t="str">
        <f>IF(C104="","",IFERROR(VLOOKUP(C104,Productos!$A$5:$I$504,2,FALSE()),"Revisar código"))</f>
        <v/>
      </c>
      <c r="E104" s="29"/>
      <c r="F104" s="30"/>
      <c r="G104" s="36" t="str">
        <f t="shared" si="1"/>
        <v/>
      </c>
      <c r="H104" s="28"/>
      <c r="I104" s="28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21.75" customHeight="1" x14ac:dyDescent="0.25">
      <c r="A105" s="28"/>
      <c r="B105" s="31"/>
      <c r="C105" s="28"/>
      <c r="D105" s="26" t="str">
        <f>IF(C105="","",IFERROR(VLOOKUP(C105,Productos!$A$5:$I$504,2,FALSE()),"Revisar código"))</f>
        <v/>
      </c>
      <c r="E105" s="29"/>
      <c r="F105" s="30"/>
      <c r="G105" s="36" t="str">
        <f t="shared" si="1"/>
        <v/>
      </c>
      <c r="H105" s="28"/>
      <c r="I105" s="28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1.75" customHeight="1" x14ac:dyDescent="0.25">
      <c r="A106" s="28"/>
      <c r="B106" s="31"/>
      <c r="C106" s="28"/>
      <c r="D106" s="26" t="str">
        <f>IF(C106="","",IFERROR(VLOOKUP(C106,Productos!$A$5:$I$504,2,FALSE()),"Revisar código"))</f>
        <v/>
      </c>
      <c r="E106" s="29"/>
      <c r="F106" s="30"/>
      <c r="G106" s="36" t="str">
        <f t="shared" si="1"/>
        <v/>
      </c>
      <c r="H106" s="28"/>
      <c r="I106" s="28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21.75" customHeight="1" x14ac:dyDescent="0.25">
      <c r="A107" s="28"/>
      <c r="B107" s="31"/>
      <c r="C107" s="28"/>
      <c r="D107" s="26" t="str">
        <f>IF(C107="","",IFERROR(VLOOKUP(C107,Productos!$A$5:$I$504,2,FALSE()),"Revisar código"))</f>
        <v/>
      </c>
      <c r="E107" s="29"/>
      <c r="F107" s="30"/>
      <c r="G107" s="36" t="str">
        <f t="shared" si="1"/>
        <v/>
      </c>
      <c r="H107" s="28"/>
      <c r="I107" s="28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21.75" customHeight="1" x14ac:dyDescent="0.25">
      <c r="A108" s="28"/>
      <c r="B108" s="31"/>
      <c r="C108" s="28"/>
      <c r="D108" s="26" t="str">
        <f>IF(C108="","",IFERROR(VLOOKUP(C108,Productos!$A$5:$I$504,2,FALSE()),"Revisar código"))</f>
        <v/>
      </c>
      <c r="E108" s="29"/>
      <c r="F108" s="30"/>
      <c r="G108" s="36" t="str">
        <f t="shared" si="1"/>
        <v/>
      </c>
      <c r="H108" s="28"/>
      <c r="I108" s="28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21.75" customHeight="1" x14ac:dyDescent="0.25">
      <c r="A109" s="28"/>
      <c r="B109" s="31"/>
      <c r="C109" s="28"/>
      <c r="D109" s="26" t="str">
        <f>IF(C109="","",IFERROR(VLOOKUP(C109,Productos!$A$5:$I$504,2,FALSE()),"Revisar código"))</f>
        <v/>
      </c>
      <c r="E109" s="29"/>
      <c r="F109" s="30"/>
      <c r="G109" s="36" t="str">
        <f t="shared" si="1"/>
        <v/>
      </c>
      <c r="H109" s="28"/>
      <c r="I109" s="28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21.75" customHeight="1" x14ac:dyDescent="0.25">
      <c r="A110" s="28"/>
      <c r="B110" s="31"/>
      <c r="C110" s="28"/>
      <c r="D110" s="26" t="str">
        <f>IF(C110="","",IFERROR(VLOOKUP(C110,Productos!$A$5:$I$504,2,FALSE()),"Revisar código"))</f>
        <v/>
      </c>
      <c r="E110" s="29"/>
      <c r="F110" s="30"/>
      <c r="G110" s="36" t="str">
        <f t="shared" si="1"/>
        <v/>
      </c>
      <c r="H110" s="28"/>
      <c r="I110" s="28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21.75" customHeight="1" x14ac:dyDescent="0.25">
      <c r="A111" s="28"/>
      <c r="B111" s="31"/>
      <c r="C111" s="28"/>
      <c r="D111" s="26" t="str">
        <f>IF(C111="","",IFERROR(VLOOKUP(C111,Productos!$A$5:$I$504,2,FALSE()),"Revisar código"))</f>
        <v/>
      </c>
      <c r="E111" s="29"/>
      <c r="F111" s="30"/>
      <c r="G111" s="36" t="str">
        <f t="shared" si="1"/>
        <v/>
      </c>
      <c r="H111" s="28"/>
      <c r="I111" s="28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21.75" customHeight="1" x14ac:dyDescent="0.25">
      <c r="A112" s="28"/>
      <c r="B112" s="31"/>
      <c r="C112" s="28"/>
      <c r="D112" s="26" t="str">
        <f>IF(C112="","",IFERROR(VLOOKUP(C112,Productos!$A$5:$I$504,2,FALSE()),"Revisar código"))</f>
        <v/>
      </c>
      <c r="E112" s="29"/>
      <c r="F112" s="30"/>
      <c r="G112" s="36" t="str">
        <f t="shared" si="1"/>
        <v/>
      </c>
      <c r="H112" s="28"/>
      <c r="I112" s="28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21.75" customHeight="1" x14ac:dyDescent="0.25">
      <c r="A113" s="28"/>
      <c r="B113" s="31"/>
      <c r="C113" s="28"/>
      <c r="D113" s="26" t="str">
        <f>IF(C113="","",IFERROR(VLOOKUP(C113,Productos!$A$5:$I$504,2,FALSE()),"Revisar código"))</f>
        <v/>
      </c>
      <c r="E113" s="29"/>
      <c r="F113" s="30"/>
      <c r="G113" s="36" t="str">
        <f t="shared" si="1"/>
        <v/>
      </c>
      <c r="H113" s="28"/>
      <c r="I113" s="28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21.75" customHeight="1" x14ac:dyDescent="0.25">
      <c r="A114" s="28"/>
      <c r="B114" s="31"/>
      <c r="C114" s="28"/>
      <c r="D114" s="26" t="str">
        <f>IF(C114="","",IFERROR(VLOOKUP(C114,Productos!$A$5:$I$504,2,FALSE()),"Revisar código"))</f>
        <v/>
      </c>
      <c r="E114" s="29"/>
      <c r="F114" s="30"/>
      <c r="G114" s="36" t="str">
        <f t="shared" si="1"/>
        <v/>
      </c>
      <c r="H114" s="28"/>
      <c r="I114" s="28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21.75" customHeight="1" x14ac:dyDescent="0.25">
      <c r="A115" s="28"/>
      <c r="B115" s="31"/>
      <c r="C115" s="28"/>
      <c r="D115" s="26" t="str">
        <f>IF(C115="","",IFERROR(VLOOKUP(C115,Productos!$A$5:$I$504,2,FALSE()),"Revisar código"))</f>
        <v/>
      </c>
      <c r="E115" s="29"/>
      <c r="F115" s="30"/>
      <c r="G115" s="36" t="str">
        <f t="shared" si="1"/>
        <v/>
      </c>
      <c r="H115" s="28"/>
      <c r="I115" s="28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21.75" customHeight="1" x14ac:dyDescent="0.25">
      <c r="A116" s="28"/>
      <c r="B116" s="31"/>
      <c r="C116" s="28"/>
      <c r="D116" s="26" t="str">
        <f>IF(C116="","",IFERROR(VLOOKUP(C116,Productos!$A$5:$I$504,2,FALSE()),"Revisar código"))</f>
        <v/>
      </c>
      <c r="E116" s="29"/>
      <c r="F116" s="30"/>
      <c r="G116" s="36" t="str">
        <f t="shared" si="1"/>
        <v/>
      </c>
      <c r="H116" s="28"/>
      <c r="I116" s="28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21.75" customHeight="1" x14ac:dyDescent="0.25">
      <c r="A117" s="28"/>
      <c r="B117" s="31"/>
      <c r="C117" s="28"/>
      <c r="D117" s="26" t="str">
        <f>IF(C117="","",IFERROR(VLOOKUP(C117,Productos!$A$5:$I$504,2,FALSE()),"Revisar código"))</f>
        <v/>
      </c>
      <c r="E117" s="29"/>
      <c r="F117" s="30"/>
      <c r="G117" s="36" t="str">
        <f t="shared" si="1"/>
        <v/>
      </c>
      <c r="H117" s="28"/>
      <c r="I117" s="28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21.75" customHeight="1" x14ac:dyDescent="0.25">
      <c r="A118" s="28"/>
      <c r="B118" s="31"/>
      <c r="C118" s="28"/>
      <c r="D118" s="26" t="str">
        <f>IF(C118="","",IFERROR(VLOOKUP(C118,Productos!$A$5:$I$504,2,FALSE()),"Revisar código"))</f>
        <v/>
      </c>
      <c r="E118" s="29"/>
      <c r="F118" s="30"/>
      <c r="G118" s="36" t="str">
        <f t="shared" si="1"/>
        <v/>
      </c>
      <c r="H118" s="28"/>
      <c r="I118" s="28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21.75" customHeight="1" x14ac:dyDescent="0.25">
      <c r="A119" s="28"/>
      <c r="B119" s="31"/>
      <c r="C119" s="28"/>
      <c r="D119" s="26" t="str">
        <f>IF(C119="","",IFERROR(VLOOKUP(C119,Productos!$A$5:$I$504,2,FALSE()),"Revisar código"))</f>
        <v/>
      </c>
      <c r="E119" s="29"/>
      <c r="F119" s="30"/>
      <c r="G119" s="36" t="str">
        <f t="shared" si="1"/>
        <v/>
      </c>
      <c r="H119" s="28"/>
      <c r="I119" s="28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21.75" customHeight="1" x14ac:dyDescent="0.25">
      <c r="A120" s="28"/>
      <c r="B120" s="31"/>
      <c r="C120" s="28"/>
      <c r="D120" s="26" t="str">
        <f>IF(C120="","",IFERROR(VLOOKUP(C120,Productos!$A$5:$I$504,2,FALSE()),"Revisar código"))</f>
        <v/>
      </c>
      <c r="E120" s="29"/>
      <c r="F120" s="30"/>
      <c r="G120" s="36" t="str">
        <f t="shared" si="1"/>
        <v/>
      </c>
      <c r="H120" s="28"/>
      <c r="I120" s="28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21.75" customHeight="1" x14ac:dyDescent="0.25">
      <c r="A121" s="28"/>
      <c r="B121" s="31"/>
      <c r="C121" s="28"/>
      <c r="D121" s="26" t="str">
        <f>IF(C121="","",IFERROR(VLOOKUP(C121,Productos!$A$5:$I$504,2,FALSE()),"Revisar código"))</f>
        <v/>
      </c>
      <c r="E121" s="29"/>
      <c r="F121" s="30"/>
      <c r="G121" s="36" t="str">
        <f t="shared" si="1"/>
        <v/>
      </c>
      <c r="H121" s="28"/>
      <c r="I121" s="28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21.75" customHeight="1" x14ac:dyDescent="0.25">
      <c r="A122" s="28"/>
      <c r="B122" s="31"/>
      <c r="C122" s="28"/>
      <c r="D122" s="26" t="str">
        <f>IF(C122="","",IFERROR(VLOOKUP(C122,Productos!$A$5:$I$504,2,FALSE()),"Revisar código"))</f>
        <v/>
      </c>
      <c r="E122" s="29"/>
      <c r="F122" s="30"/>
      <c r="G122" s="36" t="str">
        <f t="shared" si="1"/>
        <v/>
      </c>
      <c r="H122" s="28"/>
      <c r="I122" s="28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21.75" customHeight="1" x14ac:dyDescent="0.25">
      <c r="A123" s="28"/>
      <c r="B123" s="31"/>
      <c r="C123" s="28"/>
      <c r="D123" s="26" t="str">
        <f>IF(C123="","",IFERROR(VLOOKUP(C123,Productos!$A$5:$I$504,2,FALSE()),"Revisar código"))</f>
        <v/>
      </c>
      <c r="E123" s="29"/>
      <c r="F123" s="30"/>
      <c r="G123" s="36" t="str">
        <f t="shared" si="1"/>
        <v/>
      </c>
      <c r="H123" s="28"/>
      <c r="I123" s="28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21.75" customHeight="1" x14ac:dyDescent="0.25">
      <c r="A124" s="28"/>
      <c r="B124" s="31"/>
      <c r="C124" s="28"/>
      <c r="D124" s="26" t="str">
        <f>IF(C124="","",IFERROR(VLOOKUP(C124,Productos!$A$5:$I$504,2,FALSE()),"Revisar código"))</f>
        <v/>
      </c>
      <c r="E124" s="29"/>
      <c r="F124" s="30"/>
      <c r="G124" s="36" t="str">
        <f t="shared" si="1"/>
        <v/>
      </c>
      <c r="H124" s="28"/>
      <c r="I124" s="28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21.75" customHeight="1" x14ac:dyDescent="0.25">
      <c r="A125" s="28"/>
      <c r="B125" s="31"/>
      <c r="C125" s="28"/>
      <c r="D125" s="26" t="str">
        <f>IF(C125="","",IFERROR(VLOOKUP(C125,Productos!$A$5:$I$504,2,FALSE()),"Revisar código"))</f>
        <v/>
      </c>
      <c r="E125" s="29"/>
      <c r="F125" s="30"/>
      <c r="G125" s="36" t="str">
        <f t="shared" si="1"/>
        <v/>
      </c>
      <c r="H125" s="28"/>
      <c r="I125" s="28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21.75" customHeight="1" x14ac:dyDescent="0.25">
      <c r="A126" s="28"/>
      <c r="B126" s="31"/>
      <c r="C126" s="28"/>
      <c r="D126" s="26" t="str">
        <f>IF(C126="","",IFERROR(VLOOKUP(C126,Productos!$A$5:$I$504,2,FALSE()),"Revisar código"))</f>
        <v/>
      </c>
      <c r="E126" s="29"/>
      <c r="F126" s="30"/>
      <c r="G126" s="36" t="str">
        <f t="shared" si="1"/>
        <v/>
      </c>
      <c r="H126" s="28"/>
      <c r="I126" s="28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21.75" customHeight="1" x14ac:dyDescent="0.25">
      <c r="A127" s="28"/>
      <c r="B127" s="31"/>
      <c r="C127" s="28"/>
      <c r="D127" s="26" t="str">
        <f>IF(C127="","",IFERROR(VLOOKUP(C127,Productos!$A$5:$I$504,2,FALSE()),"Revisar código"))</f>
        <v/>
      </c>
      <c r="E127" s="29"/>
      <c r="F127" s="30"/>
      <c r="G127" s="36" t="str">
        <f t="shared" si="1"/>
        <v/>
      </c>
      <c r="H127" s="28"/>
      <c r="I127" s="28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21.75" customHeight="1" x14ac:dyDescent="0.25">
      <c r="A128" s="28"/>
      <c r="B128" s="31"/>
      <c r="C128" s="28"/>
      <c r="D128" s="26" t="str">
        <f>IF(C128="","",IFERROR(VLOOKUP(C128,Productos!$A$5:$I$504,2,FALSE()),"Revisar código"))</f>
        <v/>
      </c>
      <c r="E128" s="29"/>
      <c r="F128" s="30"/>
      <c r="G128" s="36" t="str">
        <f t="shared" si="1"/>
        <v/>
      </c>
      <c r="H128" s="28"/>
      <c r="I128" s="28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21.75" customHeight="1" x14ac:dyDescent="0.25">
      <c r="A129" s="28"/>
      <c r="B129" s="31"/>
      <c r="C129" s="28"/>
      <c r="D129" s="26" t="str">
        <f>IF(C129="","",IFERROR(VLOOKUP(C129,Productos!$A$5:$I$504,2,FALSE()),"Revisar código"))</f>
        <v/>
      </c>
      <c r="E129" s="29"/>
      <c r="F129" s="30"/>
      <c r="G129" s="36" t="str">
        <f t="shared" si="1"/>
        <v/>
      </c>
      <c r="H129" s="28"/>
      <c r="I129" s="28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21.75" customHeight="1" x14ac:dyDescent="0.25">
      <c r="A130" s="28"/>
      <c r="B130" s="31"/>
      <c r="C130" s="28"/>
      <c r="D130" s="26" t="str">
        <f>IF(C130="","",IFERROR(VLOOKUP(C130,Productos!$A$5:$I$504,2,FALSE()),"Revisar código"))</f>
        <v/>
      </c>
      <c r="E130" s="29"/>
      <c r="F130" s="30"/>
      <c r="G130" s="36" t="str">
        <f t="shared" si="1"/>
        <v/>
      </c>
      <c r="H130" s="28"/>
      <c r="I130" s="28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21.75" customHeight="1" x14ac:dyDescent="0.25">
      <c r="A131" s="28"/>
      <c r="B131" s="31"/>
      <c r="C131" s="28"/>
      <c r="D131" s="26" t="str">
        <f>IF(C131="","",IFERROR(VLOOKUP(C131,Productos!$A$5:$I$504,2,FALSE()),"Revisar código"))</f>
        <v/>
      </c>
      <c r="E131" s="29"/>
      <c r="F131" s="30"/>
      <c r="G131" s="36" t="str">
        <f t="shared" si="1"/>
        <v/>
      </c>
      <c r="H131" s="28"/>
      <c r="I131" s="28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21.75" customHeight="1" x14ac:dyDescent="0.25">
      <c r="A132" s="28"/>
      <c r="B132" s="31"/>
      <c r="C132" s="28"/>
      <c r="D132" s="26" t="str">
        <f>IF(C132="","",IFERROR(VLOOKUP(C132,Productos!$A$5:$I$504,2,FALSE()),"Revisar código"))</f>
        <v/>
      </c>
      <c r="E132" s="29"/>
      <c r="F132" s="30"/>
      <c r="G132" s="36" t="str">
        <f t="shared" si="1"/>
        <v/>
      </c>
      <c r="H132" s="28"/>
      <c r="I132" s="28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21.75" customHeight="1" x14ac:dyDescent="0.25">
      <c r="A133" s="28"/>
      <c r="B133" s="31"/>
      <c r="C133" s="28"/>
      <c r="D133" s="26" t="str">
        <f>IF(C133="","",IFERROR(VLOOKUP(C133,Productos!$A$5:$I$504,2,FALSE()),"Revisar código"))</f>
        <v/>
      </c>
      <c r="E133" s="29"/>
      <c r="F133" s="30"/>
      <c r="G133" s="36" t="str">
        <f t="shared" ref="G133:G196" si="2">IF(OR(E133="",F133=""),"",E133*F133)</f>
        <v/>
      </c>
      <c r="H133" s="28"/>
      <c r="I133" s="28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21.75" customHeight="1" x14ac:dyDescent="0.25">
      <c r="A134" s="28"/>
      <c r="B134" s="31"/>
      <c r="C134" s="28"/>
      <c r="D134" s="26" t="str">
        <f>IF(C134="","",IFERROR(VLOOKUP(C134,Productos!$A$5:$I$504,2,FALSE()),"Revisar código"))</f>
        <v/>
      </c>
      <c r="E134" s="29"/>
      <c r="F134" s="30"/>
      <c r="G134" s="36" t="str">
        <f t="shared" si="2"/>
        <v/>
      </c>
      <c r="H134" s="28"/>
      <c r="I134" s="28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21.75" customHeight="1" x14ac:dyDescent="0.25">
      <c r="A135" s="28"/>
      <c r="B135" s="31"/>
      <c r="C135" s="28"/>
      <c r="D135" s="26" t="str">
        <f>IF(C135="","",IFERROR(VLOOKUP(C135,Productos!$A$5:$I$504,2,FALSE()),"Revisar código"))</f>
        <v/>
      </c>
      <c r="E135" s="29"/>
      <c r="F135" s="30"/>
      <c r="G135" s="36" t="str">
        <f t="shared" si="2"/>
        <v/>
      </c>
      <c r="H135" s="28"/>
      <c r="I135" s="28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21.75" customHeight="1" x14ac:dyDescent="0.25">
      <c r="A136" s="28"/>
      <c r="B136" s="31"/>
      <c r="C136" s="28"/>
      <c r="D136" s="26" t="str">
        <f>IF(C136="","",IFERROR(VLOOKUP(C136,Productos!$A$5:$I$504,2,FALSE()),"Revisar código"))</f>
        <v/>
      </c>
      <c r="E136" s="29"/>
      <c r="F136" s="30"/>
      <c r="G136" s="36" t="str">
        <f t="shared" si="2"/>
        <v/>
      </c>
      <c r="H136" s="28"/>
      <c r="I136" s="28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21.75" customHeight="1" x14ac:dyDescent="0.25">
      <c r="A137" s="28"/>
      <c r="B137" s="31"/>
      <c r="C137" s="28"/>
      <c r="D137" s="26" t="str">
        <f>IF(C137="","",IFERROR(VLOOKUP(C137,Productos!$A$5:$I$504,2,FALSE()),"Revisar código"))</f>
        <v/>
      </c>
      <c r="E137" s="29"/>
      <c r="F137" s="30"/>
      <c r="G137" s="36" t="str">
        <f t="shared" si="2"/>
        <v/>
      </c>
      <c r="H137" s="28"/>
      <c r="I137" s="28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21.75" customHeight="1" x14ac:dyDescent="0.25">
      <c r="A138" s="28"/>
      <c r="B138" s="31"/>
      <c r="C138" s="28"/>
      <c r="D138" s="26" t="str">
        <f>IF(C138="","",IFERROR(VLOOKUP(C138,Productos!$A$5:$I$504,2,FALSE()),"Revisar código"))</f>
        <v/>
      </c>
      <c r="E138" s="29"/>
      <c r="F138" s="30"/>
      <c r="G138" s="36" t="str">
        <f t="shared" si="2"/>
        <v/>
      </c>
      <c r="H138" s="28"/>
      <c r="I138" s="28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21.75" customHeight="1" x14ac:dyDescent="0.25">
      <c r="A139" s="28"/>
      <c r="B139" s="31"/>
      <c r="C139" s="28"/>
      <c r="D139" s="26" t="str">
        <f>IF(C139="","",IFERROR(VLOOKUP(C139,Productos!$A$5:$I$504,2,FALSE()),"Revisar código"))</f>
        <v/>
      </c>
      <c r="E139" s="29"/>
      <c r="F139" s="30"/>
      <c r="G139" s="36" t="str">
        <f t="shared" si="2"/>
        <v/>
      </c>
      <c r="H139" s="28"/>
      <c r="I139" s="28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21.75" customHeight="1" x14ac:dyDescent="0.25">
      <c r="A140" s="28"/>
      <c r="B140" s="31"/>
      <c r="C140" s="28"/>
      <c r="D140" s="26" t="str">
        <f>IF(C140="","",IFERROR(VLOOKUP(C140,Productos!$A$5:$I$504,2,FALSE()),"Revisar código"))</f>
        <v/>
      </c>
      <c r="E140" s="29"/>
      <c r="F140" s="30"/>
      <c r="G140" s="36" t="str">
        <f t="shared" si="2"/>
        <v/>
      </c>
      <c r="H140" s="28"/>
      <c r="I140" s="28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21.75" customHeight="1" x14ac:dyDescent="0.25">
      <c r="A141" s="28"/>
      <c r="B141" s="31"/>
      <c r="C141" s="28"/>
      <c r="D141" s="26" t="str">
        <f>IF(C141="","",IFERROR(VLOOKUP(C141,Productos!$A$5:$I$504,2,FALSE()),"Revisar código"))</f>
        <v/>
      </c>
      <c r="E141" s="29"/>
      <c r="F141" s="30"/>
      <c r="G141" s="36" t="str">
        <f t="shared" si="2"/>
        <v/>
      </c>
      <c r="H141" s="28"/>
      <c r="I141" s="28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21.75" customHeight="1" x14ac:dyDescent="0.25">
      <c r="A142" s="28"/>
      <c r="B142" s="31"/>
      <c r="C142" s="28"/>
      <c r="D142" s="26" t="str">
        <f>IF(C142="","",IFERROR(VLOOKUP(C142,Productos!$A$5:$I$504,2,FALSE()),"Revisar código"))</f>
        <v/>
      </c>
      <c r="E142" s="29"/>
      <c r="F142" s="30"/>
      <c r="G142" s="36" t="str">
        <f t="shared" si="2"/>
        <v/>
      </c>
      <c r="H142" s="28"/>
      <c r="I142" s="28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21.75" customHeight="1" x14ac:dyDescent="0.25">
      <c r="A143" s="28"/>
      <c r="B143" s="31"/>
      <c r="C143" s="28"/>
      <c r="D143" s="26" t="str">
        <f>IF(C143="","",IFERROR(VLOOKUP(C143,Productos!$A$5:$I$504,2,FALSE()),"Revisar código"))</f>
        <v/>
      </c>
      <c r="E143" s="29"/>
      <c r="F143" s="30"/>
      <c r="G143" s="36" t="str">
        <f t="shared" si="2"/>
        <v/>
      </c>
      <c r="H143" s="28"/>
      <c r="I143" s="28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21.75" customHeight="1" x14ac:dyDescent="0.25">
      <c r="A144" s="28"/>
      <c r="B144" s="31"/>
      <c r="C144" s="28"/>
      <c r="D144" s="26" t="str">
        <f>IF(C144="","",IFERROR(VLOOKUP(C144,Productos!$A$5:$I$504,2,FALSE()),"Revisar código"))</f>
        <v/>
      </c>
      <c r="E144" s="29"/>
      <c r="F144" s="30"/>
      <c r="G144" s="36" t="str">
        <f t="shared" si="2"/>
        <v/>
      </c>
      <c r="H144" s="28"/>
      <c r="I144" s="28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21.75" customHeight="1" x14ac:dyDescent="0.25">
      <c r="A145" s="28"/>
      <c r="B145" s="31"/>
      <c r="C145" s="28"/>
      <c r="D145" s="26" t="str">
        <f>IF(C145="","",IFERROR(VLOOKUP(C145,Productos!$A$5:$I$504,2,FALSE()),"Revisar código"))</f>
        <v/>
      </c>
      <c r="E145" s="29"/>
      <c r="F145" s="30"/>
      <c r="G145" s="36" t="str">
        <f t="shared" si="2"/>
        <v/>
      </c>
      <c r="H145" s="28"/>
      <c r="I145" s="28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21.75" customHeight="1" x14ac:dyDescent="0.25">
      <c r="A146" s="28"/>
      <c r="B146" s="31"/>
      <c r="C146" s="28"/>
      <c r="D146" s="26" t="str">
        <f>IF(C146="","",IFERROR(VLOOKUP(C146,Productos!$A$5:$I$504,2,FALSE()),"Revisar código"))</f>
        <v/>
      </c>
      <c r="E146" s="29"/>
      <c r="F146" s="30"/>
      <c r="G146" s="36" t="str">
        <f t="shared" si="2"/>
        <v/>
      </c>
      <c r="H146" s="28"/>
      <c r="I146" s="28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21.75" customHeight="1" x14ac:dyDescent="0.25">
      <c r="A147" s="28"/>
      <c r="B147" s="31"/>
      <c r="C147" s="28"/>
      <c r="D147" s="26" t="str">
        <f>IF(C147="","",IFERROR(VLOOKUP(C147,Productos!$A$5:$I$504,2,FALSE()),"Revisar código"))</f>
        <v/>
      </c>
      <c r="E147" s="29"/>
      <c r="F147" s="30"/>
      <c r="G147" s="36" t="str">
        <f t="shared" si="2"/>
        <v/>
      </c>
      <c r="H147" s="28"/>
      <c r="I147" s="28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1.75" customHeight="1" x14ac:dyDescent="0.25">
      <c r="A148" s="28"/>
      <c r="B148" s="31"/>
      <c r="C148" s="28"/>
      <c r="D148" s="26" t="str">
        <f>IF(C148="","",IFERROR(VLOOKUP(C148,Productos!$A$5:$I$504,2,FALSE()),"Revisar código"))</f>
        <v/>
      </c>
      <c r="E148" s="29"/>
      <c r="F148" s="30"/>
      <c r="G148" s="36" t="str">
        <f t="shared" si="2"/>
        <v/>
      </c>
      <c r="H148" s="28"/>
      <c r="I148" s="28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21.75" customHeight="1" x14ac:dyDescent="0.25">
      <c r="A149" s="28"/>
      <c r="B149" s="31"/>
      <c r="C149" s="28"/>
      <c r="D149" s="26" t="str">
        <f>IF(C149="","",IFERROR(VLOOKUP(C149,Productos!$A$5:$I$504,2,FALSE()),"Revisar código"))</f>
        <v/>
      </c>
      <c r="E149" s="29"/>
      <c r="F149" s="30"/>
      <c r="G149" s="36" t="str">
        <f t="shared" si="2"/>
        <v/>
      </c>
      <c r="H149" s="28"/>
      <c r="I149" s="28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21.75" customHeight="1" x14ac:dyDescent="0.25">
      <c r="A150" s="28"/>
      <c r="B150" s="31"/>
      <c r="C150" s="28"/>
      <c r="D150" s="26" t="str">
        <f>IF(C150="","",IFERROR(VLOOKUP(C150,Productos!$A$5:$I$504,2,FALSE()),"Revisar código"))</f>
        <v/>
      </c>
      <c r="E150" s="29"/>
      <c r="F150" s="30"/>
      <c r="G150" s="36" t="str">
        <f t="shared" si="2"/>
        <v/>
      </c>
      <c r="H150" s="28"/>
      <c r="I150" s="28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21.75" customHeight="1" x14ac:dyDescent="0.25">
      <c r="A151" s="28"/>
      <c r="B151" s="31"/>
      <c r="C151" s="28"/>
      <c r="D151" s="26" t="str">
        <f>IF(C151="","",IFERROR(VLOOKUP(C151,Productos!$A$5:$I$504,2,FALSE()),"Revisar código"))</f>
        <v/>
      </c>
      <c r="E151" s="29"/>
      <c r="F151" s="30"/>
      <c r="G151" s="36" t="str">
        <f t="shared" si="2"/>
        <v/>
      </c>
      <c r="H151" s="28"/>
      <c r="I151" s="28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21.75" customHeight="1" x14ac:dyDescent="0.25">
      <c r="A152" s="28"/>
      <c r="B152" s="31"/>
      <c r="C152" s="28"/>
      <c r="D152" s="26" t="str">
        <f>IF(C152="","",IFERROR(VLOOKUP(C152,Productos!$A$5:$I$504,2,FALSE()),"Revisar código"))</f>
        <v/>
      </c>
      <c r="E152" s="29"/>
      <c r="F152" s="30"/>
      <c r="G152" s="36" t="str">
        <f t="shared" si="2"/>
        <v/>
      </c>
      <c r="H152" s="28"/>
      <c r="I152" s="28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21.75" customHeight="1" x14ac:dyDescent="0.25">
      <c r="A153" s="28"/>
      <c r="B153" s="31"/>
      <c r="C153" s="28"/>
      <c r="D153" s="26" t="str">
        <f>IF(C153="","",IFERROR(VLOOKUP(C153,Productos!$A$5:$I$504,2,FALSE()),"Revisar código"))</f>
        <v/>
      </c>
      <c r="E153" s="29"/>
      <c r="F153" s="30"/>
      <c r="G153" s="36" t="str">
        <f t="shared" si="2"/>
        <v/>
      </c>
      <c r="H153" s="28"/>
      <c r="I153" s="28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21.75" customHeight="1" x14ac:dyDescent="0.25">
      <c r="A154" s="28"/>
      <c r="B154" s="31"/>
      <c r="C154" s="28"/>
      <c r="D154" s="26" t="str">
        <f>IF(C154="","",IFERROR(VLOOKUP(C154,Productos!$A$5:$I$504,2,FALSE()),"Revisar código"))</f>
        <v/>
      </c>
      <c r="E154" s="29"/>
      <c r="F154" s="30"/>
      <c r="G154" s="36" t="str">
        <f t="shared" si="2"/>
        <v/>
      </c>
      <c r="H154" s="28"/>
      <c r="I154" s="28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21.75" customHeight="1" x14ac:dyDescent="0.25">
      <c r="A155" s="28"/>
      <c r="B155" s="31"/>
      <c r="C155" s="28"/>
      <c r="D155" s="26" t="str">
        <f>IF(C155="","",IFERROR(VLOOKUP(C155,Productos!$A$5:$I$504,2,FALSE()),"Revisar código"))</f>
        <v/>
      </c>
      <c r="E155" s="29"/>
      <c r="F155" s="30"/>
      <c r="G155" s="36" t="str">
        <f t="shared" si="2"/>
        <v/>
      </c>
      <c r="H155" s="28"/>
      <c r="I155" s="28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21.75" customHeight="1" x14ac:dyDescent="0.25">
      <c r="A156" s="28"/>
      <c r="B156" s="31"/>
      <c r="C156" s="28"/>
      <c r="D156" s="26" t="str">
        <f>IF(C156="","",IFERROR(VLOOKUP(C156,Productos!$A$5:$I$504,2,FALSE()),"Revisar código"))</f>
        <v/>
      </c>
      <c r="E156" s="29"/>
      <c r="F156" s="30"/>
      <c r="G156" s="36" t="str">
        <f t="shared" si="2"/>
        <v/>
      </c>
      <c r="H156" s="28"/>
      <c r="I156" s="28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21.75" customHeight="1" x14ac:dyDescent="0.25">
      <c r="A157" s="28"/>
      <c r="B157" s="31"/>
      <c r="C157" s="28"/>
      <c r="D157" s="26" t="str">
        <f>IF(C157="","",IFERROR(VLOOKUP(C157,Productos!$A$5:$I$504,2,FALSE()),"Revisar código"))</f>
        <v/>
      </c>
      <c r="E157" s="29"/>
      <c r="F157" s="30"/>
      <c r="G157" s="36" t="str">
        <f t="shared" si="2"/>
        <v/>
      </c>
      <c r="H157" s="28"/>
      <c r="I157" s="28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21.75" customHeight="1" x14ac:dyDescent="0.25">
      <c r="A158" s="28"/>
      <c r="B158" s="31"/>
      <c r="C158" s="28"/>
      <c r="D158" s="26" t="str">
        <f>IF(C158="","",IFERROR(VLOOKUP(C158,Productos!$A$5:$I$504,2,FALSE()),"Revisar código"))</f>
        <v/>
      </c>
      <c r="E158" s="29"/>
      <c r="F158" s="30"/>
      <c r="G158" s="36" t="str">
        <f t="shared" si="2"/>
        <v/>
      </c>
      <c r="H158" s="28"/>
      <c r="I158" s="28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21.75" customHeight="1" x14ac:dyDescent="0.25">
      <c r="A159" s="28"/>
      <c r="B159" s="31"/>
      <c r="C159" s="28"/>
      <c r="D159" s="26" t="str">
        <f>IF(C159="","",IFERROR(VLOOKUP(C159,Productos!$A$5:$I$504,2,FALSE()),"Revisar código"))</f>
        <v/>
      </c>
      <c r="E159" s="29"/>
      <c r="F159" s="30"/>
      <c r="G159" s="36" t="str">
        <f t="shared" si="2"/>
        <v/>
      </c>
      <c r="H159" s="28"/>
      <c r="I159" s="28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21.75" customHeight="1" x14ac:dyDescent="0.25">
      <c r="A160" s="28"/>
      <c r="B160" s="31"/>
      <c r="C160" s="28"/>
      <c r="D160" s="26" t="str">
        <f>IF(C160="","",IFERROR(VLOOKUP(C160,Productos!$A$5:$I$504,2,FALSE()),"Revisar código"))</f>
        <v/>
      </c>
      <c r="E160" s="29"/>
      <c r="F160" s="30"/>
      <c r="G160" s="36" t="str">
        <f t="shared" si="2"/>
        <v/>
      </c>
      <c r="H160" s="28"/>
      <c r="I160" s="28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21.75" customHeight="1" x14ac:dyDescent="0.25">
      <c r="A161" s="28"/>
      <c r="B161" s="31"/>
      <c r="C161" s="28"/>
      <c r="D161" s="26" t="str">
        <f>IF(C161="","",IFERROR(VLOOKUP(C161,Productos!$A$5:$I$504,2,FALSE()),"Revisar código"))</f>
        <v/>
      </c>
      <c r="E161" s="29"/>
      <c r="F161" s="30"/>
      <c r="G161" s="36" t="str">
        <f t="shared" si="2"/>
        <v/>
      </c>
      <c r="H161" s="28"/>
      <c r="I161" s="28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21.75" customHeight="1" x14ac:dyDescent="0.25">
      <c r="A162" s="28"/>
      <c r="B162" s="31"/>
      <c r="C162" s="28"/>
      <c r="D162" s="26" t="str">
        <f>IF(C162="","",IFERROR(VLOOKUP(C162,Productos!$A$5:$I$504,2,FALSE()),"Revisar código"))</f>
        <v/>
      </c>
      <c r="E162" s="29"/>
      <c r="F162" s="30"/>
      <c r="G162" s="36" t="str">
        <f t="shared" si="2"/>
        <v/>
      </c>
      <c r="H162" s="28"/>
      <c r="I162" s="28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21.75" customHeight="1" x14ac:dyDescent="0.25">
      <c r="A163" s="28"/>
      <c r="B163" s="31"/>
      <c r="C163" s="28"/>
      <c r="D163" s="26" t="str">
        <f>IF(C163="","",IFERROR(VLOOKUP(C163,Productos!$A$5:$I$504,2,FALSE()),"Revisar código"))</f>
        <v/>
      </c>
      <c r="E163" s="29"/>
      <c r="F163" s="30"/>
      <c r="G163" s="36" t="str">
        <f t="shared" si="2"/>
        <v/>
      </c>
      <c r="H163" s="28"/>
      <c r="I163" s="28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21.75" customHeight="1" x14ac:dyDescent="0.25">
      <c r="A164" s="28"/>
      <c r="B164" s="31"/>
      <c r="C164" s="28"/>
      <c r="D164" s="26" t="str">
        <f>IF(C164="","",IFERROR(VLOOKUP(C164,Productos!$A$5:$I$504,2,FALSE()),"Revisar código"))</f>
        <v/>
      </c>
      <c r="E164" s="29"/>
      <c r="F164" s="30"/>
      <c r="G164" s="36" t="str">
        <f t="shared" si="2"/>
        <v/>
      </c>
      <c r="H164" s="28"/>
      <c r="I164" s="28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21.75" customHeight="1" x14ac:dyDescent="0.25">
      <c r="A165" s="28"/>
      <c r="B165" s="31"/>
      <c r="C165" s="28"/>
      <c r="D165" s="26" t="str">
        <f>IF(C165="","",IFERROR(VLOOKUP(C165,Productos!$A$5:$I$504,2,FALSE()),"Revisar código"))</f>
        <v/>
      </c>
      <c r="E165" s="29"/>
      <c r="F165" s="30"/>
      <c r="G165" s="36" t="str">
        <f t="shared" si="2"/>
        <v/>
      </c>
      <c r="H165" s="28"/>
      <c r="I165" s="28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21.75" customHeight="1" x14ac:dyDescent="0.25">
      <c r="A166" s="28"/>
      <c r="B166" s="31"/>
      <c r="C166" s="28"/>
      <c r="D166" s="26" t="str">
        <f>IF(C166="","",IFERROR(VLOOKUP(C166,Productos!$A$5:$I$504,2,FALSE()),"Revisar código"))</f>
        <v/>
      </c>
      <c r="E166" s="29"/>
      <c r="F166" s="30"/>
      <c r="G166" s="36" t="str">
        <f t="shared" si="2"/>
        <v/>
      </c>
      <c r="H166" s="28"/>
      <c r="I166" s="28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21.75" customHeight="1" x14ac:dyDescent="0.25">
      <c r="A167" s="28"/>
      <c r="B167" s="31"/>
      <c r="C167" s="28"/>
      <c r="D167" s="26" t="str">
        <f>IF(C167="","",IFERROR(VLOOKUP(C167,Productos!$A$5:$I$504,2,FALSE()),"Revisar código"))</f>
        <v/>
      </c>
      <c r="E167" s="29"/>
      <c r="F167" s="30"/>
      <c r="G167" s="36" t="str">
        <f t="shared" si="2"/>
        <v/>
      </c>
      <c r="H167" s="28"/>
      <c r="I167" s="28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21.75" customHeight="1" x14ac:dyDescent="0.25">
      <c r="A168" s="28"/>
      <c r="B168" s="31"/>
      <c r="C168" s="28"/>
      <c r="D168" s="26" t="str">
        <f>IF(C168="","",IFERROR(VLOOKUP(C168,Productos!$A$5:$I$504,2,FALSE()),"Revisar código"))</f>
        <v/>
      </c>
      <c r="E168" s="29"/>
      <c r="F168" s="30"/>
      <c r="G168" s="36" t="str">
        <f t="shared" si="2"/>
        <v/>
      </c>
      <c r="H168" s="28"/>
      <c r="I168" s="28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21.75" customHeight="1" x14ac:dyDescent="0.25">
      <c r="A169" s="28"/>
      <c r="B169" s="31"/>
      <c r="C169" s="28"/>
      <c r="D169" s="26" t="str">
        <f>IF(C169="","",IFERROR(VLOOKUP(C169,Productos!$A$5:$I$504,2,FALSE()),"Revisar código"))</f>
        <v/>
      </c>
      <c r="E169" s="29"/>
      <c r="F169" s="30"/>
      <c r="G169" s="36" t="str">
        <f t="shared" si="2"/>
        <v/>
      </c>
      <c r="H169" s="28"/>
      <c r="I169" s="28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21.75" customHeight="1" x14ac:dyDescent="0.25">
      <c r="A170" s="28"/>
      <c r="B170" s="31"/>
      <c r="C170" s="28"/>
      <c r="D170" s="26" t="str">
        <f>IF(C170="","",IFERROR(VLOOKUP(C170,Productos!$A$5:$I$504,2,FALSE()),"Revisar código"))</f>
        <v/>
      </c>
      <c r="E170" s="29"/>
      <c r="F170" s="30"/>
      <c r="G170" s="36" t="str">
        <f t="shared" si="2"/>
        <v/>
      </c>
      <c r="H170" s="28"/>
      <c r="I170" s="28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21.75" customHeight="1" x14ac:dyDescent="0.25">
      <c r="A171" s="28"/>
      <c r="B171" s="31"/>
      <c r="C171" s="28"/>
      <c r="D171" s="26" t="str">
        <f>IF(C171="","",IFERROR(VLOOKUP(C171,Productos!$A$5:$I$504,2,FALSE()),"Revisar código"))</f>
        <v/>
      </c>
      <c r="E171" s="29"/>
      <c r="F171" s="30"/>
      <c r="G171" s="36" t="str">
        <f t="shared" si="2"/>
        <v/>
      </c>
      <c r="H171" s="28"/>
      <c r="I171" s="28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21.75" customHeight="1" x14ac:dyDescent="0.25">
      <c r="A172" s="28"/>
      <c r="B172" s="31"/>
      <c r="C172" s="28"/>
      <c r="D172" s="26" t="str">
        <f>IF(C172="","",IFERROR(VLOOKUP(C172,Productos!$A$5:$I$504,2,FALSE()),"Revisar código"))</f>
        <v/>
      </c>
      <c r="E172" s="29"/>
      <c r="F172" s="30"/>
      <c r="G172" s="36" t="str">
        <f t="shared" si="2"/>
        <v/>
      </c>
      <c r="H172" s="28"/>
      <c r="I172" s="28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21.75" customHeight="1" x14ac:dyDescent="0.25">
      <c r="A173" s="28"/>
      <c r="B173" s="31"/>
      <c r="C173" s="28"/>
      <c r="D173" s="26" t="str">
        <f>IF(C173="","",IFERROR(VLOOKUP(C173,Productos!$A$5:$I$504,2,FALSE()),"Revisar código"))</f>
        <v/>
      </c>
      <c r="E173" s="29"/>
      <c r="F173" s="30"/>
      <c r="G173" s="36" t="str">
        <f t="shared" si="2"/>
        <v/>
      </c>
      <c r="H173" s="28"/>
      <c r="I173" s="28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21.75" customHeight="1" x14ac:dyDescent="0.25">
      <c r="A174" s="28"/>
      <c r="B174" s="31"/>
      <c r="C174" s="28"/>
      <c r="D174" s="26" t="str">
        <f>IF(C174="","",IFERROR(VLOOKUP(C174,Productos!$A$5:$I$504,2,FALSE()),"Revisar código"))</f>
        <v/>
      </c>
      <c r="E174" s="29"/>
      <c r="F174" s="30"/>
      <c r="G174" s="36" t="str">
        <f t="shared" si="2"/>
        <v/>
      </c>
      <c r="H174" s="28"/>
      <c r="I174" s="28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21.75" customHeight="1" x14ac:dyDescent="0.25">
      <c r="A175" s="28"/>
      <c r="B175" s="31"/>
      <c r="C175" s="28"/>
      <c r="D175" s="26" t="str">
        <f>IF(C175="","",IFERROR(VLOOKUP(C175,Productos!$A$5:$I$504,2,FALSE()),"Revisar código"))</f>
        <v/>
      </c>
      <c r="E175" s="29"/>
      <c r="F175" s="30"/>
      <c r="G175" s="36" t="str">
        <f t="shared" si="2"/>
        <v/>
      </c>
      <c r="H175" s="28"/>
      <c r="I175" s="28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21.75" customHeight="1" x14ac:dyDescent="0.25">
      <c r="A176" s="28"/>
      <c r="B176" s="31"/>
      <c r="C176" s="28"/>
      <c r="D176" s="26" t="str">
        <f>IF(C176="","",IFERROR(VLOOKUP(C176,Productos!$A$5:$I$504,2,FALSE()),"Revisar código"))</f>
        <v/>
      </c>
      <c r="E176" s="29"/>
      <c r="F176" s="30"/>
      <c r="G176" s="36" t="str">
        <f t="shared" si="2"/>
        <v/>
      </c>
      <c r="H176" s="28"/>
      <c r="I176" s="28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21.75" customHeight="1" x14ac:dyDescent="0.25">
      <c r="A177" s="28"/>
      <c r="B177" s="31"/>
      <c r="C177" s="28"/>
      <c r="D177" s="26" t="str">
        <f>IF(C177="","",IFERROR(VLOOKUP(C177,Productos!$A$5:$I$504,2,FALSE()),"Revisar código"))</f>
        <v/>
      </c>
      <c r="E177" s="29"/>
      <c r="F177" s="30"/>
      <c r="G177" s="36" t="str">
        <f t="shared" si="2"/>
        <v/>
      </c>
      <c r="H177" s="28"/>
      <c r="I177" s="28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21.75" customHeight="1" x14ac:dyDescent="0.25">
      <c r="A178" s="28"/>
      <c r="B178" s="31"/>
      <c r="C178" s="28"/>
      <c r="D178" s="26" t="str">
        <f>IF(C178="","",IFERROR(VLOOKUP(C178,Productos!$A$5:$I$504,2,FALSE()),"Revisar código"))</f>
        <v/>
      </c>
      <c r="E178" s="29"/>
      <c r="F178" s="30"/>
      <c r="G178" s="36" t="str">
        <f t="shared" si="2"/>
        <v/>
      </c>
      <c r="H178" s="28"/>
      <c r="I178" s="28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21.75" customHeight="1" x14ac:dyDescent="0.25">
      <c r="A179" s="28"/>
      <c r="B179" s="31"/>
      <c r="C179" s="28"/>
      <c r="D179" s="26" t="str">
        <f>IF(C179="","",IFERROR(VLOOKUP(C179,Productos!$A$5:$I$504,2,FALSE()),"Revisar código"))</f>
        <v/>
      </c>
      <c r="E179" s="29"/>
      <c r="F179" s="30"/>
      <c r="G179" s="36" t="str">
        <f t="shared" si="2"/>
        <v/>
      </c>
      <c r="H179" s="28"/>
      <c r="I179" s="28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21.75" customHeight="1" x14ac:dyDescent="0.25">
      <c r="A180" s="28"/>
      <c r="B180" s="31"/>
      <c r="C180" s="28"/>
      <c r="D180" s="26" t="str">
        <f>IF(C180="","",IFERROR(VLOOKUP(C180,Productos!$A$5:$I$504,2,FALSE()),"Revisar código"))</f>
        <v/>
      </c>
      <c r="E180" s="29"/>
      <c r="F180" s="30"/>
      <c r="G180" s="36" t="str">
        <f t="shared" si="2"/>
        <v/>
      </c>
      <c r="H180" s="28"/>
      <c r="I180" s="28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21.75" customHeight="1" x14ac:dyDescent="0.25">
      <c r="A181" s="28"/>
      <c r="B181" s="31"/>
      <c r="C181" s="28"/>
      <c r="D181" s="26" t="str">
        <f>IF(C181="","",IFERROR(VLOOKUP(C181,Productos!$A$5:$I$504,2,FALSE()),"Revisar código"))</f>
        <v/>
      </c>
      <c r="E181" s="29"/>
      <c r="F181" s="30"/>
      <c r="G181" s="36" t="str">
        <f t="shared" si="2"/>
        <v/>
      </c>
      <c r="H181" s="28"/>
      <c r="I181" s="28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21.75" customHeight="1" x14ac:dyDescent="0.25">
      <c r="A182" s="28"/>
      <c r="B182" s="31"/>
      <c r="C182" s="28"/>
      <c r="D182" s="26" t="str">
        <f>IF(C182="","",IFERROR(VLOOKUP(C182,Productos!$A$5:$I$504,2,FALSE()),"Revisar código"))</f>
        <v/>
      </c>
      <c r="E182" s="29"/>
      <c r="F182" s="30"/>
      <c r="G182" s="36" t="str">
        <f t="shared" si="2"/>
        <v/>
      </c>
      <c r="H182" s="28"/>
      <c r="I182" s="28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21.75" customHeight="1" x14ac:dyDescent="0.25">
      <c r="A183" s="28"/>
      <c r="B183" s="31"/>
      <c r="C183" s="28"/>
      <c r="D183" s="26" t="str">
        <f>IF(C183="","",IFERROR(VLOOKUP(C183,Productos!$A$5:$I$504,2,FALSE()),"Revisar código"))</f>
        <v/>
      </c>
      <c r="E183" s="29"/>
      <c r="F183" s="30"/>
      <c r="G183" s="36" t="str">
        <f t="shared" si="2"/>
        <v/>
      </c>
      <c r="H183" s="28"/>
      <c r="I183" s="28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21.75" customHeight="1" x14ac:dyDescent="0.25">
      <c r="A184" s="28"/>
      <c r="B184" s="31"/>
      <c r="C184" s="28"/>
      <c r="D184" s="26" t="str">
        <f>IF(C184="","",IFERROR(VLOOKUP(C184,Productos!$A$5:$I$504,2,FALSE()),"Revisar código"))</f>
        <v/>
      </c>
      <c r="E184" s="29"/>
      <c r="F184" s="30"/>
      <c r="G184" s="36" t="str">
        <f t="shared" si="2"/>
        <v/>
      </c>
      <c r="H184" s="28"/>
      <c r="I184" s="28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21.75" customHeight="1" x14ac:dyDescent="0.25">
      <c r="A185" s="28"/>
      <c r="B185" s="31"/>
      <c r="C185" s="28"/>
      <c r="D185" s="26" t="str">
        <f>IF(C185="","",IFERROR(VLOOKUP(C185,Productos!$A$5:$I$504,2,FALSE()),"Revisar código"))</f>
        <v/>
      </c>
      <c r="E185" s="29"/>
      <c r="F185" s="30"/>
      <c r="G185" s="36" t="str">
        <f t="shared" si="2"/>
        <v/>
      </c>
      <c r="H185" s="28"/>
      <c r="I185" s="28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21.75" customHeight="1" x14ac:dyDescent="0.25">
      <c r="A186" s="28"/>
      <c r="B186" s="31"/>
      <c r="C186" s="28"/>
      <c r="D186" s="26" t="str">
        <f>IF(C186="","",IFERROR(VLOOKUP(C186,Productos!$A$5:$I$504,2,FALSE()),"Revisar código"))</f>
        <v/>
      </c>
      <c r="E186" s="29"/>
      <c r="F186" s="30"/>
      <c r="G186" s="36" t="str">
        <f t="shared" si="2"/>
        <v/>
      </c>
      <c r="H186" s="28"/>
      <c r="I186" s="28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21.75" customHeight="1" x14ac:dyDescent="0.25">
      <c r="A187" s="28"/>
      <c r="B187" s="31"/>
      <c r="C187" s="28"/>
      <c r="D187" s="26" t="str">
        <f>IF(C187="","",IFERROR(VLOOKUP(C187,Productos!$A$5:$I$504,2,FALSE()),"Revisar código"))</f>
        <v/>
      </c>
      <c r="E187" s="29"/>
      <c r="F187" s="30"/>
      <c r="G187" s="36" t="str">
        <f t="shared" si="2"/>
        <v/>
      </c>
      <c r="H187" s="28"/>
      <c r="I187" s="28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21.75" customHeight="1" x14ac:dyDescent="0.25">
      <c r="A188" s="28"/>
      <c r="B188" s="31"/>
      <c r="C188" s="28"/>
      <c r="D188" s="26" t="str">
        <f>IF(C188="","",IFERROR(VLOOKUP(C188,Productos!$A$5:$I$504,2,FALSE()),"Revisar código"))</f>
        <v/>
      </c>
      <c r="E188" s="29"/>
      <c r="F188" s="30"/>
      <c r="G188" s="36" t="str">
        <f t="shared" si="2"/>
        <v/>
      </c>
      <c r="H188" s="28"/>
      <c r="I188" s="28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21.75" customHeight="1" x14ac:dyDescent="0.25">
      <c r="A189" s="28"/>
      <c r="B189" s="31"/>
      <c r="C189" s="28"/>
      <c r="D189" s="26" t="str">
        <f>IF(C189="","",IFERROR(VLOOKUP(C189,Productos!$A$5:$I$504,2,FALSE()),"Revisar código"))</f>
        <v/>
      </c>
      <c r="E189" s="29"/>
      <c r="F189" s="30"/>
      <c r="G189" s="36" t="str">
        <f t="shared" si="2"/>
        <v/>
      </c>
      <c r="H189" s="28"/>
      <c r="I189" s="28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21.75" customHeight="1" x14ac:dyDescent="0.25">
      <c r="A190" s="28"/>
      <c r="B190" s="31"/>
      <c r="C190" s="28"/>
      <c r="D190" s="26" t="str">
        <f>IF(C190="","",IFERROR(VLOOKUP(C190,Productos!$A$5:$I$504,2,FALSE()),"Revisar código"))</f>
        <v/>
      </c>
      <c r="E190" s="29"/>
      <c r="F190" s="30"/>
      <c r="G190" s="36" t="str">
        <f t="shared" si="2"/>
        <v/>
      </c>
      <c r="H190" s="28"/>
      <c r="I190" s="28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21.75" customHeight="1" x14ac:dyDescent="0.25">
      <c r="A191" s="28"/>
      <c r="B191" s="31"/>
      <c r="C191" s="28"/>
      <c r="D191" s="26" t="str">
        <f>IF(C191="","",IFERROR(VLOOKUP(C191,Productos!$A$5:$I$504,2,FALSE()),"Revisar código"))</f>
        <v/>
      </c>
      <c r="E191" s="29"/>
      <c r="F191" s="30"/>
      <c r="G191" s="36" t="str">
        <f t="shared" si="2"/>
        <v/>
      </c>
      <c r="H191" s="28"/>
      <c r="I191" s="28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21.75" customHeight="1" x14ac:dyDescent="0.25">
      <c r="A192" s="28"/>
      <c r="B192" s="31"/>
      <c r="C192" s="28"/>
      <c r="D192" s="26" t="str">
        <f>IF(C192="","",IFERROR(VLOOKUP(C192,Productos!$A$5:$I$504,2,FALSE()),"Revisar código"))</f>
        <v/>
      </c>
      <c r="E192" s="29"/>
      <c r="F192" s="30"/>
      <c r="G192" s="36" t="str">
        <f t="shared" si="2"/>
        <v/>
      </c>
      <c r="H192" s="28"/>
      <c r="I192" s="28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21.75" customHeight="1" x14ac:dyDescent="0.25">
      <c r="A193" s="28"/>
      <c r="B193" s="31"/>
      <c r="C193" s="28"/>
      <c r="D193" s="26" t="str">
        <f>IF(C193="","",IFERROR(VLOOKUP(C193,Productos!$A$5:$I$504,2,FALSE()),"Revisar código"))</f>
        <v/>
      </c>
      <c r="E193" s="29"/>
      <c r="F193" s="30"/>
      <c r="G193" s="36" t="str">
        <f t="shared" si="2"/>
        <v/>
      </c>
      <c r="H193" s="28"/>
      <c r="I193" s="28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21.75" customHeight="1" x14ac:dyDescent="0.25">
      <c r="A194" s="28"/>
      <c r="B194" s="31"/>
      <c r="C194" s="28"/>
      <c r="D194" s="26" t="str">
        <f>IF(C194="","",IFERROR(VLOOKUP(C194,Productos!$A$5:$I$504,2,FALSE()),"Revisar código"))</f>
        <v/>
      </c>
      <c r="E194" s="29"/>
      <c r="F194" s="30"/>
      <c r="G194" s="36" t="str">
        <f t="shared" si="2"/>
        <v/>
      </c>
      <c r="H194" s="28"/>
      <c r="I194" s="28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21.75" customHeight="1" x14ac:dyDescent="0.25">
      <c r="A195" s="28"/>
      <c r="B195" s="31"/>
      <c r="C195" s="28"/>
      <c r="D195" s="26" t="str">
        <f>IF(C195="","",IFERROR(VLOOKUP(C195,Productos!$A$5:$I$504,2,FALSE()),"Revisar código"))</f>
        <v/>
      </c>
      <c r="E195" s="29"/>
      <c r="F195" s="30"/>
      <c r="G195" s="36" t="str">
        <f t="shared" si="2"/>
        <v/>
      </c>
      <c r="H195" s="28"/>
      <c r="I195" s="28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21.75" customHeight="1" x14ac:dyDescent="0.25">
      <c r="A196" s="28"/>
      <c r="B196" s="31"/>
      <c r="C196" s="28"/>
      <c r="D196" s="26" t="str">
        <f>IF(C196="","",IFERROR(VLOOKUP(C196,Productos!$A$5:$I$504,2,FALSE()),"Revisar código"))</f>
        <v/>
      </c>
      <c r="E196" s="29"/>
      <c r="F196" s="30"/>
      <c r="G196" s="36" t="str">
        <f t="shared" si="2"/>
        <v/>
      </c>
      <c r="H196" s="28"/>
      <c r="I196" s="28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21.75" customHeight="1" x14ac:dyDescent="0.25">
      <c r="A197" s="28"/>
      <c r="B197" s="31"/>
      <c r="C197" s="28"/>
      <c r="D197" s="26" t="str">
        <f>IF(C197="","",IFERROR(VLOOKUP(C197,Productos!$A$5:$I$504,2,FALSE()),"Revisar código"))</f>
        <v/>
      </c>
      <c r="E197" s="29"/>
      <c r="F197" s="30"/>
      <c r="G197" s="36" t="str">
        <f t="shared" ref="G197:G260" si="3">IF(OR(E197="",F197=""),"",E197*F197)</f>
        <v/>
      </c>
      <c r="H197" s="28"/>
      <c r="I197" s="28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21.75" customHeight="1" x14ac:dyDescent="0.25">
      <c r="A198" s="28"/>
      <c r="B198" s="31"/>
      <c r="C198" s="28"/>
      <c r="D198" s="26" t="str">
        <f>IF(C198="","",IFERROR(VLOOKUP(C198,Productos!$A$5:$I$504,2,FALSE()),"Revisar código"))</f>
        <v/>
      </c>
      <c r="E198" s="29"/>
      <c r="F198" s="30"/>
      <c r="G198" s="36" t="str">
        <f t="shared" si="3"/>
        <v/>
      </c>
      <c r="H198" s="28"/>
      <c r="I198" s="28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21.75" customHeight="1" x14ac:dyDescent="0.25">
      <c r="A199" s="28"/>
      <c r="B199" s="31"/>
      <c r="C199" s="28"/>
      <c r="D199" s="26" t="str">
        <f>IF(C199="","",IFERROR(VLOOKUP(C199,Productos!$A$5:$I$504,2,FALSE()),"Revisar código"))</f>
        <v/>
      </c>
      <c r="E199" s="29"/>
      <c r="F199" s="30"/>
      <c r="G199" s="36" t="str">
        <f t="shared" si="3"/>
        <v/>
      </c>
      <c r="H199" s="28"/>
      <c r="I199" s="28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21.75" customHeight="1" x14ac:dyDescent="0.25">
      <c r="A200" s="28"/>
      <c r="B200" s="31"/>
      <c r="C200" s="28"/>
      <c r="D200" s="26" t="str">
        <f>IF(C200="","",IFERROR(VLOOKUP(C200,Productos!$A$5:$I$504,2,FALSE()),"Revisar código"))</f>
        <v/>
      </c>
      <c r="E200" s="29"/>
      <c r="F200" s="30"/>
      <c r="G200" s="36" t="str">
        <f t="shared" si="3"/>
        <v/>
      </c>
      <c r="H200" s="28"/>
      <c r="I200" s="28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21.75" customHeight="1" x14ac:dyDescent="0.25">
      <c r="A201" s="28"/>
      <c r="B201" s="31"/>
      <c r="C201" s="28"/>
      <c r="D201" s="26" t="str">
        <f>IF(C201="","",IFERROR(VLOOKUP(C201,Productos!$A$5:$I$504,2,FALSE()),"Revisar código"))</f>
        <v/>
      </c>
      <c r="E201" s="29"/>
      <c r="F201" s="30"/>
      <c r="G201" s="36" t="str">
        <f t="shared" si="3"/>
        <v/>
      </c>
      <c r="H201" s="28"/>
      <c r="I201" s="28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21.75" customHeight="1" x14ac:dyDescent="0.25">
      <c r="A202" s="28"/>
      <c r="B202" s="31"/>
      <c r="C202" s="28"/>
      <c r="D202" s="26" t="str">
        <f>IF(C202="","",IFERROR(VLOOKUP(C202,Productos!$A$5:$I$504,2,FALSE()),"Revisar código"))</f>
        <v/>
      </c>
      <c r="E202" s="29"/>
      <c r="F202" s="30"/>
      <c r="G202" s="36" t="str">
        <f t="shared" si="3"/>
        <v/>
      </c>
      <c r="H202" s="28"/>
      <c r="I202" s="28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21.75" customHeight="1" x14ac:dyDescent="0.25">
      <c r="A203" s="28"/>
      <c r="B203" s="31"/>
      <c r="C203" s="28"/>
      <c r="D203" s="26" t="str">
        <f>IF(C203="","",IFERROR(VLOOKUP(C203,Productos!$A$5:$I$504,2,FALSE()),"Revisar código"))</f>
        <v/>
      </c>
      <c r="E203" s="29"/>
      <c r="F203" s="30"/>
      <c r="G203" s="36" t="str">
        <f t="shared" si="3"/>
        <v/>
      </c>
      <c r="H203" s="28"/>
      <c r="I203" s="28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21.75" customHeight="1" x14ac:dyDescent="0.25">
      <c r="A204" s="28"/>
      <c r="B204" s="31"/>
      <c r="C204" s="28"/>
      <c r="D204" s="26" t="str">
        <f>IF(C204="","",IFERROR(VLOOKUP(C204,Productos!$A$5:$I$504,2,FALSE()),"Revisar código"))</f>
        <v/>
      </c>
      <c r="E204" s="29"/>
      <c r="F204" s="30"/>
      <c r="G204" s="36" t="str">
        <f t="shared" si="3"/>
        <v/>
      </c>
      <c r="H204" s="28"/>
      <c r="I204" s="28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21.75" customHeight="1" x14ac:dyDescent="0.25">
      <c r="A205" s="28"/>
      <c r="B205" s="31"/>
      <c r="C205" s="28"/>
      <c r="D205" s="26" t="str">
        <f>IF(C205="","",IFERROR(VLOOKUP(C205,Productos!$A$5:$I$504,2,FALSE()),"Revisar código"))</f>
        <v/>
      </c>
      <c r="E205" s="29"/>
      <c r="F205" s="30"/>
      <c r="G205" s="36" t="str">
        <f t="shared" si="3"/>
        <v/>
      </c>
      <c r="H205" s="28"/>
      <c r="I205" s="28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21.75" customHeight="1" x14ac:dyDescent="0.25">
      <c r="A206" s="28"/>
      <c r="B206" s="31"/>
      <c r="C206" s="28"/>
      <c r="D206" s="26" t="str">
        <f>IF(C206="","",IFERROR(VLOOKUP(C206,Productos!$A$5:$I$504,2,FALSE()),"Revisar código"))</f>
        <v/>
      </c>
      <c r="E206" s="29"/>
      <c r="F206" s="30"/>
      <c r="G206" s="36" t="str">
        <f t="shared" si="3"/>
        <v/>
      </c>
      <c r="H206" s="28"/>
      <c r="I206" s="28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21.75" customHeight="1" x14ac:dyDescent="0.25">
      <c r="A207" s="28"/>
      <c r="B207" s="31"/>
      <c r="C207" s="28"/>
      <c r="D207" s="26" t="str">
        <f>IF(C207="","",IFERROR(VLOOKUP(C207,Productos!$A$5:$I$504,2,FALSE()),"Revisar código"))</f>
        <v/>
      </c>
      <c r="E207" s="29"/>
      <c r="F207" s="30"/>
      <c r="G207" s="36" t="str">
        <f t="shared" si="3"/>
        <v/>
      </c>
      <c r="H207" s="28"/>
      <c r="I207" s="28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21.75" customHeight="1" x14ac:dyDescent="0.25">
      <c r="A208" s="28"/>
      <c r="B208" s="31"/>
      <c r="C208" s="28"/>
      <c r="D208" s="26" t="str">
        <f>IF(C208="","",IFERROR(VLOOKUP(C208,Productos!$A$5:$I$504,2,FALSE()),"Revisar código"))</f>
        <v/>
      </c>
      <c r="E208" s="29"/>
      <c r="F208" s="30"/>
      <c r="G208" s="36" t="str">
        <f t="shared" si="3"/>
        <v/>
      </c>
      <c r="H208" s="28"/>
      <c r="I208" s="28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21.75" customHeight="1" x14ac:dyDescent="0.25">
      <c r="A209" s="28"/>
      <c r="B209" s="31"/>
      <c r="C209" s="28"/>
      <c r="D209" s="26" t="str">
        <f>IF(C209="","",IFERROR(VLOOKUP(C209,Productos!$A$5:$I$504,2,FALSE()),"Revisar código"))</f>
        <v/>
      </c>
      <c r="E209" s="29"/>
      <c r="F209" s="30"/>
      <c r="G209" s="36" t="str">
        <f t="shared" si="3"/>
        <v/>
      </c>
      <c r="H209" s="28"/>
      <c r="I209" s="28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21.75" customHeight="1" x14ac:dyDescent="0.25">
      <c r="A210" s="28"/>
      <c r="B210" s="31"/>
      <c r="C210" s="28"/>
      <c r="D210" s="26" t="str">
        <f>IF(C210="","",IFERROR(VLOOKUP(C210,Productos!$A$5:$I$504,2,FALSE()),"Revisar código"))</f>
        <v/>
      </c>
      <c r="E210" s="29"/>
      <c r="F210" s="30"/>
      <c r="G210" s="36" t="str">
        <f t="shared" si="3"/>
        <v/>
      </c>
      <c r="H210" s="28"/>
      <c r="I210" s="28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21.75" customHeight="1" x14ac:dyDescent="0.25">
      <c r="A211" s="28"/>
      <c r="B211" s="31"/>
      <c r="C211" s="28"/>
      <c r="D211" s="26" t="str">
        <f>IF(C211="","",IFERROR(VLOOKUP(C211,Productos!$A$5:$I$504,2,FALSE()),"Revisar código"))</f>
        <v/>
      </c>
      <c r="E211" s="29"/>
      <c r="F211" s="30"/>
      <c r="G211" s="36" t="str">
        <f t="shared" si="3"/>
        <v/>
      </c>
      <c r="H211" s="28"/>
      <c r="I211" s="28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21.75" customHeight="1" x14ac:dyDescent="0.25">
      <c r="A212" s="28"/>
      <c r="B212" s="31"/>
      <c r="C212" s="28"/>
      <c r="D212" s="26" t="str">
        <f>IF(C212="","",IFERROR(VLOOKUP(C212,Productos!$A$5:$I$504,2,FALSE()),"Revisar código"))</f>
        <v/>
      </c>
      <c r="E212" s="29"/>
      <c r="F212" s="30"/>
      <c r="G212" s="36" t="str">
        <f t="shared" si="3"/>
        <v/>
      </c>
      <c r="H212" s="28"/>
      <c r="I212" s="28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21.75" customHeight="1" x14ac:dyDescent="0.25">
      <c r="A213" s="28"/>
      <c r="B213" s="31"/>
      <c r="C213" s="28"/>
      <c r="D213" s="26" t="str">
        <f>IF(C213="","",IFERROR(VLOOKUP(C213,Productos!$A$5:$I$504,2,FALSE()),"Revisar código"))</f>
        <v/>
      </c>
      <c r="E213" s="29"/>
      <c r="F213" s="30"/>
      <c r="G213" s="36" t="str">
        <f t="shared" si="3"/>
        <v/>
      </c>
      <c r="H213" s="28"/>
      <c r="I213" s="28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21.75" customHeight="1" x14ac:dyDescent="0.25">
      <c r="A214" s="28"/>
      <c r="B214" s="31"/>
      <c r="C214" s="28"/>
      <c r="D214" s="26" t="str">
        <f>IF(C214="","",IFERROR(VLOOKUP(C214,Productos!$A$5:$I$504,2,FALSE()),"Revisar código"))</f>
        <v/>
      </c>
      <c r="E214" s="29"/>
      <c r="F214" s="30"/>
      <c r="G214" s="36" t="str">
        <f t="shared" si="3"/>
        <v/>
      </c>
      <c r="H214" s="28"/>
      <c r="I214" s="28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21.75" customHeight="1" x14ac:dyDescent="0.25">
      <c r="A215" s="28"/>
      <c r="B215" s="31"/>
      <c r="C215" s="28"/>
      <c r="D215" s="26" t="str">
        <f>IF(C215="","",IFERROR(VLOOKUP(C215,Productos!$A$5:$I$504,2,FALSE()),"Revisar código"))</f>
        <v/>
      </c>
      <c r="E215" s="29"/>
      <c r="F215" s="30"/>
      <c r="G215" s="36" t="str">
        <f t="shared" si="3"/>
        <v/>
      </c>
      <c r="H215" s="28"/>
      <c r="I215" s="28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21.75" customHeight="1" x14ac:dyDescent="0.25">
      <c r="A216" s="28"/>
      <c r="B216" s="31"/>
      <c r="C216" s="28"/>
      <c r="D216" s="26" t="str">
        <f>IF(C216="","",IFERROR(VLOOKUP(C216,Productos!$A$5:$I$504,2,FALSE()),"Revisar código"))</f>
        <v/>
      </c>
      <c r="E216" s="29"/>
      <c r="F216" s="30"/>
      <c r="G216" s="36" t="str">
        <f t="shared" si="3"/>
        <v/>
      </c>
      <c r="H216" s="28"/>
      <c r="I216" s="28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21.75" customHeight="1" x14ac:dyDescent="0.25">
      <c r="A217" s="28"/>
      <c r="B217" s="31"/>
      <c r="C217" s="28"/>
      <c r="D217" s="26" t="str">
        <f>IF(C217="","",IFERROR(VLOOKUP(C217,Productos!$A$5:$I$504,2,FALSE()),"Revisar código"))</f>
        <v/>
      </c>
      <c r="E217" s="29"/>
      <c r="F217" s="30"/>
      <c r="G217" s="36" t="str">
        <f t="shared" si="3"/>
        <v/>
      </c>
      <c r="H217" s="28"/>
      <c r="I217" s="28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21.75" customHeight="1" x14ac:dyDescent="0.25">
      <c r="A218" s="28"/>
      <c r="B218" s="31"/>
      <c r="C218" s="28"/>
      <c r="D218" s="26" t="str">
        <f>IF(C218="","",IFERROR(VLOOKUP(C218,Productos!$A$5:$I$504,2,FALSE()),"Revisar código"))</f>
        <v/>
      </c>
      <c r="E218" s="29"/>
      <c r="F218" s="30"/>
      <c r="G218" s="36" t="str">
        <f t="shared" si="3"/>
        <v/>
      </c>
      <c r="H218" s="28"/>
      <c r="I218" s="28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21.75" customHeight="1" x14ac:dyDescent="0.25">
      <c r="A219" s="28"/>
      <c r="B219" s="31"/>
      <c r="C219" s="28"/>
      <c r="D219" s="26" t="str">
        <f>IF(C219="","",IFERROR(VLOOKUP(C219,Productos!$A$5:$I$504,2,FALSE()),"Revisar código"))</f>
        <v/>
      </c>
      <c r="E219" s="29"/>
      <c r="F219" s="30"/>
      <c r="G219" s="36" t="str">
        <f t="shared" si="3"/>
        <v/>
      </c>
      <c r="H219" s="28"/>
      <c r="I219" s="28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21.75" customHeight="1" x14ac:dyDescent="0.25">
      <c r="A220" s="28"/>
      <c r="B220" s="31"/>
      <c r="C220" s="28"/>
      <c r="D220" s="26" t="str">
        <f>IF(C220="","",IFERROR(VLOOKUP(C220,Productos!$A$5:$I$504,2,FALSE()),"Revisar código"))</f>
        <v/>
      </c>
      <c r="E220" s="29"/>
      <c r="F220" s="30"/>
      <c r="G220" s="36" t="str">
        <f t="shared" si="3"/>
        <v/>
      </c>
      <c r="H220" s="28"/>
      <c r="I220" s="28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21.75" customHeight="1" x14ac:dyDescent="0.25">
      <c r="A221" s="28"/>
      <c r="B221" s="31"/>
      <c r="C221" s="28"/>
      <c r="D221" s="26" t="str">
        <f>IF(C221="","",IFERROR(VLOOKUP(C221,Productos!$A$5:$I$504,2,FALSE()),"Revisar código"))</f>
        <v/>
      </c>
      <c r="E221" s="29"/>
      <c r="F221" s="30"/>
      <c r="G221" s="36" t="str">
        <f t="shared" si="3"/>
        <v/>
      </c>
      <c r="H221" s="28"/>
      <c r="I221" s="28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21.75" customHeight="1" x14ac:dyDescent="0.25">
      <c r="A222" s="28"/>
      <c r="B222" s="31"/>
      <c r="C222" s="28"/>
      <c r="D222" s="26" t="str">
        <f>IF(C222="","",IFERROR(VLOOKUP(C222,Productos!$A$5:$I$504,2,FALSE()),"Revisar código"))</f>
        <v/>
      </c>
      <c r="E222" s="29"/>
      <c r="F222" s="30"/>
      <c r="G222" s="36" t="str">
        <f t="shared" si="3"/>
        <v/>
      </c>
      <c r="H222" s="28"/>
      <c r="I222" s="28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21.75" customHeight="1" x14ac:dyDescent="0.25">
      <c r="A223" s="28"/>
      <c r="B223" s="31"/>
      <c r="C223" s="28"/>
      <c r="D223" s="26" t="str">
        <f>IF(C223="","",IFERROR(VLOOKUP(C223,Productos!$A$5:$I$504,2,FALSE()),"Revisar código"))</f>
        <v/>
      </c>
      <c r="E223" s="29"/>
      <c r="F223" s="30"/>
      <c r="G223" s="36" t="str">
        <f t="shared" si="3"/>
        <v/>
      </c>
      <c r="H223" s="28"/>
      <c r="I223" s="28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21.75" customHeight="1" x14ac:dyDescent="0.25">
      <c r="A224" s="28"/>
      <c r="B224" s="31"/>
      <c r="C224" s="28"/>
      <c r="D224" s="26" t="str">
        <f>IF(C224="","",IFERROR(VLOOKUP(C224,Productos!$A$5:$I$504,2,FALSE()),"Revisar código"))</f>
        <v/>
      </c>
      <c r="E224" s="29"/>
      <c r="F224" s="30"/>
      <c r="G224" s="36" t="str">
        <f t="shared" si="3"/>
        <v/>
      </c>
      <c r="H224" s="28"/>
      <c r="I224" s="28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21.75" customHeight="1" x14ac:dyDescent="0.25">
      <c r="A225" s="28"/>
      <c r="B225" s="31"/>
      <c r="C225" s="28"/>
      <c r="D225" s="26" t="str">
        <f>IF(C225="","",IFERROR(VLOOKUP(C225,Productos!$A$5:$I$504,2,FALSE()),"Revisar código"))</f>
        <v/>
      </c>
      <c r="E225" s="29"/>
      <c r="F225" s="30"/>
      <c r="G225" s="36" t="str">
        <f t="shared" si="3"/>
        <v/>
      </c>
      <c r="H225" s="28"/>
      <c r="I225" s="28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21.75" customHeight="1" x14ac:dyDescent="0.25">
      <c r="A226" s="28"/>
      <c r="B226" s="31"/>
      <c r="C226" s="28"/>
      <c r="D226" s="26" t="str">
        <f>IF(C226="","",IFERROR(VLOOKUP(C226,Productos!$A$5:$I$504,2,FALSE()),"Revisar código"))</f>
        <v/>
      </c>
      <c r="E226" s="29"/>
      <c r="F226" s="30"/>
      <c r="G226" s="36" t="str">
        <f t="shared" si="3"/>
        <v/>
      </c>
      <c r="H226" s="28"/>
      <c r="I226" s="28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21.75" customHeight="1" x14ac:dyDescent="0.25">
      <c r="A227" s="28"/>
      <c r="B227" s="31"/>
      <c r="C227" s="28"/>
      <c r="D227" s="26" t="str">
        <f>IF(C227="","",IFERROR(VLOOKUP(C227,Productos!$A$5:$I$504,2,FALSE()),"Revisar código"))</f>
        <v/>
      </c>
      <c r="E227" s="29"/>
      <c r="F227" s="30"/>
      <c r="G227" s="36" t="str">
        <f t="shared" si="3"/>
        <v/>
      </c>
      <c r="H227" s="28"/>
      <c r="I227" s="28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21.75" customHeight="1" x14ac:dyDescent="0.25">
      <c r="A228" s="28"/>
      <c r="B228" s="31"/>
      <c r="C228" s="28"/>
      <c r="D228" s="26" t="str">
        <f>IF(C228="","",IFERROR(VLOOKUP(C228,Productos!$A$5:$I$504,2,FALSE()),"Revisar código"))</f>
        <v/>
      </c>
      <c r="E228" s="29"/>
      <c r="F228" s="30"/>
      <c r="G228" s="36" t="str">
        <f t="shared" si="3"/>
        <v/>
      </c>
      <c r="H228" s="28"/>
      <c r="I228" s="28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21.75" customHeight="1" x14ac:dyDescent="0.25">
      <c r="A229" s="28"/>
      <c r="B229" s="31"/>
      <c r="C229" s="28"/>
      <c r="D229" s="26" t="str">
        <f>IF(C229="","",IFERROR(VLOOKUP(C229,Productos!$A$5:$I$504,2,FALSE()),"Revisar código"))</f>
        <v/>
      </c>
      <c r="E229" s="29"/>
      <c r="F229" s="30"/>
      <c r="G229" s="36" t="str">
        <f t="shared" si="3"/>
        <v/>
      </c>
      <c r="H229" s="28"/>
      <c r="I229" s="28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21.75" customHeight="1" x14ac:dyDescent="0.25">
      <c r="A230" s="28"/>
      <c r="B230" s="31"/>
      <c r="C230" s="28"/>
      <c r="D230" s="26" t="str">
        <f>IF(C230="","",IFERROR(VLOOKUP(C230,Productos!$A$5:$I$504,2,FALSE()),"Revisar código"))</f>
        <v/>
      </c>
      <c r="E230" s="29"/>
      <c r="F230" s="30"/>
      <c r="G230" s="36" t="str">
        <f t="shared" si="3"/>
        <v/>
      </c>
      <c r="H230" s="28"/>
      <c r="I230" s="28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21.75" customHeight="1" x14ac:dyDescent="0.25">
      <c r="A231" s="28"/>
      <c r="B231" s="31"/>
      <c r="C231" s="28"/>
      <c r="D231" s="26" t="str">
        <f>IF(C231="","",IFERROR(VLOOKUP(C231,Productos!$A$5:$I$504,2,FALSE()),"Revisar código"))</f>
        <v/>
      </c>
      <c r="E231" s="29"/>
      <c r="F231" s="30"/>
      <c r="G231" s="36" t="str">
        <f t="shared" si="3"/>
        <v/>
      </c>
      <c r="H231" s="28"/>
      <c r="I231" s="28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21.75" customHeight="1" x14ac:dyDescent="0.25">
      <c r="A232" s="28"/>
      <c r="B232" s="31"/>
      <c r="C232" s="28"/>
      <c r="D232" s="26" t="str">
        <f>IF(C232="","",IFERROR(VLOOKUP(C232,Productos!$A$5:$I$504,2,FALSE()),"Revisar código"))</f>
        <v/>
      </c>
      <c r="E232" s="29"/>
      <c r="F232" s="30"/>
      <c r="G232" s="36" t="str">
        <f t="shared" si="3"/>
        <v/>
      </c>
      <c r="H232" s="28"/>
      <c r="I232" s="28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21.75" customHeight="1" x14ac:dyDescent="0.25">
      <c r="A233" s="28"/>
      <c r="B233" s="31"/>
      <c r="C233" s="28"/>
      <c r="D233" s="26" t="str">
        <f>IF(C233="","",IFERROR(VLOOKUP(C233,Productos!$A$5:$I$504,2,FALSE()),"Revisar código"))</f>
        <v/>
      </c>
      <c r="E233" s="29"/>
      <c r="F233" s="30"/>
      <c r="G233" s="36" t="str">
        <f t="shared" si="3"/>
        <v/>
      </c>
      <c r="H233" s="28"/>
      <c r="I233" s="28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21.75" customHeight="1" x14ac:dyDescent="0.25">
      <c r="A234" s="28"/>
      <c r="B234" s="31"/>
      <c r="C234" s="28"/>
      <c r="D234" s="26" t="str">
        <f>IF(C234="","",IFERROR(VLOOKUP(C234,Productos!$A$5:$I$504,2,FALSE()),"Revisar código"))</f>
        <v/>
      </c>
      <c r="E234" s="29"/>
      <c r="F234" s="30"/>
      <c r="G234" s="36" t="str">
        <f t="shared" si="3"/>
        <v/>
      </c>
      <c r="H234" s="28"/>
      <c r="I234" s="28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21.75" customHeight="1" x14ac:dyDescent="0.25">
      <c r="A235" s="28"/>
      <c r="B235" s="31"/>
      <c r="C235" s="28"/>
      <c r="D235" s="26" t="str">
        <f>IF(C235="","",IFERROR(VLOOKUP(C235,Productos!$A$5:$I$504,2,FALSE()),"Revisar código"))</f>
        <v/>
      </c>
      <c r="E235" s="29"/>
      <c r="F235" s="30"/>
      <c r="G235" s="36" t="str">
        <f t="shared" si="3"/>
        <v/>
      </c>
      <c r="H235" s="28"/>
      <c r="I235" s="28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21.75" customHeight="1" x14ac:dyDescent="0.25">
      <c r="A236" s="28"/>
      <c r="B236" s="31"/>
      <c r="C236" s="28"/>
      <c r="D236" s="26" t="str">
        <f>IF(C236="","",IFERROR(VLOOKUP(C236,Productos!$A$5:$I$504,2,FALSE()),"Revisar código"))</f>
        <v/>
      </c>
      <c r="E236" s="29"/>
      <c r="F236" s="30"/>
      <c r="G236" s="36" t="str">
        <f t="shared" si="3"/>
        <v/>
      </c>
      <c r="H236" s="28"/>
      <c r="I236" s="28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21.75" customHeight="1" x14ac:dyDescent="0.25">
      <c r="A237" s="28"/>
      <c r="B237" s="31"/>
      <c r="C237" s="28"/>
      <c r="D237" s="26" t="str">
        <f>IF(C237="","",IFERROR(VLOOKUP(C237,Productos!$A$5:$I$504,2,FALSE()),"Revisar código"))</f>
        <v/>
      </c>
      <c r="E237" s="29"/>
      <c r="F237" s="30"/>
      <c r="G237" s="36" t="str">
        <f t="shared" si="3"/>
        <v/>
      </c>
      <c r="H237" s="28"/>
      <c r="I237" s="28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21.75" customHeight="1" x14ac:dyDescent="0.25">
      <c r="A238" s="28"/>
      <c r="B238" s="31"/>
      <c r="C238" s="28"/>
      <c r="D238" s="26" t="str">
        <f>IF(C238="","",IFERROR(VLOOKUP(C238,Productos!$A$5:$I$504,2,FALSE()),"Revisar código"))</f>
        <v/>
      </c>
      <c r="E238" s="29"/>
      <c r="F238" s="30"/>
      <c r="G238" s="36" t="str">
        <f t="shared" si="3"/>
        <v/>
      </c>
      <c r="H238" s="28"/>
      <c r="I238" s="28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21.75" customHeight="1" x14ac:dyDescent="0.25">
      <c r="A239" s="28"/>
      <c r="B239" s="31"/>
      <c r="C239" s="28"/>
      <c r="D239" s="26" t="str">
        <f>IF(C239="","",IFERROR(VLOOKUP(C239,Productos!$A$5:$I$504,2,FALSE()),"Revisar código"))</f>
        <v/>
      </c>
      <c r="E239" s="29"/>
      <c r="F239" s="30"/>
      <c r="G239" s="36" t="str">
        <f t="shared" si="3"/>
        <v/>
      </c>
      <c r="H239" s="28"/>
      <c r="I239" s="28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21.75" customHeight="1" x14ac:dyDescent="0.25">
      <c r="A240" s="28"/>
      <c r="B240" s="31"/>
      <c r="C240" s="28"/>
      <c r="D240" s="26" t="str">
        <f>IF(C240="","",IFERROR(VLOOKUP(C240,Productos!$A$5:$I$504,2,FALSE()),"Revisar código"))</f>
        <v/>
      </c>
      <c r="E240" s="29"/>
      <c r="F240" s="30"/>
      <c r="G240" s="36" t="str">
        <f t="shared" si="3"/>
        <v/>
      </c>
      <c r="H240" s="28"/>
      <c r="I240" s="28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21.75" customHeight="1" x14ac:dyDescent="0.25">
      <c r="A241" s="28"/>
      <c r="B241" s="31"/>
      <c r="C241" s="28"/>
      <c r="D241" s="26" t="str">
        <f>IF(C241="","",IFERROR(VLOOKUP(C241,Productos!$A$5:$I$504,2,FALSE()),"Revisar código"))</f>
        <v/>
      </c>
      <c r="E241" s="29"/>
      <c r="F241" s="30"/>
      <c r="G241" s="36" t="str">
        <f t="shared" si="3"/>
        <v/>
      </c>
      <c r="H241" s="28"/>
      <c r="I241" s="28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21.75" customHeight="1" x14ac:dyDescent="0.25">
      <c r="A242" s="28"/>
      <c r="B242" s="31"/>
      <c r="C242" s="28"/>
      <c r="D242" s="26" t="str">
        <f>IF(C242="","",IFERROR(VLOOKUP(C242,Productos!$A$5:$I$504,2,FALSE()),"Revisar código"))</f>
        <v/>
      </c>
      <c r="E242" s="29"/>
      <c r="F242" s="30"/>
      <c r="G242" s="36" t="str">
        <f t="shared" si="3"/>
        <v/>
      </c>
      <c r="H242" s="28"/>
      <c r="I242" s="28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21.75" customHeight="1" x14ac:dyDescent="0.25">
      <c r="A243" s="28"/>
      <c r="B243" s="31"/>
      <c r="C243" s="28"/>
      <c r="D243" s="26" t="str">
        <f>IF(C243="","",IFERROR(VLOOKUP(C243,Productos!$A$5:$I$504,2,FALSE()),"Revisar código"))</f>
        <v/>
      </c>
      <c r="E243" s="29"/>
      <c r="F243" s="30"/>
      <c r="G243" s="36" t="str">
        <f t="shared" si="3"/>
        <v/>
      </c>
      <c r="H243" s="28"/>
      <c r="I243" s="28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21.75" customHeight="1" x14ac:dyDescent="0.25">
      <c r="A244" s="28"/>
      <c r="B244" s="31"/>
      <c r="C244" s="28"/>
      <c r="D244" s="26" t="str">
        <f>IF(C244="","",IFERROR(VLOOKUP(C244,Productos!$A$5:$I$504,2,FALSE()),"Revisar código"))</f>
        <v/>
      </c>
      <c r="E244" s="29"/>
      <c r="F244" s="30"/>
      <c r="G244" s="36" t="str">
        <f t="shared" si="3"/>
        <v/>
      </c>
      <c r="H244" s="28"/>
      <c r="I244" s="28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21.75" customHeight="1" x14ac:dyDescent="0.25">
      <c r="A245" s="28"/>
      <c r="B245" s="31"/>
      <c r="C245" s="28"/>
      <c r="D245" s="26" t="str">
        <f>IF(C245="","",IFERROR(VLOOKUP(C245,Productos!$A$5:$I$504,2,FALSE()),"Revisar código"))</f>
        <v/>
      </c>
      <c r="E245" s="29"/>
      <c r="F245" s="30"/>
      <c r="G245" s="36" t="str">
        <f t="shared" si="3"/>
        <v/>
      </c>
      <c r="H245" s="28"/>
      <c r="I245" s="28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21.75" customHeight="1" x14ac:dyDescent="0.25">
      <c r="A246" s="28"/>
      <c r="B246" s="31"/>
      <c r="C246" s="28"/>
      <c r="D246" s="26" t="str">
        <f>IF(C246="","",IFERROR(VLOOKUP(C246,Productos!$A$5:$I$504,2,FALSE()),"Revisar código"))</f>
        <v/>
      </c>
      <c r="E246" s="29"/>
      <c r="F246" s="30"/>
      <c r="G246" s="36" t="str">
        <f t="shared" si="3"/>
        <v/>
      </c>
      <c r="H246" s="28"/>
      <c r="I246" s="28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21.75" customHeight="1" x14ac:dyDescent="0.25">
      <c r="A247" s="28"/>
      <c r="B247" s="31"/>
      <c r="C247" s="28"/>
      <c r="D247" s="26" t="str">
        <f>IF(C247="","",IFERROR(VLOOKUP(C247,Productos!$A$5:$I$504,2,FALSE()),"Revisar código"))</f>
        <v/>
      </c>
      <c r="E247" s="29"/>
      <c r="F247" s="30"/>
      <c r="G247" s="36" t="str">
        <f t="shared" si="3"/>
        <v/>
      </c>
      <c r="H247" s="28"/>
      <c r="I247" s="28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21.75" customHeight="1" x14ac:dyDescent="0.25">
      <c r="A248" s="28"/>
      <c r="B248" s="31"/>
      <c r="C248" s="28"/>
      <c r="D248" s="26" t="str">
        <f>IF(C248="","",IFERROR(VLOOKUP(C248,Productos!$A$5:$I$504,2,FALSE()),"Revisar código"))</f>
        <v/>
      </c>
      <c r="E248" s="29"/>
      <c r="F248" s="30"/>
      <c r="G248" s="36" t="str">
        <f t="shared" si="3"/>
        <v/>
      </c>
      <c r="H248" s="28"/>
      <c r="I248" s="28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21.75" customHeight="1" x14ac:dyDescent="0.25">
      <c r="A249" s="28"/>
      <c r="B249" s="31"/>
      <c r="C249" s="28"/>
      <c r="D249" s="26" t="str">
        <f>IF(C249="","",IFERROR(VLOOKUP(C249,Productos!$A$5:$I$504,2,FALSE()),"Revisar código"))</f>
        <v/>
      </c>
      <c r="E249" s="29"/>
      <c r="F249" s="30"/>
      <c r="G249" s="36" t="str">
        <f t="shared" si="3"/>
        <v/>
      </c>
      <c r="H249" s="28"/>
      <c r="I249" s="28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21.75" customHeight="1" x14ac:dyDescent="0.25">
      <c r="A250" s="28"/>
      <c r="B250" s="31"/>
      <c r="C250" s="28"/>
      <c r="D250" s="26" t="str">
        <f>IF(C250="","",IFERROR(VLOOKUP(C250,Productos!$A$5:$I$504,2,FALSE()),"Revisar código"))</f>
        <v/>
      </c>
      <c r="E250" s="29"/>
      <c r="F250" s="30"/>
      <c r="G250" s="36" t="str">
        <f t="shared" si="3"/>
        <v/>
      </c>
      <c r="H250" s="28"/>
      <c r="I250" s="28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21.75" customHeight="1" x14ac:dyDescent="0.25">
      <c r="A251" s="28"/>
      <c r="B251" s="31"/>
      <c r="C251" s="28"/>
      <c r="D251" s="26" t="str">
        <f>IF(C251="","",IFERROR(VLOOKUP(C251,Productos!$A$5:$I$504,2,FALSE()),"Revisar código"))</f>
        <v/>
      </c>
      <c r="E251" s="29"/>
      <c r="F251" s="30"/>
      <c r="G251" s="36" t="str">
        <f t="shared" si="3"/>
        <v/>
      </c>
      <c r="H251" s="28"/>
      <c r="I251" s="28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21.75" customHeight="1" x14ac:dyDescent="0.25">
      <c r="A252" s="28"/>
      <c r="B252" s="31"/>
      <c r="C252" s="28"/>
      <c r="D252" s="26" t="str">
        <f>IF(C252="","",IFERROR(VLOOKUP(C252,Productos!$A$5:$I$504,2,FALSE()),"Revisar código"))</f>
        <v/>
      </c>
      <c r="E252" s="29"/>
      <c r="F252" s="30"/>
      <c r="G252" s="36" t="str">
        <f t="shared" si="3"/>
        <v/>
      </c>
      <c r="H252" s="28"/>
      <c r="I252" s="28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21.75" customHeight="1" x14ac:dyDescent="0.25">
      <c r="A253" s="28"/>
      <c r="B253" s="31"/>
      <c r="C253" s="28"/>
      <c r="D253" s="26" t="str">
        <f>IF(C253="","",IFERROR(VLOOKUP(C253,Productos!$A$5:$I$504,2,FALSE()),"Revisar código"))</f>
        <v/>
      </c>
      <c r="E253" s="29"/>
      <c r="F253" s="30"/>
      <c r="G253" s="36" t="str">
        <f t="shared" si="3"/>
        <v/>
      </c>
      <c r="H253" s="28"/>
      <c r="I253" s="28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21.75" customHeight="1" x14ac:dyDescent="0.25">
      <c r="A254" s="28"/>
      <c r="B254" s="31"/>
      <c r="C254" s="28"/>
      <c r="D254" s="26" t="str">
        <f>IF(C254="","",IFERROR(VLOOKUP(C254,Productos!$A$5:$I$504,2,FALSE()),"Revisar código"))</f>
        <v/>
      </c>
      <c r="E254" s="29"/>
      <c r="F254" s="30"/>
      <c r="G254" s="36" t="str">
        <f t="shared" si="3"/>
        <v/>
      </c>
      <c r="H254" s="28"/>
      <c r="I254" s="28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21.75" customHeight="1" x14ac:dyDescent="0.25">
      <c r="A255" s="28"/>
      <c r="B255" s="31"/>
      <c r="C255" s="28"/>
      <c r="D255" s="26" t="str">
        <f>IF(C255="","",IFERROR(VLOOKUP(C255,Productos!$A$5:$I$504,2,FALSE()),"Revisar código"))</f>
        <v/>
      </c>
      <c r="E255" s="29"/>
      <c r="F255" s="30"/>
      <c r="G255" s="36" t="str">
        <f t="shared" si="3"/>
        <v/>
      </c>
      <c r="H255" s="28"/>
      <c r="I255" s="28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21.75" customHeight="1" x14ac:dyDescent="0.25">
      <c r="A256" s="28"/>
      <c r="B256" s="31"/>
      <c r="C256" s="28"/>
      <c r="D256" s="26" t="str">
        <f>IF(C256="","",IFERROR(VLOOKUP(C256,Productos!$A$5:$I$504,2,FALSE()),"Revisar código"))</f>
        <v/>
      </c>
      <c r="E256" s="29"/>
      <c r="F256" s="30"/>
      <c r="G256" s="36" t="str">
        <f t="shared" si="3"/>
        <v/>
      </c>
      <c r="H256" s="28"/>
      <c r="I256" s="28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21.75" customHeight="1" x14ac:dyDescent="0.25">
      <c r="A257" s="28"/>
      <c r="B257" s="31"/>
      <c r="C257" s="28"/>
      <c r="D257" s="26" t="str">
        <f>IF(C257="","",IFERROR(VLOOKUP(C257,Productos!$A$5:$I$504,2,FALSE()),"Revisar código"))</f>
        <v/>
      </c>
      <c r="E257" s="29"/>
      <c r="F257" s="30"/>
      <c r="G257" s="36" t="str">
        <f t="shared" si="3"/>
        <v/>
      </c>
      <c r="H257" s="28"/>
      <c r="I257" s="28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21.75" customHeight="1" x14ac:dyDescent="0.25">
      <c r="A258" s="28"/>
      <c r="B258" s="31"/>
      <c r="C258" s="28"/>
      <c r="D258" s="26" t="str">
        <f>IF(C258="","",IFERROR(VLOOKUP(C258,Productos!$A$5:$I$504,2,FALSE()),"Revisar código"))</f>
        <v/>
      </c>
      <c r="E258" s="29"/>
      <c r="F258" s="30"/>
      <c r="G258" s="36" t="str">
        <f t="shared" si="3"/>
        <v/>
      </c>
      <c r="H258" s="28"/>
      <c r="I258" s="28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21.75" customHeight="1" x14ac:dyDescent="0.25">
      <c r="A259" s="28"/>
      <c r="B259" s="31"/>
      <c r="C259" s="28"/>
      <c r="D259" s="26" t="str">
        <f>IF(C259="","",IFERROR(VLOOKUP(C259,Productos!$A$5:$I$504,2,FALSE()),"Revisar código"))</f>
        <v/>
      </c>
      <c r="E259" s="29"/>
      <c r="F259" s="30"/>
      <c r="G259" s="36" t="str">
        <f t="shared" si="3"/>
        <v/>
      </c>
      <c r="H259" s="28"/>
      <c r="I259" s="28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21.75" customHeight="1" x14ac:dyDescent="0.25">
      <c r="A260" s="28"/>
      <c r="B260" s="31"/>
      <c r="C260" s="28"/>
      <c r="D260" s="26" t="str">
        <f>IF(C260="","",IFERROR(VLOOKUP(C260,Productos!$A$5:$I$504,2,FALSE()),"Revisar código"))</f>
        <v/>
      </c>
      <c r="E260" s="29"/>
      <c r="F260" s="30"/>
      <c r="G260" s="36" t="str">
        <f t="shared" si="3"/>
        <v/>
      </c>
      <c r="H260" s="28"/>
      <c r="I260" s="28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21.75" customHeight="1" x14ac:dyDescent="0.25">
      <c r="A261" s="28"/>
      <c r="B261" s="31"/>
      <c r="C261" s="28"/>
      <c r="D261" s="26" t="str">
        <f>IF(C261="","",IFERROR(VLOOKUP(C261,Productos!$A$5:$I$504,2,FALSE()),"Revisar código"))</f>
        <v/>
      </c>
      <c r="E261" s="29"/>
      <c r="F261" s="30"/>
      <c r="G261" s="36" t="str">
        <f t="shared" ref="G261:G324" si="4">IF(OR(E261="",F261=""),"",E261*F261)</f>
        <v/>
      </c>
      <c r="H261" s="28"/>
      <c r="I261" s="28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21.75" customHeight="1" x14ac:dyDescent="0.25">
      <c r="A262" s="28"/>
      <c r="B262" s="31"/>
      <c r="C262" s="28"/>
      <c r="D262" s="26" t="str">
        <f>IF(C262="","",IFERROR(VLOOKUP(C262,Productos!$A$5:$I$504,2,FALSE()),"Revisar código"))</f>
        <v/>
      </c>
      <c r="E262" s="29"/>
      <c r="F262" s="30"/>
      <c r="G262" s="36" t="str">
        <f t="shared" si="4"/>
        <v/>
      </c>
      <c r="H262" s="28"/>
      <c r="I262" s="28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21.75" customHeight="1" x14ac:dyDescent="0.25">
      <c r="A263" s="28"/>
      <c r="B263" s="31"/>
      <c r="C263" s="28"/>
      <c r="D263" s="26" t="str">
        <f>IF(C263="","",IFERROR(VLOOKUP(C263,Productos!$A$5:$I$504,2,FALSE()),"Revisar código"))</f>
        <v/>
      </c>
      <c r="E263" s="29"/>
      <c r="F263" s="30"/>
      <c r="G263" s="36" t="str">
        <f t="shared" si="4"/>
        <v/>
      </c>
      <c r="H263" s="28"/>
      <c r="I263" s="28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21.75" customHeight="1" x14ac:dyDescent="0.25">
      <c r="A264" s="28"/>
      <c r="B264" s="31"/>
      <c r="C264" s="28"/>
      <c r="D264" s="26" t="str">
        <f>IF(C264="","",IFERROR(VLOOKUP(C264,Productos!$A$5:$I$504,2,FALSE()),"Revisar código"))</f>
        <v/>
      </c>
      <c r="E264" s="29"/>
      <c r="F264" s="30"/>
      <c r="G264" s="36" t="str">
        <f t="shared" si="4"/>
        <v/>
      </c>
      <c r="H264" s="28"/>
      <c r="I264" s="28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21.75" customHeight="1" x14ac:dyDescent="0.25">
      <c r="A265" s="28"/>
      <c r="B265" s="31"/>
      <c r="C265" s="28"/>
      <c r="D265" s="26" t="str">
        <f>IF(C265="","",IFERROR(VLOOKUP(C265,Productos!$A$5:$I$504,2,FALSE()),"Revisar código"))</f>
        <v/>
      </c>
      <c r="E265" s="29"/>
      <c r="F265" s="30"/>
      <c r="G265" s="36" t="str">
        <f t="shared" si="4"/>
        <v/>
      </c>
      <c r="H265" s="28"/>
      <c r="I265" s="28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21.75" customHeight="1" x14ac:dyDescent="0.25">
      <c r="A266" s="28"/>
      <c r="B266" s="31"/>
      <c r="C266" s="28"/>
      <c r="D266" s="26" t="str">
        <f>IF(C266="","",IFERROR(VLOOKUP(C266,Productos!$A$5:$I$504,2,FALSE()),"Revisar código"))</f>
        <v/>
      </c>
      <c r="E266" s="29"/>
      <c r="F266" s="30"/>
      <c r="G266" s="36" t="str">
        <f t="shared" si="4"/>
        <v/>
      </c>
      <c r="H266" s="28"/>
      <c r="I266" s="28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21.75" customHeight="1" x14ac:dyDescent="0.25">
      <c r="A267" s="28"/>
      <c r="B267" s="31"/>
      <c r="C267" s="28"/>
      <c r="D267" s="26" t="str">
        <f>IF(C267="","",IFERROR(VLOOKUP(C267,Productos!$A$5:$I$504,2,FALSE()),"Revisar código"))</f>
        <v/>
      </c>
      <c r="E267" s="29"/>
      <c r="F267" s="30"/>
      <c r="G267" s="36" t="str">
        <f t="shared" si="4"/>
        <v/>
      </c>
      <c r="H267" s="28"/>
      <c r="I267" s="28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21.75" customHeight="1" x14ac:dyDescent="0.25">
      <c r="A268" s="28"/>
      <c r="B268" s="31"/>
      <c r="C268" s="28"/>
      <c r="D268" s="26" t="str">
        <f>IF(C268="","",IFERROR(VLOOKUP(C268,Productos!$A$5:$I$504,2,FALSE()),"Revisar código"))</f>
        <v/>
      </c>
      <c r="E268" s="29"/>
      <c r="F268" s="30"/>
      <c r="G268" s="36" t="str">
        <f t="shared" si="4"/>
        <v/>
      </c>
      <c r="H268" s="28"/>
      <c r="I268" s="28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21.75" customHeight="1" x14ac:dyDescent="0.25">
      <c r="A269" s="28"/>
      <c r="B269" s="31"/>
      <c r="C269" s="28"/>
      <c r="D269" s="26" t="str">
        <f>IF(C269="","",IFERROR(VLOOKUP(C269,Productos!$A$5:$I$504,2,FALSE()),"Revisar código"))</f>
        <v/>
      </c>
      <c r="E269" s="29"/>
      <c r="F269" s="30"/>
      <c r="G269" s="36" t="str">
        <f t="shared" si="4"/>
        <v/>
      </c>
      <c r="H269" s="28"/>
      <c r="I269" s="28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21.75" customHeight="1" x14ac:dyDescent="0.25">
      <c r="A270" s="28"/>
      <c r="B270" s="31"/>
      <c r="C270" s="28"/>
      <c r="D270" s="26" t="str">
        <f>IF(C270="","",IFERROR(VLOOKUP(C270,Productos!$A$5:$I$504,2,FALSE()),"Revisar código"))</f>
        <v/>
      </c>
      <c r="E270" s="29"/>
      <c r="F270" s="30"/>
      <c r="G270" s="36" t="str">
        <f t="shared" si="4"/>
        <v/>
      </c>
      <c r="H270" s="28"/>
      <c r="I270" s="28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21.75" customHeight="1" x14ac:dyDescent="0.25">
      <c r="A271" s="28"/>
      <c r="B271" s="31"/>
      <c r="C271" s="28"/>
      <c r="D271" s="26" t="str">
        <f>IF(C271="","",IFERROR(VLOOKUP(C271,Productos!$A$5:$I$504,2,FALSE()),"Revisar código"))</f>
        <v/>
      </c>
      <c r="E271" s="29"/>
      <c r="F271" s="30"/>
      <c r="G271" s="36" t="str">
        <f t="shared" si="4"/>
        <v/>
      </c>
      <c r="H271" s="28"/>
      <c r="I271" s="28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21.75" customHeight="1" x14ac:dyDescent="0.25">
      <c r="A272" s="28"/>
      <c r="B272" s="31"/>
      <c r="C272" s="28"/>
      <c r="D272" s="26" t="str">
        <f>IF(C272="","",IFERROR(VLOOKUP(C272,Productos!$A$5:$I$504,2,FALSE()),"Revisar código"))</f>
        <v/>
      </c>
      <c r="E272" s="29"/>
      <c r="F272" s="30"/>
      <c r="G272" s="36" t="str">
        <f t="shared" si="4"/>
        <v/>
      </c>
      <c r="H272" s="28"/>
      <c r="I272" s="28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21.75" customHeight="1" x14ac:dyDescent="0.25">
      <c r="A273" s="28"/>
      <c r="B273" s="31"/>
      <c r="C273" s="28"/>
      <c r="D273" s="26" t="str">
        <f>IF(C273="","",IFERROR(VLOOKUP(C273,Productos!$A$5:$I$504,2,FALSE()),"Revisar código"))</f>
        <v/>
      </c>
      <c r="E273" s="29"/>
      <c r="F273" s="30"/>
      <c r="G273" s="36" t="str">
        <f t="shared" si="4"/>
        <v/>
      </c>
      <c r="H273" s="28"/>
      <c r="I273" s="28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21.75" customHeight="1" x14ac:dyDescent="0.25">
      <c r="A274" s="28"/>
      <c r="B274" s="31"/>
      <c r="C274" s="28"/>
      <c r="D274" s="26" t="str">
        <f>IF(C274="","",IFERROR(VLOOKUP(C274,Productos!$A$5:$I$504,2,FALSE()),"Revisar código"))</f>
        <v/>
      </c>
      <c r="E274" s="29"/>
      <c r="F274" s="30"/>
      <c r="G274" s="36" t="str">
        <f t="shared" si="4"/>
        <v/>
      </c>
      <c r="H274" s="28"/>
      <c r="I274" s="28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21.75" customHeight="1" x14ac:dyDescent="0.25">
      <c r="A275" s="28"/>
      <c r="B275" s="31"/>
      <c r="C275" s="28"/>
      <c r="D275" s="26" t="str">
        <f>IF(C275="","",IFERROR(VLOOKUP(C275,Productos!$A$5:$I$504,2,FALSE()),"Revisar código"))</f>
        <v/>
      </c>
      <c r="E275" s="29"/>
      <c r="F275" s="30"/>
      <c r="G275" s="36" t="str">
        <f t="shared" si="4"/>
        <v/>
      </c>
      <c r="H275" s="28"/>
      <c r="I275" s="28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21.75" customHeight="1" x14ac:dyDescent="0.25">
      <c r="A276" s="28"/>
      <c r="B276" s="31"/>
      <c r="C276" s="28"/>
      <c r="D276" s="26" t="str">
        <f>IF(C276="","",IFERROR(VLOOKUP(C276,Productos!$A$5:$I$504,2,FALSE()),"Revisar código"))</f>
        <v/>
      </c>
      <c r="E276" s="29"/>
      <c r="F276" s="30"/>
      <c r="G276" s="36" t="str">
        <f t="shared" si="4"/>
        <v/>
      </c>
      <c r="H276" s="28"/>
      <c r="I276" s="28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21.75" customHeight="1" x14ac:dyDescent="0.25">
      <c r="A277" s="28"/>
      <c r="B277" s="31"/>
      <c r="C277" s="28"/>
      <c r="D277" s="26" t="str">
        <f>IF(C277="","",IFERROR(VLOOKUP(C277,Productos!$A$5:$I$504,2,FALSE()),"Revisar código"))</f>
        <v/>
      </c>
      <c r="E277" s="29"/>
      <c r="F277" s="30"/>
      <c r="G277" s="36" t="str">
        <f t="shared" si="4"/>
        <v/>
      </c>
      <c r="H277" s="28"/>
      <c r="I277" s="28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21.75" customHeight="1" x14ac:dyDescent="0.25">
      <c r="A278" s="28"/>
      <c r="B278" s="31"/>
      <c r="C278" s="28"/>
      <c r="D278" s="26" t="str">
        <f>IF(C278="","",IFERROR(VLOOKUP(C278,Productos!$A$5:$I$504,2,FALSE()),"Revisar código"))</f>
        <v/>
      </c>
      <c r="E278" s="29"/>
      <c r="F278" s="30"/>
      <c r="G278" s="36" t="str">
        <f t="shared" si="4"/>
        <v/>
      </c>
      <c r="H278" s="28"/>
      <c r="I278" s="28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21.75" customHeight="1" x14ac:dyDescent="0.25">
      <c r="A279" s="28"/>
      <c r="B279" s="31"/>
      <c r="C279" s="28"/>
      <c r="D279" s="26" t="str">
        <f>IF(C279="","",IFERROR(VLOOKUP(C279,Productos!$A$5:$I$504,2,FALSE()),"Revisar código"))</f>
        <v/>
      </c>
      <c r="E279" s="29"/>
      <c r="F279" s="30"/>
      <c r="G279" s="36" t="str">
        <f t="shared" si="4"/>
        <v/>
      </c>
      <c r="H279" s="28"/>
      <c r="I279" s="28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21.75" customHeight="1" x14ac:dyDescent="0.25">
      <c r="A280" s="28"/>
      <c r="B280" s="31"/>
      <c r="C280" s="28"/>
      <c r="D280" s="26" t="str">
        <f>IF(C280="","",IFERROR(VLOOKUP(C280,Productos!$A$5:$I$504,2,FALSE()),"Revisar código"))</f>
        <v/>
      </c>
      <c r="E280" s="29"/>
      <c r="F280" s="30"/>
      <c r="G280" s="36" t="str">
        <f t="shared" si="4"/>
        <v/>
      </c>
      <c r="H280" s="28"/>
      <c r="I280" s="28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21.75" customHeight="1" x14ac:dyDescent="0.25">
      <c r="A281" s="28"/>
      <c r="B281" s="31"/>
      <c r="C281" s="28"/>
      <c r="D281" s="26" t="str">
        <f>IF(C281="","",IFERROR(VLOOKUP(C281,Productos!$A$5:$I$504,2,FALSE()),"Revisar código"))</f>
        <v/>
      </c>
      <c r="E281" s="29"/>
      <c r="F281" s="30"/>
      <c r="G281" s="36" t="str">
        <f t="shared" si="4"/>
        <v/>
      </c>
      <c r="H281" s="28"/>
      <c r="I281" s="28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21.75" customHeight="1" x14ac:dyDescent="0.25">
      <c r="A282" s="28"/>
      <c r="B282" s="31"/>
      <c r="C282" s="28"/>
      <c r="D282" s="26" t="str">
        <f>IF(C282="","",IFERROR(VLOOKUP(C282,Productos!$A$5:$I$504,2,FALSE()),"Revisar código"))</f>
        <v/>
      </c>
      <c r="E282" s="29"/>
      <c r="F282" s="30"/>
      <c r="G282" s="36" t="str">
        <f t="shared" si="4"/>
        <v/>
      </c>
      <c r="H282" s="28"/>
      <c r="I282" s="28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21.75" customHeight="1" x14ac:dyDescent="0.25">
      <c r="A283" s="28"/>
      <c r="B283" s="31"/>
      <c r="C283" s="28"/>
      <c r="D283" s="26" t="str">
        <f>IF(C283="","",IFERROR(VLOOKUP(C283,Productos!$A$5:$I$504,2,FALSE()),"Revisar código"))</f>
        <v/>
      </c>
      <c r="E283" s="29"/>
      <c r="F283" s="30"/>
      <c r="G283" s="36" t="str">
        <f t="shared" si="4"/>
        <v/>
      </c>
      <c r="H283" s="28"/>
      <c r="I283" s="28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21.75" customHeight="1" x14ac:dyDescent="0.25">
      <c r="A284" s="28"/>
      <c r="B284" s="31"/>
      <c r="C284" s="28"/>
      <c r="D284" s="26" t="str">
        <f>IF(C284="","",IFERROR(VLOOKUP(C284,Productos!$A$5:$I$504,2,FALSE()),"Revisar código"))</f>
        <v/>
      </c>
      <c r="E284" s="29"/>
      <c r="F284" s="30"/>
      <c r="G284" s="36" t="str">
        <f t="shared" si="4"/>
        <v/>
      </c>
      <c r="H284" s="28"/>
      <c r="I284" s="28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21.75" customHeight="1" x14ac:dyDescent="0.25">
      <c r="A285" s="28"/>
      <c r="B285" s="31"/>
      <c r="C285" s="28"/>
      <c r="D285" s="26" t="str">
        <f>IF(C285="","",IFERROR(VLOOKUP(C285,Productos!$A$5:$I$504,2,FALSE()),"Revisar código"))</f>
        <v/>
      </c>
      <c r="E285" s="29"/>
      <c r="F285" s="30"/>
      <c r="G285" s="36" t="str">
        <f t="shared" si="4"/>
        <v/>
      </c>
      <c r="H285" s="28"/>
      <c r="I285" s="28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21.75" customHeight="1" x14ac:dyDescent="0.25">
      <c r="A286" s="28"/>
      <c r="B286" s="31"/>
      <c r="C286" s="28"/>
      <c r="D286" s="26" t="str">
        <f>IF(C286="","",IFERROR(VLOOKUP(C286,Productos!$A$5:$I$504,2,FALSE()),"Revisar código"))</f>
        <v/>
      </c>
      <c r="E286" s="29"/>
      <c r="F286" s="30"/>
      <c r="G286" s="36" t="str">
        <f t="shared" si="4"/>
        <v/>
      </c>
      <c r="H286" s="28"/>
      <c r="I286" s="28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21.75" customHeight="1" x14ac:dyDescent="0.25">
      <c r="A287" s="28"/>
      <c r="B287" s="31"/>
      <c r="C287" s="28"/>
      <c r="D287" s="26" t="str">
        <f>IF(C287="","",IFERROR(VLOOKUP(C287,Productos!$A$5:$I$504,2,FALSE()),"Revisar código"))</f>
        <v/>
      </c>
      <c r="E287" s="29"/>
      <c r="F287" s="30"/>
      <c r="G287" s="36" t="str">
        <f t="shared" si="4"/>
        <v/>
      </c>
      <c r="H287" s="28"/>
      <c r="I287" s="28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21.75" customHeight="1" x14ac:dyDescent="0.25">
      <c r="A288" s="28"/>
      <c r="B288" s="31"/>
      <c r="C288" s="28"/>
      <c r="D288" s="26" t="str">
        <f>IF(C288="","",IFERROR(VLOOKUP(C288,Productos!$A$5:$I$504,2,FALSE()),"Revisar código"))</f>
        <v/>
      </c>
      <c r="E288" s="29"/>
      <c r="F288" s="30"/>
      <c r="G288" s="36" t="str">
        <f t="shared" si="4"/>
        <v/>
      </c>
      <c r="H288" s="28"/>
      <c r="I288" s="28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21.75" customHeight="1" x14ac:dyDescent="0.25">
      <c r="A289" s="28"/>
      <c r="B289" s="31"/>
      <c r="C289" s="28"/>
      <c r="D289" s="26" t="str">
        <f>IF(C289="","",IFERROR(VLOOKUP(C289,Productos!$A$5:$I$504,2,FALSE()),"Revisar código"))</f>
        <v/>
      </c>
      <c r="E289" s="29"/>
      <c r="F289" s="30"/>
      <c r="G289" s="36" t="str">
        <f t="shared" si="4"/>
        <v/>
      </c>
      <c r="H289" s="28"/>
      <c r="I289" s="28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21.75" customHeight="1" x14ac:dyDescent="0.25">
      <c r="A290" s="28"/>
      <c r="B290" s="31"/>
      <c r="C290" s="28"/>
      <c r="D290" s="26" t="str">
        <f>IF(C290="","",IFERROR(VLOOKUP(C290,Productos!$A$5:$I$504,2,FALSE()),"Revisar código"))</f>
        <v/>
      </c>
      <c r="E290" s="29"/>
      <c r="F290" s="30"/>
      <c r="G290" s="36" t="str">
        <f t="shared" si="4"/>
        <v/>
      </c>
      <c r="H290" s="28"/>
      <c r="I290" s="28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21.75" customHeight="1" x14ac:dyDescent="0.25">
      <c r="A291" s="28"/>
      <c r="B291" s="31"/>
      <c r="C291" s="28"/>
      <c r="D291" s="26" t="str">
        <f>IF(C291="","",IFERROR(VLOOKUP(C291,Productos!$A$5:$I$504,2,FALSE()),"Revisar código"))</f>
        <v/>
      </c>
      <c r="E291" s="29"/>
      <c r="F291" s="30"/>
      <c r="G291" s="36" t="str">
        <f t="shared" si="4"/>
        <v/>
      </c>
      <c r="H291" s="28"/>
      <c r="I291" s="28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21.75" customHeight="1" x14ac:dyDescent="0.25">
      <c r="A292" s="28"/>
      <c r="B292" s="31"/>
      <c r="C292" s="28"/>
      <c r="D292" s="26" t="str">
        <f>IF(C292="","",IFERROR(VLOOKUP(C292,Productos!$A$5:$I$504,2,FALSE()),"Revisar código"))</f>
        <v/>
      </c>
      <c r="E292" s="29"/>
      <c r="F292" s="30"/>
      <c r="G292" s="36" t="str">
        <f t="shared" si="4"/>
        <v/>
      </c>
      <c r="H292" s="28"/>
      <c r="I292" s="28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21.75" customHeight="1" x14ac:dyDescent="0.25">
      <c r="A293" s="28"/>
      <c r="B293" s="31"/>
      <c r="C293" s="28"/>
      <c r="D293" s="26" t="str">
        <f>IF(C293="","",IFERROR(VLOOKUP(C293,Productos!$A$5:$I$504,2,FALSE()),"Revisar código"))</f>
        <v/>
      </c>
      <c r="E293" s="29"/>
      <c r="F293" s="30"/>
      <c r="G293" s="36" t="str">
        <f t="shared" si="4"/>
        <v/>
      </c>
      <c r="H293" s="28"/>
      <c r="I293" s="28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21.75" customHeight="1" x14ac:dyDescent="0.25">
      <c r="A294" s="28"/>
      <c r="B294" s="31"/>
      <c r="C294" s="28"/>
      <c r="D294" s="26" t="str">
        <f>IF(C294="","",IFERROR(VLOOKUP(C294,Productos!$A$5:$I$504,2,FALSE()),"Revisar código"))</f>
        <v/>
      </c>
      <c r="E294" s="29"/>
      <c r="F294" s="30"/>
      <c r="G294" s="36" t="str">
        <f t="shared" si="4"/>
        <v/>
      </c>
      <c r="H294" s="28"/>
      <c r="I294" s="28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21.75" customHeight="1" x14ac:dyDescent="0.25">
      <c r="A295" s="28"/>
      <c r="B295" s="31"/>
      <c r="C295" s="28"/>
      <c r="D295" s="26" t="str">
        <f>IF(C295="","",IFERROR(VLOOKUP(C295,Productos!$A$5:$I$504,2,FALSE()),"Revisar código"))</f>
        <v/>
      </c>
      <c r="E295" s="29"/>
      <c r="F295" s="30"/>
      <c r="G295" s="36" t="str">
        <f t="shared" si="4"/>
        <v/>
      </c>
      <c r="H295" s="28"/>
      <c r="I295" s="28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21.75" customHeight="1" x14ac:dyDescent="0.25">
      <c r="A296" s="28"/>
      <c r="B296" s="31"/>
      <c r="C296" s="28"/>
      <c r="D296" s="26" t="str">
        <f>IF(C296="","",IFERROR(VLOOKUP(C296,Productos!$A$5:$I$504,2,FALSE()),"Revisar código"))</f>
        <v/>
      </c>
      <c r="E296" s="29"/>
      <c r="F296" s="30"/>
      <c r="G296" s="36" t="str">
        <f t="shared" si="4"/>
        <v/>
      </c>
      <c r="H296" s="28"/>
      <c r="I296" s="28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21.75" customHeight="1" x14ac:dyDescent="0.25">
      <c r="A297" s="28"/>
      <c r="B297" s="31"/>
      <c r="C297" s="28"/>
      <c r="D297" s="26" t="str">
        <f>IF(C297="","",IFERROR(VLOOKUP(C297,Productos!$A$5:$I$504,2,FALSE()),"Revisar código"))</f>
        <v/>
      </c>
      <c r="E297" s="29"/>
      <c r="F297" s="30"/>
      <c r="G297" s="36" t="str">
        <f t="shared" si="4"/>
        <v/>
      </c>
      <c r="H297" s="28"/>
      <c r="I297" s="28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21.75" customHeight="1" x14ac:dyDescent="0.25">
      <c r="A298" s="28"/>
      <c r="B298" s="31"/>
      <c r="C298" s="28"/>
      <c r="D298" s="26" t="str">
        <f>IF(C298="","",IFERROR(VLOOKUP(C298,Productos!$A$5:$I$504,2,FALSE()),"Revisar código"))</f>
        <v/>
      </c>
      <c r="E298" s="29"/>
      <c r="F298" s="30"/>
      <c r="G298" s="36" t="str">
        <f t="shared" si="4"/>
        <v/>
      </c>
      <c r="H298" s="28"/>
      <c r="I298" s="28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21.75" customHeight="1" x14ac:dyDescent="0.25">
      <c r="A299" s="28"/>
      <c r="B299" s="31"/>
      <c r="C299" s="28"/>
      <c r="D299" s="26" t="str">
        <f>IF(C299="","",IFERROR(VLOOKUP(C299,Productos!$A$5:$I$504,2,FALSE()),"Revisar código"))</f>
        <v/>
      </c>
      <c r="E299" s="29"/>
      <c r="F299" s="30"/>
      <c r="G299" s="36" t="str">
        <f t="shared" si="4"/>
        <v/>
      </c>
      <c r="H299" s="28"/>
      <c r="I299" s="28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21.75" customHeight="1" x14ac:dyDescent="0.25">
      <c r="A300" s="28"/>
      <c r="B300" s="31"/>
      <c r="C300" s="28"/>
      <c r="D300" s="26" t="str">
        <f>IF(C300="","",IFERROR(VLOOKUP(C300,Productos!$A$5:$I$504,2,FALSE()),"Revisar código"))</f>
        <v/>
      </c>
      <c r="E300" s="29"/>
      <c r="F300" s="30"/>
      <c r="G300" s="36" t="str">
        <f t="shared" si="4"/>
        <v/>
      </c>
      <c r="H300" s="28"/>
      <c r="I300" s="28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21.75" customHeight="1" x14ac:dyDescent="0.25">
      <c r="A301" s="28"/>
      <c r="B301" s="31"/>
      <c r="C301" s="28"/>
      <c r="D301" s="26" t="str">
        <f>IF(C301="","",IFERROR(VLOOKUP(C301,Productos!$A$5:$I$504,2,FALSE()),"Revisar código"))</f>
        <v/>
      </c>
      <c r="E301" s="29"/>
      <c r="F301" s="30"/>
      <c r="G301" s="36" t="str">
        <f t="shared" si="4"/>
        <v/>
      </c>
      <c r="H301" s="28"/>
      <c r="I301" s="28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21.75" customHeight="1" x14ac:dyDescent="0.25">
      <c r="A302" s="28"/>
      <c r="B302" s="31"/>
      <c r="C302" s="28"/>
      <c r="D302" s="26" t="str">
        <f>IF(C302="","",IFERROR(VLOOKUP(C302,Productos!$A$5:$I$504,2,FALSE()),"Revisar código"))</f>
        <v/>
      </c>
      <c r="E302" s="29"/>
      <c r="F302" s="30"/>
      <c r="G302" s="36" t="str">
        <f t="shared" si="4"/>
        <v/>
      </c>
      <c r="H302" s="28"/>
      <c r="I302" s="28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21.75" customHeight="1" x14ac:dyDescent="0.25">
      <c r="A303" s="28"/>
      <c r="B303" s="31"/>
      <c r="C303" s="28"/>
      <c r="D303" s="26" t="str">
        <f>IF(C303="","",IFERROR(VLOOKUP(C303,Productos!$A$5:$I$504,2,FALSE()),"Revisar código"))</f>
        <v/>
      </c>
      <c r="E303" s="29"/>
      <c r="F303" s="30"/>
      <c r="G303" s="36" t="str">
        <f t="shared" si="4"/>
        <v/>
      </c>
      <c r="H303" s="28"/>
      <c r="I303" s="28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21.75" customHeight="1" x14ac:dyDescent="0.25">
      <c r="A304" s="28"/>
      <c r="B304" s="31"/>
      <c r="C304" s="28"/>
      <c r="D304" s="26" t="str">
        <f>IF(C304="","",IFERROR(VLOOKUP(C304,Productos!$A$5:$I$504,2,FALSE()),"Revisar código"))</f>
        <v/>
      </c>
      <c r="E304" s="29"/>
      <c r="F304" s="30"/>
      <c r="G304" s="36" t="str">
        <f t="shared" si="4"/>
        <v/>
      </c>
      <c r="H304" s="28"/>
      <c r="I304" s="28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21.75" customHeight="1" x14ac:dyDescent="0.25">
      <c r="A305" s="28"/>
      <c r="B305" s="31"/>
      <c r="C305" s="28"/>
      <c r="D305" s="26" t="str">
        <f>IF(C305="","",IFERROR(VLOOKUP(C305,Productos!$A$5:$I$504,2,FALSE()),"Revisar código"))</f>
        <v/>
      </c>
      <c r="E305" s="29"/>
      <c r="F305" s="30"/>
      <c r="G305" s="36" t="str">
        <f t="shared" si="4"/>
        <v/>
      </c>
      <c r="H305" s="28"/>
      <c r="I305" s="28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21.75" customHeight="1" x14ac:dyDescent="0.25">
      <c r="A306" s="28"/>
      <c r="B306" s="31"/>
      <c r="C306" s="28"/>
      <c r="D306" s="26" t="str">
        <f>IF(C306="","",IFERROR(VLOOKUP(C306,Productos!$A$5:$I$504,2,FALSE()),"Revisar código"))</f>
        <v/>
      </c>
      <c r="E306" s="29"/>
      <c r="F306" s="30"/>
      <c r="G306" s="36" t="str">
        <f t="shared" si="4"/>
        <v/>
      </c>
      <c r="H306" s="28"/>
      <c r="I306" s="28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21.75" customHeight="1" x14ac:dyDescent="0.25">
      <c r="A307" s="28"/>
      <c r="B307" s="31"/>
      <c r="C307" s="28"/>
      <c r="D307" s="26" t="str">
        <f>IF(C307="","",IFERROR(VLOOKUP(C307,Productos!$A$5:$I$504,2,FALSE()),"Revisar código"))</f>
        <v/>
      </c>
      <c r="E307" s="29"/>
      <c r="F307" s="30"/>
      <c r="G307" s="36" t="str">
        <f t="shared" si="4"/>
        <v/>
      </c>
      <c r="H307" s="28"/>
      <c r="I307" s="28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21.75" customHeight="1" x14ac:dyDescent="0.25">
      <c r="A308" s="28"/>
      <c r="B308" s="31"/>
      <c r="C308" s="28"/>
      <c r="D308" s="26" t="str">
        <f>IF(C308="","",IFERROR(VLOOKUP(C308,Productos!$A$5:$I$504,2,FALSE()),"Revisar código"))</f>
        <v/>
      </c>
      <c r="E308" s="29"/>
      <c r="F308" s="30"/>
      <c r="G308" s="36" t="str">
        <f t="shared" si="4"/>
        <v/>
      </c>
      <c r="H308" s="28"/>
      <c r="I308" s="28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21.75" customHeight="1" x14ac:dyDescent="0.25">
      <c r="A309" s="28"/>
      <c r="B309" s="31"/>
      <c r="C309" s="28"/>
      <c r="D309" s="26" t="str">
        <f>IF(C309="","",IFERROR(VLOOKUP(C309,Productos!$A$5:$I$504,2,FALSE()),"Revisar código"))</f>
        <v/>
      </c>
      <c r="E309" s="29"/>
      <c r="F309" s="30"/>
      <c r="G309" s="36" t="str">
        <f t="shared" si="4"/>
        <v/>
      </c>
      <c r="H309" s="28"/>
      <c r="I309" s="28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21.75" customHeight="1" x14ac:dyDescent="0.25">
      <c r="A310" s="28"/>
      <c r="B310" s="31"/>
      <c r="C310" s="28"/>
      <c r="D310" s="26" t="str">
        <f>IF(C310="","",IFERROR(VLOOKUP(C310,Productos!$A$5:$I$504,2,FALSE()),"Revisar código"))</f>
        <v/>
      </c>
      <c r="E310" s="29"/>
      <c r="F310" s="30"/>
      <c r="G310" s="36" t="str">
        <f t="shared" si="4"/>
        <v/>
      </c>
      <c r="H310" s="28"/>
      <c r="I310" s="28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21.75" customHeight="1" x14ac:dyDescent="0.25">
      <c r="A311" s="28"/>
      <c r="B311" s="31"/>
      <c r="C311" s="28"/>
      <c r="D311" s="26" t="str">
        <f>IF(C311="","",IFERROR(VLOOKUP(C311,Productos!$A$5:$I$504,2,FALSE()),"Revisar código"))</f>
        <v/>
      </c>
      <c r="E311" s="29"/>
      <c r="F311" s="30"/>
      <c r="G311" s="36" t="str">
        <f t="shared" si="4"/>
        <v/>
      </c>
      <c r="H311" s="28"/>
      <c r="I311" s="28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21.75" customHeight="1" x14ac:dyDescent="0.25">
      <c r="A312" s="28"/>
      <c r="B312" s="31"/>
      <c r="C312" s="28"/>
      <c r="D312" s="26" t="str">
        <f>IF(C312="","",IFERROR(VLOOKUP(C312,Productos!$A$5:$I$504,2,FALSE()),"Revisar código"))</f>
        <v/>
      </c>
      <c r="E312" s="29"/>
      <c r="F312" s="30"/>
      <c r="G312" s="36" t="str">
        <f t="shared" si="4"/>
        <v/>
      </c>
      <c r="H312" s="28"/>
      <c r="I312" s="28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21.75" customHeight="1" x14ac:dyDescent="0.25">
      <c r="A313" s="28"/>
      <c r="B313" s="31"/>
      <c r="C313" s="28"/>
      <c r="D313" s="26" t="str">
        <f>IF(C313="","",IFERROR(VLOOKUP(C313,Productos!$A$5:$I$504,2,FALSE()),"Revisar código"))</f>
        <v/>
      </c>
      <c r="E313" s="29"/>
      <c r="F313" s="30"/>
      <c r="G313" s="36" t="str">
        <f t="shared" si="4"/>
        <v/>
      </c>
      <c r="H313" s="28"/>
      <c r="I313" s="28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21.75" customHeight="1" x14ac:dyDescent="0.25">
      <c r="A314" s="28"/>
      <c r="B314" s="31"/>
      <c r="C314" s="28"/>
      <c r="D314" s="26" t="str">
        <f>IF(C314="","",IFERROR(VLOOKUP(C314,Productos!$A$5:$I$504,2,FALSE()),"Revisar código"))</f>
        <v/>
      </c>
      <c r="E314" s="29"/>
      <c r="F314" s="30"/>
      <c r="G314" s="36" t="str">
        <f t="shared" si="4"/>
        <v/>
      </c>
      <c r="H314" s="28"/>
      <c r="I314" s="28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21.75" customHeight="1" x14ac:dyDescent="0.25">
      <c r="A315" s="28"/>
      <c r="B315" s="31"/>
      <c r="C315" s="28"/>
      <c r="D315" s="26" t="str">
        <f>IF(C315="","",IFERROR(VLOOKUP(C315,Productos!$A$5:$I$504,2,FALSE()),"Revisar código"))</f>
        <v/>
      </c>
      <c r="E315" s="29"/>
      <c r="F315" s="30"/>
      <c r="G315" s="36" t="str">
        <f t="shared" si="4"/>
        <v/>
      </c>
      <c r="H315" s="28"/>
      <c r="I315" s="28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21.75" customHeight="1" x14ac:dyDescent="0.25">
      <c r="A316" s="28"/>
      <c r="B316" s="31"/>
      <c r="C316" s="28"/>
      <c r="D316" s="26" t="str">
        <f>IF(C316="","",IFERROR(VLOOKUP(C316,Productos!$A$5:$I$504,2,FALSE()),"Revisar código"))</f>
        <v/>
      </c>
      <c r="E316" s="29"/>
      <c r="F316" s="30"/>
      <c r="G316" s="36" t="str">
        <f t="shared" si="4"/>
        <v/>
      </c>
      <c r="H316" s="28"/>
      <c r="I316" s="28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21.75" customHeight="1" x14ac:dyDescent="0.25">
      <c r="A317" s="28"/>
      <c r="B317" s="31"/>
      <c r="C317" s="28"/>
      <c r="D317" s="26" t="str">
        <f>IF(C317="","",IFERROR(VLOOKUP(C317,Productos!$A$5:$I$504,2,FALSE()),"Revisar código"))</f>
        <v/>
      </c>
      <c r="E317" s="29"/>
      <c r="F317" s="30"/>
      <c r="G317" s="36" t="str">
        <f t="shared" si="4"/>
        <v/>
      </c>
      <c r="H317" s="28"/>
      <c r="I317" s="28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21.75" customHeight="1" x14ac:dyDescent="0.25">
      <c r="A318" s="28"/>
      <c r="B318" s="31"/>
      <c r="C318" s="28"/>
      <c r="D318" s="26" t="str">
        <f>IF(C318="","",IFERROR(VLOOKUP(C318,Productos!$A$5:$I$504,2,FALSE()),"Revisar código"))</f>
        <v/>
      </c>
      <c r="E318" s="29"/>
      <c r="F318" s="30"/>
      <c r="G318" s="36" t="str">
        <f t="shared" si="4"/>
        <v/>
      </c>
      <c r="H318" s="28"/>
      <c r="I318" s="28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21.75" customHeight="1" x14ac:dyDescent="0.25">
      <c r="A319" s="28"/>
      <c r="B319" s="31"/>
      <c r="C319" s="28"/>
      <c r="D319" s="26" t="str">
        <f>IF(C319="","",IFERROR(VLOOKUP(C319,Productos!$A$5:$I$504,2,FALSE()),"Revisar código"))</f>
        <v/>
      </c>
      <c r="E319" s="29"/>
      <c r="F319" s="30"/>
      <c r="G319" s="36" t="str">
        <f t="shared" si="4"/>
        <v/>
      </c>
      <c r="H319" s="28"/>
      <c r="I319" s="28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21.75" customHeight="1" x14ac:dyDescent="0.25">
      <c r="A320" s="28"/>
      <c r="B320" s="31"/>
      <c r="C320" s="28"/>
      <c r="D320" s="26" t="str">
        <f>IF(C320="","",IFERROR(VLOOKUP(C320,Productos!$A$5:$I$504,2,FALSE()),"Revisar código"))</f>
        <v/>
      </c>
      <c r="E320" s="29"/>
      <c r="F320" s="30"/>
      <c r="G320" s="36" t="str">
        <f t="shared" si="4"/>
        <v/>
      </c>
      <c r="H320" s="28"/>
      <c r="I320" s="28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21.75" customHeight="1" x14ac:dyDescent="0.25">
      <c r="A321" s="28"/>
      <c r="B321" s="31"/>
      <c r="C321" s="28"/>
      <c r="D321" s="26" t="str">
        <f>IF(C321="","",IFERROR(VLOOKUP(C321,Productos!$A$5:$I$504,2,FALSE()),"Revisar código"))</f>
        <v/>
      </c>
      <c r="E321" s="29"/>
      <c r="F321" s="30"/>
      <c r="G321" s="36" t="str">
        <f t="shared" si="4"/>
        <v/>
      </c>
      <c r="H321" s="28"/>
      <c r="I321" s="28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21.75" customHeight="1" x14ac:dyDescent="0.25">
      <c r="A322" s="28"/>
      <c r="B322" s="31"/>
      <c r="C322" s="28"/>
      <c r="D322" s="26" t="str">
        <f>IF(C322="","",IFERROR(VLOOKUP(C322,Productos!$A$5:$I$504,2,FALSE()),"Revisar código"))</f>
        <v/>
      </c>
      <c r="E322" s="29"/>
      <c r="F322" s="30"/>
      <c r="G322" s="36" t="str">
        <f t="shared" si="4"/>
        <v/>
      </c>
      <c r="H322" s="28"/>
      <c r="I322" s="28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21.75" customHeight="1" x14ac:dyDescent="0.25">
      <c r="A323" s="28"/>
      <c r="B323" s="31"/>
      <c r="C323" s="28"/>
      <c r="D323" s="26" t="str">
        <f>IF(C323="","",IFERROR(VLOOKUP(C323,Productos!$A$5:$I$504,2,FALSE()),"Revisar código"))</f>
        <v/>
      </c>
      <c r="E323" s="29"/>
      <c r="F323" s="30"/>
      <c r="G323" s="36" t="str">
        <f t="shared" si="4"/>
        <v/>
      </c>
      <c r="H323" s="28"/>
      <c r="I323" s="28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21.75" customHeight="1" x14ac:dyDescent="0.25">
      <c r="A324" s="28"/>
      <c r="B324" s="31"/>
      <c r="C324" s="28"/>
      <c r="D324" s="26" t="str">
        <f>IF(C324="","",IFERROR(VLOOKUP(C324,Productos!$A$5:$I$504,2,FALSE()),"Revisar código"))</f>
        <v/>
      </c>
      <c r="E324" s="29"/>
      <c r="F324" s="30"/>
      <c r="G324" s="36" t="str">
        <f t="shared" si="4"/>
        <v/>
      </c>
      <c r="H324" s="28"/>
      <c r="I324" s="28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21.75" customHeight="1" x14ac:dyDescent="0.25">
      <c r="A325" s="28"/>
      <c r="B325" s="31"/>
      <c r="C325" s="28"/>
      <c r="D325" s="26" t="str">
        <f>IF(C325="","",IFERROR(VLOOKUP(C325,Productos!$A$5:$I$504,2,FALSE()),"Revisar código"))</f>
        <v/>
      </c>
      <c r="E325" s="29"/>
      <c r="F325" s="30"/>
      <c r="G325" s="36" t="str">
        <f t="shared" ref="G325:G388" si="5">IF(OR(E325="",F325=""),"",E325*F325)</f>
        <v/>
      </c>
      <c r="H325" s="28"/>
      <c r="I325" s="28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21.75" customHeight="1" x14ac:dyDescent="0.25">
      <c r="A326" s="28"/>
      <c r="B326" s="31"/>
      <c r="C326" s="28"/>
      <c r="D326" s="26" t="str">
        <f>IF(C326="","",IFERROR(VLOOKUP(C326,Productos!$A$5:$I$504,2,FALSE()),"Revisar código"))</f>
        <v/>
      </c>
      <c r="E326" s="29"/>
      <c r="F326" s="30"/>
      <c r="G326" s="36" t="str">
        <f t="shared" si="5"/>
        <v/>
      </c>
      <c r="H326" s="28"/>
      <c r="I326" s="28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21.75" customHeight="1" x14ac:dyDescent="0.25">
      <c r="A327" s="28"/>
      <c r="B327" s="31"/>
      <c r="C327" s="28"/>
      <c r="D327" s="26" t="str">
        <f>IF(C327="","",IFERROR(VLOOKUP(C327,Productos!$A$5:$I$504,2,FALSE()),"Revisar código"))</f>
        <v/>
      </c>
      <c r="E327" s="29"/>
      <c r="F327" s="30"/>
      <c r="G327" s="36" t="str">
        <f t="shared" si="5"/>
        <v/>
      </c>
      <c r="H327" s="28"/>
      <c r="I327" s="28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21.75" customHeight="1" x14ac:dyDescent="0.25">
      <c r="A328" s="28"/>
      <c r="B328" s="31"/>
      <c r="C328" s="28"/>
      <c r="D328" s="26" t="str">
        <f>IF(C328="","",IFERROR(VLOOKUP(C328,Productos!$A$5:$I$504,2,FALSE()),"Revisar código"))</f>
        <v/>
      </c>
      <c r="E328" s="29"/>
      <c r="F328" s="30"/>
      <c r="G328" s="36" t="str">
        <f t="shared" si="5"/>
        <v/>
      </c>
      <c r="H328" s="28"/>
      <c r="I328" s="28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21.75" customHeight="1" x14ac:dyDescent="0.25">
      <c r="A329" s="28"/>
      <c r="B329" s="31"/>
      <c r="C329" s="28"/>
      <c r="D329" s="26" t="str">
        <f>IF(C329="","",IFERROR(VLOOKUP(C329,Productos!$A$5:$I$504,2,FALSE()),"Revisar código"))</f>
        <v/>
      </c>
      <c r="E329" s="29"/>
      <c r="F329" s="30"/>
      <c r="G329" s="36" t="str">
        <f t="shared" si="5"/>
        <v/>
      </c>
      <c r="H329" s="28"/>
      <c r="I329" s="28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21.75" customHeight="1" x14ac:dyDescent="0.25">
      <c r="A330" s="28"/>
      <c r="B330" s="31"/>
      <c r="C330" s="28"/>
      <c r="D330" s="26" t="str">
        <f>IF(C330="","",IFERROR(VLOOKUP(C330,Productos!$A$5:$I$504,2,FALSE()),"Revisar código"))</f>
        <v/>
      </c>
      <c r="E330" s="29"/>
      <c r="F330" s="30"/>
      <c r="G330" s="36" t="str">
        <f t="shared" si="5"/>
        <v/>
      </c>
      <c r="H330" s="28"/>
      <c r="I330" s="28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21.75" customHeight="1" x14ac:dyDescent="0.25">
      <c r="A331" s="28"/>
      <c r="B331" s="31"/>
      <c r="C331" s="28"/>
      <c r="D331" s="26" t="str">
        <f>IF(C331="","",IFERROR(VLOOKUP(C331,Productos!$A$5:$I$504,2,FALSE()),"Revisar código"))</f>
        <v/>
      </c>
      <c r="E331" s="29"/>
      <c r="F331" s="30"/>
      <c r="G331" s="36" t="str">
        <f t="shared" si="5"/>
        <v/>
      </c>
      <c r="H331" s="28"/>
      <c r="I331" s="28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21.75" customHeight="1" x14ac:dyDescent="0.25">
      <c r="A332" s="28"/>
      <c r="B332" s="31"/>
      <c r="C332" s="28"/>
      <c r="D332" s="26" t="str">
        <f>IF(C332="","",IFERROR(VLOOKUP(C332,Productos!$A$5:$I$504,2,FALSE()),"Revisar código"))</f>
        <v/>
      </c>
      <c r="E332" s="29"/>
      <c r="F332" s="30"/>
      <c r="G332" s="36" t="str">
        <f t="shared" si="5"/>
        <v/>
      </c>
      <c r="H332" s="28"/>
      <c r="I332" s="28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21.75" customHeight="1" x14ac:dyDescent="0.25">
      <c r="A333" s="28"/>
      <c r="B333" s="31"/>
      <c r="C333" s="28"/>
      <c r="D333" s="26" t="str">
        <f>IF(C333="","",IFERROR(VLOOKUP(C333,Productos!$A$5:$I$504,2,FALSE()),"Revisar código"))</f>
        <v/>
      </c>
      <c r="E333" s="29"/>
      <c r="F333" s="30"/>
      <c r="G333" s="36" t="str">
        <f t="shared" si="5"/>
        <v/>
      </c>
      <c r="H333" s="28"/>
      <c r="I333" s="28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21.75" customHeight="1" x14ac:dyDescent="0.25">
      <c r="A334" s="28"/>
      <c r="B334" s="31"/>
      <c r="C334" s="28"/>
      <c r="D334" s="26" t="str">
        <f>IF(C334="","",IFERROR(VLOOKUP(C334,Productos!$A$5:$I$504,2,FALSE()),"Revisar código"))</f>
        <v/>
      </c>
      <c r="E334" s="29"/>
      <c r="F334" s="30"/>
      <c r="G334" s="36" t="str">
        <f t="shared" si="5"/>
        <v/>
      </c>
      <c r="H334" s="28"/>
      <c r="I334" s="28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21.75" customHeight="1" x14ac:dyDescent="0.25">
      <c r="A335" s="28"/>
      <c r="B335" s="31"/>
      <c r="C335" s="28"/>
      <c r="D335" s="26" t="str">
        <f>IF(C335="","",IFERROR(VLOOKUP(C335,Productos!$A$5:$I$504,2,FALSE()),"Revisar código"))</f>
        <v/>
      </c>
      <c r="E335" s="29"/>
      <c r="F335" s="30"/>
      <c r="G335" s="36" t="str">
        <f t="shared" si="5"/>
        <v/>
      </c>
      <c r="H335" s="28"/>
      <c r="I335" s="28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21.75" customHeight="1" x14ac:dyDescent="0.25">
      <c r="A336" s="28"/>
      <c r="B336" s="31"/>
      <c r="C336" s="28"/>
      <c r="D336" s="26" t="str">
        <f>IF(C336="","",IFERROR(VLOOKUP(C336,Productos!$A$5:$I$504,2,FALSE()),"Revisar código"))</f>
        <v/>
      </c>
      <c r="E336" s="29"/>
      <c r="F336" s="30"/>
      <c r="G336" s="36" t="str">
        <f t="shared" si="5"/>
        <v/>
      </c>
      <c r="H336" s="28"/>
      <c r="I336" s="28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21.75" customHeight="1" x14ac:dyDescent="0.25">
      <c r="A337" s="28"/>
      <c r="B337" s="31"/>
      <c r="C337" s="28"/>
      <c r="D337" s="26" t="str">
        <f>IF(C337="","",IFERROR(VLOOKUP(C337,Productos!$A$5:$I$504,2,FALSE()),"Revisar código"))</f>
        <v/>
      </c>
      <c r="E337" s="29"/>
      <c r="F337" s="30"/>
      <c r="G337" s="36" t="str">
        <f t="shared" si="5"/>
        <v/>
      </c>
      <c r="H337" s="28"/>
      <c r="I337" s="28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21.75" customHeight="1" x14ac:dyDescent="0.25">
      <c r="A338" s="28"/>
      <c r="B338" s="31"/>
      <c r="C338" s="28"/>
      <c r="D338" s="26" t="str">
        <f>IF(C338="","",IFERROR(VLOOKUP(C338,Productos!$A$5:$I$504,2,FALSE()),"Revisar código"))</f>
        <v/>
      </c>
      <c r="E338" s="29"/>
      <c r="F338" s="30"/>
      <c r="G338" s="36" t="str">
        <f t="shared" si="5"/>
        <v/>
      </c>
      <c r="H338" s="28"/>
      <c r="I338" s="28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21.75" customHeight="1" x14ac:dyDescent="0.25">
      <c r="A339" s="28"/>
      <c r="B339" s="31"/>
      <c r="C339" s="28"/>
      <c r="D339" s="26" t="str">
        <f>IF(C339="","",IFERROR(VLOOKUP(C339,Productos!$A$5:$I$504,2,FALSE()),"Revisar código"))</f>
        <v/>
      </c>
      <c r="E339" s="29"/>
      <c r="F339" s="30"/>
      <c r="G339" s="36" t="str">
        <f t="shared" si="5"/>
        <v/>
      </c>
      <c r="H339" s="28"/>
      <c r="I339" s="28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21.75" customHeight="1" x14ac:dyDescent="0.25">
      <c r="A340" s="28"/>
      <c r="B340" s="31"/>
      <c r="C340" s="28"/>
      <c r="D340" s="26" t="str">
        <f>IF(C340="","",IFERROR(VLOOKUP(C340,Productos!$A$5:$I$504,2,FALSE()),"Revisar código"))</f>
        <v/>
      </c>
      <c r="E340" s="29"/>
      <c r="F340" s="30"/>
      <c r="G340" s="36" t="str">
        <f t="shared" si="5"/>
        <v/>
      </c>
      <c r="H340" s="28"/>
      <c r="I340" s="28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21.75" customHeight="1" x14ac:dyDescent="0.25">
      <c r="A341" s="28"/>
      <c r="B341" s="31"/>
      <c r="C341" s="28"/>
      <c r="D341" s="26" t="str">
        <f>IF(C341="","",IFERROR(VLOOKUP(C341,Productos!$A$5:$I$504,2,FALSE()),"Revisar código"))</f>
        <v/>
      </c>
      <c r="E341" s="29"/>
      <c r="F341" s="30"/>
      <c r="G341" s="36" t="str">
        <f t="shared" si="5"/>
        <v/>
      </c>
      <c r="H341" s="28"/>
      <c r="I341" s="28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21.75" customHeight="1" x14ac:dyDescent="0.25">
      <c r="A342" s="28"/>
      <c r="B342" s="31"/>
      <c r="C342" s="28"/>
      <c r="D342" s="26" t="str">
        <f>IF(C342="","",IFERROR(VLOOKUP(C342,Productos!$A$5:$I$504,2,FALSE()),"Revisar código"))</f>
        <v/>
      </c>
      <c r="E342" s="29"/>
      <c r="F342" s="30"/>
      <c r="G342" s="36" t="str">
        <f t="shared" si="5"/>
        <v/>
      </c>
      <c r="H342" s="28"/>
      <c r="I342" s="28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21.75" customHeight="1" x14ac:dyDescent="0.25">
      <c r="A343" s="28"/>
      <c r="B343" s="31"/>
      <c r="C343" s="28"/>
      <c r="D343" s="26" t="str">
        <f>IF(C343="","",IFERROR(VLOOKUP(C343,Productos!$A$5:$I$504,2,FALSE()),"Revisar código"))</f>
        <v/>
      </c>
      <c r="E343" s="29"/>
      <c r="F343" s="30"/>
      <c r="G343" s="36" t="str">
        <f t="shared" si="5"/>
        <v/>
      </c>
      <c r="H343" s="28"/>
      <c r="I343" s="28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21.75" customHeight="1" x14ac:dyDescent="0.25">
      <c r="A344" s="28"/>
      <c r="B344" s="31"/>
      <c r="C344" s="28"/>
      <c r="D344" s="26" t="str">
        <f>IF(C344="","",IFERROR(VLOOKUP(C344,Productos!$A$5:$I$504,2,FALSE()),"Revisar código"))</f>
        <v/>
      </c>
      <c r="E344" s="29"/>
      <c r="F344" s="30"/>
      <c r="G344" s="36" t="str">
        <f t="shared" si="5"/>
        <v/>
      </c>
      <c r="H344" s="28"/>
      <c r="I344" s="28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21.75" customHeight="1" x14ac:dyDescent="0.25">
      <c r="A345" s="28"/>
      <c r="B345" s="31"/>
      <c r="C345" s="28"/>
      <c r="D345" s="26" t="str">
        <f>IF(C345="","",IFERROR(VLOOKUP(C345,Productos!$A$5:$I$504,2,FALSE()),"Revisar código"))</f>
        <v/>
      </c>
      <c r="E345" s="29"/>
      <c r="F345" s="30"/>
      <c r="G345" s="36" t="str">
        <f t="shared" si="5"/>
        <v/>
      </c>
      <c r="H345" s="28"/>
      <c r="I345" s="28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21.75" customHeight="1" x14ac:dyDescent="0.25">
      <c r="A346" s="28"/>
      <c r="B346" s="31"/>
      <c r="C346" s="28"/>
      <c r="D346" s="26" t="str">
        <f>IF(C346="","",IFERROR(VLOOKUP(C346,Productos!$A$5:$I$504,2,FALSE()),"Revisar código"))</f>
        <v/>
      </c>
      <c r="E346" s="29"/>
      <c r="F346" s="30"/>
      <c r="G346" s="36" t="str">
        <f t="shared" si="5"/>
        <v/>
      </c>
      <c r="H346" s="28"/>
      <c r="I346" s="28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21.75" customHeight="1" x14ac:dyDescent="0.25">
      <c r="A347" s="28"/>
      <c r="B347" s="31"/>
      <c r="C347" s="28"/>
      <c r="D347" s="26" t="str">
        <f>IF(C347="","",IFERROR(VLOOKUP(C347,Productos!$A$5:$I$504,2,FALSE()),"Revisar código"))</f>
        <v/>
      </c>
      <c r="E347" s="29"/>
      <c r="F347" s="30"/>
      <c r="G347" s="36" t="str">
        <f t="shared" si="5"/>
        <v/>
      </c>
      <c r="H347" s="28"/>
      <c r="I347" s="28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21.75" customHeight="1" x14ac:dyDescent="0.25">
      <c r="A348" s="28"/>
      <c r="B348" s="31"/>
      <c r="C348" s="28"/>
      <c r="D348" s="26" t="str">
        <f>IF(C348="","",IFERROR(VLOOKUP(C348,Productos!$A$5:$I$504,2,FALSE()),"Revisar código"))</f>
        <v/>
      </c>
      <c r="E348" s="29"/>
      <c r="F348" s="30"/>
      <c r="G348" s="36" t="str">
        <f t="shared" si="5"/>
        <v/>
      </c>
      <c r="H348" s="28"/>
      <c r="I348" s="28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21.75" customHeight="1" x14ac:dyDescent="0.25">
      <c r="A349" s="28"/>
      <c r="B349" s="31"/>
      <c r="C349" s="28"/>
      <c r="D349" s="26" t="str">
        <f>IF(C349="","",IFERROR(VLOOKUP(C349,Productos!$A$5:$I$504,2,FALSE()),"Revisar código"))</f>
        <v/>
      </c>
      <c r="E349" s="29"/>
      <c r="F349" s="30"/>
      <c r="G349" s="36" t="str">
        <f t="shared" si="5"/>
        <v/>
      </c>
      <c r="H349" s="28"/>
      <c r="I349" s="28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21.75" customHeight="1" x14ac:dyDescent="0.25">
      <c r="A350" s="28"/>
      <c r="B350" s="31"/>
      <c r="C350" s="28"/>
      <c r="D350" s="26" t="str">
        <f>IF(C350="","",IFERROR(VLOOKUP(C350,Productos!$A$5:$I$504,2,FALSE()),"Revisar código"))</f>
        <v/>
      </c>
      <c r="E350" s="29"/>
      <c r="F350" s="30"/>
      <c r="G350" s="36" t="str">
        <f t="shared" si="5"/>
        <v/>
      </c>
      <c r="H350" s="28"/>
      <c r="I350" s="28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21.75" customHeight="1" x14ac:dyDescent="0.25">
      <c r="A351" s="28"/>
      <c r="B351" s="31"/>
      <c r="C351" s="28"/>
      <c r="D351" s="26" t="str">
        <f>IF(C351="","",IFERROR(VLOOKUP(C351,Productos!$A$5:$I$504,2,FALSE()),"Revisar código"))</f>
        <v/>
      </c>
      <c r="E351" s="29"/>
      <c r="F351" s="30"/>
      <c r="G351" s="36" t="str">
        <f t="shared" si="5"/>
        <v/>
      </c>
      <c r="H351" s="28"/>
      <c r="I351" s="28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21.75" customHeight="1" x14ac:dyDescent="0.25">
      <c r="A352" s="28"/>
      <c r="B352" s="31"/>
      <c r="C352" s="28"/>
      <c r="D352" s="26" t="str">
        <f>IF(C352="","",IFERROR(VLOOKUP(C352,Productos!$A$5:$I$504,2,FALSE()),"Revisar código"))</f>
        <v/>
      </c>
      <c r="E352" s="29"/>
      <c r="F352" s="30"/>
      <c r="G352" s="36" t="str">
        <f t="shared" si="5"/>
        <v/>
      </c>
      <c r="H352" s="28"/>
      <c r="I352" s="28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21.75" customHeight="1" x14ac:dyDescent="0.25">
      <c r="A353" s="28"/>
      <c r="B353" s="31"/>
      <c r="C353" s="28"/>
      <c r="D353" s="26" t="str">
        <f>IF(C353="","",IFERROR(VLOOKUP(C353,Productos!$A$5:$I$504,2,FALSE()),"Revisar código"))</f>
        <v/>
      </c>
      <c r="E353" s="29"/>
      <c r="F353" s="30"/>
      <c r="G353" s="36" t="str">
        <f t="shared" si="5"/>
        <v/>
      </c>
      <c r="H353" s="28"/>
      <c r="I353" s="28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21.75" customHeight="1" x14ac:dyDescent="0.25">
      <c r="A354" s="28"/>
      <c r="B354" s="31"/>
      <c r="C354" s="28"/>
      <c r="D354" s="26" t="str">
        <f>IF(C354="","",IFERROR(VLOOKUP(C354,Productos!$A$5:$I$504,2,FALSE()),"Revisar código"))</f>
        <v/>
      </c>
      <c r="E354" s="29"/>
      <c r="F354" s="30"/>
      <c r="G354" s="36" t="str">
        <f t="shared" si="5"/>
        <v/>
      </c>
      <c r="H354" s="28"/>
      <c r="I354" s="28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21.75" customHeight="1" x14ac:dyDescent="0.25">
      <c r="A355" s="28"/>
      <c r="B355" s="31"/>
      <c r="C355" s="28"/>
      <c r="D355" s="26" t="str">
        <f>IF(C355="","",IFERROR(VLOOKUP(C355,Productos!$A$5:$I$504,2,FALSE()),"Revisar código"))</f>
        <v/>
      </c>
      <c r="E355" s="29"/>
      <c r="F355" s="30"/>
      <c r="G355" s="36" t="str">
        <f t="shared" si="5"/>
        <v/>
      </c>
      <c r="H355" s="28"/>
      <c r="I355" s="28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21.75" customHeight="1" x14ac:dyDescent="0.25">
      <c r="A356" s="28"/>
      <c r="B356" s="31"/>
      <c r="C356" s="28"/>
      <c r="D356" s="26" t="str">
        <f>IF(C356="","",IFERROR(VLOOKUP(C356,Productos!$A$5:$I$504,2,FALSE()),"Revisar código"))</f>
        <v/>
      </c>
      <c r="E356" s="29"/>
      <c r="F356" s="30"/>
      <c r="G356" s="36" t="str">
        <f t="shared" si="5"/>
        <v/>
      </c>
      <c r="H356" s="28"/>
      <c r="I356" s="28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21.75" customHeight="1" x14ac:dyDescent="0.25">
      <c r="A357" s="28"/>
      <c r="B357" s="31"/>
      <c r="C357" s="28"/>
      <c r="D357" s="26" t="str">
        <f>IF(C357="","",IFERROR(VLOOKUP(C357,Productos!$A$5:$I$504,2,FALSE()),"Revisar código"))</f>
        <v/>
      </c>
      <c r="E357" s="29"/>
      <c r="F357" s="30"/>
      <c r="G357" s="36" t="str">
        <f t="shared" si="5"/>
        <v/>
      </c>
      <c r="H357" s="28"/>
      <c r="I357" s="28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21.75" customHeight="1" x14ac:dyDescent="0.25">
      <c r="A358" s="28"/>
      <c r="B358" s="31"/>
      <c r="C358" s="28"/>
      <c r="D358" s="26" t="str">
        <f>IF(C358="","",IFERROR(VLOOKUP(C358,Productos!$A$5:$I$504,2,FALSE()),"Revisar código"))</f>
        <v/>
      </c>
      <c r="E358" s="29"/>
      <c r="F358" s="30"/>
      <c r="G358" s="36" t="str">
        <f t="shared" si="5"/>
        <v/>
      </c>
      <c r="H358" s="28"/>
      <c r="I358" s="28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21.75" customHeight="1" x14ac:dyDescent="0.25">
      <c r="A359" s="28"/>
      <c r="B359" s="31"/>
      <c r="C359" s="28"/>
      <c r="D359" s="26" t="str">
        <f>IF(C359="","",IFERROR(VLOOKUP(C359,Productos!$A$5:$I$504,2,FALSE()),"Revisar código"))</f>
        <v/>
      </c>
      <c r="E359" s="29"/>
      <c r="F359" s="30"/>
      <c r="G359" s="36" t="str">
        <f t="shared" si="5"/>
        <v/>
      </c>
      <c r="H359" s="28"/>
      <c r="I359" s="28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21.75" customHeight="1" x14ac:dyDescent="0.25">
      <c r="A360" s="28"/>
      <c r="B360" s="31"/>
      <c r="C360" s="28"/>
      <c r="D360" s="26" t="str">
        <f>IF(C360="","",IFERROR(VLOOKUP(C360,Productos!$A$5:$I$504,2,FALSE()),"Revisar código"))</f>
        <v/>
      </c>
      <c r="E360" s="29"/>
      <c r="F360" s="30"/>
      <c r="G360" s="36" t="str">
        <f t="shared" si="5"/>
        <v/>
      </c>
      <c r="H360" s="28"/>
      <c r="I360" s="28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21.75" customHeight="1" x14ac:dyDescent="0.25">
      <c r="A361" s="28"/>
      <c r="B361" s="31"/>
      <c r="C361" s="28"/>
      <c r="D361" s="26" t="str">
        <f>IF(C361="","",IFERROR(VLOOKUP(C361,Productos!$A$5:$I$504,2,FALSE()),"Revisar código"))</f>
        <v/>
      </c>
      <c r="E361" s="29"/>
      <c r="F361" s="30"/>
      <c r="G361" s="36" t="str">
        <f t="shared" si="5"/>
        <v/>
      </c>
      <c r="H361" s="28"/>
      <c r="I361" s="28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21.75" customHeight="1" x14ac:dyDescent="0.25">
      <c r="A362" s="28"/>
      <c r="B362" s="31"/>
      <c r="C362" s="28"/>
      <c r="D362" s="26" t="str">
        <f>IF(C362="","",IFERROR(VLOOKUP(C362,Productos!$A$5:$I$504,2,FALSE()),"Revisar código"))</f>
        <v/>
      </c>
      <c r="E362" s="29"/>
      <c r="F362" s="30"/>
      <c r="G362" s="36" t="str">
        <f t="shared" si="5"/>
        <v/>
      </c>
      <c r="H362" s="28"/>
      <c r="I362" s="28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21.75" customHeight="1" x14ac:dyDescent="0.25">
      <c r="A363" s="28"/>
      <c r="B363" s="31"/>
      <c r="C363" s="28"/>
      <c r="D363" s="26" t="str">
        <f>IF(C363="","",IFERROR(VLOOKUP(C363,Productos!$A$5:$I$504,2,FALSE()),"Revisar código"))</f>
        <v/>
      </c>
      <c r="E363" s="29"/>
      <c r="F363" s="30"/>
      <c r="G363" s="36" t="str">
        <f t="shared" si="5"/>
        <v/>
      </c>
      <c r="H363" s="28"/>
      <c r="I363" s="28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21.75" customHeight="1" x14ac:dyDescent="0.25">
      <c r="A364" s="28"/>
      <c r="B364" s="31"/>
      <c r="C364" s="28"/>
      <c r="D364" s="26" t="str">
        <f>IF(C364="","",IFERROR(VLOOKUP(C364,Productos!$A$5:$I$504,2,FALSE()),"Revisar código"))</f>
        <v/>
      </c>
      <c r="E364" s="29"/>
      <c r="F364" s="30"/>
      <c r="G364" s="36" t="str">
        <f t="shared" si="5"/>
        <v/>
      </c>
      <c r="H364" s="28"/>
      <c r="I364" s="28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21.75" customHeight="1" x14ac:dyDescent="0.25">
      <c r="A365" s="28"/>
      <c r="B365" s="31"/>
      <c r="C365" s="28"/>
      <c r="D365" s="26" t="str">
        <f>IF(C365="","",IFERROR(VLOOKUP(C365,Productos!$A$5:$I$504,2,FALSE()),"Revisar código"))</f>
        <v/>
      </c>
      <c r="E365" s="29"/>
      <c r="F365" s="30"/>
      <c r="G365" s="36" t="str">
        <f t="shared" si="5"/>
        <v/>
      </c>
      <c r="H365" s="28"/>
      <c r="I365" s="28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21.75" customHeight="1" x14ac:dyDescent="0.25">
      <c r="A366" s="28"/>
      <c r="B366" s="31"/>
      <c r="C366" s="28"/>
      <c r="D366" s="26" t="str">
        <f>IF(C366="","",IFERROR(VLOOKUP(C366,Productos!$A$5:$I$504,2,FALSE()),"Revisar código"))</f>
        <v/>
      </c>
      <c r="E366" s="29"/>
      <c r="F366" s="30"/>
      <c r="G366" s="36" t="str">
        <f t="shared" si="5"/>
        <v/>
      </c>
      <c r="H366" s="28"/>
      <c r="I366" s="28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21.75" customHeight="1" x14ac:dyDescent="0.25">
      <c r="A367" s="28"/>
      <c r="B367" s="31"/>
      <c r="C367" s="28"/>
      <c r="D367" s="26" t="str">
        <f>IF(C367="","",IFERROR(VLOOKUP(C367,Productos!$A$5:$I$504,2,FALSE()),"Revisar código"))</f>
        <v/>
      </c>
      <c r="E367" s="29"/>
      <c r="F367" s="30"/>
      <c r="G367" s="36" t="str">
        <f t="shared" si="5"/>
        <v/>
      </c>
      <c r="H367" s="28"/>
      <c r="I367" s="28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21.75" customHeight="1" x14ac:dyDescent="0.25">
      <c r="A368" s="28"/>
      <c r="B368" s="31"/>
      <c r="C368" s="28"/>
      <c r="D368" s="26" t="str">
        <f>IF(C368="","",IFERROR(VLOOKUP(C368,Productos!$A$5:$I$504,2,FALSE()),"Revisar código"))</f>
        <v/>
      </c>
      <c r="E368" s="29"/>
      <c r="F368" s="30"/>
      <c r="G368" s="36" t="str">
        <f t="shared" si="5"/>
        <v/>
      </c>
      <c r="H368" s="28"/>
      <c r="I368" s="28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21.75" customHeight="1" x14ac:dyDescent="0.25">
      <c r="A369" s="28"/>
      <c r="B369" s="31"/>
      <c r="C369" s="28"/>
      <c r="D369" s="26" t="str">
        <f>IF(C369="","",IFERROR(VLOOKUP(C369,Productos!$A$5:$I$504,2,FALSE()),"Revisar código"))</f>
        <v/>
      </c>
      <c r="E369" s="29"/>
      <c r="F369" s="30"/>
      <c r="G369" s="36" t="str">
        <f t="shared" si="5"/>
        <v/>
      </c>
      <c r="H369" s="28"/>
      <c r="I369" s="28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21.75" customHeight="1" x14ac:dyDescent="0.25">
      <c r="A370" s="28"/>
      <c r="B370" s="31"/>
      <c r="C370" s="28"/>
      <c r="D370" s="26" t="str">
        <f>IF(C370="","",IFERROR(VLOOKUP(C370,Productos!$A$5:$I$504,2,FALSE()),"Revisar código"))</f>
        <v/>
      </c>
      <c r="E370" s="29"/>
      <c r="F370" s="30"/>
      <c r="G370" s="36" t="str">
        <f t="shared" si="5"/>
        <v/>
      </c>
      <c r="H370" s="28"/>
      <c r="I370" s="28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21.75" customHeight="1" x14ac:dyDescent="0.25">
      <c r="A371" s="28"/>
      <c r="B371" s="31"/>
      <c r="C371" s="28"/>
      <c r="D371" s="26" t="str">
        <f>IF(C371="","",IFERROR(VLOOKUP(C371,Productos!$A$5:$I$504,2,FALSE()),"Revisar código"))</f>
        <v/>
      </c>
      <c r="E371" s="29"/>
      <c r="F371" s="30"/>
      <c r="G371" s="36" t="str">
        <f t="shared" si="5"/>
        <v/>
      </c>
      <c r="H371" s="28"/>
      <c r="I371" s="28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21.75" customHeight="1" x14ac:dyDescent="0.25">
      <c r="A372" s="28"/>
      <c r="B372" s="31"/>
      <c r="C372" s="28"/>
      <c r="D372" s="26" t="str">
        <f>IF(C372="","",IFERROR(VLOOKUP(C372,Productos!$A$5:$I$504,2,FALSE()),"Revisar código"))</f>
        <v/>
      </c>
      <c r="E372" s="29"/>
      <c r="F372" s="30"/>
      <c r="G372" s="36" t="str">
        <f t="shared" si="5"/>
        <v/>
      </c>
      <c r="H372" s="28"/>
      <c r="I372" s="28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21.75" customHeight="1" x14ac:dyDescent="0.25">
      <c r="A373" s="28"/>
      <c r="B373" s="31"/>
      <c r="C373" s="28"/>
      <c r="D373" s="26" t="str">
        <f>IF(C373="","",IFERROR(VLOOKUP(C373,Productos!$A$5:$I$504,2,FALSE()),"Revisar código"))</f>
        <v/>
      </c>
      <c r="E373" s="29"/>
      <c r="F373" s="30"/>
      <c r="G373" s="36" t="str">
        <f t="shared" si="5"/>
        <v/>
      </c>
      <c r="H373" s="28"/>
      <c r="I373" s="28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21.75" customHeight="1" x14ac:dyDescent="0.25">
      <c r="A374" s="28"/>
      <c r="B374" s="31"/>
      <c r="C374" s="28"/>
      <c r="D374" s="26" t="str">
        <f>IF(C374="","",IFERROR(VLOOKUP(C374,Productos!$A$5:$I$504,2,FALSE()),"Revisar código"))</f>
        <v/>
      </c>
      <c r="E374" s="29"/>
      <c r="F374" s="30"/>
      <c r="G374" s="36" t="str">
        <f t="shared" si="5"/>
        <v/>
      </c>
      <c r="H374" s="28"/>
      <c r="I374" s="28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21.75" customHeight="1" x14ac:dyDescent="0.25">
      <c r="A375" s="28"/>
      <c r="B375" s="31"/>
      <c r="C375" s="28"/>
      <c r="D375" s="26" t="str">
        <f>IF(C375="","",IFERROR(VLOOKUP(C375,Productos!$A$5:$I$504,2,FALSE()),"Revisar código"))</f>
        <v/>
      </c>
      <c r="E375" s="29"/>
      <c r="F375" s="30"/>
      <c r="G375" s="36" t="str">
        <f t="shared" si="5"/>
        <v/>
      </c>
      <c r="H375" s="28"/>
      <c r="I375" s="28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21.75" customHeight="1" x14ac:dyDescent="0.25">
      <c r="A376" s="28"/>
      <c r="B376" s="31"/>
      <c r="C376" s="28"/>
      <c r="D376" s="26" t="str">
        <f>IF(C376="","",IFERROR(VLOOKUP(C376,Productos!$A$5:$I$504,2,FALSE()),"Revisar código"))</f>
        <v/>
      </c>
      <c r="E376" s="29"/>
      <c r="F376" s="30"/>
      <c r="G376" s="36" t="str">
        <f t="shared" si="5"/>
        <v/>
      </c>
      <c r="H376" s="28"/>
      <c r="I376" s="28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21.75" customHeight="1" x14ac:dyDescent="0.25">
      <c r="A377" s="28"/>
      <c r="B377" s="31"/>
      <c r="C377" s="28"/>
      <c r="D377" s="26" t="str">
        <f>IF(C377="","",IFERROR(VLOOKUP(C377,Productos!$A$5:$I$504,2,FALSE()),"Revisar código"))</f>
        <v/>
      </c>
      <c r="E377" s="29"/>
      <c r="F377" s="30"/>
      <c r="G377" s="36" t="str">
        <f t="shared" si="5"/>
        <v/>
      </c>
      <c r="H377" s="28"/>
      <c r="I377" s="28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21.75" customHeight="1" x14ac:dyDescent="0.25">
      <c r="A378" s="28"/>
      <c r="B378" s="31"/>
      <c r="C378" s="28"/>
      <c r="D378" s="26" t="str">
        <f>IF(C378="","",IFERROR(VLOOKUP(C378,Productos!$A$5:$I$504,2,FALSE()),"Revisar código"))</f>
        <v/>
      </c>
      <c r="E378" s="29"/>
      <c r="F378" s="30"/>
      <c r="G378" s="36" t="str">
        <f t="shared" si="5"/>
        <v/>
      </c>
      <c r="H378" s="28"/>
      <c r="I378" s="28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21.75" customHeight="1" x14ac:dyDescent="0.25">
      <c r="A379" s="28"/>
      <c r="B379" s="31"/>
      <c r="C379" s="28"/>
      <c r="D379" s="26" t="str">
        <f>IF(C379="","",IFERROR(VLOOKUP(C379,Productos!$A$5:$I$504,2,FALSE()),"Revisar código"))</f>
        <v/>
      </c>
      <c r="E379" s="29"/>
      <c r="F379" s="30"/>
      <c r="G379" s="36" t="str">
        <f t="shared" si="5"/>
        <v/>
      </c>
      <c r="H379" s="28"/>
      <c r="I379" s="28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21.75" customHeight="1" x14ac:dyDescent="0.25">
      <c r="A380" s="28"/>
      <c r="B380" s="31"/>
      <c r="C380" s="28"/>
      <c r="D380" s="26" t="str">
        <f>IF(C380="","",IFERROR(VLOOKUP(C380,Productos!$A$5:$I$504,2,FALSE()),"Revisar código"))</f>
        <v/>
      </c>
      <c r="E380" s="29"/>
      <c r="F380" s="30"/>
      <c r="G380" s="36" t="str">
        <f t="shared" si="5"/>
        <v/>
      </c>
      <c r="H380" s="28"/>
      <c r="I380" s="28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21.75" customHeight="1" x14ac:dyDescent="0.25">
      <c r="A381" s="28"/>
      <c r="B381" s="31"/>
      <c r="C381" s="28"/>
      <c r="D381" s="26" t="str">
        <f>IF(C381="","",IFERROR(VLOOKUP(C381,Productos!$A$5:$I$504,2,FALSE()),"Revisar código"))</f>
        <v/>
      </c>
      <c r="E381" s="29"/>
      <c r="F381" s="30"/>
      <c r="G381" s="36" t="str">
        <f t="shared" si="5"/>
        <v/>
      </c>
      <c r="H381" s="28"/>
      <c r="I381" s="28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21.75" customHeight="1" x14ac:dyDescent="0.25">
      <c r="A382" s="28"/>
      <c r="B382" s="31"/>
      <c r="C382" s="28"/>
      <c r="D382" s="26" t="str">
        <f>IF(C382="","",IFERROR(VLOOKUP(C382,Productos!$A$5:$I$504,2,FALSE()),"Revisar código"))</f>
        <v/>
      </c>
      <c r="E382" s="29"/>
      <c r="F382" s="30"/>
      <c r="G382" s="36" t="str">
        <f t="shared" si="5"/>
        <v/>
      </c>
      <c r="H382" s="28"/>
      <c r="I382" s="28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21.75" customHeight="1" x14ac:dyDescent="0.25">
      <c r="A383" s="28"/>
      <c r="B383" s="31"/>
      <c r="C383" s="28"/>
      <c r="D383" s="26" t="str">
        <f>IF(C383="","",IFERROR(VLOOKUP(C383,Productos!$A$5:$I$504,2,FALSE()),"Revisar código"))</f>
        <v/>
      </c>
      <c r="E383" s="29"/>
      <c r="F383" s="30"/>
      <c r="G383" s="36" t="str">
        <f t="shared" si="5"/>
        <v/>
      </c>
      <c r="H383" s="28"/>
      <c r="I383" s="28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21.75" customHeight="1" x14ac:dyDescent="0.25">
      <c r="A384" s="28"/>
      <c r="B384" s="31"/>
      <c r="C384" s="28"/>
      <c r="D384" s="26" t="str">
        <f>IF(C384="","",IFERROR(VLOOKUP(C384,Productos!$A$5:$I$504,2,FALSE()),"Revisar código"))</f>
        <v/>
      </c>
      <c r="E384" s="29"/>
      <c r="F384" s="30"/>
      <c r="G384" s="36" t="str">
        <f t="shared" si="5"/>
        <v/>
      </c>
      <c r="H384" s="28"/>
      <c r="I384" s="28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21.75" customHeight="1" x14ac:dyDescent="0.25">
      <c r="A385" s="28"/>
      <c r="B385" s="31"/>
      <c r="C385" s="28"/>
      <c r="D385" s="26" t="str">
        <f>IF(C385="","",IFERROR(VLOOKUP(C385,Productos!$A$5:$I$504,2,FALSE()),"Revisar código"))</f>
        <v/>
      </c>
      <c r="E385" s="29"/>
      <c r="F385" s="30"/>
      <c r="G385" s="36" t="str">
        <f t="shared" si="5"/>
        <v/>
      </c>
      <c r="H385" s="28"/>
      <c r="I385" s="28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21.75" customHeight="1" x14ac:dyDescent="0.25">
      <c r="A386" s="28"/>
      <c r="B386" s="31"/>
      <c r="C386" s="28"/>
      <c r="D386" s="26" t="str">
        <f>IF(C386="","",IFERROR(VLOOKUP(C386,Productos!$A$5:$I$504,2,FALSE()),"Revisar código"))</f>
        <v/>
      </c>
      <c r="E386" s="29"/>
      <c r="F386" s="30"/>
      <c r="G386" s="36" t="str">
        <f t="shared" si="5"/>
        <v/>
      </c>
      <c r="H386" s="28"/>
      <c r="I386" s="28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21.75" customHeight="1" x14ac:dyDescent="0.25">
      <c r="A387" s="28"/>
      <c r="B387" s="31"/>
      <c r="C387" s="28"/>
      <c r="D387" s="26" t="str">
        <f>IF(C387="","",IFERROR(VLOOKUP(C387,Productos!$A$5:$I$504,2,FALSE()),"Revisar código"))</f>
        <v/>
      </c>
      <c r="E387" s="29"/>
      <c r="F387" s="30"/>
      <c r="G387" s="36" t="str">
        <f t="shared" si="5"/>
        <v/>
      </c>
      <c r="H387" s="28"/>
      <c r="I387" s="28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21.75" customHeight="1" x14ac:dyDescent="0.25">
      <c r="A388" s="28"/>
      <c r="B388" s="31"/>
      <c r="C388" s="28"/>
      <c r="D388" s="26" t="str">
        <f>IF(C388="","",IFERROR(VLOOKUP(C388,Productos!$A$5:$I$504,2,FALSE()),"Revisar código"))</f>
        <v/>
      </c>
      <c r="E388" s="29"/>
      <c r="F388" s="30"/>
      <c r="G388" s="36" t="str">
        <f t="shared" si="5"/>
        <v/>
      </c>
      <c r="H388" s="28"/>
      <c r="I388" s="28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21.75" customHeight="1" x14ac:dyDescent="0.25">
      <c r="A389" s="28"/>
      <c r="B389" s="31"/>
      <c r="C389" s="28"/>
      <c r="D389" s="26" t="str">
        <f>IF(C389="","",IFERROR(VLOOKUP(C389,Productos!$A$5:$I$504,2,FALSE()),"Revisar código"))</f>
        <v/>
      </c>
      <c r="E389" s="29"/>
      <c r="F389" s="30"/>
      <c r="G389" s="36" t="str">
        <f t="shared" ref="G389:G452" si="6">IF(OR(E389="",F389=""),"",E389*F389)</f>
        <v/>
      </c>
      <c r="H389" s="28"/>
      <c r="I389" s="28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21.75" customHeight="1" x14ac:dyDescent="0.25">
      <c r="A390" s="28"/>
      <c r="B390" s="31"/>
      <c r="C390" s="28"/>
      <c r="D390" s="26" t="str">
        <f>IF(C390="","",IFERROR(VLOOKUP(C390,Productos!$A$5:$I$504,2,FALSE()),"Revisar código"))</f>
        <v/>
      </c>
      <c r="E390" s="29"/>
      <c r="F390" s="30"/>
      <c r="G390" s="36" t="str">
        <f t="shared" si="6"/>
        <v/>
      </c>
      <c r="H390" s="28"/>
      <c r="I390" s="28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21.75" customHeight="1" x14ac:dyDescent="0.25">
      <c r="A391" s="28"/>
      <c r="B391" s="31"/>
      <c r="C391" s="28"/>
      <c r="D391" s="26" t="str">
        <f>IF(C391="","",IFERROR(VLOOKUP(C391,Productos!$A$5:$I$504,2,FALSE()),"Revisar código"))</f>
        <v/>
      </c>
      <c r="E391" s="29"/>
      <c r="F391" s="30"/>
      <c r="G391" s="36" t="str">
        <f t="shared" si="6"/>
        <v/>
      </c>
      <c r="H391" s="28"/>
      <c r="I391" s="28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21.75" customHeight="1" x14ac:dyDescent="0.25">
      <c r="A392" s="28"/>
      <c r="B392" s="31"/>
      <c r="C392" s="28"/>
      <c r="D392" s="26" t="str">
        <f>IF(C392="","",IFERROR(VLOOKUP(C392,Productos!$A$5:$I$504,2,FALSE()),"Revisar código"))</f>
        <v/>
      </c>
      <c r="E392" s="29"/>
      <c r="F392" s="30"/>
      <c r="G392" s="36" t="str">
        <f t="shared" si="6"/>
        <v/>
      </c>
      <c r="H392" s="28"/>
      <c r="I392" s="28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21.75" customHeight="1" x14ac:dyDescent="0.25">
      <c r="A393" s="28"/>
      <c r="B393" s="31"/>
      <c r="C393" s="28"/>
      <c r="D393" s="26" t="str">
        <f>IF(C393="","",IFERROR(VLOOKUP(C393,Productos!$A$5:$I$504,2,FALSE()),"Revisar código"))</f>
        <v/>
      </c>
      <c r="E393" s="29"/>
      <c r="F393" s="30"/>
      <c r="G393" s="36" t="str">
        <f t="shared" si="6"/>
        <v/>
      </c>
      <c r="H393" s="28"/>
      <c r="I393" s="28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21.75" customHeight="1" x14ac:dyDescent="0.25">
      <c r="A394" s="28"/>
      <c r="B394" s="31"/>
      <c r="C394" s="28"/>
      <c r="D394" s="26" t="str">
        <f>IF(C394="","",IFERROR(VLOOKUP(C394,Productos!$A$5:$I$504,2,FALSE()),"Revisar código"))</f>
        <v/>
      </c>
      <c r="E394" s="29"/>
      <c r="F394" s="30"/>
      <c r="G394" s="36" t="str">
        <f t="shared" si="6"/>
        <v/>
      </c>
      <c r="H394" s="28"/>
      <c r="I394" s="28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21.75" customHeight="1" x14ac:dyDescent="0.25">
      <c r="A395" s="28"/>
      <c r="B395" s="31"/>
      <c r="C395" s="28"/>
      <c r="D395" s="26" t="str">
        <f>IF(C395="","",IFERROR(VLOOKUP(C395,Productos!$A$5:$I$504,2,FALSE()),"Revisar código"))</f>
        <v/>
      </c>
      <c r="E395" s="29"/>
      <c r="F395" s="30"/>
      <c r="G395" s="36" t="str">
        <f t="shared" si="6"/>
        <v/>
      </c>
      <c r="H395" s="28"/>
      <c r="I395" s="28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21.75" customHeight="1" x14ac:dyDescent="0.25">
      <c r="A396" s="28"/>
      <c r="B396" s="31"/>
      <c r="C396" s="28"/>
      <c r="D396" s="26" t="str">
        <f>IF(C396="","",IFERROR(VLOOKUP(C396,Productos!$A$5:$I$504,2,FALSE()),"Revisar código"))</f>
        <v/>
      </c>
      <c r="E396" s="29"/>
      <c r="F396" s="30"/>
      <c r="G396" s="36" t="str">
        <f t="shared" si="6"/>
        <v/>
      </c>
      <c r="H396" s="28"/>
      <c r="I396" s="28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21.75" customHeight="1" x14ac:dyDescent="0.25">
      <c r="A397" s="28"/>
      <c r="B397" s="31"/>
      <c r="C397" s="28"/>
      <c r="D397" s="26" t="str">
        <f>IF(C397="","",IFERROR(VLOOKUP(C397,Productos!$A$5:$I$504,2,FALSE()),"Revisar código"))</f>
        <v/>
      </c>
      <c r="E397" s="29"/>
      <c r="F397" s="30"/>
      <c r="G397" s="36" t="str">
        <f t="shared" si="6"/>
        <v/>
      </c>
      <c r="H397" s="28"/>
      <c r="I397" s="28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21.75" customHeight="1" x14ac:dyDescent="0.25">
      <c r="A398" s="28"/>
      <c r="B398" s="31"/>
      <c r="C398" s="28"/>
      <c r="D398" s="26" t="str">
        <f>IF(C398="","",IFERROR(VLOOKUP(C398,Productos!$A$5:$I$504,2,FALSE()),"Revisar código"))</f>
        <v/>
      </c>
      <c r="E398" s="29"/>
      <c r="F398" s="30"/>
      <c r="G398" s="36" t="str">
        <f t="shared" si="6"/>
        <v/>
      </c>
      <c r="H398" s="28"/>
      <c r="I398" s="28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21.75" customHeight="1" x14ac:dyDescent="0.25">
      <c r="A399" s="28"/>
      <c r="B399" s="31"/>
      <c r="C399" s="28"/>
      <c r="D399" s="26" t="str">
        <f>IF(C399="","",IFERROR(VLOOKUP(C399,Productos!$A$5:$I$504,2,FALSE()),"Revisar código"))</f>
        <v/>
      </c>
      <c r="E399" s="29"/>
      <c r="F399" s="30"/>
      <c r="G399" s="36" t="str">
        <f t="shared" si="6"/>
        <v/>
      </c>
      <c r="H399" s="28"/>
      <c r="I399" s="28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21.75" customHeight="1" x14ac:dyDescent="0.25">
      <c r="A400" s="28"/>
      <c r="B400" s="31"/>
      <c r="C400" s="28"/>
      <c r="D400" s="26" t="str">
        <f>IF(C400="","",IFERROR(VLOOKUP(C400,Productos!$A$5:$I$504,2,FALSE()),"Revisar código"))</f>
        <v/>
      </c>
      <c r="E400" s="29"/>
      <c r="F400" s="30"/>
      <c r="G400" s="36" t="str">
        <f t="shared" si="6"/>
        <v/>
      </c>
      <c r="H400" s="28"/>
      <c r="I400" s="28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21.75" customHeight="1" x14ac:dyDescent="0.25">
      <c r="A401" s="28"/>
      <c r="B401" s="31"/>
      <c r="C401" s="28"/>
      <c r="D401" s="26" t="str">
        <f>IF(C401="","",IFERROR(VLOOKUP(C401,Productos!$A$5:$I$504,2,FALSE()),"Revisar código"))</f>
        <v/>
      </c>
      <c r="E401" s="29"/>
      <c r="F401" s="30"/>
      <c r="G401" s="36" t="str">
        <f t="shared" si="6"/>
        <v/>
      </c>
      <c r="H401" s="28"/>
      <c r="I401" s="28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21.75" customHeight="1" x14ac:dyDescent="0.25">
      <c r="A402" s="28"/>
      <c r="B402" s="31"/>
      <c r="C402" s="28"/>
      <c r="D402" s="26" t="str">
        <f>IF(C402="","",IFERROR(VLOOKUP(C402,Productos!$A$5:$I$504,2,FALSE()),"Revisar código"))</f>
        <v/>
      </c>
      <c r="E402" s="29"/>
      <c r="F402" s="30"/>
      <c r="G402" s="36" t="str">
        <f t="shared" si="6"/>
        <v/>
      </c>
      <c r="H402" s="28"/>
      <c r="I402" s="28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21.75" customHeight="1" x14ac:dyDescent="0.25">
      <c r="A403" s="28"/>
      <c r="B403" s="31"/>
      <c r="C403" s="28"/>
      <c r="D403" s="26" t="str">
        <f>IF(C403="","",IFERROR(VLOOKUP(C403,Productos!$A$5:$I$504,2,FALSE()),"Revisar código"))</f>
        <v/>
      </c>
      <c r="E403" s="29"/>
      <c r="F403" s="30"/>
      <c r="G403" s="36" t="str">
        <f t="shared" si="6"/>
        <v/>
      </c>
      <c r="H403" s="28"/>
      <c r="I403" s="28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21.75" customHeight="1" x14ac:dyDescent="0.25">
      <c r="A404" s="28"/>
      <c r="B404" s="31"/>
      <c r="C404" s="28"/>
      <c r="D404" s="26" t="str">
        <f>IF(C404="","",IFERROR(VLOOKUP(C404,Productos!$A$5:$I$504,2,FALSE()),"Revisar código"))</f>
        <v/>
      </c>
      <c r="E404" s="29"/>
      <c r="F404" s="30"/>
      <c r="G404" s="36" t="str">
        <f t="shared" si="6"/>
        <v/>
      </c>
      <c r="H404" s="28"/>
      <c r="I404" s="28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21.75" customHeight="1" x14ac:dyDescent="0.25">
      <c r="A405" s="28"/>
      <c r="B405" s="31"/>
      <c r="C405" s="28"/>
      <c r="D405" s="26" t="str">
        <f>IF(C405="","",IFERROR(VLOOKUP(C405,Productos!$A$5:$I$504,2,FALSE()),"Revisar código"))</f>
        <v/>
      </c>
      <c r="E405" s="29"/>
      <c r="F405" s="30"/>
      <c r="G405" s="36" t="str">
        <f t="shared" si="6"/>
        <v/>
      </c>
      <c r="H405" s="28"/>
      <c r="I405" s="28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21.75" customHeight="1" x14ac:dyDescent="0.25">
      <c r="A406" s="28"/>
      <c r="B406" s="31"/>
      <c r="C406" s="28"/>
      <c r="D406" s="26" t="str">
        <f>IF(C406="","",IFERROR(VLOOKUP(C406,Productos!$A$5:$I$504,2,FALSE()),"Revisar código"))</f>
        <v/>
      </c>
      <c r="E406" s="29"/>
      <c r="F406" s="30"/>
      <c r="G406" s="36" t="str">
        <f t="shared" si="6"/>
        <v/>
      </c>
      <c r="H406" s="28"/>
      <c r="I406" s="28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21.75" customHeight="1" x14ac:dyDescent="0.25">
      <c r="A407" s="28"/>
      <c r="B407" s="31"/>
      <c r="C407" s="28"/>
      <c r="D407" s="26" t="str">
        <f>IF(C407="","",IFERROR(VLOOKUP(C407,Productos!$A$5:$I$504,2,FALSE()),"Revisar código"))</f>
        <v/>
      </c>
      <c r="E407" s="29"/>
      <c r="F407" s="30"/>
      <c r="G407" s="36" t="str">
        <f t="shared" si="6"/>
        <v/>
      </c>
      <c r="H407" s="28"/>
      <c r="I407" s="28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21.75" customHeight="1" x14ac:dyDescent="0.25">
      <c r="A408" s="28"/>
      <c r="B408" s="31"/>
      <c r="C408" s="28"/>
      <c r="D408" s="26" t="str">
        <f>IF(C408="","",IFERROR(VLOOKUP(C408,Productos!$A$5:$I$504,2,FALSE()),"Revisar código"))</f>
        <v/>
      </c>
      <c r="E408" s="29"/>
      <c r="F408" s="30"/>
      <c r="G408" s="36" t="str">
        <f t="shared" si="6"/>
        <v/>
      </c>
      <c r="H408" s="28"/>
      <c r="I408" s="28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21.75" customHeight="1" x14ac:dyDescent="0.25">
      <c r="A409" s="28"/>
      <c r="B409" s="31"/>
      <c r="C409" s="28"/>
      <c r="D409" s="26" t="str">
        <f>IF(C409="","",IFERROR(VLOOKUP(C409,Productos!$A$5:$I$504,2,FALSE()),"Revisar código"))</f>
        <v/>
      </c>
      <c r="E409" s="29"/>
      <c r="F409" s="30"/>
      <c r="G409" s="36" t="str">
        <f t="shared" si="6"/>
        <v/>
      </c>
      <c r="H409" s="28"/>
      <c r="I409" s="28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21.75" customHeight="1" x14ac:dyDescent="0.25">
      <c r="A410" s="28"/>
      <c r="B410" s="31"/>
      <c r="C410" s="28"/>
      <c r="D410" s="26" t="str">
        <f>IF(C410="","",IFERROR(VLOOKUP(C410,Productos!$A$5:$I$504,2,FALSE()),"Revisar código"))</f>
        <v/>
      </c>
      <c r="E410" s="29"/>
      <c r="F410" s="30"/>
      <c r="G410" s="36" t="str">
        <f t="shared" si="6"/>
        <v/>
      </c>
      <c r="H410" s="28"/>
      <c r="I410" s="28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21.75" customHeight="1" x14ac:dyDescent="0.25">
      <c r="A411" s="28"/>
      <c r="B411" s="31"/>
      <c r="C411" s="28"/>
      <c r="D411" s="26" t="str">
        <f>IF(C411="","",IFERROR(VLOOKUP(C411,Productos!$A$5:$I$504,2,FALSE()),"Revisar código"))</f>
        <v/>
      </c>
      <c r="E411" s="29"/>
      <c r="F411" s="30"/>
      <c r="G411" s="36" t="str">
        <f t="shared" si="6"/>
        <v/>
      </c>
      <c r="H411" s="28"/>
      <c r="I411" s="28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21.75" customHeight="1" x14ac:dyDescent="0.25">
      <c r="A412" s="28"/>
      <c r="B412" s="31"/>
      <c r="C412" s="28"/>
      <c r="D412" s="26" t="str">
        <f>IF(C412="","",IFERROR(VLOOKUP(C412,Productos!$A$5:$I$504,2,FALSE()),"Revisar código"))</f>
        <v/>
      </c>
      <c r="E412" s="29"/>
      <c r="F412" s="30"/>
      <c r="G412" s="36" t="str">
        <f t="shared" si="6"/>
        <v/>
      </c>
      <c r="H412" s="28"/>
      <c r="I412" s="28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21.75" customHeight="1" x14ac:dyDescent="0.25">
      <c r="A413" s="28"/>
      <c r="B413" s="31"/>
      <c r="C413" s="28"/>
      <c r="D413" s="26" t="str">
        <f>IF(C413="","",IFERROR(VLOOKUP(C413,Productos!$A$5:$I$504,2,FALSE()),"Revisar código"))</f>
        <v/>
      </c>
      <c r="E413" s="29"/>
      <c r="F413" s="30"/>
      <c r="G413" s="36" t="str">
        <f t="shared" si="6"/>
        <v/>
      </c>
      <c r="H413" s="28"/>
      <c r="I413" s="28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21.75" customHeight="1" x14ac:dyDescent="0.25">
      <c r="A414" s="28"/>
      <c r="B414" s="31"/>
      <c r="C414" s="28"/>
      <c r="D414" s="26" t="str">
        <f>IF(C414="","",IFERROR(VLOOKUP(C414,Productos!$A$5:$I$504,2,FALSE()),"Revisar código"))</f>
        <v/>
      </c>
      <c r="E414" s="29"/>
      <c r="F414" s="30"/>
      <c r="G414" s="36" t="str">
        <f t="shared" si="6"/>
        <v/>
      </c>
      <c r="H414" s="28"/>
      <c r="I414" s="28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21.75" customHeight="1" x14ac:dyDescent="0.25">
      <c r="A415" s="28"/>
      <c r="B415" s="31"/>
      <c r="C415" s="28"/>
      <c r="D415" s="26" t="str">
        <f>IF(C415="","",IFERROR(VLOOKUP(C415,Productos!$A$5:$I$504,2,FALSE()),"Revisar código"))</f>
        <v/>
      </c>
      <c r="E415" s="29"/>
      <c r="F415" s="30"/>
      <c r="G415" s="36" t="str">
        <f t="shared" si="6"/>
        <v/>
      </c>
      <c r="H415" s="28"/>
      <c r="I415" s="28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21.75" customHeight="1" x14ac:dyDescent="0.25">
      <c r="A416" s="28"/>
      <c r="B416" s="31"/>
      <c r="C416" s="28"/>
      <c r="D416" s="26" t="str">
        <f>IF(C416="","",IFERROR(VLOOKUP(C416,Productos!$A$5:$I$504,2,FALSE()),"Revisar código"))</f>
        <v/>
      </c>
      <c r="E416" s="29"/>
      <c r="F416" s="30"/>
      <c r="G416" s="36" t="str">
        <f t="shared" si="6"/>
        <v/>
      </c>
      <c r="H416" s="28"/>
      <c r="I416" s="28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21.75" customHeight="1" x14ac:dyDescent="0.25">
      <c r="A417" s="28"/>
      <c r="B417" s="31"/>
      <c r="C417" s="28"/>
      <c r="D417" s="26" t="str">
        <f>IF(C417="","",IFERROR(VLOOKUP(C417,Productos!$A$5:$I$504,2,FALSE()),"Revisar código"))</f>
        <v/>
      </c>
      <c r="E417" s="29"/>
      <c r="F417" s="30"/>
      <c r="G417" s="36" t="str">
        <f t="shared" si="6"/>
        <v/>
      </c>
      <c r="H417" s="28"/>
      <c r="I417" s="28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21.75" customHeight="1" x14ac:dyDescent="0.25">
      <c r="A418" s="28"/>
      <c r="B418" s="31"/>
      <c r="C418" s="28"/>
      <c r="D418" s="26" t="str">
        <f>IF(C418="","",IFERROR(VLOOKUP(C418,Productos!$A$5:$I$504,2,FALSE()),"Revisar código"))</f>
        <v/>
      </c>
      <c r="E418" s="29"/>
      <c r="F418" s="30"/>
      <c r="G418" s="36" t="str">
        <f t="shared" si="6"/>
        <v/>
      </c>
      <c r="H418" s="28"/>
      <c r="I418" s="28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21.75" customHeight="1" x14ac:dyDescent="0.25">
      <c r="A419" s="28"/>
      <c r="B419" s="31"/>
      <c r="C419" s="28"/>
      <c r="D419" s="26" t="str">
        <f>IF(C419="","",IFERROR(VLOOKUP(C419,Productos!$A$5:$I$504,2,FALSE()),"Revisar código"))</f>
        <v/>
      </c>
      <c r="E419" s="29"/>
      <c r="F419" s="30"/>
      <c r="G419" s="36" t="str">
        <f t="shared" si="6"/>
        <v/>
      </c>
      <c r="H419" s="28"/>
      <c r="I419" s="28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21.75" customHeight="1" x14ac:dyDescent="0.25">
      <c r="A420" s="28"/>
      <c r="B420" s="31"/>
      <c r="C420" s="28"/>
      <c r="D420" s="26" t="str">
        <f>IF(C420="","",IFERROR(VLOOKUP(C420,Productos!$A$5:$I$504,2,FALSE()),"Revisar código"))</f>
        <v/>
      </c>
      <c r="E420" s="29"/>
      <c r="F420" s="30"/>
      <c r="G420" s="36" t="str">
        <f t="shared" si="6"/>
        <v/>
      </c>
      <c r="H420" s="28"/>
      <c r="I420" s="28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21.75" customHeight="1" x14ac:dyDescent="0.25">
      <c r="A421" s="28"/>
      <c r="B421" s="31"/>
      <c r="C421" s="28"/>
      <c r="D421" s="26" t="str">
        <f>IF(C421="","",IFERROR(VLOOKUP(C421,Productos!$A$5:$I$504,2,FALSE()),"Revisar código"))</f>
        <v/>
      </c>
      <c r="E421" s="29"/>
      <c r="F421" s="30"/>
      <c r="G421" s="36" t="str">
        <f t="shared" si="6"/>
        <v/>
      </c>
      <c r="H421" s="28"/>
      <c r="I421" s="28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21.75" customHeight="1" x14ac:dyDescent="0.25">
      <c r="A422" s="28"/>
      <c r="B422" s="31"/>
      <c r="C422" s="28"/>
      <c r="D422" s="26" t="str">
        <f>IF(C422="","",IFERROR(VLOOKUP(C422,Productos!$A$5:$I$504,2,FALSE()),"Revisar código"))</f>
        <v/>
      </c>
      <c r="E422" s="29"/>
      <c r="F422" s="30"/>
      <c r="G422" s="36" t="str">
        <f t="shared" si="6"/>
        <v/>
      </c>
      <c r="H422" s="28"/>
      <c r="I422" s="28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21.75" customHeight="1" x14ac:dyDescent="0.25">
      <c r="A423" s="28"/>
      <c r="B423" s="31"/>
      <c r="C423" s="28"/>
      <c r="D423" s="26" t="str">
        <f>IF(C423="","",IFERROR(VLOOKUP(C423,Productos!$A$5:$I$504,2,FALSE()),"Revisar código"))</f>
        <v/>
      </c>
      <c r="E423" s="29"/>
      <c r="F423" s="30"/>
      <c r="G423" s="36" t="str">
        <f t="shared" si="6"/>
        <v/>
      </c>
      <c r="H423" s="28"/>
      <c r="I423" s="28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21.75" customHeight="1" x14ac:dyDescent="0.25">
      <c r="A424" s="28"/>
      <c r="B424" s="31"/>
      <c r="C424" s="28"/>
      <c r="D424" s="26" t="str">
        <f>IF(C424="","",IFERROR(VLOOKUP(C424,Productos!$A$5:$I$504,2,FALSE()),"Revisar código"))</f>
        <v/>
      </c>
      <c r="E424" s="29"/>
      <c r="F424" s="30"/>
      <c r="G424" s="36" t="str">
        <f t="shared" si="6"/>
        <v/>
      </c>
      <c r="H424" s="28"/>
      <c r="I424" s="28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21.75" customHeight="1" x14ac:dyDescent="0.25">
      <c r="A425" s="28"/>
      <c r="B425" s="31"/>
      <c r="C425" s="28"/>
      <c r="D425" s="26" t="str">
        <f>IF(C425="","",IFERROR(VLOOKUP(C425,Productos!$A$5:$I$504,2,FALSE()),"Revisar código"))</f>
        <v/>
      </c>
      <c r="E425" s="29"/>
      <c r="F425" s="30"/>
      <c r="G425" s="36" t="str">
        <f t="shared" si="6"/>
        <v/>
      </c>
      <c r="H425" s="28"/>
      <c r="I425" s="28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21.75" customHeight="1" x14ac:dyDescent="0.25">
      <c r="A426" s="28"/>
      <c r="B426" s="31"/>
      <c r="C426" s="28"/>
      <c r="D426" s="26" t="str">
        <f>IF(C426="","",IFERROR(VLOOKUP(C426,Productos!$A$5:$I$504,2,FALSE()),"Revisar código"))</f>
        <v/>
      </c>
      <c r="E426" s="29"/>
      <c r="F426" s="30"/>
      <c r="G426" s="36" t="str">
        <f t="shared" si="6"/>
        <v/>
      </c>
      <c r="H426" s="28"/>
      <c r="I426" s="28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21.75" customHeight="1" x14ac:dyDescent="0.25">
      <c r="A427" s="28"/>
      <c r="B427" s="31"/>
      <c r="C427" s="28"/>
      <c r="D427" s="26" t="str">
        <f>IF(C427="","",IFERROR(VLOOKUP(C427,Productos!$A$5:$I$504,2,FALSE()),"Revisar código"))</f>
        <v/>
      </c>
      <c r="E427" s="29"/>
      <c r="F427" s="30"/>
      <c r="G427" s="36" t="str">
        <f t="shared" si="6"/>
        <v/>
      </c>
      <c r="H427" s="28"/>
      <c r="I427" s="28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21.75" customHeight="1" x14ac:dyDescent="0.25">
      <c r="A428" s="28"/>
      <c r="B428" s="31"/>
      <c r="C428" s="28"/>
      <c r="D428" s="26" t="str">
        <f>IF(C428="","",IFERROR(VLOOKUP(C428,Productos!$A$5:$I$504,2,FALSE()),"Revisar código"))</f>
        <v/>
      </c>
      <c r="E428" s="29"/>
      <c r="F428" s="30"/>
      <c r="G428" s="36" t="str">
        <f t="shared" si="6"/>
        <v/>
      </c>
      <c r="H428" s="28"/>
      <c r="I428" s="28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21.75" customHeight="1" x14ac:dyDescent="0.25">
      <c r="A429" s="28"/>
      <c r="B429" s="31"/>
      <c r="C429" s="28"/>
      <c r="D429" s="26" t="str">
        <f>IF(C429="","",IFERROR(VLOOKUP(C429,Productos!$A$5:$I$504,2,FALSE()),"Revisar código"))</f>
        <v/>
      </c>
      <c r="E429" s="29"/>
      <c r="F429" s="30"/>
      <c r="G429" s="36" t="str">
        <f t="shared" si="6"/>
        <v/>
      </c>
      <c r="H429" s="28"/>
      <c r="I429" s="28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21.75" customHeight="1" x14ac:dyDescent="0.25">
      <c r="A430" s="28"/>
      <c r="B430" s="31"/>
      <c r="C430" s="28"/>
      <c r="D430" s="26" t="str">
        <f>IF(C430="","",IFERROR(VLOOKUP(C430,Productos!$A$5:$I$504,2,FALSE()),"Revisar código"))</f>
        <v/>
      </c>
      <c r="E430" s="29"/>
      <c r="F430" s="30"/>
      <c r="G430" s="36" t="str">
        <f t="shared" si="6"/>
        <v/>
      </c>
      <c r="H430" s="28"/>
      <c r="I430" s="28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21.75" customHeight="1" x14ac:dyDescent="0.25">
      <c r="A431" s="28"/>
      <c r="B431" s="31"/>
      <c r="C431" s="28"/>
      <c r="D431" s="26" t="str">
        <f>IF(C431="","",IFERROR(VLOOKUP(C431,Productos!$A$5:$I$504,2,FALSE()),"Revisar código"))</f>
        <v/>
      </c>
      <c r="E431" s="29"/>
      <c r="F431" s="30"/>
      <c r="G431" s="36" t="str">
        <f t="shared" si="6"/>
        <v/>
      </c>
      <c r="H431" s="28"/>
      <c r="I431" s="28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21.75" customHeight="1" x14ac:dyDescent="0.25">
      <c r="A432" s="28"/>
      <c r="B432" s="31"/>
      <c r="C432" s="28"/>
      <c r="D432" s="26" t="str">
        <f>IF(C432="","",IFERROR(VLOOKUP(C432,Productos!$A$5:$I$504,2,FALSE()),"Revisar código"))</f>
        <v/>
      </c>
      <c r="E432" s="29"/>
      <c r="F432" s="30"/>
      <c r="G432" s="36" t="str">
        <f t="shared" si="6"/>
        <v/>
      </c>
      <c r="H432" s="28"/>
      <c r="I432" s="28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21.75" customHeight="1" x14ac:dyDescent="0.25">
      <c r="A433" s="28"/>
      <c r="B433" s="31"/>
      <c r="C433" s="28"/>
      <c r="D433" s="26" t="str">
        <f>IF(C433="","",IFERROR(VLOOKUP(C433,Productos!$A$5:$I$504,2,FALSE()),"Revisar código"))</f>
        <v/>
      </c>
      <c r="E433" s="29"/>
      <c r="F433" s="30"/>
      <c r="G433" s="36" t="str">
        <f t="shared" si="6"/>
        <v/>
      </c>
      <c r="H433" s="28"/>
      <c r="I433" s="28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21.75" customHeight="1" x14ac:dyDescent="0.25">
      <c r="A434" s="28"/>
      <c r="B434" s="31"/>
      <c r="C434" s="28"/>
      <c r="D434" s="26" t="str">
        <f>IF(C434="","",IFERROR(VLOOKUP(C434,Productos!$A$5:$I$504,2,FALSE()),"Revisar código"))</f>
        <v/>
      </c>
      <c r="E434" s="29"/>
      <c r="F434" s="30"/>
      <c r="G434" s="36" t="str">
        <f t="shared" si="6"/>
        <v/>
      </c>
      <c r="H434" s="28"/>
      <c r="I434" s="28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21.75" customHeight="1" x14ac:dyDescent="0.25">
      <c r="A435" s="28"/>
      <c r="B435" s="31"/>
      <c r="C435" s="28"/>
      <c r="D435" s="26" t="str">
        <f>IF(C435="","",IFERROR(VLOOKUP(C435,Productos!$A$5:$I$504,2,FALSE()),"Revisar código"))</f>
        <v/>
      </c>
      <c r="E435" s="29"/>
      <c r="F435" s="30"/>
      <c r="G435" s="36" t="str">
        <f t="shared" si="6"/>
        <v/>
      </c>
      <c r="H435" s="28"/>
      <c r="I435" s="28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21.75" customHeight="1" x14ac:dyDescent="0.25">
      <c r="A436" s="28"/>
      <c r="B436" s="31"/>
      <c r="C436" s="28"/>
      <c r="D436" s="26" t="str">
        <f>IF(C436="","",IFERROR(VLOOKUP(C436,Productos!$A$5:$I$504,2,FALSE()),"Revisar código"))</f>
        <v/>
      </c>
      <c r="E436" s="29"/>
      <c r="F436" s="30"/>
      <c r="G436" s="36" t="str">
        <f t="shared" si="6"/>
        <v/>
      </c>
      <c r="H436" s="28"/>
      <c r="I436" s="28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21.75" customHeight="1" x14ac:dyDescent="0.25">
      <c r="A437" s="28"/>
      <c r="B437" s="31"/>
      <c r="C437" s="28"/>
      <c r="D437" s="26" t="str">
        <f>IF(C437="","",IFERROR(VLOOKUP(C437,Productos!$A$5:$I$504,2,FALSE()),"Revisar código"))</f>
        <v/>
      </c>
      <c r="E437" s="29"/>
      <c r="F437" s="30"/>
      <c r="G437" s="36" t="str">
        <f t="shared" si="6"/>
        <v/>
      </c>
      <c r="H437" s="28"/>
      <c r="I437" s="28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21.75" customHeight="1" x14ac:dyDescent="0.25">
      <c r="A438" s="28"/>
      <c r="B438" s="31"/>
      <c r="C438" s="28"/>
      <c r="D438" s="26" t="str">
        <f>IF(C438="","",IFERROR(VLOOKUP(C438,Productos!$A$5:$I$504,2,FALSE()),"Revisar código"))</f>
        <v/>
      </c>
      <c r="E438" s="29"/>
      <c r="F438" s="30"/>
      <c r="G438" s="36" t="str">
        <f t="shared" si="6"/>
        <v/>
      </c>
      <c r="H438" s="28"/>
      <c r="I438" s="28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21.75" customHeight="1" x14ac:dyDescent="0.25">
      <c r="A439" s="28"/>
      <c r="B439" s="31"/>
      <c r="C439" s="28"/>
      <c r="D439" s="26" t="str">
        <f>IF(C439="","",IFERROR(VLOOKUP(C439,Productos!$A$5:$I$504,2,FALSE()),"Revisar código"))</f>
        <v/>
      </c>
      <c r="E439" s="29"/>
      <c r="F439" s="30"/>
      <c r="G439" s="36" t="str">
        <f t="shared" si="6"/>
        <v/>
      </c>
      <c r="H439" s="28"/>
      <c r="I439" s="28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21.75" customHeight="1" x14ac:dyDescent="0.25">
      <c r="A440" s="28"/>
      <c r="B440" s="31"/>
      <c r="C440" s="28"/>
      <c r="D440" s="26" t="str">
        <f>IF(C440="","",IFERROR(VLOOKUP(C440,Productos!$A$5:$I$504,2,FALSE()),"Revisar código"))</f>
        <v/>
      </c>
      <c r="E440" s="29"/>
      <c r="F440" s="30"/>
      <c r="G440" s="36" t="str">
        <f t="shared" si="6"/>
        <v/>
      </c>
      <c r="H440" s="28"/>
      <c r="I440" s="28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21.75" customHeight="1" x14ac:dyDescent="0.25">
      <c r="A441" s="28"/>
      <c r="B441" s="31"/>
      <c r="C441" s="28"/>
      <c r="D441" s="26" t="str">
        <f>IF(C441="","",IFERROR(VLOOKUP(C441,Productos!$A$5:$I$504,2,FALSE()),"Revisar código"))</f>
        <v/>
      </c>
      <c r="E441" s="29"/>
      <c r="F441" s="30"/>
      <c r="G441" s="36" t="str">
        <f t="shared" si="6"/>
        <v/>
      </c>
      <c r="H441" s="28"/>
      <c r="I441" s="28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21.75" customHeight="1" x14ac:dyDescent="0.25">
      <c r="A442" s="28"/>
      <c r="B442" s="31"/>
      <c r="C442" s="28"/>
      <c r="D442" s="26" t="str">
        <f>IF(C442="","",IFERROR(VLOOKUP(C442,Productos!$A$5:$I$504,2,FALSE()),"Revisar código"))</f>
        <v/>
      </c>
      <c r="E442" s="29"/>
      <c r="F442" s="30"/>
      <c r="G442" s="36" t="str">
        <f t="shared" si="6"/>
        <v/>
      </c>
      <c r="H442" s="28"/>
      <c r="I442" s="28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21.75" customHeight="1" x14ac:dyDescent="0.25">
      <c r="A443" s="28"/>
      <c r="B443" s="31"/>
      <c r="C443" s="28"/>
      <c r="D443" s="26" t="str">
        <f>IF(C443="","",IFERROR(VLOOKUP(C443,Productos!$A$5:$I$504,2,FALSE()),"Revisar código"))</f>
        <v/>
      </c>
      <c r="E443" s="29"/>
      <c r="F443" s="30"/>
      <c r="G443" s="36" t="str">
        <f t="shared" si="6"/>
        <v/>
      </c>
      <c r="H443" s="28"/>
      <c r="I443" s="28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21.75" customHeight="1" x14ac:dyDescent="0.25">
      <c r="A444" s="28"/>
      <c r="B444" s="31"/>
      <c r="C444" s="28"/>
      <c r="D444" s="26" t="str">
        <f>IF(C444="","",IFERROR(VLOOKUP(C444,Productos!$A$5:$I$504,2,FALSE()),"Revisar código"))</f>
        <v/>
      </c>
      <c r="E444" s="29"/>
      <c r="F444" s="30"/>
      <c r="G444" s="36" t="str">
        <f t="shared" si="6"/>
        <v/>
      </c>
      <c r="H444" s="28"/>
      <c r="I444" s="28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21.75" customHeight="1" x14ac:dyDescent="0.25">
      <c r="A445" s="28"/>
      <c r="B445" s="31"/>
      <c r="C445" s="28"/>
      <c r="D445" s="26" t="str">
        <f>IF(C445="","",IFERROR(VLOOKUP(C445,Productos!$A$5:$I$504,2,FALSE()),"Revisar código"))</f>
        <v/>
      </c>
      <c r="E445" s="29"/>
      <c r="F445" s="30"/>
      <c r="G445" s="36" t="str">
        <f t="shared" si="6"/>
        <v/>
      </c>
      <c r="H445" s="28"/>
      <c r="I445" s="28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21.75" customHeight="1" x14ac:dyDescent="0.25">
      <c r="A446" s="28"/>
      <c r="B446" s="31"/>
      <c r="C446" s="28"/>
      <c r="D446" s="26" t="str">
        <f>IF(C446="","",IFERROR(VLOOKUP(C446,Productos!$A$5:$I$504,2,FALSE()),"Revisar código"))</f>
        <v/>
      </c>
      <c r="E446" s="29"/>
      <c r="F446" s="30"/>
      <c r="G446" s="36" t="str">
        <f t="shared" si="6"/>
        <v/>
      </c>
      <c r="H446" s="28"/>
      <c r="I446" s="28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21.75" customHeight="1" x14ac:dyDescent="0.25">
      <c r="A447" s="28"/>
      <c r="B447" s="31"/>
      <c r="C447" s="28"/>
      <c r="D447" s="26" t="str">
        <f>IF(C447="","",IFERROR(VLOOKUP(C447,Productos!$A$5:$I$504,2,FALSE()),"Revisar código"))</f>
        <v/>
      </c>
      <c r="E447" s="29"/>
      <c r="F447" s="30"/>
      <c r="G447" s="36" t="str">
        <f t="shared" si="6"/>
        <v/>
      </c>
      <c r="H447" s="28"/>
      <c r="I447" s="28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21.75" customHeight="1" x14ac:dyDescent="0.25">
      <c r="A448" s="28"/>
      <c r="B448" s="31"/>
      <c r="C448" s="28"/>
      <c r="D448" s="26" t="str">
        <f>IF(C448="","",IFERROR(VLOOKUP(C448,Productos!$A$5:$I$504,2,FALSE()),"Revisar código"))</f>
        <v/>
      </c>
      <c r="E448" s="29"/>
      <c r="F448" s="30"/>
      <c r="G448" s="36" t="str">
        <f t="shared" si="6"/>
        <v/>
      </c>
      <c r="H448" s="28"/>
      <c r="I448" s="28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21.75" customHeight="1" x14ac:dyDescent="0.25">
      <c r="A449" s="28"/>
      <c r="B449" s="31"/>
      <c r="C449" s="28"/>
      <c r="D449" s="26" t="str">
        <f>IF(C449="","",IFERROR(VLOOKUP(C449,Productos!$A$5:$I$504,2,FALSE()),"Revisar código"))</f>
        <v/>
      </c>
      <c r="E449" s="29"/>
      <c r="F449" s="30"/>
      <c r="G449" s="36" t="str">
        <f t="shared" si="6"/>
        <v/>
      </c>
      <c r="H449" s="28"/>
      <c r="I449" s="28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21.75" customHeight="1" x14ac:dyDescent="0.25">
      <c r="A450" s="28"/>
      <c r="B450" s="31"/>
      <c r="C450" s="28"/>
      <c r="D450" s="26" t="str">
        <f>IF(C450="","",IFERROR(VLOOKUP(C450,Productos!$A$5:$I$504,2,FALSE()),"Revisar código"))</f>
        <v/>
      </c>
      <c r="E450" s="29"/>
      <c r="F450" s="30"/>
      <c r="G450" s="36" t="str">
        <f t="shared" si="6"/>
        <v/>
      </c>
      <c r="H450" s="28"/>
      <c r="I450" s="28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21.75" customHeight="1" x14ac:dyDescent="0.25">
      <c r="A451" s="28"/>
      <c r="B451" s="31"/>
      <c r="C451" s="28"/>
      <c r="D451" s="26" t="str">
        <f>IF(C451="","",IFERROR(VLOOKUP(C451,Productos!$A$5:$I$504,2,FALSE()),"Revisar código"))</f>
        <v/>
      </c>
      <c r="E451" s="29"/>
      <c r="F451" s="30"/>
      <c r="G451" s="36" t="str">
        <f t="shared" si="6"/>
        <v/>
      </c>
      <c r="H451" s="28"/>
      <c r="I451" s="28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21.75" customHeight="1" x14ac:dyDescent="0.25">
      <c r="A452" s="28"/>
      <c r="B452" s="31"/>
      <c r="C452" s="28"/>
      <c r="D452" s="26" t="str">
        <f>IF(C452="","",IFERROR(VLOOKUP(C452,Productos!$A$5:$I$504,2,FALSE()),"Revisar código"))</f>
        <v/>
      </c>
      <c r="E452" s="29"/>
      <c r="F452" s="30"/>
      <c r="G452" s="36" t="str">
        <f t="shared" si="6"/>
        <v/>
      </c>
      <c r="H452" s="28"/>
      <c r="I452" s="28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21.75" customHeight="1" x14ac:dyDescent="0.25">
      <c r="A453" s="28"/>
      <c r="B453" s="31"/>
      <c r="C453" s="28"/>
      <c r="D453" s="26" t="str">
        <f>IF(C453="","",IFERROR(VLOOKUP(C453,Productos!$A$5:$I$504,2,FALSE()),"Revisar código"))</f>
        <v/>
      </c>
      <c r="E453" s="29"/>
      <c r="F453" s="30"/>
      <c r="G453" s="36" t="str">
        <f t="shared" ref="G453:G516" si="7">IF(OR(E453="",F453=""),"",E453*F453)</f>
        <v/>
      </c>
      <c r="H453" s="28"/>
      <c r="I453" s="28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21.75" customHeight="1" x14ac:dyDescent="0.25">
      <c r="A454" s="28"/>
      <c r="B454" s="31"/>
      <c r="C454" s="28"/>
      <c r="D454" s="26" t="str">
        <f>IF(C454="","",IFERROR(VLOOKUP(C454,Productos!$A$5:$I$504,2,FALSE()),"Revisar código"))</f>
        <v/>
      </c>
      <c r="E454" s="29"/>
      <c r="F454" s="30"/>
      <c r="G454" s="36" t="str">
        <f t="shared" si="7"/>
        <v/>
      </c>
      <c r="H454" s="28"/>
      <c r="I454" s="28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21.75" customHeight="1" x14ac:dyDescent="0.25">
      <c r="A455" s="28"/>
      <c r="B455" s="31"/>
      <c r="C455" s="28"/>
      <c r="D455" s="26" t="str">
        <f>IF(C455="","",IFERROR(VLOOKUP(C455,Productos!$A$5:$I$504,2,FALSE()),"Revisar código"))</f>
        <v/>
      </c>
      <c r="E455" s="29"/>
      <c r="F455" s="30"/>
      <c r="G455" s="36" t="str">
        <f t="shared" si="7"/>
        <v/>
      </c>
      <c r="H455" s="28"/>
      <c r="I455" s="28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21.75" customHeight="1" x14ac:dyDescent="0.25">
      <c r="A456" s="28"/>
      <c r="B456" s="31"/>
      <c r="C456" s="28"/>
      <c r="D456" s="26" t="str">
        <f>IF(C456="","",IFERROR(VLOOKUP(C456,Productos!$A$5:$I$504,2,FALSE()),"Revisar código"))</f>
        <v/>
      </c>
      <c r="E456" s="29"/>
      <c r="F456" s="30"/>
      <c r="G456" s="36" t="str">
        <f t="shared" si="7"/>
        <v/>
      </c>
      <c r="H456" s="28"/>
      <c r="I456" s="28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21.75" customHeight="1" x14ac:dyDescent="0.25">
      <c r="A457" s="28"/>
      <c r="B457" s="31"/>
      <c r="C457" s="28"/>
      <c r="D457" s="26" t="str">
        <f>IF(C457="","",IFERROR(VLOOKUP(C457,Productos!$A$5:$I$504,2,FALSE()),"Revisar código"))</f>
        <v/>
      </c>
      <c r="E457" s="29"/>
      <c r="F457" s="30"/>
      <c r="G457" s="36" t="str">
        <f t="shared" si="7"/>
        <v/>
      </c>
      <c r="H457" s="28"/>
      <c r="I457" s="28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21.75" customHeight="1" x14ac:dyDescent="0.25">
      <c r="A458" s="28"/>
      <c r="B458" s="31"/>
      <c r="C458" s="28"/>
      <c r="D458" s="26" t="str">
        <f>IF(C458="","",IFERROR(VLOOKUP(C458,Productos!$A$5:$I$504,2,FALSE()),"Revisar código"))</f>
        <v/>
      </c>
      <c r="E458" s="29"/>
      <c r="F458" s="30"/>
      <c r="G458" s="36" t="str">
        <f t="shared" si="7"/>
        <v/>
      </c>
      <c r="H458" s="28"/>
      <c r="I458" s="28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21.75" customHeight="1" x14ac:dyDescent="0.25">
      <c r="A459" s="28"/>
      <c r="B459" s="31"/>
      <c r="C459" s="28"/>
      <c r="D459" s="26" t="str">
        <f>IF(C459="","",IFERROR(VLOOKUP(C459,Productos!$A$5:$I$504,2,FALSE()),"Revisar código"))</f>
        <v/>
      </c>
      <c r="E459" s="29"/>
      <c r="F459" s="30"/>
      <c r="G459" s="36" t="str">
        <f t="shared" si="7"/>
        <v/>
      </c>
      <c r="H459" s="28"/>
      <c r="I459" s="28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21.75" customHeight="1" x14ac:dyDescent="0.25">
      <c r="A460" s="28"/>
      <c r="B460" s="31"/>
      <c r="C460" s="28"/>
      <c r="D460" s="26" t="str">
        <f>IF(C460="","",IFERROR(VLOOKUP(C460,Productos!$A$5:$I$504,2,FALSE()),"Revisar código"))</f>
        <v/>
      </c>
      <c r="E460" s="29"/>
      <c r="F460" s="30"/>
      <c r="G460" s="36" t="str">
        <f t="shared" si="7"/>
        <v/>
      </c>
      <c r="H460" s="28"/>
      <c r="I460" s="28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21.75" customHeight="1" x14ac:dyDescent="0.25">
      <c r="A461" s="28"/>
      <c r="B461" s="31"/>
      <c r="C461" s="28"/>
      <c r="D461" s="26" t="str">
        <f>IF(C461="","",IFERROR(VLOOKUP(C461,Productos!$A$5:$I$504,2,FALSE()),"Revisar código"))</f>
        <v/>
      </c>
      <c r="E461" s="29"/>
      <c r="F461" s="30"/>
      <c r="G461" s="36" t="str">
        <f t="shared" si="7"/>
        <v/>
      </c>
      <c r="H461" s="28"/>
      <c r="I461" s="28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21.75" customHeight="1" x14ac:dyDescent="0.25">
      <c r="A462" s="28"/>
      <c r="B462" s="31"/>
      <c r="C462" s="28"/>
      <c r="D462" s="26" t="str">
        <f>IF(C462="","",IFERROR(VLOOKUP(C462,Productos!$A$5:$I$504,2,FALSE()),"Revisar código"))</f>
        <v/>
      </c>
      <c r="E462" s="29"/>
      <c r="F462" s="30"/>
      <c r="G462" s="36" t="str">
        <f t="shared" si="7"/>
        <v/>
      </c>
      <c r="H462" s="28"/>
      <c r="I462" s="28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21.75" customHeight="1" x14ac:dyDescent="0.25">
      <c r="A463" s="28"/>
      <c r="B463" s="31"/>
      <c r="C463" s="28"/>
      <c r="D463" s="26" t="str">
        <f>IF(C463="","",IFERROR(VLOOKUP(C463,Productos!$A$5:$I$504,2,FALSE()),"Revisar código"))</f>
        <v/>
      </c>
      <c r="E463" s="29"/>
      <c r="F463" s="30"/>
      <c r="G463" s="36" t="str">
        <f t="shared" si="7"/>
        <v/>
      </c>
      <c r="H463" s="28"/>
      <c r="I463" s="28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21.75" customHeight="1" x14ac:dyDescent="0.25">
      <c r="A464" s="28"/>
      <c r="B464" s="31"/>
      <c r="C464" s="28"/>
      <c r="D464" s="26" t="str">
        <f>IF(C464="","",IFERROR(VLOOKUP(C464,Productos!$A$5:$I$504,2,FALSE()),"Revisar código"))</f>
        <v/>
      </c>
      <c r="E464" s="29"/>
      <c r="F464" s="30"/>
      <c r="G464" s="36" t="str">
        <f t="shared" si="7"/>
        <v/>
      </c>
      <c r="H464" s="28"/>
      <c r="I464" s="28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21.75" customHeight="1" x14ac:dyDescent="0.25">
      <c r="A465" s="28"/>
      <c r="B465" s="31"/>
      <c r="C465" s="28"/>
      <c r="D465" s="26" t="str">
        <f>IF(C465="","",IFERROR(VLOOKUP(C465,Productos!$A$5:$I$504,2,FALSE()),"Revisar código"))</f>
        <v/>
      </c>
      <c r="E465" s="29"/>
      <c r="F465" s="30"/>
      <c r="G465" s="36" t="str">
        <f t="shared" si="7"/>
        <v/>
      </c>
      <c r="H465" s="28"/>
      <c r="I465" s="28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21.75" customHeight="1" x14ac:dyDescent="0.25">
      <c r="A466" s="28"/>
      <c r="B466" s="31"/>
      <c r="C466" s="28"/>
      <c r="D466" s="26" t="str">
        <f>IF(C466="","",IFERROR(VLOOKUP(C466,Productos!$A$5:$I$504,2,FALSE()),"Revisar código"))</f>
        <v/>
      </c>
      <c r="E466" s="29"/>
      <c r="F466" s="30"/>
      <c r="G466" s="36" t="str">
        <f t="shared" si="7"/>
        <v/>
      </c>
      <c r="H466" s="28"/>
      <c r="I466" s="28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21.75" customHeight="1" x14ac:dyDescent="0.25">
      <c r="A467" s="28"/>
      <c r="B467" s="31"/>
      <c r="C467" s="28"/>
      <c r="D467" s="26" t="str">
        <f>IF(C467="","",IFERROR(VLOOKUP(C467,Productos!$A$5:$I$504,2,FALSE()),"Revisar código"))</f>
        <v/>
      </c>
      <c r="E467" s="29"/>
      <c r="F467" s="30"/>
      <c r="G467" s="36" t="str">
        <f t="shared" si="7"/>
        <v/>
      </c>
      <c r="H467" s="28"/>
      <c r="I467" s="28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21.75" customHeight="1" x14ac:dyDescent="0.25">
      <c r="A468" s="28"/>
      <c r="B468" s="31"/>
      <c r="C468" s="28"/>
      <c r="D468" s="26" t="str">
        <f>IF(C468="","",IFERROR(VLOOKUP(C468,Productos!$A$5:$I$504,2,FALSE()),"Revisar código"))</f>
        <v/>
      </c>
      <c r="E468" s="29"/>
      <c r="F468" s="30"/>
      <c r="G468" s="36" t="str">
        <f t="shared" si="7"/>
        <v/>
      </c>
      <c r="H468" s="28"/>
      <c r="I468" s="28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21.75" customHeight="1" x14ac:dyDescent="0.25">
      <c r="A469" s="28"/>
      <c r="B469" s="31"/>
      <c r="C469" s="28"/>
      <c r="D469" s="26" t="str">
        <f>IF(C469="","",IFERROR(VLOOKUP(C469,Productos!$A$5:$I$504,2,FALSE()),"Revisar código"))</f>
        <v/>
      </c>
      <c r="E469" s="29"/>
      <c r="F469" s="30"/>
      <c r="G469" s="36" t="str">
        <f t="shared" si="7"/>
        <v/>
      </c>
      <c r="H469" s="28"/>
      <c r="I469" s="28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21.75" customHeight="1" x14ac:dyDescent="0.25">
      <c r="A470" s="28"/>
      <c r="B470" s="31"/>
      <c r="C470" s="28"/>
      <c r="D470" s="26" t="str">
        <f>IF(C470="","",IFERROR(VLOOKUP(C470,Productos!$A$5:$I$504,2,FALSE()),"Revisar código"))</f>
        <v/>
      </c>
      <c r="E470" s="29"/>
      <c r="F470" s="30"/>
      <c r="G470" s="36" t="str">
        <f t="shared" si="7"/>
        <v/>
      </c>
      <c r="H470" s="28"/>
      <c r="I470" s="28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21.75" customHeight="1" x14ac:dyDescent="0.25">
      <c r="A471" s="28"/>
      <c r="B471" s="31"/>
      <c r="C471" s="28"/>
      <c r="D471" s="26" t="str">
        <f>IF(C471="","",IFERROR(VLOOKUP(C471,Productos!$A$5:$I$504,2,FALSE()),"Revisar código"))</f>
        <v/>
      </c>
      <c r="E471" s="29"/>
      <c r="F471" s="30"/>
      <c r="G471" s="36" t="str">
        <f t="shared" si="7"/>
        <v/>
      </c>
      <c r="H471" s="28"/>
      <c r="I471" s="28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21.75" customHeight="1" x14ac:dyDescent="0.25">
      <c r="A472" s="28"/>
      <c r="B472" s="31"/>
      <c r="C472" s="28"/>
      <c r="D472" s="26" t="str">
        <f>IF(C472="","",IFERROR(VLOOKUP(C472,Productos!$A$5:$I$504,2,FALSE()),"Revisar código"))</f>
        <v/>
      </c>
      <c r="E472" s="29"/>
      <c r="F472" s="30"/>
      <c r="G472" s="36" t="str">
        <f t="shared" si="7"/>
        <v/>
      </c>
      <c r="H472" s="28"/>
      <c r="I472" s="28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21.75" customHeight="1" x14ac:dyDescent="0.25">
      <c r="A473" s="28"/>
      <c r="B473" s="31"/>
      <c r="C473" s="28"/>
      <c r="D473" s="26" t="str">
        <f>IF(C473="","",IFERROR(VLOOKUP(C473,Productos!$A$5:$I$504,2,FALSE()),"Revisar código"))</f>
        <v/>
      </c>
      <c r="E473" s="29"/>
      <c r="F473" s="30"/>
      <c r="G473" s="36" t="str">
        <f t="shared" si="7"/>
        <v/>
      </c>
      <c r="H473" s="28"/>
      <c r="I473" s="28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21.75" customHeight="1" x14ac:dyDescent="0.25">
      <c r="A474" s="28"/>
      <c r="B474" s="31"/>
      <c r="C474" s="28"/>
      <c r="D474" s="26" t="str">
        <f>IF(C474="","",IFERROR(VLOOKUP(C474,Productos!$A$5:$I$504,2,FALSE()),"Revisar código"))</f>
        <v/>
      </c>
      <c r="E474" s="29"/>
      <c r="F474" s="30"/>
      <c r="G474" s="36" t="str">
        <f t="shared" si="7"/>
        <v/>
      </c>
      <c r="H474" s="28"/>
      <c r="I474" s="28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21.75" customHeight="1" x14ac:dyDescent="0.25">
      <c r="A475" s="28"/>
      <c r="B475" s="31"/>
      <c r="C475" s="28"/>
      <c r="D475" s="26" t="str">
        <f>IF(C475="","",IFERROR(VLOOKUP(C475,Productos!$A$5:$I$504,2,FALSE()),"Revisar código"))</f>
        <v/>
      </c>
      <c r="E475" s="29"/>
      <c r="F475" s="30"/>
      <c r="G475" s="36" t="str">
        <f t="shared" si="7"/>
        <v/>
      </c>
      <c r="H475" s="28"/>
      <c r="I475" s="28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21.75" customHeight="1" x14ac:dyDescent="0.25">
      <c r="A476" s="28"/>
      <c r="B476" s="31"/>
      <c r="C476" s="28"/>
      <c r="D476" s="26" t="str">
        <f>IF(C476="","",IFERROR(VLOOKUP(C476,Productos!$A$5:$I$504,2,FALSE()),"Revisar código"))</f>
        <v/>
      </c>
      <c r="E476" s="29"/>
      <c r="F476" s="30"/>
      <c r="G476" s="36" t="str">
        <f t="shared" si="7"/>
        <v/>
      </c>
      <c r="H476" s="28"/>
      <c r="I476" s="28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21.75" customHeight="1" x14ac:dyDescent="0.25">
      <c r="A477" s="28"/>
      <c r="B477" s="31"/>
      <c r="C477" s="28"/>
      <c r="D477" s="26" t="str">
        <f>IF(C477="","",IFERROR(VLOOKUP(C477,Productos!$A$5:$I$504,2,FALSE()),"Revisar código"))</f>
        <v/>
      </c>
      <c r="E477" s="29"/>
      <c r="F477" s="30"/>
      <c r="G477" s="36" t="str">
        <f t="shared" si="7"/>
        <v/>
      </c>
      <c r="H477" s="28"/>
      <c r="I477" s="28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21.75" customHeight="1" x14ac:dyDescent="0.25">
      <c r="A478" s="28"/>
      <c r="B478" s="31"/>
      <c r="C478" s="28"/>
      <c r="D478" s="26" t="str">
        <f>IF(C478="","",IFERROR(VLOOKUP(C478,Productos!$A$5:$I$504,2,FALSE()),"Revisar código"))</f>
        <v/>
      </c>
      <c r="E478" s="29"/>
      <c r="F478" s="30"/>
      <c r="G478" s="36" t="str">
        <f t="shared" si="7"/>
        <v/>
      </c>
      <c r="H478" s="28"/>
      <c r="I478" s="28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21.75" customHeight="1" x14ac:dyDescent="0.25">
      <c r="A479" s="28"/>
      <c r="B479" s="31"/>
      <c r="C479" s="28"/>
      <c r="D479" s="26" t="str">
        <f>IF(C479="","",IFERROR(VLOOKUP(C479,Productos!$A$5:$I$504,2,FALSE()),"Revisar código"))</f>
        <v/>
      </c>
      <c r="E479" s="29"/>
      <c r="F479" s="30"/>
      <c r="G479" s="36" t="str">
        <f t="shared" si="7"/>
        <v/>
      </c>
      <c r="H479" s="28"/>
      <c r="I479" s="28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21.75" customHeight="1" x14ac:dyDescent="0.25">
      <c r="A480" s="28"/>
      <c r="B480" s="31"/>
      <c r="C480" s="28"/>
      <c r="D480" s="26" t="str">
        <f>IF(C480="","",IFERROR(VLOOKUP(C480,Productos!$A$5:$I$504,2,FALSE()),"Revisar código"))</f>
        <v/>
      </c>
      <c r="E480" s="29"/>
      <c r="F480" s="30"/>
      <c r="G480" s="36" t="str">
        <f t="shared" si="7"/>
        <v/>
      </c>
      <c r="H480" s="28"/>
      <c r="I480" s="28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21.75" customHeight="1" x14ac:dyDescent="0.25">
      <c r="A481" s="28"/>
      <c r="B481" s="31"/>
      <c r="C481" s="28"/>
      <c r="D481" s="26" t="str">
        <f>IF(C481="","",IFERROR(VLOOKUP(C481,Productos!$A$5:$I$504,2,FALSE()),"Revisar código"))</f>
        <v/>
      </c>
      <c r="E481" s="29"/>
      <c r="F481" s="30"/>
      <c r="G481" s="36" t="str">
        <f t="shared" si="7"/>
        <v/>
      </c>
      <c r="H481" s="28"/>
      <c r="I481" s="28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21.75" customHeight="1" x14ac:dyDescent="0.25">
      <c r="A482" s="28"/>
      <c r="B482" s="31"/>
      <c r="C482" s="28"/>
      <c r="D482" s="26" t="str">
        <f>IF(C482="","",IFERROR(VLOOKUP(C482,Productos!$A$5:$I$504,2,FALSE()),"Revisar código"))</f>
        <v/>
      </c>
      <c r="E482" s="29"/>
      <c r="F482" s="30"/>
      <c r="G482" s="36" t="str">
        <f t="shared" si="7"/>
        <v/>
      </c>
      <c r="H482" s="28"/>
      <c r="I482" s="28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21.75" customHeight="1" x14ac:dyDescent="0.25">
      <c r="A483" s="28"/>
      <c r="B483" s="31"/>
      <c r="C483" s="28"/>
      <c r="D483" s="26" t="str">
        <f>IF(C483="","",IFERROR(VLOOKUP(C483,Productos!$A$5:$I$504,2,FALSE()),"Revisar código"))</f>
        <v/>
      </c>
      <c r="E483" s="29"/>
      <c r="F483" s="30"/>
      <c r="G483" s="36" t="str">
        <f t="shared" si="7"/>
        <v/>
      </c>
      <c r="H483" s="28"/>
      <c r="I483" s="28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21.75" customHeight="1" x14ac:dyDescent="0.25">
      <c r="A484" s="28"/>
      <c r="B484" s="31"/>
      <c r="C484" s="28"/>
      <c r="D484" s="26" t="str">
        <f>IF(C484="","",IFERROR(VLOOKUP(C484,Productos!$A$5:$I$504,2,FALSE()),"Revisar código"))</f>
        <v/>
      </c>
      <c r="E484" s="29"/>
      <c r="F484" s="30"/>
      <c r="G484" s="36" t="str">
        <f t="shared" si="7"/>
        <v/>
      </c>
      <c r="H484" s="28"/>
      <c r="I484" s="28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21.75" customHeight="1" x14ac:dyDescent="0.25">
      <c r="A485" s="28"/>
      <c r="B485" s="31"/>
      <c r="C485" s="28"/>
      <c r="D485" s="26" t="str">
        <f>IF(C485="","",IFERROR(VLOOKUP(C485,Productos!$A$5:$I$504,2,FALSE()),"Revisar código"))</f>
        <v/>
      </c>
      <c r="E485" s="29"/>
      <c r="F485" s="30"/>
      <c r="G485" s="36" t="str">
        <f t="shared" si="7"/>
        <v/>
      </c>
      <c r="H485" s="28"/>
      <c r="I485" s="28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21.75" customHeight="1" x14ac:dyDescent="0.25">
      <c r="A486" s="28"/>
      <c r="B486" s="31"/>
      <c r="C486" s="28"/>
      <c r="D486" s="26" t="str">
        <f>IF(C486="","",IFERROR(VLOOKUP(C486,Productos!$A$5:$I$504,2,FALSE()),"Revisar código"))</f>
        <v/>
      </c>
      <c r="E486" s="29"/>
      <c r="F486" s="30"/>
      <c r="G486" s="36" t="str">
        <f t="shared" si="7"/>
        <v/>
      </c>
      <c r="H486" s="28"/>
      <c r="I486" s="28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21.75" customHeight="1" x14ac:dyDescent="0.25">
      <c r="A487" s="28"/>
      <c r="B487" s="31"/>
      <c r="C487" s="28"/>
      <c r="D487" s="26" t="str">
        <f>IF(C487="","",IFERROR(VLOOKUP(C487,Productos!$A$5:$I$504,2,FALSE()),"Revisar código"))</f>
        <v/>
      </c>
      <c r="E487" s="29"/>
      <c r="F487" s="30"/>
      <c r="G487" s="36" t="str">
        <f t="shared" si="7"/>
        <v/>
      </c>
      <c r="H487" s="28"/>
      <c r="I487" s="28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21.75" customHeight="1" x14ac:dyDescent="0.25">
      <c r="A488" s="28"/>
      <c r="B488" s="31"/>
      <c r="C488" s="28"/>
      <c r="D488" s="26" t="str">
        <f>IF(C488="","",IFERROR(VLOOKUP(C488,Productos!$A$5:$I$504,2,FALSE()),"Revisar código"))</f>
        <v/>
      </c>
      <c r="E488" s="29"/>
      <c r="F488" s="30"/>
      <c r="G488" s="36" t="str">
        <f t="shared" si="7"/>
        <v/>
      </c>
      <c r="H488" s="28"/>
      <c r="I488" s="28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21.75" customHeight="1" x14ac:dyDescent="0.25">
      <c r="A489" s="28"/>
      <c r="B489" s="31"/>
      <c r="C489" s="28"/>
      <c r="D489" s="26" t="str">
        <f>IF(C489="","",IFERROR(VLOOKUP(C489,Productos!$A$5:$I$504,2,FALSE()),"Revisar código"))</f>
        <v/>
      </c>
      <c r="E489" s="29"/>
      <c r="F489" s="30"/>
      <c r="G489" s="36" t="str">
        <f t="shared" si="7"/>
        <v/>
      </c>
      <c r="H489" s="28"/>
      <c r="I489" s="28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21.75" customHeight="1" x14ac:dyDescent="0.25">
      <c r="A490" s="28"/>
      <c r="B490" s="31"/>
      <c r="C490" s="28"/>
      <c r="D490" s="26" t="str">
        <f>IF(C490="","",IFERROR(VLOOKUP(C490,Productos!$A$5:$I$504,2,FALSE()),"Revisar código"))</f>
        <v/>
      </c>
      <c r="E490" s="29"/>
      <c r="F490" s="30"/>
      <c r="G490" s="36" t="str">
        <f t="shared" si="7"/>
        <v/>
      </c>
      <c r="H490" s="28"/>
      <c r="I490" s="28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21.75" customHeight="1" x14ac:dyDescent="0.25">
      <c r="A491" s="28"/>
      <c r="B491" s="31"/>
      <c r="C491" s="28"/>
      <c r="D491" s="26" t="str">
        <f>IF(C491="","",IFERROR(VLOOKUP(C491,Productos!$A$5:$I$504,2,FALSE()),"Revisar código"))</f>
        <v/>
      </c>
      <c r="E491" s="29"/>
      <c r="F491" s="30"/>
      <c r="G491" s="36" t="str">
        <f t="shared" si="7"/>
        <v/>
      </c>
      <c r="H491" s="28"/>
      <c r="I491" s="28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21.75" customHeight="1" x14ac:dyDescent="0.25">
      <c r="A492" s="28"/>
      <c r="B492" s="31"/>
      <c r="C492" s="28"/>
      <c r="D492" s="26" t="str">
        <f>IF(C492="","",IFERROR(VLOOKUP(C492,Productos!$A$5:$I$504,2,FALSE()),"Revisar código"))</f>
        <v/>
      </c>
      <c r="E492" s="29"/>
      <c r="F492" s="30"/>
      <c r="G492" s="36" t="str">
        <f t="shared" si="7"/>
        <v/>
      </c>
      <c r="H492" s="28"/>
      <c r="I492" s="28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21.75" customHeight="1" x14ac:dyDescent="0.25">
      <c r="A493" s="28"/>
      <c r="B493" s="31"/>
      <c r="C493" s="28"/>
      <c r="D493" s="26" t="str">
        <f>IF(C493="","",IFERROR(VLOOKUP(C493,Productos!$A$5:$I$504,2,FALSE()),"Revisar código"))</f>
        <v/>
      </c>
      <c r="E493" s="29"/>
      <c r="F493" s="30"/>
      <c r="G493" s="36" t="str">
        <f t="shared" si="7"/>
        <v/>
      </c>
      <c r="H493" s="28"/>
      <c r="I493" s="28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21.75" customHeight="1" x14ac:dyDescent="0.25">
      <c r="A494" s="28"/>
      <c r="B494" s="31"/>
      <c r="C494" s="28"/>
      <c r="D494" s="26" t="str">
        <f>IF(C494="","",IFERROR(VLOOKUP(C494,Productos!$A$5:$I$504,2,FALSE()),"Revisar código"))</f>
        <v/>
      </c>
      <c r="E494" s="29"/>
      <c r="F494" s="30"/>
      <c r="G494" s="36" t="str">
        <f t="shared" si="7"/>
        <v/>
      </c>
      <c r="H494" s="28"/>
      <c r="I494" s="28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21.75" customHeight="1" x14ac:dyDescent="0.25">
      <c r="A495" s="28"/>
      <c r="B495" s="31"/>
      <c r="C495" s="28"/>
      <c r="D495" s="26" t="str">
        <f>IF(C495="","",IFERROR(VLOOKUP(C495,Productos!$A$5:$I$504,2,FALSE()),"Revisar código"))</f>
        <v/>
      </c>
      <c r="E495" s="29"/>
      <c r="F495" s="30"/>
      <c r="G495" s="36" t="str">
        <f t="shared" si="7"/>
        <v/>
      </c>
      <c r="H495" s="28"/>
      <c r="I495" s="28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21.75" customHeight="1" x14ac:dyDescent="0.25">
      <c r="A496" s="28"/>
      <c r="B496" s="31"/>
      <c r="C496" s="28"/>
      <c r="D496" s="26" t="str">
        <f>IF(C496="","",IFERROR(VLOOKUP(C496,Productos!$A$5:$I$504,2,FALSE()),"Revisar código"))</f>
        <v/>
      </c>
      <c r="E496" s="29"/>
      <c r="F496" s="30"/>
      <c r="G496" s="36" t="str">
        <f t="shared" si="7"/>
        <v/>
      </c>
      <c r="H496" s="28"/>
      <c r="I496" s="28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21.75" customHeight="1" x14ac:dyDescent="0.25">
      <c r="A497" s="28"/>
      <c r="B497" s="31"/>
      <c r="C497" s="28"/>
      <c r="D497" s="26" t="str">
        <f>IF(C497="","",IFERROR(VLOOKUP(C497,Productos!$A$5:$I$504,2,FALSE()),"Revisar código"))</f>
        <v/>
      </c>
      <c r="E497" s="29"/>
      <c r="F497" s="30"/>
      <c r="G497" s="36" t="str">
        <f t="shared" si="7"/>
        <v/>
      </c>
      <c r="H497" s="28"/>
      <c r="I497" s="28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21.75" customHeight="1" x14ac:dyDescent="0.25">
      <c r="A498" s="28"/>
      <c r="B498" s="31"/>
      <c r="C498" s="28"/>
      <c r="D498" s="26" t="str">
        <f>IF(C498="","",IFERROR(VLOOKUP(C498,Productos!$A$5:$I$504,2,FALSE()),"Revisar código"))</f>
        <v/>
      </c>
      <c r="E498" s="29"/>
      <c r="F498" s="30"/>
      <c r="G498" s="36" t="str">
        <f t="shared" si="7"/>
        <v/>
      </c>
      <c r="H498" s="28"/>
      <c r="I498" s="28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21.75" customHeight="1" x14ac:dyDescent="0.25">
      <c r="A499" s="28"/>
      <c r="B499" s="31"/>
      <c r="C499" s="28"/>
      <c r="D499" s="26" t="str">
        <f>IF(C499="","",IFERROR(VLOOKUP(C499,Productos!$A$5:$I$504,2,FALSE()),"Revisar código"))</f>
        <v/>
      </c>
      <c r="E499" s="29"/>
      <c r="F499" s="30"/>
      <c r="G499" s="36" t="str">
        <f t="shared" si="7"/>
        <v/>
      </c>
      <c r="H499" s="28"/>
      <c r="I499" s="28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21.75" customHeight="1" x14ac:dyDescent="0.25">
      <c r="A500" s="28"/>
      <c r="B500" s="31"/>
      <c r="C500" s="28"/>
      <c r="D500" s="26" t="str">
        <f>IF(C500="","",IFERROR(VLOOKUP(C500,Productos!$A$5:$I$504,2,FALSE()),"Revisar código"))</f>
        <v/>
      </c>
      <c r="E500" s="29"/>
      <c r="F500" s="30"/>
      <c r="G500" s="36" t="str">
        <f t="shared" si="7"/>
        <v/>
      </c>
      <c r="H500" s="28"/>
      <c r="I500" s="28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21.75" customHeight="1" x14ac:dyDescent="0.25">
      <c r="A501" s="28"/>
      <c r="B501" s="31"/>
      <c r="C501" s="28"/>
      <c r="D501" s="26" t="str">
        <f>IF(C501="","",IFERROR(VLOOKUP(C501,Productos!$A$5:$I$504,2,FALSE()),"Revisar código"))</f>
        <v/>
      </c>
      <c r="E501" s="29"/>
      <c r="F501" s="30"/>
      <c r="G501" s="36" t="str">
        <f t="shared" si="7"/>
        <v/>
      </c>
      <c r="H501" s="28"/>
      <c r="I501" s="28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21.75" customHeight="1" x14ac:dyDescent="0.25">
      <c r="A502" s="28"/>
      <c r="B502" s="31"/>
      <c r="C502" s="28"/>
      <c r="D502" s="26" t="str">
        <f>IF(C502="","",IFERROR(VLOOKUP(C502,Productos!$A$5:$I$504,2,FALSE()),"Revisar código"))</f>
        <v/>
      </c>
      <c r="E502" s="29"/>
      <c r="F502" s="30"/>
      <c r="G502" s="36" t="str">
        <f t="shared" si="7"/>
        <v/>
      </c>
      <c r="H502" s="28"/>
      <c r="I502" s="28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21.75" customHeight="1" x14ac:dyDescent="0.25">
      <c r="A503" s="28"/>
      <c r="B503" s="31"/>
      <c r="C503" s="28"/>
      <c r="D503" s="26" t="str">
        <f>IF(C503="","",IFERROR(VLOOKUP(C503,Productos!$A$5:$I$504,2,FALSE()),"Revisar código"))</f>
        <v/>
      </c>
      <c r="E503" s="29"/>
      <c r="F503" s="30"/>
      <c r="G503" s="36" t="str">
        <f t="shared" si="7"/>
        <v/>
      </c>
      <c r="H503" s="28"/>
      <c r="I503" s="28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21.75" customHeight="1" x14ac:dyDescent="0.25">
      <c r="A504" s="28"/>
      <c r="B504" s="31"/>
      <c r="C504" s="28"/>
      <c r="D504" s="26" t="str">
        <f>IF(C504="","",IFERROR(VLOOKUP(C504,Productos!$A$5:$I$504,2,FALSE()),"Revisar código"))</f>
        <v/>
      </c>
      <c r="E504" s="29"/>
      <c r="F504" s="30"/>
      <c r="G504" s="36" t="str">
        <f t="shared" si="7"/>
        <v/>
      </c>
      <c r="H504" s="28"/>
      <c r="I504" s="28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21.75" customHeight="1" x14ac:dyDescent="0.25">
      <c r="A505" s="28"/>
      <c r="B505" s="31"/>
      <c r="C505" s="28"/>
      <c r="D505" s="26" t="str">
        <f>IF(C505="","",IFERROR(VLOOKUP(C505,Productos!$A$5:$I$204,2,FALSE()),"Revisar código"))</f>
        <v/>
      </c>
      <c r="E505" s="29"/>
      <c r="F505" s="30"/>
      <c r="G505" s="36" t="str">
        <f t="shared" si="7"/>
        <v/>
      </c>
      <c r="H505" s="28"/>
      <c r="I505" s="28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21.75" customHeight="1" x14ac:dyDescent="0.25">
      <c r="A506" s="28"/>
      <c r="B506" s="31"/>
      <c r="C506" s="28"/>
      <c r="D506" s="26" t="str">
        <f>IF(C506="","",IFERROR(VLOOKUP(C506,Productos!$A$5:$I$204,2,FALSE()),"Revisar código"))</f>
        <v/>
      </c>
      <c r="E506" s="29"/>
      <c r="F506" s="30"/>
      <c r="G506" s="36" t="str">
        <f t="shared" si="7"/>
        <v/>
      </c>
      <c r="H506" s="28"/>
      <c r="I506" s="28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21.75" customHeight="1" x14ac:dyDescent="0.25">
      <c r="A507" s="28"/>
      <c r="B507" s="31"/>
      <c r="C507" s="28"/>
      <c r="D507" s="26" t="str">
        <f>IF(C507="","",IFERROR(VLOOKUP(C507,Productos!$A$5:$I$204,2,FALSE()),"Revisar código"))</f>
        <v/>
      </c>
      <c r="E507" s="29"/>
      <c r="F507" s="30"/>
      <c r="G507" s="36" t="str">
        <f t="shared" si="7"/>
        <v/>
      </c>
      <c r="H507" s="28"/>
      <c r="I507" s="28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21.75" customHeight="1" x14ac:dyDescent="0.25">
      <c r="A508" s="28"/>
      <c r="B508" s="31"/>
      <c r="C508" s="28"/>
      <c r="D508" s="26" t="str">
        <f>IF(C508="","",IFERROR(VLOOKUP(C508,Productos!$A$5:$I$204,2,FALSE()),"Revisar código"))</f>
        <v/>
      </c>
      <c r="E508" s="29"/>
      <c r="F508" s="30"/>
      <c r="G508" s="36" t="str">
        <f t="shared" si="7"/>
        <v/>
      </c>
      <c r="H508" s="28"/>
      <c r="I508" s="28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21.75" customHeight="1" x14ac:dyDescent="0.25">
      <c r="A509" s="28"/>
      <c r="B509" s="31"/>
      <c r="C509" s="28"/>
      <c r="D509" s="26" t="str">
        <f>IF(C509="","",IFERROR(VLOOKUP(C509,Productos!$A$5:$I$204,2,FALSE()),"Revisar código"))</f>
        <v/>
      </c>
      <c r="E509" s="29"/>
      <c r="F509" s="30"/>
      <c r="G509" s="36" t="str">
        <f t="shared" si="7"/>
        <v/>
      </c>
      <c r="H509" s="28"/>
      <c r="I509" s="28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21.75" customHeight="1" x14ac:dyDescent="0.25">
      <c r="A510" s="28"/>
      <c r="B510" s="31"/>
      <c r="C510" s="28"/>
      <c r="D510" s="26" t="str">
        <f>IF(C510="","",IFERROR(VLOOKUP(C510,Productos!$A$5:$I$204,2,FALSE()),"Revisar código"))</f>
        <v/>
      </c>
      <c r="E510" s="29"/>
      <c r="F510" s="30"/>
      <c r="G510" s="36" t="str">
        <f t="shared" si="7"/>
        <v/>
      </c>
      <c r="H510" s="28"/>
      <c r="I510" s="28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21.75" customHeight="1" x14ac:dyDescent="0.25">
      <c r="A511" s="28"/>
      <c r="B511" s="31"/>
      <c r="C511" s="28"/>
      <c r="D511" s="26" t="str">
        <f>IF(C511="","",IFERROR(VLOOKUP(C511,Productos!$A$5:$I$204,2,FALSE()),"Revisar código"))</f>
        <v/>
      </c>
      <c r="E511" s="29"/>
      <c r="F511" s="30"/>
      <c r="G511" s="36" t="str">
        <f t="shared" si="7"/>
        <v/>
      </c>
      <c r="H511" s="28"/>
      <c r="I511" s="28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21.75" customHeight="1" x14ac:dyDescent="0.25">
      <c r="A512" s="28"/>
      <c r="B512" s="31"/>
      <c r="C512" s="28"/>
      <c r="D512" s="26" t="str">
        <f>IF(C512="","",IFERROR(VLOOKUP(C512,Productos!$A$5:$I$204,2,FALSE()),"Revisar código"))</f>
        <v/>
      </c>
      <c r="E512" s="29"/>
      <c r="F512" s="30"/>
      <c r="G512" s="36" t="str">
        <f t="shared" si="7"/>
        <v/>
      </c>
      <c r="H512" s="28"/>
      <c r="I512" s="28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21.75" customHeight="1" x14ac:dyDescent="0.25">
      <c r="A513" s="28"/>
      <c r="B513" s="31"/>
      <c r="C513" s="28"/>
      <c r="D513" s="26" t="str">
        <f>IF(C513="","",IFERROR(VLOOKUP(C513,Productos!$A$5:$I$204,2,FALSE()),"Revisar código"))</f>
        <v/>
      </c>
      <c r="E513" s="29"/>
      <c r="F513" s="30"/>
      <c r="G513" s="36" t="str">
        <f t="shared" si="7"/>
        <v/>
      </c>
      <c r="H513" s="28"/>
      <c r="I513" s="28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21.75" customHeight="1" x14ac:dyDescent="0.25">
      <c r="A514" s="28"/>
      <c r="B514" s="31"/>
      <c r="C514" s="28"/>
      <c r="D514" s="26" t="str">
        <f>IF(C514="","",IFERROR(VLOOKUP(C514,Productos!$A$5:$I$204,2,FALSE()),"Revisar código"))</f>
        <v/>
      </c>
      <c r="E514" s="29"/>
      <c r="F514" s="30"/>
      <c r="G514" s="36" t="str">
        <f t="shared" si="7"/>
        <v/>
      </c>
      <c r="H514" s="28"/>
      <c r="I514" s="28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21.75" customHeight="1" x14ac:dyDescent="0.25">
      <c r="A515" s="28"/>
      <c r="B515" s="31"/>
      <c r="C515" s="28"/>
      <c r="D515" s="26" t="str">
        <f>IF(C515="","",IFERROR(VLOOKUP(C515,Productos!$A$5:$I$204,2,FALSE()),"Revisar código"))</f>
        <v/>
      </c>
      <c r="E515" s="29"/>
      <c r="F515" s="30"/>
      <c r="G515" s="36" t="str">
        <f t="shared" si="7"/>
        <v/>
      </c>
      <c r="H515" s="28"/>
      <c r="I515" s="28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21.75" customHeight="1" x14ac:dyDescent="0.25">
      <c r="A516" s="28"/>
      <c r="B516" s="31"/>
      <c r="C516" s="28"/>
      <c r="D516" s="26" t="str">
        <f>IF(C516="","",IFERROR(VLOOKUP(C516,Productos!$A$5:$I$204,2,FALSE()),"Revisar código"))</f>
        <v/>
      </c>
      <c r="E516" s="29"/>
      <c r="F516" s="30"/>
      <c r="G516" s="36" t="str">
        <f t="shared" si="7"/>
        <v/>
      </c>
      <c r="H516" s="28"/>
      <c r="I516" s="28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21.75" customHeight="1" x14ac:dyDescent="0.25">
      <c r="A517" s="28"/>
      <c r="B517" s="31"/>
      <c r="C517" s="28"/>
      <c r="D517" s="26" t="str">
        <f>IF(C517="","",IFERROR(VLOOKUP(C517,Productos!$A$5:$I$204,2,FALSE()),"Revisar código"))</f>
        <v/>
      </c>
      <c r="E517" s="29"/>
      <c r="F517" s="30"/>
      <c r="G517" s="36" t="str">
        <f t="shared" ref="G517:G580" si="8">IF(OR(E517="",F517=""),"",E517*F517)</f>
        <v/>
      </c>
      <c r="H517" s="28"/>
      <c r="I517" s="28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21.75" customHeight="1" x14ac:dyDescent="0.25">
      <c r="A518" s="28"/>
      <c r="B518" s="31"/>
      <c r="C518" s="28"/>
      <c r="D518" s="26" t="str">
        <f>IF(C518="","",IFERROR(VLOOKUP(C518,Productos!$A$5:$I$204,2,FALSE()),"Revisar código"))</f>
        <v/>
      </c>
      <c r="E518" s="29"/>
      <c r="F518" s="30"/>
      <c r="G518" s="36" t="str">
        <f t="shared" si="8"/>
        <v/>
      </c>
      <c r="H518" s="28"/>
      <c r="I518" s="28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21.75" customHeight="1" x14ac:dyDescent="0.25">
      <c r="A519" s="28"/>
      <c r="B519" s="31"/>
      <c r="C519" s="28"/>
      <c r="D519" s="26" t="str">
        <f>IF(C519="","",IFERROR(VLOOKUP(C519,Productos!$A$5:$I$204,2,FALSE()),"Revisar código"))</f>
        <v/>
      </c>
      <c r="E519" s="29"/>
      <c r="F519" s="30"/>
      <c r="G519" s="36" t="str">
        <f t="shared" si="8"/>
        <v/>
      </c>
      <c r="H519" s="28"/>
      <c r="I519" s="28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21.75" customHeight="1" x14ac:dyDescent="0.25">
      <c r="A520" s="28"/>
      <c r="B520" s="31"/>
      <c r="C520" s="28"/>
      <c r="D520" s="26" t="str">
        <f>IF(C520="","",IFERROR(VLOOKUP(C520,Productos!$A$5:$I$204,2,FALSE()),"Revisar código"))</f>
        <v/>
      </c>
      <c r="E520" s="29"/>
      <c r="F520" s="30"/>
      <c r="G520" s="36" t="str">
        <f t="shared" si="8"/>
        <v/>
      </c>
      <c r="H520" s="28"/>
      <c r="I520" s="28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21.75" customHeight="1" x14ac:dyDescent="0.25">
      <c r="A521" s="28"/>
      <c r="B521" s="31"/>
      <c r="C521" s="28"/>
      <c r="D521" s="26" t="str">
        <f>IF(C521="","",IFERROR(VLOOKUP(C521,Productos!$A$5:$I$204,2,FALSE()),"Revisar código"))</f>
        <v/>
      </c>
      <c r="E521" s="29"/>
      <c r="F521" s="30"/>
      <c r="G521" s="36" t="str">
        <f t="shared" si="8"/>
        <v/>
      </c>
      <c r="H521" s="28"/>
      <c r="I521" s="28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21.75" customHeight="1" x14ac:dyDescent="0.25">
      <c r="A522" s="28"/>
      <c r="B522" s="31"/>
      <c r="C522" s="28"/>
      <c r="D522" s="26" t="str">
        <f>IF(C522="","",IFERROR(VLOOKUP(C522,Productos!$A$5:$I$204,2,FALSE()),"Revisar código"))</f>
        <v/>
      </c>
      <c r="E522" s="29"/>
      <c r="F522" s="30"/>
      <c r="G522" s="36" t="str">
        <f t="shared" si="8"/>
        <v/>
      </c>
      <c r="H522" s="28"/>
      <c r="I522" s="28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21.75" customHeight="1" x14ac:dyDescent="0.25">
      <c r="A523" s="28"/>
      <c r="B523" s="31"/>
      <c r="C523" s="28"/>
      <c r="D523" s="26" t="str">
        <f>IF(C523="","",IFERROR(VLOOKUP(C523,Productos!$A$5:$I$204,2,FALSE()),"Revisar código"))</f>
        <v/>
      </c>
      <c r="E523" s="29"/>
      <c r="F523" s="30"/>
      <c r="G523" s="36" t="str">
        <f t="shared" si="8"/>
        <v/>
      </c>
      <c r="H523" s="28"/>
      <c r="I523" s="28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21.75" customHeight="1" x14ac:dyDescent="0.25">
      <c r="A524" s="28"/>
      <c r="B524" s="31"/>
      <c r="C524" s="28"/>
      <c r="D524" s="26" t="str">
        <f>IF(C524="","",IFERROR(VLOOKUP(C524,Productos!$A$5:$I$204,2,FALSE()),"Revisar código"))</f>
        <v/>
      </c>
      <c r="E524" s="29"/>
      <c r="F524" s="30"/>
      <c r="G524" s="36" t="str">
        <f t="shared" si="8"/>
        <v/>
      </c>
      <c r="H524" s="28"/>
      <c r="I524" s="28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21.75" customHeight="1" x14ac:dyDescent="0.25">
      <c r="A525" s="28"/>
      <c r="B525" s="31"/>
      <c r="C525" s="28"/>
      <c r="D525" s="26" t="str">
        <f>IF(C525="","",IFERROR(VLOOKUP(C525,Productos!$A$5:$I$204,2,FALSE()),"Revisar código"))</f>
        <v/>
      </c>
      <c r="E525" s="29"/>
      <c r="F525" s="30"/>
      <c r="G525" s="36" t="str">
        <f t="shared" si="8"/>
        <v/>
      </c>
      <c r="H525" s="28"/>
      <c r="I525" s="28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21.75" customHeight="1" x14ac:dyDescent="0.25">
      <c r="A526" s="28"/>
      <c r="B526" s="31"/>
      <c r="C526" s="28"/>
      <c r="D526" s="26" t="str">
        <f>IF(C526="","",IFERROR(VLOOKUP(C526,Productos!$A$5:$I$204,2,FALSE()),"Revisar código"))</f>
        <v/>
      </c>
      <c r="E526" s="29"/>
      <c r="F526" s="30"/>
      <c r="G526" s="36" t="str">
        <f t="shared" si="8"/>
        <v/>
      </c>
      <c r="H526" s="28"/>
      <c r="I526" s="28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21.75" customHeight="1" x14ac:dyDescent="0.25">
      <c r="A527" s="28"/>
      <c r="B527" s="31"/>
      <c r="C527" s="28"/>
      <c r="D527" s="26" t="str">
        <f>IF(C527="","",IFERROR(VLOOKUP(C527,Productos!$A$5:$I$204,2,FALSE()),"Revisar código"))</f>
        <v/>
      </c>
      <c r="E527" s="29"/>
      <c r="F527" s="30"/>
      <c r="G527" s="36" t="str">
        <f t="shared" si="8"/>
        <v/>
      </c>
      <c r="H527" s="28"/>
      <c r="I527" s="28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21.75" customHeight="1" x14ac:dyDescent="0.25">
      <c r="A528" s="28"/>
      <c r="B528" s="31"/>
      <c r="C528" s="28"/>
      <c r="D528" s="26" t="str">
        <f>IF(C528="","",IFERROR(VLOOKUP(C528,Productos!$A$5:$I$204,2,FALSE()),"Revisar código"))</f>
        <v/>
      </c>
      <c r="E528" s="29"/>
      <c r="F528" s="30"/>
      <c r="G528" s="36" t="str">
        <f t="shared" si="8"/>
        <v/>
      </c>
      <c r="H528" s="28"/>
      <c r="I528" s="28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21.75" customHeight="1" x14ac:dyDescent="0.25">
      <c r="A529" s="28"/>
      <c r="B529" s="31"/>
      <c r="C529" s="28"/>
      <c r="D529" s="26" t="str">
        <f>IF(C529="","",IFERROR(VLOOKUP(C529,Productos!$A$5:$I$204,2,FALSE()),"Revisar código"))</f>
        <v/>
      </c>
      <c r="E529" s="29"/>
      <c r="F529" s="30"/>
      <c r="G529" s="36" t="str">
        <f t="shared" si="8"/>
        <v/>
      </c>
      <c r="H529" s="28"/>
      <c r="I529" s="28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21.75" customHeight="1" x14ac:dyDescent="0.25">
      <c r="A530" s="28"/>
      <c r="B530" s="31"/>
      <c r="C530" s="28"/>
      <c r="D530" s="26" t="str">
        <f>IF(C530="","",IFERROR(VLOOKUP(C530,Productos!$A$5:$I$204,2,FALSE()),"Revisar código"))</f>
        <v/>
      </c>
      <c r="E530" s="29"/>
      <c r="F530" s="30"/>
      <c r="G530" s="36" t="str">
        <f t="shared" si="8"/>
        <v/>
      </c>
      <c r="H530" s="28"/>
      <c r="I530" s="28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21.75" customHeight="1" x14ac:dyDescent="0.25">
      <c r="A531" s="28"/>
      <c r="B531" s="31"/>
      <c r="C531" s="28"/>
      <c r="D531" s="26" t="str">
        <f>IF(C531="","",IFERROR(VLOOKUP(C531,Productos!$A$5:$I$204,2,FALSE()),"Revisar código"))</f>
        <v/>
      </c>
      <c r="E531" s="29"/>
      <c r="F531" s="30"/>
      <c r="G531" s="36" t="str">
        <f t="shared" si="8"/>
        <v/>
      </c>
      <c r="H531" s="28"/>
      <c r="I531" s="28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21.75" customHeight="1" x14ac:dyDescent="0.25">
      <c r="A532" s="28"/>
      <c r="B532" s="31"/>
      <c r="C532" s="28"/>
      <c r="D532" s="26" t="str">
        <f>IF(C532="","",IFERROR(VLOOKUP(C532,Productos!$A$5:$I$204,2,FALSE()),"Revisar código"))</f>
        <v/>
      </c>
      <c r="E532" s="29"/>
      <c r="F532" s="30"/>
      <c r="G532" s="36" t="str">
        <f t="shared" si="8"/>
        <v/>
      </c>
      <c r="H532" s="28"/>
      <c r="I532" s="28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21.75" customHeight="1" x14ac:dyDescent="0.25">
      <c r="A533" s="28"/>
      <c r="B533" s="31"/>
      <c r="C533" s="28"/>
      <c r="D533" s="26" t="str">
        <f>IF(C533="","",IFERROR(VLOOKUP(C533,Productos!$A$5:$I$204,2,FALSE()),"Revisar código"))</f>
        <v/>
      </c>
      <c r="E533" s="29"/>
      <c r="F533" s="30"/>
      <c r="G533" s="36" t="str">
        <f t="shared" si="8"/>
        <v/>
      </c>
      <c r="H533" s="28"/>
      <c r="I533" s="28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21.75" customHeight="1" x14ac:dyDescent="0.25">
      <c r="A534" s="28"/>
      <c r="B534" s="31"/>
      <c r="C534" s="28"/>
      <c r="D534" s="26" t="str">
        <f>IF(C534="","",IFERROR(VLOOKUP(C534,Productos!$A$5:$I$204,2,FALSE()),"Revisar código"))</f>
        <v/>
      </c>
      <c r="E534" s="29"/>
      <c r="F534" s="30"/>
      <c r="G534" s="36" t="str">
        <f t="shared" si="8"/>
        <v/>
      </c>
      <c r="H534" s="28"/>
      <c r="I534" s="28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21.75" customHeight="1" x14ac:dyDescent="0.25">
      <c r="A535" s="28"/>
      <c r="B535" s="31"/>
      <c r="C535" s="28"/>
      <c r="D535" s="26" t="str">
        <f>IF(C535="","",IFERROR(VLOOKUP(C535,Productos!$A$5:$I$204,2,FALSE()),"Revisar código"))</f>
        <v/>
      </c>
      <c r="E535" s="29"/>
      <c r="F535" s="30"/>
      <c r="G535" s="36" t="str">
        <f t="shared" si="8"/>
        <v/>
      </c>
      <c r="H535" s="28"/>
      <c r="I535" s="28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21.75" customHeight="1" x14ac:dyDescent="0.25">
      <c r="A536" s="28"/>
      <c r="B536" s="31"/>
      <c r="C536" s="28"/>
      <c r="D536" s="26" t="str">
        <f>IF(C536="","",IFERROR(VLOOKUP(C536,Productos!$A$5:$I$204,2,FALSE()),"Revisar código"))</f>
        <v/>
      </c>
      <c r="E536" s="29"/>
      <c r="F536" s="30"/>
      <c r="G536" s="36" t="str">
        <f t="shared" si="8"/>
        <v/>
      </c>
      <c r="H536" s="28"/>
      <c r="I536" s="28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21.75" customHeight="1" x14ac:dyDescent="0.25">
      <c r="A537" s="28"/>
      <c r="B537" s="31"/>
      <c r="C537" s="28"/>
      <c r="D537" s="26" t="str">
        <f>IF(C537="","",IFERROR(VLOOKUP(C537,Productos!$A$5:$I$204,2,FALSE()),"Revisar código"))</f>
        <v/>
      </c>
      <c r="E537" s="29"/>
      <c r="F537" s="30"/>
      <c r="G537" s="36" t="str">
        <f t="shared" si="8"/>
        <v/>
      </c>
      <c r="H537" s="28"/>
      <c r="I537" s="28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21.75" customHeight="1" x14ac:dyDescent="0.25">
      <c r="A538" s="28"/>
      <c r="B538" s="31"/>
      <c r="C538" s="28"/>
      <c r="D538" s="26" t="str">
        <f>IF(C538="","",IFERROR(VLOOKUP(C538,Productos!$A$5:$I$204,2,FALSE()),"Revisar código"))</f>
        <v/>
      </c>
      <c r="E538" s="29"/>
      <c r="F538" s="30"/>
      <c r="G538" s="36" t="str">
        <f t="shared" si="8"/>
        <v/>
      </c>
      <c r="H538" s="28"/>
      <c r="I538" s="28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21.75" customHeight="1" x14ac:dyDescent="0.25">
      <c r="A539" s="28"/>
      <c r="B539" s="31"/>
      <c r="C539" s="28"/>
      <c r="D539" s="26" t="str">
        <f>IF(C539="","",IFERROR(VLOOKUP(C539,Productos!$A$5:$I$204,2,FALSE()),"Revisar código"))</f>
        <v/>
      </c>
      <c r="E539" s="29"/>
      <c r="F539" s="30"/>
      <c r="G539" s="36" t="str">
        <f t="shared" si="8"/>
        <v/>
      </c>
      <c r="H539" s="28"/>
      <c r="I539" s="28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21.75" customHeight="1" x14ac:dyDescent="0.25">
      <c r="A540" s="28"/>
      <c r="B540" s="31"/>
      <c r="C540" s="28"/>
      <c r="D540" s="26" t="str">
        <f>IF(C540="","",IFERROR(VLOOKUP(C540,Productos!$A$5:$I$204,2,FALSE()),"Revisar código"))</f>
        <v/>
      </c>
      <c r="E540" s="29"/>
      <c r="F540" s="30"/>
      <c r="G540" s="36" t="str">
        <f t="shared" si="8"/>
        <v/>
      </c>
      <c r="H540" s="28"/>
      <c r="I540" s="28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21.75" customHeight="1" x14ac:dyDescent="0.25">
      <c r="A541" s="28"/>
      <c r="B541" s="31"/>
      <c r="C541" s="28"/>
      <c r="D541" s="26" t="str">
        <f>IF(C541="","",IFERROR(VLOOKUP(C541,Productos!$A$5:$I$204,2,FALSE()),"Revisar código"))</f>
        <v/>
      </c>
      <c r="E541" s="29"/>
      <c r="F541" s="30"/>
      <c r="G541" s="36" t="str">
        <f t="shared" si="8"/>
        <v/>
      </c>
      <c r="H541" s="28"/>
      <c r="I541" s="28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21.75" customHeight="1" x14ac:dyDescent="0.25">
      <c r="A542" s="28"/>
      <c r="B542" s="31"/>
      <c r="C542" s="28"/>
      <c r="D542" s="26" t="str">
        <f>IF(C542="","",IFERROR(VLOOKUP(C542,Productos!$A$5:$I$204,2,FALSE()),"Revisar código"))</f>
        <v/>
      </c>
      <c r="E542" s="29"/>
      <c r="F542" s="30"/>
      <c r="G542" s="36" t="str">
        <f t="shared" si="8"/>
        <v/>
      </c>
      <c r="H542" s="28"/>
      <c r="I542" s="28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21.75" customHeight="1" x14ac:dyDescent="0.25">
      <c r="A543" s="28"/>
      <c r="B543" s="31"/>
      <c r="C543" s="28"/>
      <c r="D543" s="26" t="str">
        <f>IF(C543="","",IFERROR(VLOOKUP(C543,Productos!$A$5:$I$204,2,FALSE()),"Revisar código"))</f>
        <v/>
      </c>
      <c r="E543" s="29"/>
      <c r="F543" s="30"/>
      <c r="G543" s="36" t="str">
        <f t="shared" si="8"/>
        <v/>
      </c>
      <c r="H543" s="28"/>
      <c r="I543" s="28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21.75" customHeight="1" x14ac:dyDescent="0.25">
      <c r="A544" s="28"/>
      <c r="B544" s="31"/>
      <c r="C544" s="28"/>
      <c r="D544" s="26" t="str">
        <f>IF(C544="","",IFERROR(VLOOKUP(C544,Productos!$A$5:$I$204,2,FALSE()),"Revisar código"))</f>
        <v/>
      </c>
      <c r="E544" s="29"/>
      <c r="F544" s="30"/>
      <c r="G544" s="36" t="str">
        <f t="shared" si="8"/>
        <v/>
      </c>
      <c r="H544" s="28"/>
      <c r="I544" s="28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21.75" customHeight="1" x14ac:dyDescent="0.25">
      <c r="A545" s="28"/>
      <c r="B545" s="31"/>
      <c r="C545" s="28"/>
      <c r="D545" s="26" t="str">
        <f>IF(C545="","",IFERROR(VLOOKUP(C545,Productos!$A$5:$I$204,2,FALSE()),"Revisar código"))</f>
        <v/>
      </c>
      <c r="E545" s="29"/>
      <c r="F545" s="30"/>
      <c r="G545" s="36" t="str">
        <f t="shared" si="8"/>
        <v/>
      </c>
      <c r="H545" s="28"/>
      <c r="I545" s="28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21.75" customHeight="1" x14ac:dyDescent="0.25">
      <c r="A546" s="28"/>
      <c r="B546" s="31"/>
      <c r="C546" s="28"/>
      <c r="D546" s="26" t="str">
        <f>IF(C546="","",IFERROR(VLOOKUP(C546,Productos!$A$5:$I$204,2,FALSE()),"Revisar código"))</f>
        <v/>
      </c>
      <c r="E546" s="29"/>
      <c r="F546" s="30"/>
      <c r="G546" s="36" t="str">
        <f t="shared" si="8"/>
        <v/>
      </c>
      <c r="H546" s="28"/>
      <c r="I546" s="28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21.75" customHeight="1" x14ac:dyDescent="0.25">
      <c r="A547" s="28"/>
      <c r="B547" s="31"/>
      <c r="C547" s="28"/>
      <c r="D547" s="26" t="str">
        <f>IF(C547="","",IFERROR(VLOOKUP(C547,Productos!$A$5:$I$204,2,FALSE()),"Revisar código"))</f>
        <v/>
      </c>
      <c r="E547" s="29"/>
      <c r="F547" s="30"/>
      <c r="G547" s="36" t="str">
        <f t="shared" si="8"/>
        <v/>
      </c>
      <c r="H547" s="28"/>
      <c r="I547" s="28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21.75" customHeight="1" x14ac:dyDescent="0.25">
      <c r="A548" s="28"/>
      <c r="B548" s="31"/>
      <c r="C548" s="28"/>
      <c r="D548" s="26" t="str">
        <f>IF(C548="","",IFERROR(VLOOKUP(C548,Productos!$A$5:$I$204,2,FALSE()),"Revisar código"))</f>
        <v/>
      </c>
      <c r="E548" s="29"/>
      <c r="F548" s="30"/>
      <c r="G548" s="36" t="str">
        <f t="shared" si="8"/>
        <v/>
      </c>
      <c r="H548" s="28"/>
      <c r="I548" s="28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21.75" customHeight="1" x14ac:dyDescent="0.25">
      <c r="A549" s="28"/>
      <c r="B549" s="31"/>
      <c r="C549" s="28"/>
      <c r="D549" s="26" t="str">
        <f>IF(C549="","",IFERROR(VLOOKUP(C549,Productos!$A$5:$I$204,2,FALSE()),"Revisar código"))</f>
        <v/>
      </c>
      <c r="E549" s="29"/>
      <c r="F549" s="30"/>
      <c r="G549" s="36" t="str">
        <f t="shared" si="8"/>
        <v/>
      </c>
      <c r="H549" s="28"/>
      <c r="I549" s="28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21.75" customHeight="1" x14ac:dyDescent="0.25">
      <c r="A550" s="28"/>
      <c r="B550" s="31"/>
      <c r="C550" s="28"/>
      <c r="D550" s="26" t="str">
        <f>IF(C550="","",IFERROR(VLOOKUP(C550,Productos!$A$5:$I$204,2,FALSE()),"Revisar código"))</f>
        <v/>
      </c>
      <c r="E550" s="29"/>
      <c r="F550" s="30"/>
      <c r="G550" s="36" t="str">
        <f t="shared" si="8"/>
        <v/>
      </c>
      <c r="H550" s="28"/>
      <c r="I550" s="28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21.75" customHeight="1" x14ac:dyDescent="0.25">
      <c r="A551" s="28"/>
      <c r="B551" s="31"/>
      <c r="C551" s="28"/>
      <c r="D551" s="26" t="str">
        <f>IF(C551="","",IFERROR(VLOOKUP(C551,Productos!$A$5:$I$204,2,FALSE()),"Revisar código"))</f>
        <v/>
      </c>
      <c r="E551" s="29"/>
      <c r="F551" s="30"/>
      <c r="G551" s="36" t="str">
        <f t="shared" si="8"/>
        <v/>
      </c>
      <c r="H551" s="28"/>
      <c r="I551" s="28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21.75" customHeight="1" x14ac:dyDescent="0.25">
      <c r="A552" s="28"/>
      <c r="B552" s="31"/>
      <c r="C552" s="28"/>
      <c r="D552" s="26" t="str">
        <f>IF(C552="","",IFERROR(VLOOKUP(C552,Productos!$A$5:$I$204,2,FALSE()),"Revisar código"))</f>
        <v/>
      </c>
      <c r="E552" s="29"/>
      <c r="F552" s="30"/>
      <c r="G552" s="36" t="str">
        <f t="shared" si="8"/>
        <v/>
      </c>
      <c r="H552" s="28"/>
      <c r="I552" s="28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21.75" customHeight="1" x14ac:dyDescent="0.25">
      <c r="A553" s="28"/>
      <c r="B553" s="31"/>
      <c r="C553" s="28"/>
      <c r="D553" s="26" t="str">
        <f>IF(C553="","",IFERROR(VLOOKUP(C553,Productos!$A$5:$I$204,2,FALSE()),"Revisar código"))</f>
        <v/>
      </c>
      <c r="E553" s="29"/>
      <c r="F553" s="30"/>
      <c r="G553" s="36" t="str">
        <f t="shared" si="8"/>
        <v/>
      </c>
      <c r="H553" s="28"/>
      <c r="I553" s="28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21.75" customHeight="1" x14ac:dyDescent="0.25">
      <c r="A554" s="28"/>
      <c r="B554" s="31"/>
      <c r="C554" s="28"/>
      <c r="D554" s="26" t="str">
        <f>IF(C554="","",IFERROR(VLOOKUP(C554,Productos!$A$5:$I$204,2,FALSE()),"Revisar código"))</f>
        <v/>
      </c>
      <c r="E554" s="29"/>
      <c r="F554" s="30"/>
      <c r="G554" s="36" t="str">
        <f t="shared" si="8"/>
        <v/>
      </c>
      <c r="H554" s="28"/>
      <c r="I554" s="28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21.75" customHeight="1" x14ac:dyDescent="0.25">
      <c r="A555" s="28"/>
      <c r="B555" s="31"/>
      <c r="C555" s="28"/>
      <c r="D555" s="26" t="str">
        <f>IF(C555="","",IFERROR(VLOOKUP(C555,Productos!$A$5:$I$204,2,FALSE()),"Revisar código"))</f>
        <v/>
      </c>
      <c r="E555" s="29"/>
      <c r="F555" s="30"/>
      <c r="G555" s="36" t="str">
        <f t="shared" si="8"/>
        <v/>
      </c>
      <c r="H555" s="28"/>
      <c r="I555" s="28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21.75" customHeight="1" x14ac:dyDescent="0.25">
      <c r="A556" s="28"/>
      <c r="B556" s="31"/>
      <c r="C556" s="28"/>
      <c r="D556" s="26" t="str">
        <f>IF(C556="","",IFERROR(VLOOKUP(C556,Productos!$A$5:$I$204,2,FALSE()),"Revisar código"))</f>
        <v/>
      </c>
      <c r="E556" s="29"/>
      <c r="F556" s="30"/>
      <c r="G556" s="36" t="str">
        <f t="shared" si="8"/>
        <v/>
      </c>
      <c r="H556" s="28"/>
      <c r="I556" s="28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21.75" customHeight="1" x14ac:dyDescent="0.25">
      <c r="A557" s="28"/>
      <c r="B557" s="31"/>
      <c r="C557" s="28"/>
      <c r="D557" s="26" t="str">
        <f>IF(C557="","",IFERROR(VLOOKUP(C557,Productos!$A$5:$I$204,2,FALSE()),"Revisar código"))</f>
        <v/>
      </c>
      <c r="E557" s="29"/>
      <c r="F557" s="30"/>
      <c r="G557" s="36" t="str">
        <f t="shared" si="8"/>
        <v/>
      </c>
      <c r="H557" s="28"/>
      <c r="I557" s="28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21.75" customHeight="1" x14ac:dyDescent="0.25">
      <c r="A558" s="28"/>
      <c r="B558" s="31"/>
      <c r="C558" s="28"/>
      <c r="D558" s="26" t="str">
        <f>IF(C558="","",IFERROR(VLOOKUP(C558,Productos!$A$5:$I$204,2,FALSE()),"Revisar código"))</f>
        <v/>
      </c>
      <c r="E558" s="29"/>
      <c r="F558" s="30"/>
      <c r="G558" s="36" t="str">
        <f t="shared" si="8"/>
        <v/>
      </c>
      <c r="H558" s="28"/>
      <c r="I558" s="28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21.75" customHeight="1" x14ac:dyDescent="0.25">
      <c r="A559" s="28"/>
      <c r="B559" s="31"/>
      <c r="C559" s="28"/>
      <c r="D559" s="26" t="str">
        <f>IF(C559="","",IFERROR(VLOOKUP(C559,Productos!$A$5:$I$204,2,FALSE()),"Revisar código"))</f>
        <v/>
      </c>
      <c r="E559" s="29"/>
      <c r="F559" s="30"/>
      <c r="G559" s="36" t="str">
        <f t="shared" si="8"/>
        <v/>
      </c>
      <c r="H559" s="28"/>
      <c r="I559" s="28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21.75" customHeight="1" x14ac:dyDescent="0.25">
      <c r="A560" s="28"/>
      <c r="B560" s="31"/>
      <c r="C560" s="28"/>
      <c r="D560" s="26" t="str">
        <f>IF(C560="","",IFERROR(VLOOKUP(C560,Productos!$A$5:$I$204,2,FALSE()),"Revisar código"))</f>
        <v/>
      </c>
      <c r="E560" s="29"/>
      <c r="F560" s="30"/>
      <c r="G560" s="36" t="str">
        <f t="shared" si="8"/>
        <v/>
      </c>
      <c r="H560" s="28"/>
      <c r="I560" s="28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21.75" customHeight="1" x14ac:dyDescent="0.25">
      <c r="A561" s="28"/>
      <c r="B561" s="31"/>
      <c r="C561" s="28"/>
      <c r="D561" s="26" t="str">
        <f>IF(C561="","",IFERROR(VLOOKUP(C561,Productos!$A$5:$I$204,2,FALSE()),"Revisar código"))</f>
        <v/>
      </c>
      <c r="E561" s="29"/>
      <c r="F561" s="30"/>
      <c r="G561" s="36" t="str">
        <f t="shared" si="8"/>
        <v/>
      </c>
      <c r="H561" s="28"/>
      <c r="I561" s="28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21.75" customHeight="1" x14ac:dyDescent="0.25">
      <c r="A562" s="28"/>
      <c r="B562" s="31"/>
      <c r="C562" s="28"/>
      <c r="D562" s="26" t="str">
        <f>IF(C562="","",IFERROR(VLOOKUP(C562,Productos!$A$5:$I$204,2,FALSE()),"Revisar código"))</f>
        <v/>
      </c>
      <c r="E562" s="29"/>
      <c r="F562" s="30"/>
      <c r="G562" s="36" t="str">
        <f t="shared" si="8"/>
        <v/>
      </c>
      <c r="H562" s="28"/>
      <c r="I562" s="28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21.75" customHeight="1" x14ac:dyDescent="0.25">
      <c r="A563" s="28"/>
      <c r="B563" s="31"/>
      <c r="C563" s="28"/>
      <c r="D563" s="26" t="str">
        <f>IF(C563="","",IFERROR(VLOOKUP(C563,Productos!$A$5:$I$204,2,FALSE()),"Revisar código"))</f>
        <v/>
      </c>
      <c r="E563" s="29"/>
      <c r="F563" s="30"/>
      <c r="G563" s="36" t="str">
        <f t="shared" si="8"/>
        <v/>
      </c>
      <c r="H563" s="28"/>
      <c r="I563" s="28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21.75" customHeight="1" x14ac:dyDescent="0.25">
      <c r="A564" s="28"/>
      <c r="B564" s="31"/>
      <c r="C564" s="28"/>
      <c r="D564" s="26" t="str">
        <f>IF(C564="","",IFERROR(VLOOKUP(C564,Productos!$A$5:$I$204,2,FALSE()),"Revisar código"))</f>
        <v/>
      </c>
      <c r="E564" s="29"/>
      <c r="F564" s="30"/>
      <c r="G564" s="36" t="str">
        <f t="shared" si="8"/>
        <v/>
      </c>
      <c r="H564" s="28"/>
      <c r="I564" s="28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21.75" customHeight="1" x14ac:dyDescent="0.25">
      <c r="A565" s="28"/>
      <c r="B565" s="31"/>
      <c r="C565" s="28"/>
      <c r="D565" s="26" t="str">
        <f>IF(C565="","",IFERROR(VLOOKUP(C565,Productos!$A$5:$I$204,2,FALSE()),"Revisar código"))</f>
        <v/>
      </c>
      <c r="E565" s="29"/>
      <c r="F565" s="30"/>
      <c r="G565" s="36" t="str">
        <f t="shared" si="8"/>
        <v/>
      </c>
      <c r="H565" s="28"/>
      <c r="I565" s="28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21.75" customHeight="1" x14ac:dyDescent="0.25">
      <c r="A566" s="28"/>
      <c r="B566" s="31"/>
      <c r="C566" s="28"/>
      <c r="D566" s="26" t="str">
        <f>IF(C566="","",IFERROR(VLOOKUP(C566,Productos!$A$5:$I$204,2,FALSE()),"Revisar código"))</f>
        <v/>
      </c>
      <c r="E566" s="29"/>
      <c r="F566" s="30"/>
      <c r="G566" s="36" t="str">
        <f t="shared" si="8"/>
        <v/>
      </c>
      <c r="H566" s="28"/>
      <c r="I566" s="28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21.75" customHeight="1" x14ac:dyDescent="0.25">
      <c r="A567" s="28"/>
      <c r="B567" s="31"/>
      <c r="C567" s="28"/>
      <c r="D567" s="26" t="str">
        <f>IF(C567="","",IFERROR(VLOOKUP(C567,Productos!$A$5:$I$204,2,FALSE()),"Revisar código"))</f>
        <v/>
      </c>
      <c r="E567" s="29"/>
      <c r="F567" s="30"/>
      <c r="G567" s="36" t="str">
        <f t="shared" si="8"/>
        <v/>
      </c>
      <c r="H567" s="28"/>
      <c r="I567" s="28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21.75" customHeight="1" x14ac:dyDescent="0.25">
      <c r="A568" s="28"/>
      <c r="B568" s="31"/>
      <c r="C568" s="28"/>
      <c r="D568" s="26" t="str">
        <f>IF(C568="","",IFERROR(VLOOKUP(C568,Productos!$A$5:$I$204,2,FALSE()),"Revisar código"))</f>
        <v/>
      </c>
      <c r="E568" s="29"/>
      <c r="F568" s="30"/>
      <c r="G568" s="36" t="str">
        <f t="shared" si="8"/>
        <v/>
      </c>
      <c r="H568" s="28"/>
      <c r="I568" s="28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21.75" customHeight="1" x14ac:dyDescent="0.25">
      <c r="A569" s="28"/>
      <c r="B569" s="31"/>
      <c r="C569" s="28"/>
      <c r="D569" s="26" t="str">
        <f>IF(C569="","",IFERROR(VLOOKUP(C569,Productos!$A$5:$I$204,2,FALSE()),"Revisar código"))</f>
        <v/>
      </c>
      <c r="E569" s="29"/>
      <c r="F569" s="30"/>
      <c r="G569" s="36" t="str">
        <f t="shared" si="8"/>
        <v/>
      </c>
      <c r="H569" s="28"/>
      <c r="I569" s="28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21.75" customHeight="1" x14ac:dyDescent="0.25">
      <c r="A570" s="28"/>
      <c r="B570" s="31"/>
      <c r="C570" s="28"/>
      <c r="D570" s="26" t="str">
        <f>IF(C570="","",IFERROR(VLOOKUP(C570,Productos!$A$5:$I$204,2,FALSE()),"Revisar código"))</f>
        <v/>
      </c>
      <c r="E570" s="29"/>
      <c r="F570" s="30"/>
      <c r="G570" s="36" t="str">
        <f t="shared" si="8"/>
        <v/>
      </c>
      <c r="H570" s="28"/>
      <c r="I570" s="28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21.75" customHeight="1" x14ac:dyDescent="0.25">
      <c r="A571" s="28"/>
      <c r="B571" s="31"/>
      <c r="C571" s="28"/>
      <c r="D571" s="26" t="str">
        <f>IF(C571="","",IFERROR(VLOOKUP(C571,Productos!$A$5:$I$204,2,FALSE()),"Revisar código"))</f>
        <v/>
      </c>
      <c r="E571" s="29"/>
      <c r="F571" s="30"/>
      <c r="G571" s="36" t="str">
        <f t="shared" si="8"/>
        <v/>
      </c>
      <c r="H571" s="28"/>
      <c r="I571" s="28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21.75" customHeight="1" x14ac:dyDescent="0.25">
      <c r="A572" s="28"/>
      <c r="B572" s="31"/>
      <c r="C572" s="28"/>
      <c r="D572" s="26" t="str">
        <f>IF(C572="","",IFERROR(VLOOKUP(C572,Productos!$A$5:$I$204,2,FALSE()),"Revisar código"))</f>
        <v/>
      </c>
      <c r="E572" s="29"/>
      <c r="F572" s="30"/>
      <c r="G572" s="36" t="str">
        <f t="shared" si="8"/>
        <v/>
      </c>
      <c r="H572" s="28"/>
      <c r="I572" s="28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21.75" customHeight="1" x14ac:dyDescent="0.25">
      <c r="A573" s="28"/>
      <c r="B573" s="31"/>
      <c r="C573" s="28"/>
      <c r="D573" s="26" t="str">
        <f>IF(C573="","",IFERROR(VLOOKUP(C573,Productos!$A$5:$I$204,2,FALSE()),"Revisar código"))</f>
        <v/>
      </c>
      <c r="E573" s="29"/>
      <c r="F573" s="30"/>
      <c r="G573" s="36" t="str">
        <f t="shared" si="8"/>
        <v/>
      </c>
      <c r="H573" s="28"/>
      <c r="I573" s="28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21.75" customHeight="1" x14ac:dyDescent="0.25">
      <c r="A574" s="28"/>
      <c r="B574" s="31"/>
      <c r="C574" s="28"/>
      <c r="D574" s="26" t="str">
        <f>IF(C574="","",IFERROR(VLOOKUP(C574,Productos!$A$5:$I$204,2,FALSE()),"Revisar código"))</f>
        <v/>
      </c>
      <c r="E574" s="29"/>
      <c r="F574" s="30"/>
      <c r="G574" s="36" t="str">
        <f t="shared" si="8"/>
        <v/>
      </c>
      <c r="H574" s="28"/>
      <c r="I574" s="28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21.75" customHeight="1" x14ac:dyDescent="0.25">
      <c r="A575" s="28"/>
      <c r="B575" s="31"/>
      <c r="C575" s="28"/>
      <c r="D575" s="26" t="str">
        <f>IF(C575="","",IFERROR(VLOOKUP(C575,Productos!$A$5:$I$204,2,FALSE()),"Revisar código"))</f>
        <v/>
      </c>
      <c r="E575" s="29"/>
      <c r="F575" s="30"/>
      <c r="G575" s="36" t="str">
        <f t="shared" si="8"/>
        <v/>
      </c>
      <c r="H575" s="28"/>
      <c r="I575" s="28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21.75" customHeight="1" x14ac:dyDescent="0.25">
      <c r="A576" s="28"/>
      <c r="B576" s="31"/>
      <c r="C576" s="28"/>
      <c r="D576" s="26" t="str">
        <f>IF(C576="","",IFERROR(VLOOKUP(C576,Productos!$A$5:$I$204,2,FALSE()),"Revisar código"))</f>
        <v/>
      </c>
      <c r="E576" s="29"/>
      <c r="F576" s="30"/>
      <c r="G576" s="36" t="str">
        <f t="shared" si="8"/>
        <v/>
      </c>
      <c r="H576" s="28"/>
      <c r="I576" s="28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21.75" customHeight="1" x14ac:dyDescent="0.25">
      <c r="A577" s="28"/>
      <c r="B577" s="31"/>
      <c r="C577" s="28"/>
      <c r="D577" s="26" t="str">
        <f>IF(C577="","",IFERROR(VLOOKUP(C577,Productos!$A$5:$I$204,2,FALSE()),"Revisar código"))</f>
        <v/>
      </c>
      <c r="E577" s="29"/>
      <c r="F577" s="30"/>
      <c r="G577" s="36" t="str">
        <f t="shared" si="8"/>
        <v/>
      </c>
      <c r="H577" s="28"/>
      <c r="I577" s="28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21.75" customHeight="1" x14ac:dyDescent="0.25">
      <c r="A578" s="28"/>
      <c r="B578" s="31"/>
      <c r="C578" s="28"/>
      <c r="D578" s="26" t="str">
        <f>IF(C578="","",IFERROR(VLOOKUP(C578,Productos!$A$5:$I$204,2,FALSE()),"Revisar código"))</f>
        <v/>
      </c>
      <c r="E578" s="29"/>
      <c r="F578" s="30"/>
      <c r="G578" s="36" t="str">
        <f t="shared" si="8"/>
        <v/>
      </c>
      <c r="H578" s="28"/>
      <c r="I578" s="28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21.75" customHeight="1" x14ac:dyDescent="0.25">
      <c r="A579" s="28"/>
      <c r="B579" s="31"/>
      <c r="C579" s="28"/>
      <c r="D579" s="26" t="str">
        <f>IF(C579="","",IFERROR(VLOOKUP(C579,Productos!$A$5:$I$204,2,FALSE()),"Revisar código"))</f>
        <v/>
      </c>
      <c r="E579" s="29"/>
      <c r="F579" s="30"/>
      <c r="G579" s="36" t="str">
        <f t="shared" si="8"/>
        <v/>
      </c>
      <c r="H579" s="28"/>
      <c r="I579" s="28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21.75" customHeight="1" x14ac:dyDescent="0.25">
      <c r="A580" s="28"/>
      <c r="B580" s="31"/>
      <c r="C580" s="28"/>
      <c r="D580" s="26" t="str">
        <f>IF(C580="","",IFERROR(VLOOKUP(C580,Productos!$A$5:$I$204,2,FALSE()),"Revisar código"))</f>
        <v/>
      </c>
      <c r="E580" s="29"/>
      <c r="F580" s="30"/>
      <c r="G580" s="36" t="str">
        <f t="shared" si="8"/>
        <v/>
      </c>
      <c r="H580" s="28"/>
      <c r="I580" s="28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21.75" customHeight="1" x14ac:dyDescent="0.25">
      <c r="A581" s="28"/>
      <c r="B581" s="31"/>
      <c r="C581" s="28"/>
      <c r="D581" s="26" t="str">
        <f>IF(C581="","",IFERROR(VLOOKUP(C581,Productos!$A$5:$I$204,2,FALSE()),"Revisar código"))</f>
        <v/>
      </c>
      <c r="E581" s="29"/>
      <c r="F581" s="30"/>
      <c r="G581" s="36" t="str">
        <f t="shared" ref="G581:G604" si="9">IF(OR(E581="",F581=""),"",E581*F581)</f>
        <v/>
      </c>
      <c r="H581" s="28"/>
      <c r="I581" s="28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21.75" customHeight="1" x14ac:dyDescent="0.25">
      <c r="A582" s="28"/>
      <c r="B582" s="31"/>
      <c r="C582" s="28"/>
      <c r="D582" s="26" t="str">
        <f>IF(C582="","",IFERROR(VLOOKUP(C582,Productos!$A$5:$I$204,2,FALSE()),"Revisar código"))</f>
        <v/>
      </c>
      <c r="E582" s="29"/>
      <c r="F582" s="30"/>
      <c r="G582" s="36" t="str">
        <f t="shared" si="9"/>
        <v/>
      </c>
      <c r="H582" s="28"/>
      <c r="I582" s="28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21.75" customHeight="1" x14ac:dyDescent="0.25">
      <c r="A583" s="28"/>
      <c r="B583" s="31"/>
      <c r="C583" s="28"/>
      <c r="D583" s="26" t="str">
        <f>IF(C583="","",IFERROR(VLOOKUP(C583,Productos!$A$5:$I$204,2,FALSE()),"Revisar código"))</f>
        <v/>
      </c>
      <c r="E583" s="29"/>
      <c r="F583" s="30"/>
      <c r="G583" s="36" t="str">
        <f t="shared" si="9"/>
        <v/>
      </c>
      <c r="H583" s="28"/>
      <c r="I583" s="28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21.75" customHeight="1" x14ac:dyDescent="0.25">
      <c r="A584" s="28"/>
      <c r="B584" s="31"/>
      <c r="C584" s="28"/>
      <c r="D584" s="26" t="str">
        <f>IF(C584="","",IFERROR(VLOOKUP(C584,Productos!$A$5:$I$204,2,FALSE()),"Revisar código"))</f>
        <v/>
      </c>
      <c r="E584" s="29"/>
      <c r="F584" s="30"/>
      <c r="G584" s="36" t="str">
        <f t="shared" si="9"/>
        <v/>
      </c>
      <c r="H584" s="28"/>
      <c r="I584" s="28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21.75" customHeight="1" x14ac:dyDescent="0.25">
      <c r="A585" s="28"/>
      <c r="B585" s="31"/>
      <c r="C585" s="28"/>
      <c r="D585" s="26" t="str">
        <f>IF(C585="","",IFERROR(VLOOKUP(C585,Productos!$A$5:$I$204,2,FALSE()),"Revisar código"))</f>
        <v/>
      </c>
      <c r="E585" s="29"/>
      <c r="F585" s="30"/>
      <c r="G585" s="36" t="str">
        <f t="shared" si="9"/>
        <v/>
      </c>
      <c r="H585" s="28"/>
      <c r="I585" s="28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21.75" customHeight="1" x14ac:dyDescent="0.25">
      <c r="A586" s="28"/>
      <c r="B586" s="31"/>
      <c r="C586" s="28"/>
      <c r="D586" s="26" t="str">
        <f>IF(C586="","",IFERROR(VLOOKUP(C586,Productos!$A$5:$I$204,2,FALSE()),"Revisar código"))</f>
        <v/>
      </c>
      <c r="E586" s="29"/>
      <c r="F586" s="30"/>
      <c r="G586" s="36" t="str">
        <f t="shared" si="9"/>
        <v/>
      </c>
      <c r="H586" s="28"/>
      <c r="I586" s="28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21.75" customHeight="1" x14ac:dyDescent="0.25">
      <c r="A587" s="28"/>
      <c r="B587" s="31"/>
      <c r="C587" s="28"/>
      <c r="D587" s="26" t="str">
        <f>IF(C587="","",IFERROR(VLOOKUP(C587,Productos!$A$5:$I$204,2,FALSE()),"Revisar código"))</f>
        <v/>
      </c>
      <c r="E587" s="29"/>
      <c r="F587" s="30"/>
      <c r="G587" s="36" t="str">
        <f t="shared" si="9"/>
        <v/>
      </c>
      <c r="H587" s="28"/>
      <c r="I587" s="28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21.75" customHeight="1" x14ac:dyDescent="0.25">
      <c r="A588" s="28"/>
      <c r="B588" s="31"/>
      <c r="C588" s="28"/>
      <c r="D588" s="26" t="str">
        <f>IF(C588="","",IFERROR(VLOOKUP(C588,Productos!$A$5:$I$204,2,FALSE()),"Revisar código"))</f>
        <v/>
      </c>
      <c r="E588" s="29"/>
      <c r="F588" s="30"/>
      <c r="G588" s="36" t="str">
        <f t="shared" si="9"/>
        <v/>
      </c>
      <c r="H588" s="28"/>
      <c r="I588" s="28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21.75" customHeight="1" x14ac:dyDescent="0.25">
      <c r="A589" s="28"/>
      <c r="B589" s="31"/>
      <c r="C589" s="28"/>
      <c r="D589" s="26" t="str">
        <f>IF(C589="","",IFERROR(VLOOKUP(C589,Productos!$A$5:$I$204,2,FALSE()),"Revisar código"))</f>
        <v/>
      </c>
      <c r="E589" s="29"/>
      <c r="F589" s="30"/>
      <c r="G589" s="36" t="str">
        <f t="shared" si="9"/>
        <v/>
      </c>
      <c r="H589" s="28"/>
      <c r="I589" s="28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21.75" customHeight="1" x14ac:dyDescent="0.25">
      <c r="A590" s="28"/>
      <c r="B590" s="31"/>
      <c r="C590" s="28"/>
      <c r="D590" s="26" t="str">
        <f>IF(C590="","",IFERROR(VLOOKUP(C590,Productos!$A$5:$I$204,2,FALSE()),"Revisar código"))</f>
        <v/>
      </c>
      <c r="E590" s="29"/>
      <c r="F590" s="30"/>
      <c r="G590" s="36" t="str">
        <f t="shared" si="9"/>
        <v/>
      </c>
      <c r="H590" s="28"/>
      <c r="I590" s="28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21.75" customHeight="1" x14ac:dyDescent="0.25">
      <c r="A591" s="28"/>
      <c r="B591" s="31"/>
      <c r="C591" s="28"/>
      <c r="D591" s="26" t="str">
        <f>IF(C591="","",IFERROR(VLOOKUP(C591,Productos!$A$5:$I$204,2,FALSE()),"Revisar código"))</f>
        <v/>
      </c>
      <c r="E591" s="29"/>
      <c r="F591" s="30"/>
      <c r="G591" s="36" t="str">
        <f t="shared" si="9"/>
        <v/>
      </c>
      <c r="H591" s="28"/>
      <c r="I591" s="28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21.75" customHeight="1" x14ac:dyDescent="0.25">
      <c r="A592" s="28"/>
      <c r="B592" s="31"/>
      <c r="C592" s="28"/>
      <c r="D592" s="26" t="str">
        <f>IF(C592="","",IFERROR(VLOOKUP(C592,Productos!$A$5:$I$204,2,FALSE()),"Revisar código"))</f>
        <v/>
      </c>
      <c r="E592" s="29"/>
      <c r="F592" s="30"/>
      <c r="G592" s="36" t="str">
        <f t="shared" si="9"/>
        <v/>
      </c>
      <c r="H592" s="28"/>
      <c r="I592" s="28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21.75" customHeight="1" x14ac:dyDescent="0.25">
      <c r="A593" s="28"/>
      <c r="B593" s="31"/>
      <c r="C593" s="28"/>
      <c r="D593" s="26" t="str">
        <f>IF(C593="","",IFERROR(VLOOKUP(C593,Productos!$A$5:$I$204,2,FALSE()),"Revisar código"))</f>
        <v/>
      </c>
      <c r="E593" s="29"/>
      <c r="F593" s="30"/>
      <c r="G593" s="36" t="str">
        <f t="shared" si="9"/>
        <v/>
      </c>
      <c r="H593" s="28"/>
      <c r="I593" s="28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21.75" customHeight="1" x14ac:dyDescent="0.25">
      <c r="A594" s="28"/>
      <c r="B594" s="31"/>
      <c r="C594" s="28"/>
      <c r="D594" s="26" t="str">
        <f>IF(C594="","",IFERROR(VLOOKUP(C594,Productos!$A$5:$I$204,2,FALSE()),"Revisar código"))</f>
        <v/>
      </c>
      <c r="E594" s="29"/>
      <c r="F594" s="30"/>
      <c r="G594" s="36" t="str">
        <f t="shared" si="9"/>
        <v/>
      </c>
      <c r="H594" s="28"/>
      <c r="I594" s="28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21.75" customHeight="1" x14ac:dyDescent="0.25">
      <c r="A595" s="28"/>
      <c r="B595" s="31"/>
      <c r="C595" s="28"/>
      <c r="D595" s="26" t="str">
        <f>IF(C595="","",IFERROR(VLOOKUP(C595,Productos!$A$5:$I$204,2,FALSE()),"Revisar código"))</f>
        <v/>
      </c>
      <c r="E595" s="29"/>
      <c r="F595" s="30"/>
      <c r="G595" s="36" t="str">
        <f t="shared" si="9"/>
        <v/>
      </c>
      <c r="H595" s="28"/>
      <c r="I595" s="28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21.75" customHeight="1" x14ac:dyDescent="0.25">
      <c r="A596" s="28"/>
      <c r="B596" s="31"/>
      <c r="C596" s="28"/>
      <c r="D596" s="26" t="str">
        <f>IF(C596="","",IFERROR(VLOOKUP(C596,Productos!$A$5:$I$204,2,FALSE()),"Revisar código"))</f>
        <v/>
      </c>
      <c r="E596" s="29"/>
      <c r="F596" s="30"/>
      <c r="G596" s="36" t="str">
        <f t="shared" si="9"/>
        <v/>
      </c>
      <c r="H596" s="28"/>
      <c r="I596" s="28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21.75" customHeight="1" x14ac:dyDescent="0.25">
      <c r="A597" s="28"/>
      <c r="B597" s="31"/>
      <c r="C597" s="28"/>
      <c r="D597" s="26" t="str">
        <f>IF(C597="","",IFERROR(VLOOKUP(C597,Productos!$A$5:$I$204,2,FALSE()),"Revisar código"))</f>
        <v/>
      </c>
      <c r="E597" s="29"/>
      <c r="F597" s="30"/>
      <c r="G597" s="36" t="str">
        <f t="shared" si="9"/>
        <v/>
      </c>
      <c r="H597" s="28"/>
      <c r="I597" s="28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21.75" customHeight="1" x14ac:dyDescent="0.25">
      <c r="A598" s="28"/>
      <c r="B598" s="31"/>
      <c r="C598" s="28"/>
      <c r="D598" s="26" t="str">
        <f>IF(C598="","",IFERROR(VLOOKUP(C598,Productos!$A$5:$I$204,2,FALSE()),"Revisar código"))</f>
        <v/>
      </c>
      <c r="E598" s="29"/>
      <c r="F598" s="30"/>
      <c r="G598" s="36" t="str">
        <f t="shared" si="9"/>
        <v/>
      </c>
      <c r="H598" s="28"/>
      <c r="I598" s="28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21.75" customHeight="1" x14ac:dyDescent="0.25">
      <c r="A599" s="28"/>
      <c r="B599" s="31"/>
      <c r="C599" s="28"/>
      <c r="D599" s="26" t="str">
        <f>IF(C599="","",IFERROR(VLOOKUP(C599,Productos!$A$5:$I$204,2,FALSE()),"Revisar código"))</f>
        <v/>
      </c>
      <c r="E599" s="29"/>
      <c r="F599" s="30"/>
      <c r="G599" s="36" t="str">
        <f t="shared" si="9"/>
        <v/>
      </c>
      <c r="H599" s="28"/>
      <c r="I599" s="28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21.75" customHeight="1" x14ac:dyDescent="0.25">
      <c r="A600" s="28"/>
      <c r="B600" s="31"/>
      <c r="C600" s="28"/>
      <c r="D600" s="26" t="str">
        <f>IF(C600="","",IFERROR(VLOOKUP(C600,Productos!$A$5:$I$204,2,FALSE()),"Revisar código"))</f>
        <v/>
      </c>
      <c r="E600" s="29"/>
      <c r="F600" s="30"/>
      <c r="G600" s="36" t="str">
        <f t="shared" si="9"/>
        <v/>
      </c>
      <c r="H600" s="28"/>
      <c r="I600" s="28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21.75" customHeight="1" x14ac:dyDescent="0.25">
      <c r="A601" s="28"/>
      <c r="B601" s="31"/>
      <c r="C601" s="28"/>
      <c r="D601" s="26" t="str">
        <f>IF(C601="","",IFERROR(VLOOKUP(C601,Productos!$A$5:$I$204,2,FALSE()),"Revisar código"))</f>
        <v/>
      </c>
      <c r="E601" s="29"/>
      <c r="F601" s="30"/>
      <c r="G601" s="36" t="str">
        <f t="shared" si="9"/>
        <v/>
      </c>
      <c r="H601" s="28"/>
      <c r="I601" s="28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21.75" customHeight="1" x14ac:dyDescent="0.25">
      <c r="A602" s="28"/>
      <c r="B602" s="31"/>
      <c r="C602" s="28"/>
      <c r="D602" s="26" t="str">
        <f>IF(C602="","",IFERROR(VLOOKUP(C602,Productos!$A$5:$I$204,2,FALSE()),"Revisar código"))</f>
        <v/>
      </c>
      <c r="E602" s="29"/>
      <c r="F602" s="30"/>
      <c r="G602" s="36" t="str">
        <f t="shared" si="9"/>
        <v/>
      </c>
      <c r="H602" s="28"/>
      <c r="I602" s="28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21.75" customHeight="1" x14ac:dyDescent="0.25">
      <c r="A603" s="28"/>
      <c r="B603" s="31"/>
      <c r="C603" s="28"/>
      <c r="D603" s="26" t="str">
        <f>IF(C603="","",IFERROR(VLOOKUP(C603,Productos!$A$5:$I$204,2,FALSE()),"Revisar código"))</f>
        <v/>
      </c>
      <c r="E603" s="29"/>
      <c r="F603" s="30"/>
      <c r="G603" s="36" t="str">
        <f t="shared" si="9"/>
        <v/>
      </c>
      <c r="H603" s="28"/>
      <c r="I603" s="28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21.75" customHeight="1" x14ac:dyDescent="0.25">
      <c r="A604" s="28"/>
      <c r="B604" s="31"/>
      <c r="C604" s="28"/>
      <c r="D604" s="26" t="str">
        <f>IF(C604="","",IFERROR(VLOOKUP(C604,Productos!$A$5:$I$204,2,FALSE()),"Revisar código"))</f>
        <v/>
      </c>
      <c r="E604" s="29"/>
      <c r="F604" s="30"/>
      <c r="G604" s="36" t="str">
        <f t="shared" si="9"/>
        <v/>
      </c>
      <c r="H604" s="28"/>
      <c r="I604" s="28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s="13" customFormat="1" ht="21.75" customHeight="1" x14ac:dyDescent="0.25">
      <c r="A605" s="32"/>
      <c r="B605" s="32"/>
      <c r="C605" s="32"/>
      <c r="D605" s="12"/>
      <c r="E605" s="12"/>
      <c r="F605" s="12"/>
      <c r="G605" s="12"/>
      <c r="H605" s="32"/>
      <c r="I605" s="3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s="13" customFormat="1" ht="21.75" customHeight="1" x14ac:dyDescent="0.25">
      <c r="A606" s="32"/>
      <c r="B606" s="32"/>
      <c r="C606" s="32"/>
      <c r="D606" s="12"/>
      <c r="E606" s="12"/>
      <c r="F606" s="12"/>
      <c r="G606" s="12"/>
      <c r="H606" s="32"/>
      <c r="I606" s="3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s="13" customFormat="1" ht="21.75" customHeight="1" x14ac:dyDescent="0.25">
      <c r="A607" s="32"/>
      <c r="B607" s="32"/>
      <c r="C607" s="32"/>
      <c r="D607" s="12"/>
      <c r="E607" s="12"/>
      <c r="F607" s="12"/>
      <c r="G607" s="12"/>
      <c r="H607" s="32"/>
      <c r="I607" s="3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s="13" customFormat="1" ht="21.75" customHeight="1" x14ac:dyDescent="0.25">
      <c r="A608" s="32"/>
      <c r="B608" s="32"/>
      <c r="C608" s="32"/>
      <c r="D608" s="12"/>
      <c r="E608" s="12"/>
      <c r="F608" s="12"/>
      <c r="G608" s="12"/>
      <c r="H608" s="32"/>
      <c r="I608" s="3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s="13" customFormat="1" ht="21.75" customHeight="1" x14ac:dyDescent="0.25">
      <c r="A609" s="32"/>
      <c r="B609" s="32"/>
      <c r="C609" s="32"/>
      <c r="D609" s="12"/>
      <c r="E609" s="12"/>
      <c r="F609" s="12"/>
      <c r="G609" s="12"/>
      <c r="H609" s="32"/>
      <c r="I609" s="3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s="13" customFormat="1" ht="21.75" customHeight="1" x14ac:dyDescent="0.25">
      <c r="A610" s="32"/>
      <c r="B610" s="32"/>
      <c r="C610" s="32"/>
      <c r="D610" s="12"/>
      <c r="E610" s="12"/>
      <c r="F610" s="12"/>
      <c r="G610" s="12"/>
      <c r="H610" s="32"/>
      <c r="I610" s="3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s="13" customFormat="1" ht="21.75" customHeight="1" x14ac:dyDescent="0.25">
      <c r="A611" s="32"/>
      <c r="B611" s="32"/>
      <c r="C611" s="32"/>
      <c r="D611" s="12"/>
      <c r="E611" s="12"/>
      <c r="F611" s="12"/>
      <c r="G611" s="12"/>
      <c r="H611" s="32"/>
      <c r="I611" s="3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s="13" customFormat="1" ht="21.75" customHeight="1" x14ac:dyDescent="0.25">
      <c r="A612" s="32"/>
      <c r="B612" s="32"/>
      <c r="C612" s="32"/>
      <c r="D612" s="12"/>
      <c r="E612" s="12"/>
      <c r="F612" s="12"/>
      <c r="G612" s="12"/>
      <c r="H612" s="32"/>
      <c r="I612" s="3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s="13" customFormat="1" ht="21.75" customHeight="1" x14ac:dyDescent="0.25">
      <c r="A613" s="32"/>
      <c r="B613" s="32"/>
      <c r="C613" s="32"/>
      <c r="D613" s="12"/>
      <c r="E613" s="12"/>
      <c r="F613" s="12"/>
      <c r="G613" s="12"/>
      <c r="H613" s="32"/>
      <c r="I613" s="3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s="13" customFormat="1" ht="21.75" customHeight="1" x14ac:dyDescent="0.25">
      <c r="A614" s="32"/>
      <c r="B614" s="32"/>
      <c r="C614" s="32"/>
      <c r="D614" s="12"/>
      <c r="E614" s="12"/>
      <c r="F614" s="12"/>
      <c r="G614" s="12"/>
      <c r="H614" s="32"/>
      <c r="I614" s="3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s="13" customFormat="1" ht="21.75" customHeight="1" x14ac:dyDescent="0.25">
      <c r="A615" s="32"/>
      <c r="B615" s="32"/>
      <c r="C615" s="32"/>
      <c r="D615" s="12"/>
      <c r="E615" s="12"/>
      <c r="F615" s="12"/>
      <c r="G615" s="12"/>
      <c r="H615" s="32"/>
      <c r="I615" s="3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s="13" customFormat="1" ht="21.75" customHeight="1" x14ac:dyDescent="0.25">
      <c r="A616" s="32"/>
      <c r="B616" s="32"/>
      <c r="C616" s="32"/>
      <c r="D616" s="12"/>
      <c r="E616" s="12"/>
      <c r="F616" s="12"/>
      <c r="G616" s="12"/>
      <c r="H616" s="32"/>
      <c r="I616" s="3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s="13" customFormat="1" ht="21.75" customHeight="1" x14ac:dyDescent="0.25">
      <c r="A617" s="32"/>
      <c r="B617" s="32"/>
      <c r="C617" s="32"/>
      <c r="D617" s="12"/>
      <c r="E617" s="12"/>
      <c r="F617" s="12"/>
      <c r="G617" s="12"/>
      <c r="H617" s="32"/>
      <c r="I617" s="3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s="13" customFormat="1" ht="21.75" customHeight="1" x14ac:dyDescent="0.25">
      <c r="A618" s="32"/>
      <c r="B618" s="32"/>
      <c r="C618" s="32"/>
      <c r="D618" s="12"/>
      <c r="E618" s="12"/>
      <c r="F618" s="12"/>
      <c r="G618" s="12"/>
      <c r="H618" s="32"/>
      <c r="I618" s="3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s="13" customFormat="1" ht="21.75" customHeight="1" x14ac:dyDescent="0.25">
      <c r="A619" s="32"/>
      <c r="B619" s="32"/>
      <c r="C619" s="32"/>
      <c r="D619" s="12"/>
      <c r="E619" s="12"/>
      <c r="F619" s="12"/>
      <c r="G619" s="12"/>
      <c r="H619" s="32"/>
      <c r="I619" s="3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s="13" customFormat="1" ht="21.75" customHeight="1" x14ac:dyDescent="0.25">
      <c r="A620" s="32"/>
      <c r="B620" s="32"/>
      <c r="C620" s="32"/>
      <c r="D620" s="12"/>
      <c r="E620" s="12"/>
      <c r="F620" s="12"/>
      <c r="G620" s="12"/>
      <c r="H620" s="32"/>
      <c r="I620" s="3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s="13" customFormat="1" ht="21.75" customHeight="1" x14ac:dyDescent="0.25">
      <c r="A621" s="32"/>
      <c r="B621" s="32"/>
      <c r="C621" s="32"/>
      <c r="D621" s="12"/>
      <c r="E621" s="12"/>
      <c r="F621" s="12"/>
      <c r="G621" s="12"/>
      <c r="H621" s="32"/>
      <c r="I621" s="3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s="13" customFormat="1" ht="21.75" customHeight="1" x14ac:dyDescent="0.25">
      <c r="A622" s="32"/>
      <c r="B622" s="32"/>
      <c r="C622" s="32"/>
      <c r="D622" s="12"/>
      <c r="E622" s="12"/>
      <c r="F622" s="12"/>
      <c r="G622" s="12"/>
      <c r="H622" s="32"/>
      <c r="I622" s="3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s="13" customFormat="1" ht="21.75" customHeight="1" x14ac:dyDescent="0.25">
      <c r="A623" s="32"/>
      <c r="B623" s="32"/>
      <c r="C623" s="32"/>
      <c r="D623" s="12"/>
      <c r="E623" s="12"/>
      <c r="F623" s="12"/>
      <c r="G623" s="12"/>
      <c r="H623" s="32"/>
      <c r="I623" s="3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s="13" customFormat="1" ht="21.75" customHeight="1" x14ac:dyDescent="0.25">
      <c r="A624" s="32"/>
      <c r="B624" s="32"/>
      <c r="C624" s="32"/>
      <c r="D624" s="12"/>
      <c r="E624" s="12"/>
      <c r="F624" s="12"/>
      <c r="G624" s="12"/>
      <c r="H624" s="32"/>
      <c r="I624" s="3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s="13" customFormat="1" ht="21.75" customHeight="1" x14ac:dyDescent="0.25">
      <c r="A625" s="32"/>
      <c r="B625" s="32"/>
      <c r="C625" s="32"/>
      <c r="D625" s="12"/>
      <c r="E625" s="12"/>
      <c r="F625" s="12"/>
      <c r="G625" s="12"/>
      <c r="H625" s="32"/>
      <c r="I625" s="3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s="13" customFormat="1" ht="21.75" customHeight="1" x14ac:dyDescent="0.25">
      <c r="A626" s="32"/>
      <c r="B626" s="32"/>
      <c r="C626" s="32"/>
      <c r="D626" s="12"/>
      <c r="E626" s="12"/>
      <c r="F626" s="12"/>
      <c r="G626" s="12"/>
      <c r="H626" s="32"/>
      <c r="I626" s="3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s="13" customFormat="1" ht="21.75" customHeight="1" x14ac:dyDescent="0.25">
      <c r="A627" s="32"/>
      <c r="B627" s="32"/>
      <c r="C627" s="32"/>
      <c r="D627" s="12"/>
      <c r="E627" s="12"/>
      <c r="F627" s="12"/>
      <c r="G627" s="12"/>
      <c r="H627" s="32"/>
      <c r="I627" s="3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s="13" customFormat="1" ht="21.75" customHeight="1" x14ac:dyDescent="0.25">
      <c r="A628" s="32"/>
      <c r="B628" s="32"/>
      <c r="C628" s="32"/>
      <c r="D628" s="12"/>
      <c r="E628" s="12"/>
      <c r="F628" s="12"/>
      <c r="G628" s="12"/>
      <c r="H628" s="32"/>
      <c r="I628" s="3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s="13" customFormat="1" ht="21.75" customHeight="1" x14ac:dyDescent="0.25">
      <c r="A629" s="32"/>
      <c r="B629" s="32"/>
      <c r="C629" s="32"/>
      <c r="D629" s="12"/>
      <c r="E629" s="12"/>
      <c r="F629" s="12"/>
      <c r="G629" s="12"/>
      <c r="H629" s="32"/>
      <c r="I629" s="3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s="13" customFormat="1" ht="21.75" customHeight="1" x14ac:dyDescent="0.25">
      <c r="A630" s="32"/>
      <c r="B630" s="32"/>
      <c r="C630" s="32"/>
      <c r="D630" s="12"/>
      <c r="E630" s="12"/>
      <c r="F630" s="12"/>
      <c r="G630" s="12"/>
      <c r="H630" s="32"/>
      <c r="I630" s="3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s="13" customFormat="1" ht="21.75" customHeight="1" x14ac:dyDescent="0.25">
      <c r="A631" s="32"/>
      <c r="B631" s="32"/>
      <c r="C631" s="32"/>
      <c r="D631" s="12"/>
      <c r="E631" s="12"/>
      <c r="F631" s="12"/>
      <c r="G631" s="12"/>
      <c r="H631" s="32"/>
      <c r="I631" s="3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s="13" customFormat="1" ht="21.75" customHeight="1" x14ac:dyDescent="0.25">
      <c r="A632" s="32"/>
      <c r="B632" s="32"/>
      <c r="C632" s="32"/>
      <c r="D632" s="12"/>
      <c r="E632" s="12"/>
      <c r="F632" s="12"/>
      <c r="G632" s="12"/>
      <c r="H632" s="32"/>
      <c r="I632" s="3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s="13" customFormat="1" ht="21.75" customHeight="1" x14ac:dyDescent="0.25">
      <c r="A633" s="32"/>
      <c r="B633" s="32"/>
      <c r="C633" s="32"/>
      <c r="D633" s="12"/>
      <c r="E633" s="12"/>
      <c r="F633" s="12"/>
      <c r="G633" s="12"/>
      <c r="H633" s="32"/>
      <c r="I633" s="3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s="13" customFormat="1" ht="21.75" customHeight="1" x14ac:dyDescent="0.25">
      <c r="A634" s="32"/>
      <c r="B634" s="32"/>
      <c r="C634" s="32"/>
      <c r="D634" s="12"/>
      <c r="E634" s="12"/>
      <c r="F634" s="12"/>
      <c r="G634" s="12"/>
      <c r="H634" s="32"/>
      <c r="I634" s="3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s="13" customFormat="1" ht="21.75" customHeight="1" x14ac:dyDescent="0.25">
      <c r="A635" s="32"/>
      <c r="B635" s="32"/>
      <c r="C635" s="32"/>
      <c r="D635" s="12"/>
      <c r="E635" s="12"/>
      <c r="F635" s="12"/>
      <c r="G635" s="12"/>
      <c r="H635" s="32"/>
      <c r="I635" s="3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s="13" customFormat="1" ht="21.75" customHeight="1" x14ac:dyDescent="0.25">
      <c r="A636" s="32"/>
      <c r="B636" s="32"/>
      <c r="C636" s="32"/>
      <c r="D636" s="12"/>
      <c r="E636" s="12"/>
      <c r="F636" s="12"/>
      <c r="G636" s="12"/>
      <c r="H636" s="32"/>
      <c r="I636" s="3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s="13" customFormat="1" ht="21.75" customHeight="1" x14ac:dyDescent="0.25">
      <c r="A637" s="32"/>
      <c r="B637" s="32"/>
      <c r="C637" s="32"/>
      <c r="D637" s="12"/>
      <c r="E637" s="12"/>
      <c r="F637" s="12"/>
      <c r="G637" s="12"/>
      <c r="H637" s="32"/>
      <c r="I637" s="3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s="13" customFormat="1" ht="21.75" customHeight="1" x14ac:dyDescent="0.25">
      <c r="A638" s="32"/>
      <c r="B638" s="32"/>
      <c r="C638" s="32"/>
      <c r="D638" s="12"/>
      <c r="E638" s="12"/>
      <c r="F638" s="12"/>
      <c r="G638" s="12"/>
      <c r="H638" s="32"/>
      <c r="I638" s="3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s="13" customFormat="1" ht="21.75" customHeight="1" x14ac:dyDescent="0.25">
      <c r="A639" s="32"/>
      <c r="B639" s="32"/>
      <c r="C639" s="32"/>
      <c r="D639" s="12"/>
      <c r="E639" s="12"/>
      <c r="F639" s="12"/>
      <c r="G639" s="12"/>
      <c r="H639" s="32"/>
      <c r="I639" s="3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s="13" customFormat="1" ht="21.75" customHeight="1" x14ac:dyDescent="0.25">
      <c r="A640" s="32"/>
      <c r="B640" s="32"/>
      <c r="C640" s="32"/>
      <c r="D640" s="12"/>
      <c r="E640" s="12"/>
      <c r="F640" s="12"/>
      <c r="G640" s="12"/>
      <c r="H640" s="32"/>
      <c r="I640" s="3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s="13" customFormat="1" ht="21.75" customHeight="1" x14ac:dyDescent="0.25">
      <c r="A641" s="33"/>
      <c r="B641" s="33"/>
      <c r="C641" s="33"/>
      <c r="H641" s="33"/>
      <c r="I641" s="33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s="13" customFormat="1" ht="21.75" customHeight="1" x14ac:dyDescent="0.25">
      <c r="A642" s="33"/>
      <c r="B642" s="33"/>
      <c r="C642" s="33"/>
      <c r="H642" s="33"/>
      <c r="I642" s="33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s="13" customFormat="1" ht="21.75" customHeight="1" x14ac:dyDescent="0.25">
      <c r="A643" s="33"/>
      <c r="B643" s="33"/>
      <c r="C643" s="33"/>
      <c r="H643" s="33"/>
      <c r="I643" s="33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21.75" customHeight="1" x14ac:dyDescent="0.25"/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3333"/>
  </sheetPr>
  <dimension ref="A1:I644"/>
  <sheetViews>
    <sheetView showGridLines="0" zoomScaleNormal="100" workbookViewId="0">
      <pane ySplit="4" topLeftCell="A5" activePane="bottomLeft" state="frozen"/>
      <selection pane="bottomLeft" activeCell="G10" sqref="G10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3" width="18" customWidth="1"/>
    <col min="4" max="4" width="34" customWidth="1"/>
    <col min="5" max="5" width="14" customWidth="1"/>
    <col min="6" max="6" width="18" customWidth="1"/>
    <col min="7" max="8" width="22" customWidth="1"/>
    <col min="9" max="9" width="26" customWidth="1"/>
  </cols>
  <sheetData>
    <row r="1" spans="1:9" ht="21.75" customHeight="1" x14ac:dyDescent="0.25">
      <c r="A1" s="10" t="s">
        <v>102</v>
      </c>
      <c r="B1" s="10"/>
      <c r="C1" s="10"/>
      <c r="D1" s="10"/>
      <c r="E1" s="10"/>
      <c r="F1" s="10"/>
      <c r="G1" s="10"/>
      <c r="H1" s="10"/>
      <c r="I1" s="10"/>
    </row>
    <row r="2" spans="1:9" ht="21.75" customHeight="1" x14ac:dyDescent="0.25">
      <c r="A2" s="11" t="s">
        <v>103</v>
      </c>
      <c r="B2" s="11"/>
      <c r="C2" s="11"/>
      <c r="D2" s="11"/>
      <c r="E2" s="11"/>
      <c r="F2" s="11"/>
      <c r="G2" s="11"/>
      <c r="H2" s="11"/>
      <c r="I2" s="11"/>
    </row>
    <row r="3" spans="1:9" s="13" customFormat="1" ht="21.75" customHeight="1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9" ht="21.75" customHeight="1" x14ac:dyDescent="0.25">
      <c r="A4" s="1" t="s">
        <v>104</v>
      </c>
      <c r="B4" s="1" t="s">
        <v>93</v>
      </c>
      <c r="C4" s="1" t="s">
        <v>54</v>
      </c>
      <c r="D4" s="1" t="s">
        <v>48</v>
      </c>
      <c r="E4" s="1" t="s">
        <v>94</v>
      </c>
      <c r="F4" s="1" t="s">
        <v>105</v>
      </c>
      <c r="G4" s="1" t="s">
        <v>106</v>
      </c>
      <c r="H4" s="1" t="s">
        <v>107</v>
      </c>
      <c r="I4" s="1" t="s">
        <v>60</v>
      </c>
    </row>
    <row r="5" spans="1:9" ht="21.75" customHeight="1" x14ac:dyDescent="0.25">
      <c r="A5" s="28" t="s">
        <v>108</v>
      </c>
      <c r="B5" s="31">
        <f>DATE(2026,1,28)</f>
        <v>46050</v>
      </c>
      <c r="C5" s="28" t="s">
        <v>61</v>
      </c>
      <c r="D5" s="26" t="str">
        <f>IF(C5="","",IFERROR(VLOOKUP(C5,Productos!$A$5:$I$504,2,FALSE()),"Revisar código"))</f>
        <v>Anillo luna plata</v>
      </c>
      <c r="E5" s="29">
        <v>5</v>
      </c>
      <c r="F5" s="28" t="s">
        <v>109</v>
      </c>
      <c r="G5" s="28" t="s">
        <v>110</v>
      </c>
      <c r="H5" s="28" t="s">
        <v>111</v>
      </c>
      <c r="I5" s="28"/>
    </row>
    <row r="6" spans="1:9" ht="21.75" customHeight="1" x14ac:dyDescent="0.25">
      <c r="A6" s="28" t="s">
        <v>112</v>
      </c>
      <c r="B6" s="31">
        <f>DATE(2026,2,12)</f>
        <v>46065</v>
      </c>
      <c r="C6" s="28" t="s">
        <v>82</v>
      </c>
      <c r="D6" s="26" t="str">
        <f>IF(C6="","",IFERROR(VLOOKUP(C6,Productos!$A$5:$I$504,2,FALSE()),"Revisar código"))</f>
        <v>Pendientes ídolo oro rosa</v>
      </c>
      <c r="E6" s="29">
        <v>2</v>
      </c>
      <c r="F6" s="28" t="s">
        <v>109</v>
      </c>
      <c r="G6" s="28" t="s">
        <v>113</v>
      </c>
      <c r="H6" s="28" t="s">
        <v>111</v>
      </c>
      <c r="I6" s="28"/>
    </row>
    <row r="7" spans="1:9" ht="21.75" customHeight="1" x14ac:dyDescent="0.25">
      <c r="A7" s="28" t="s">
        <v>114</v>
      </c>
      <c r="B7" s="31">
        <f>DATE(2026,2,15)</f>
        <v>46068</v>
      </c>
      <c r="C7" s="28" t="s">
        <v>65</v>
      </c>
      <c r="D7" s="26" t="str">
        <f>IF(C7="","",IFERROR(VLOOKUP(C7,Productos!$A$5:$I$504,2,FALSE()),"Revisar código"))</f>
        <v>Anillo venus plata</v>
      </c>
      <c r="E7" s="29">
        <v>15</v>
      </c>
      <c r="F7" s="28" t="s">
        <v>109</v>
      </c>
      <c r="G7" s="28" t="s">
        <v>115</v>
      </c>
      <c r="H7" s="28" t="s">
        <v>116</v>
      </c>
      <c r="I7" s="28"/>
    </row>
    <row r="8" spans="1:9" ht="21.75" customHeight="1" x14ac:dyDescent="0.25">
      <c r="A8" s="28" t="s">
        <v>117</v>
      </c>
      <c r="B8" s="31">
        <f>DATE(2026,3,22)</f>
        <v>46103</v>
      </c>
      <c r="C8" s="28" t="s">
        <v>71</v>
      </c>
      <c r="D8" s="26" t="str">
        <f>IF(C8="","",IFERROR(VLOOKUP(C8,Productos!$A$5:$I$504,2,FALSE()),"Revisar código"))</f>
        <v>Pulsera rubí plata</v>
      </c>
      <c r="E8" s="29">
        <v>3</v>
      </c>
      <c r="F8" s="28" t="s">
        <v>118</v>
      </c>
      <c r="G8" s="28" t="s">
        <v>119</v>
      </c>
      <c r="H8" s="28" t="s">
        <v>116</v>
      </c>
      <c r="I8" s="28"/>
    </row>
    <row r="9" spans="1:9" ht="21.75" customHeight="1" x14ac:dyDescent="0.25">
      <c r="A9" s="28" t="s">
        <v>120</v>
      </c>
      <c r="B9" s="31">
        <f>DATE(2026,4,5)</f>
        <v>46117</v>
      </c>
      <c r="C9" s="28" t="s">
        <v>88</v>
      </c>
      <c r="D9" s="26" t="str">
        <f>IF(C9="","",IFERROR(VLOOKUP(C9,Productos!$A$5:$I$504,2,FALSE()),"Revisar código"))</f>
        <v>Anillo cielo plata</v>
      </c>
      <c r="E9" s="29">
        <v>10</v>
      </c>
      <c r="F9" s="28" t="s">
        <v>109</v>
      </c>
      <c r="G9" s="28" t="s">
        <v>121</v>
      </c>
      <c r="H9" s="28" t="s">
        <v>111</v>
      </c>
      <c r="I9" s="28"/>
    </row>
    <row r="10" spans="1:9" ht="21.75" customHeight="1" x14ac:dyDescent="0.25">
      <c r="A10" s="28"/>
      <c r="B10" s="31"/>
      <c r="C10" s="28"/>
      <c r="D10" s="26" t="str">
        <f>IF(C10="","",IFERROR(VLOOKUP(C10,Productos!$A$5:$I$504,2,FALSE()),"Revisar código"))</f>
        <v/>
      </c>
      <c r="E10" s="29"/>
      <c r="F10" s="28"/>
      <c r="G10" s="28"/>
      <c r="H10" s="28"/>
      <c r="I10" s="28"/>
    </row>
    <row r="11" spans="1:9" ht="21.75" customHeight="1" x14ac:dyDescent="0.25">
      <c r="A11" s="28"/>
      <c r="B11" s="31"/>
      <c r="C11" s="28"/>
      <c r="D11" s="26" t="str">
        <f>IF(C11="","",IFERROR(VLOOKUP(C11,Productos!$A$5:$I$504,2,FALSE()),"Revisar código"))</f>
        <v/>
      </c>
      <c r="E11" s="29"/>
      <c r="F11" s="28"/>
      <c r="G11" s="28"/>
      <c r="H11" s="28"/>
      <c r="I11" s="28"/>
    </row>
    <row r="12" spans="1:9" ht="21.75" customHeight="1" x14ac:dyDescent="0.25">
      <c r="A12" s="28"/>
      <c r="B12" s="31"/>
      <c r="C12" s="28"/>
      <c r="D12" s="26" t="str">
        <f>IF(C12="","",IFERROR(VLOOKUP(C12,Productos!$A$5:$I$504,2,FALSE()),"Revisar código"))</f>
        <v/>
      </c>
      <c r="E12" s="29"/>
      <c r="F12" s="28"/>
      <c r="G12" s="28"/>
      <c r="H12" s="28"/>
      <c r="I12" s="28"/>
    </row>
    <row r="13" spans="1:9" ht="21.75" customHeight="1" x14ac:dyDescent="0.25">
      <c r="A13" s="28"/>
      <c r="B13" s="31"/>
      <c r="C13" s="28"/>
      <c r="D13" s="26" t="str">
        <f>IF(C13="","",IFERROR(VLOOKUP(C13,Productos!$A$5:$I$504,2,FALSE()),"Revisar código"))</f>
        <v/>
      </c>
      <c r="E13" s="29"/>
      <c r="F13" s="28"/>
      <c r="G13" s="28"/>
      <c r="H13" s="28"/>
      <c r="I13" s="28"/>
    </row>
    <row r="14" spans="1:9" ht="21.75" customHeight="1" x14ac:dyDescent="0.25">
      <c r="A14" s="28"/>
      <c r="B14" s="31"/>
      <c r="C14" s="28"/>
      <c r="D14" s="26" t="str">
        <f>IF(C14="","",IFERROR(VLOOKUP(C14,Productos!$A$5:$I$504,2,FALSE()),"Revisar código"))</f>
        <v/>
      </c>
      <c r="E14" s="29"/>
      <c r="F14" s="28"/>
      <c r="G14" s="28"/>
      <c r="H14" s="28"/>
      <c r="I14" s="28"/>
    </row>
    <row r="15" spans="1:9" ht="21.75" customHeight="1" x14ac:dyDescent="0.25">
      <c r="A15" s="28"/>
      <c r="B15" s="31"/>
      <c r="C15" s="28"/>
      <c r="D15" s="26" t="str">
        <f>IF(C15="","",IFERROR(VLOOKUP(C15,Productos!$A$5:$I$504,2,FALSE()),"Revisar código"))</f>
        <v/>
      </c>
      <c r="E15" s="29"/>
      <c r="F15" s="28"/>
      <c r="G15" s="28"/>
      <c r="H15" s="28"/>
      <c r="I15" s="28"/>
    </row>
    <row r="16" spans="1:9" ht="21.75" customHeight="1" x14ac:dyDescent="0.25">
      <c r="A16" s="28"/>
      <c r="B16" s="31"/>
      <c r="C16" s="28"/>
      <c r="D16" s="26" t="str">
        <f>IF(C16="","",IFERROR(VLOOKUP(C16,Productos!$A$5:$I$504,2,FALSE()),"Revisar código"))</f>
        <v/>
      </c>
      <c r="E16" s="29"/>
      <c r="F16" s="28"/>
      <c r="G16" s="28"/>
      <c r="H16" s="28"/>
      <c r="I16" s="28"/>
    </row>
    <row r="17" spans="1:9" ht="21.75" customHeight="1" x14ac:dyDescent="0.25">
      <c r="A17" s="28"/>
      <c r="B17" s="31"/>
      <c r="C17" s="28"/>
      <c r="D17" s="26" t="str">
        <f>IF(C17="","",IFERROR(VLOOKUP(C17,Productos!$A$5:$I$504,2,FALSE()),"Revisar código"))</f>
        <v/>
      </c>
      <c r="E17" s="29"/>
      <c r="F17" s="28"/>
      <c r="G17" s="28"/>
      <c r="H17" s="28"/>
      <c r="I17" s="28"/>
    </row>
    <row r="18" spans="1:9" ht="21.75" customHeight="1" x14ac:dyDescent="0.25">
      <c r="A18" s="28"/>
      <c r="B18" s="31"/>
      <c r="C18" s="28"/>
      <c r="D18" s="26" t="str">
        <f>IF(C18="","",IFERROR(VLOOKUP(C18,Productos!$A$5:$I$504,2,FALSE()),"Revisar código"))</f>
        <v/>
      </c>
      <c r="E18" s="29"/>
      <c r="F18" s="28"/>
      <c r="G18" s="28"/>
      <c r="H18" s="28"/>
      <c r="I18" s="28"/>
    </row>
    <row r="19" spans="1:9" ht="21.75" customHeight="1" x14ac:dyDescent="0.25">
      <c r="A19" s="28"/>
      <c r="B19" s="31"/>
      <c r="C19" s="28"/>
      <c r="D19" s="26" t="str">
        <f>IF(C19="","",IFERROR(VLOOKUP(C19,Productos!$A$5:$I$504,2,FALSE()),"Revisar código"))</f>
        <v/>
      </c>
      <c r="E19" s="29"/>
      <c r="F19" s="28"/>
      <c r="G19" s="28"/>
      <c r="H19" s="28"/>
      <c r="I19" s="28"/>
    </row>
    <row r="20" spans="1:9" ht="21.75" customHeight="1" x14ac:dyDescent="0.25">
      <c r="A20" s="28"/>
      <c r="B20" s="31"/>
      <c r="C20" s="28"/>
      <c r="D20" s="26" t="str">
        <f>IF(C20="","",IFERROR(VLOOKUP(C20,Productos!$A$5:$I$504,2,FALSE()),"Revisar código"))</f>
        <v/>
      </c>
      <c r="E20" s="29"/>
      <c r="F20" s="28"/>
      <c r="G20" s="28"/>
      <c r="H20" s="28"/>
      <c r="I20" s="28"/>
    </row>
    <row r="21" spans="1:9" ht="21.75" customHeight="1" x14ac:dyDescent="0.25">
      <c r="A21" s="28"/>
      <c r="B21" s="31"/>
      <c r="C21" s="28"/>
      <c r="D21" s="26" t="str">
        <f>IF(C21="","",IFERROR(VLOOKUP(C21,Productos!$A$5:$I$504,2,FALSE()),"Revisar código"))</f>
        <v/>
      </c>
      <c r="E21" s="29"/>
      <c r="F21" s="28"/>
      <c r="G21" s="28"/>
      <c r="H21" s="28"/>
      <c r="I21" s="28"/>
    </row>
    <row r="22" spans="1:9" ht="21.75" customHeight="1" x14ac:dyDescent="0.25">
      <c r="A22" s="28"/>
      <c r="B22" s="31"/>
      <c r="C22" s="28"/>
      <c r="D22" s="26" t="str">
        <f>IF(C22="","",IFERROR(VLOOKUP(C22,Productos!$A$5:$I$504,2,FALSE()),"Revisar código"))</f>
        <v/>
      </c>
      <c r="E22" s="29"/>
      <c r="F22" s="28"/>
      <c r="G22" s="28"/>
      <c r="H22" s="28"/>
      <c r="I22" s="28"/>
    </row>
    <row r="23" spans="1:9" ht="21.75" customHeight="1" x14ac:dyDescent="0.25">
      <c r="A23" s="28"/>
      <c r="B23" s="31"/>
      <c r="C23" s="28"/>
      <c r="D23" s="26" t="str">
        <f>IF(C23="","",IFERROR(VLOOKUP(C23,Productos!$A$5:$I$504,2,FALSE()),"Revisar código"))</f>
        <v/>
      </c>
      <c r="E23" s="29"/>
      <c r="F23" s="28"/>
      <c r="G23" s="28"/>
      <c r="H23" s="28"/>
      <c r="I23" s="28"/>
    </row>
    <row r="24" spans="1:9" ht="21.75" customHeight="1" x14ac:dyDescent="0.25">
      <c r="A24" s="28"/>
      <c r="B24" s="31"/>
      <c r="C24" s="28"/>
      <c r="D24" s="26" t="str">
        <f>IF(C24="","",IFERROR(VLOOKUP(C24,Productos!$A$5:$I$504,2,FALSE()),"Revisar código"))</f>
        <v/>
      </c>
      <c r="E24" s="29"/>
      <c r="F24" s="28"/>
      <c r="G24" s="28"/>
      <c r="H24" s="28"/>
      <c r="I24" s="28"/>
    </row>
    <row r="25" spans="1:9" ht="21.75" customHeight="1" x14ac:dyDescent="0.25">
      <c r="A25" s="28"/>
      <c r="B25" s="31"/>
      <c r="C25" s="28"/>
      <c r="D25" s="26" t="str">
        <f>IF(C25="","",IFERROR(VLOOKUP(C25,Productos!$A$5:$I$504,2,FALSE()),"Revisar código"))</f>
        <v/>
      </c>
      <c r="E25" s="29"/>
      <c r="F25" s="28"/>
      <c r="G25" s="28"/>
      <c r="H25" s="28"/>
      <c r="I25" s="28"/>
    </row>
    <row r="26" spans="1:9" ht="21.75" customHeight="1" x14ac:dyDescent="0.25">
      <c r="A26" s="28"/>
      <c r="B26" s="31"/>
      <c r="C26" s="28"/>
      <c r="D26" s="26" t="str">
        <f>IF(C26="","",IFERROR(VLOOKUP(C26,Productos!$A$5:$I$504,2,FALSE()),"Revisar código"))</f>
        <v/>
      </c>
      <c r="E26" s="29"/>
      <c r="F26" s="28"/>
      <c r="G26" s="28"/>
      <c r="H26" s="28"/>
      <c r="I26" s="28"/>
    </row>
    <row r="27" spans="1:9" ht="21.75" customHeight="1" x14ac:dyDescent="0.25">
      <c r="A27" s="28"/>
      <c r="B27" s="31"/>
      <c r="C27" s="28"/>
      <c r="D27" s="26" t="str">
        <f>IF(C27="","",IFERROR(VLOOKUP(C27,Productos!$A$5:$I$504,2,FALSE()),"Revisar código"))</f>
        <v/>
      </c>
      <c r="E27" s="29"/>
      <c r="F27" s="28"/>
      <c r="G27" s="28"/>
      <c r="H27" s="28"/>
      <c r="I27" s="28"/>
    </row>
    <row r="28" spans="1:9" ht="21.75" customHeight="1" x14ac:dyDescent="0.25">
      <c r="A28" s="28"/>
      <c r="B28" s="31"/>
      <c r="C28" s="28"/>
      <c r="D28" s="26" t="str">
        <f>IF(C28="","",IFERROR(VLOOKUP(C28,Productos!$A$5:$I$504,2,FALSE()),"Revisar código"))</f>
        <v/>
      </c>
      <c r="E28" s="29"/>
      <c r="F28" s="28"/>
      <c r="G28" s="28"/>
      <c r="H28" s="28"/>
      <c r="I28" s="28"/>
    </row>
    <row r="29" spans="1:9" ht="21.75" customHeight="1" x14ac:dyDescent="0.25">
      <c r="A29" s="28"/>
      <c r="B29" s="31"/>
      <c r="C29" s="28"/>
      <c r="D29" s="26" t="str">
        <f>IF(C29="","",IFERROR(VLOOKUP(C29,Productos!$A$5:$I$504,2,FALSE()),"Revisar código"))</f>
        <v/>
      </c>
      <c r="E29" s="29"/>
      <c r="F29" s="28"/>
      <c r="G29" s="28"/>
      <c r="H29" s="28"/>
      <c r="I29" s="28"/>
    </row>
    <row r="30" spans="1:9" ht="21.75" customHeight="1" x14ac:dyDescent="0.25">
      <c r="A30" s="28"/>
      <c r="B30" s="31"/>
      <c r="C30" s="28"/>
      <c r="D30" s="26" t="str">
        <f>IF(C30="","",IFERROR(VLOOKUP(C30,Productos!$A$5:$I$504,2,FALSE()),"Revisar código"))</f>
        <v/>
      </c>
      <c r="E30" s="29"/>
      <c r="F30" s="28"/>
      <c r="G30" s="28"/>
      <c r="H30" s="28"/>
      <c r="I30" s="28"/>
    </row>
    <row r="31" spans="1:9" ht="21.75" customHeight="1" x14ac:dyDescent="0.25">
      <c r="A31" s="28"/>
      <c r="B31" s="31"/>
      <c r="C31" s="28"/>
      <c r="D31" s="26" t="str">
        <f>IF(C31="","",IFERROR(VLOOKUP(C31,Productos!$A$5:$I$504,2,FALSE()),"Revisar código"))</f>
        <v/>
      </c>
      <c r="E31" s="29"/>
      <c r="F31" s="28"/>
      <c r="G31" s="28"/>
      <c r="H31" s="28"/>
      <c r="I31" s="28"/>
    </row>
    <row r="32" spans="1:9" ht="21.75" customHeight="1" x14ac:dyDescent="0.25">
      <c r="A32" s="28"/>
      <c r="B32" s="31"/>
      <c r="C32" s="28"/>
      <c r="D32" s="26" t="str">
        <f>IF(C32="","",IFERROR(VLOOKUP(C32,Productos!$A$5:$I$504,2,FALSE()),"Revisar código"))</f>
        <v/>
      </c>
      <c r="E32" s="29"/>
      <c r="F32" s="28"/>
      <c r="G32" s="28"/>
      <c r="H32" s="28"/>
      <c r="I32" s="28"/>
    </row>
    <row r="33" spans="1:9" ht="21.75" customHeight="1" x14ac:dyDescent="0.25">
      <c r="A33" s="28"/>
      <c r="B33" s="31"/>
      <c r="C33" s="28"/>
      <c r="D33" s="26" t="str">
        <f>IF(C33="","",IFERROR(VLOOKUP(C33,Productos!$A$5:$I$504,2,FALSE()),"Revisar código"))</f>
        <v/>
      </c>
      <c r="E33" s="29"/>
      <c r="F33" s="28"/>
      <c r="G33" s="28"/>
      <c r="H33" s="28"/>
      <c r="I33" s="28"/>
    </row>
    <row r="34" spans="1:9" ht="21.75" customHeight="1" x14ac:dyDescent="0.25">
      <c r="A34" s="28"/>
      <c r="B34" s="31"/>
      <c r="C34" s="28"/>
      <c r="D34" s="26" t="str">
        <f>IF(C34="","",IFERROR(VLOOKUP(C34,Productos!$A$5:$I$504,2,FALSE()),"Revisar código"))</f>
        <v/>
      </c>
      <c r="E34" s="29"/>
      <c r="F34" s="28"/>
      <c r="G34" s="28"/>
      <c r="H34" s="28"/>
      <c r="I34" s="28"/>
    </row>
    <row r="35" spans="1:9" ht="21.75" customHeight="1" x14ac:dyDescent="0.25">
      <c r="A35" s="28"/>
      <c r="B35" s="31"/>
      <c r="C35" s="28"/>
      <c r="D35" s="26" t="str">
        <f>IF(C35="","",IFERROR(VLOOKUP(C35,Productos!$A$5:$I$504,2,FALSE()),"Revisar código"))</f>
        <v/>
      </c>
      <c r="E35" s="29"/>
      <c r="F35" s="28"/>
      <c r="G35" s="28"/>
      <c r="H35" s="28"/>
      <c r="I35" s="28"/>
    </row>
    <row r="36" spans="1:9" ht="21.75" customHeight="1" x14ac:dyDescent="0.25">
      <c r="A36" s="28"/>
      <c r="B36" s="31"/>
      <c r="C36" s="28"/>
      <c r="D36" s="26" t="str">
        <f>IF(C36="","",IFERROR(VLOOKUP(C36,Productos!$A$5:$I$504,2,FALSE()),"Revisar código"))</f>
        <v/>
      </c>
      <c r="E36" s="29"/>
      <c r="F36" s="28"/>
      <c r="G36" s="28"/>
      <c r="H36" s="28"/>
      <c r="I36" s="28"/>
    </row>
    <row r="37" spans="1:9" ht="21.75" customHeight="1" x14ac:dyDescent="0.25">
      <c r="A37" s="28"/>
      <c r="B37" s="31"/>
      <c r="C37" s="28"/>
      <c r="D37" s="26" t="str">
        <f>IF(C37="","",IFERROR(VLOOKUP(C37,Productos!$A$5:$I$504,2,FALSE()),"Revisar código"))</f>
        <v/>
      </c>
      <c r="E37" s="29"/>
      <c r="F37" s="28"/>
      <c r="G37" s="28"/>
      <c r="H37" s="28"/>
      <c r="I37" s="28"/>
    </row>
    <row r="38" spans="1:9" ht="21.75" customHeight="1" x14ac:dyDescent="0.25">
      <c r="A38" s="28"/>
      <c r="B38" s="31"/>
      <c r="C38" s="28"/>
      <c r="D38" s="26" t="str">
        <f>IF(C38="","",IFERROR(VLOOKUP(C38,Productos!$A$5:$I$504,2,FALSE()),"Revisar código"))</f>
        <v/>
      </c>
      <c r="E38" s="29"/>
      <c r="F38" s="28"/>
      <c r="G38" s="28"/>
      <c r="H38" s="28"/>
      <c r="I38" s="28"/>
    </row>
    <row r="39" spans="1:9" ht="21.75" customHeight="1" x14ac:dyDescent="0.25">
      <c r="A39" s="28"/>
      <c r="B39" s="31"/>
      <c r="C39" s="28"/>
      <c r="D39" s="26" t="str">
        <f>IF(C39="","",IFERROR(VLOOKUP(C39,Productos!$A$5:$I$504,2,FALSE()),"Revisar código"))</f>
        <v/>
      </c>
      <c r="E39" s="29"/>
      <c r="F39" s="28"/>
      <c r="G39" s="28"/>
      <c r="H39" s="28"/>
      <c r="I39" s="28"/>
    </row>
    <row r="40" spans="1:9" ht="21.75" customHeight="1" x14ac:dyDescent="0.25">
      <c r="A40" s="28"/>
      <c r="B40" s="31"/>
      <c r="C40" s="28"/>
      <c r="D40" s="26" t="str">
        <f>IF(C40="","",IFERROR(VLOOKUP(C40,Productos!$A$5:$I$504,2,FALSE()),"Revisar código"))</f>
        <v/>
      </c>
      <c r="E40" s="29"/>
      <c r="F40" s="28"/>
      <c r="G40" s="28"/>
      <c r="H40" s="28"/>
      <c r="I40" s="28"/>
    </row>
    <row r="41" spans="1:9" ht="21.75" customHeight="1" x14ac:dyDescent="0.25">
      <c r="A41" s="28"/>
      <c r="B41" s="31"/>
      <c r="C41" s="28"/>
      <c r="D41" s="26" t="str">
        <f>IF(C41="","",IFERROR(VLOOKUP(C41,Productos!$A$5:$I$504,2,FALSE()),"Revisar código"))</f>
        <v/>
      </c>
      <c r="E41" s="29"/>
      <c r="F41" s="28"/>
      <c r="G41" s="28"/>
      <c r="H41" s="28"/>
      <c r="I41" s="28"/>
    </row>
    <row r="42" spans="1:9" ht="21.75" customHeight="1" x14ac:dyDescent="0.25">
      <c r="A42" s="28"/>
      <c r="B42" s="31"/>
      <c r="C42" s="28"/>
      <c r="D42" s="26" t="str">
        <f>IF(C42="","",IFERROR(VLOOKUP(C42,Productos!$A$5:$I$504,2,FALSE()),"Revisar código"))</f>
        <v/>
      </c>
      <c r="E42" s="29"/>
      <c r="F42" s="28"/>
      <c r="G42" s="28"/>
      <c r="H42" s="28"/>
      <c r="I42" s="28"/>
    </row>
    <row r="43" spans="1:9" ht="21.75" customHeight="1" x14ac:dyDescent="0.25">
      <c r="A43" s="28"/>
      <c r="B43" s="31"/>
      <c r="C43" s="28"/>
      <c r="D43" s="26" t="str">
        <f>IF(C43="","",IFERROR(VLOOKUP(C43,Productos!$A$5:$I$504,2,FALSE()),"Revisar código"))</f>
        <v/>
      </c>
      <c r="E43" s="29"/>
      <c r="F43" s="28"/>
      <c r="G43" s="28"/>
      <c r="H43" s="28"/>
      <c r="I43" s="28"/>
    </row>
    <row r="44" spans="1:9" ht="21.75" customHeight="1" x14ac:dyDescent="0.25">
      <c r="A44" s="28"/>
      <c r="B44" s="31"/>
      <c r="C44" s="28"/>
      <c r="D44" s="26" t="str">
        <f>IF(C44="","",IFERROR(VLOOKUP(C44,Productos!$A$5:$I$504,2,FALSE()),"Revisar código"))</f>
        <v/>
      </c>
      <c r="E44" s="29"/>
      <c r="F44" s="28"/>
      <c r="G44" s="28"/>
      <c r="H44" s="28"/>
      <c r="I44" s="28"/>
    </row>
    <row r="45" spans="1:9" ht="21.75" customHeight="1" x14ac:dyDescent="0.25">
      <c r="A45" s="28"/>
      <c r="B45" s="31"/>
      <c r="C45" s="28"/>
      <c r="D45" s="26" t="str">
        <f>IF(C45="","",IFERROR(VLOOKUP(C45,Productos!$A$5:$I$504,2,FALSE()),"Revisar código"))</f>
        <v/>
      </c>
      <c r="E45" s="29"/>
      <c r="F45" s="28"/>
      <c r="G45" s="28"/>
      <c r="H45" s="28"/>
      <c r="I45" s="28"/>
    </row>
    <row r="46" spans="1:9" ht="21.75" customHeight="1" x14ac:dyDescent="0.25">
      <c r="A46" s="28"/>
      <c r="B46" s="31"/>
      <c r="C46" s="28"/>
      <c r="D46" s="26" t="str">
        <f>IF(C46="","",IFERROR(VLOOKUP(C46,Productos!$A$5:$I$504,2,FALSE()),"Revisar código"))</f>
        <v/>
      </c>
      <c r="E46" s="29"/>
      <c r="F46" s="28"/>
      <c r="G46" s="28"/>
      <c r="H46" s="28"/>
      <c r="I46" s="28"/>
    </row>
    <row r="47" spans="1:9" ht="21.75" customHeight="1" x14ac:dyDescent="0.25">
      <c r="A47" s="28"/>
      <c r="B47" s="31"/>
      <c r="C47" s="28"/>
      <c r="D47" s="26" t="str">
        <f>IF(C47="","",IFERROR(VLOOKUP(C47,Productos!$A$5:$I$504,2,FALSE()),"Revisar código"))</f>
        <v/>
      </c>
      <c r="E47" s="29"/>
      <c r="F47" s="28"/>
      <c r="G47" s="28"/>
      <c r="H47" s="28"/>
      <c r="I47" s="28"/>
    </row>
    <row r="48" spans="1:9" ht="21.75" customHeight="1" x14ac:dyDescent="0.25">
      <c r="A48" s="28"/>
      <c r="B48" s="31"/>
      <c r="C48" s="28"/>
      <c r="D48" s="26" t="str">
        <f>IF(C48="","",IFERROR(VLOOKUP(C48,Productos!$A$5:$I$504,2,FALSE()),"Revisar código"))</f>
        <v/>
      </c>
      <c r="E48" s="29"/>
      <c r="F48" s="28"/>
      <c r="G48" s="28"/>
      <c r="H48" s="28"/>
      <c r="I48" s="28"/>
    </row>
    <row r="49" spans="1:9" ht="21.75" customHeight="1" x14ac:dyDescent="0.25">
      <c r="A49" s="28"/>
      <c r="B49" s="31"/>
      <c r="C49" s="28"/>
      <c r="D49" s="26" t="str">
        <f>IF(C49="","",IFERROR(VLOOKUP(C49,Productos!$A$5:$I$504,2,FALSE()),"Revisar código"))</f>
        <v/>
      </c>
      <c r="E49" s="29"/>
      <c r="F49" s="28"/>
      <c r="G49" s="28"/>
      <c r="H49" s="28"/>
      <c r="I49" s="28"/>
    </row>
    <row r="50" spans="1:9" ht="21.75" customHeight="1" x14ac:dyDescent="0.25">
      <c r="A50" s="28"/>
      <c r="B50" s="31"/>
      <c r="C50" s="28"/>
      <c r="D50" s="26" t="str">
        <f>IF(C50="","",IFERROR(VLOOKUP(C50,Productos!$A$5:$I$504,2,FALSE()),"Revisar código"))</f>
        <v/>
      </c>
      <c r="E50" s="29"/>
      <c r="F50" s="28"/>
      <c r="G50" s="28"/>
      <c r="H50" s="28"/>
      <c r="I50" s="28"/>
    </row>
    <row r="51" spans="1:9" ht="21.75" customHeight="1" x14ac:dyDescent="0.25">
      <c r="A51" s="28"/>
      <c r="B51" s="31"/>
      <c r="C51" s="28"/>
      <c r="D51" s="26" t="str">
        <f>IF(C51="","",IFERROR(VLOOKUP(C51,Productos!$A$5:$I$504,2,FALSE()),"Revisar código"))</f>
        <v/>
      </c>
      <c r="E51" s="29"/>
      <c r="F51" s="28"/>
      <c r="G51" s="28"/>
      <c r="H51" s="28"/>
      <c r="I51" s="28"/>
    </row>
    <row r="52" spans="1:9" ht="21.75" customHeight="1" x14ac:dyDescent="0.25">
      <c r="A52" s="28"/>
      <c r="B52" s="31"/>
      <c r="C52" s="28"/>
      <c r="D52" s="26" t="str">
        <f>IF(C52="","",IFERROR(VLOOKUP(C52,Productos!$A$5:$I$504,2,FALSE()),"Revisar código"))</f>
        <v/>
      </c>
      <c r="E52" s="29"/>
      <c r="F52" s="28"/>
      <c r="G52" s="28"/>
      <c r="H52" s="28"/>
      <c r="I52" s="28"/>
    </row>
    <row r="53" spans="1:9" ht="21.75" customHeight="1" x14ac:dyDescent="0.25">
      <c r="A53" s="28"/>
      <c r="B53" s="31"/>
      <c r="C53" s="28"/>
      <c r="D53" s="26" t="str">
        <f>IF(C53="","",IFERROR(VLOOKUP(C53,Productos!$A$5:$I$504,2,FALSE()),"Revisar código"))</f>
        <v/>
      </c>
      <c r="E53" s="29"/>
      <c r="F53" s="28"/>
      <c r="G53" s="28"/>
      <c r="H53" s="28"/>
      <c r="I53" s="28"/>
    </row>
    <row r="54" spans="1:9" ht="21.75" customHeight="1" x14ac:dyDescent="0.25">
      <c r="A54" s="28"/>
      <c r="B54" s="31"/>
      <c r="C54" s="28"/>
      <c r="D54" s="26" t="str">
        <f>IF(C54="","",IFERROR(VLOOKUP(C54,Productos!$A$5:$I$504,2,FALSE()),"Revisar código"))</f>
        <v/>
      </c>
      <c r="E54" s="29"/>
      <c r="F54" s="28"/>
      <c r="G54" s="28"/>
      <c r="H54" s="28"/>
      <c r="I54" s="28"/>
    </row>
    <row r="55" spans="1:9" ht="21.75" customHeight="1" x14ac:dyDescent="0.25">
      <c r="A55" s="28"/>
      <c r="B55" s="31"/>
      <c r="C55" s="28"/>
      <c r="D55" s="26" t="str">
        <f>IF(C55="","",IFERROR(VLOOKUP(C55,Productos!$A$5:$I$504,2,FALSE()),"Revisar código"))</f>
        <v/>
      </c>
      <c r="E55" s="29"/>
      <c r="F55" s="28"/>
      <c r="G55" s="28"/>
      <c r="H55" s="28"/>
      <c r="I55" s="28"/>
    </row>
    <row r="56" spans="1:9" ht="21.75" customHeight="1" x14ac:dyDescent="0.25">
      <c r="A56" s="28"/>
      <c r="B56" s="31"/>
      <c r="C56" s="28"/>
      <c r="D56" s="26" t="str">
        <f>IF(C56="","",IFERROR(VLOOKUP(C56,Productos!$A$5:$I$504,2,FALSE()),"Revisar código"))</f>
        <v/>
      </c>
      <c r="E56" s="29"/>
      <c r="F56" s="28"/>
      <c r="G56" s="28"/>
      <c r="H56" s="28"/>
      <c r="I56" s="28"/>
    </row>
    <row r="57" spans="1:9" ht="21.75" customHeight="1" x14ac:dyDescent="0.25">
      <c r="A57" s="28"/>
      <c r="B57" s="31"/>
      <c r="C57" s="28"/>
      <c r="D57" s="26" t="str">
        <f>IF(C57="","",IFERROR(VLOOKUP(C57,Productos!$A$5:$I$504,2,FALSE()),"Revisar código"))</f>
        <v/>
      </c>
      <c r="E57" s="29"/>
      <c r="F57" s="28"/>
      <c r="G57" s="28"/>
      <c r="H57" s="28"/>
      <c r="I57" s="28"/>
    </row>
    <row r="58" spans="1:9" ht="21.75" customHeight="1" x14ac:dyDescent="0.25">
      <c r="A58" s="28"/>
      <c r="B58" s="31"/>
      <c r="C58" s="28"/>
      <c r="D58" s="26" t="str">
        <f>IF(C58="","",IFERROR(VLOOKUP(C58,Productos!$A$5:$I$504,2,FALSE()),"Revisar código"))</f>
        <v/>
      </c>
      <c r="E58" s="29"/>
      <c r="F58" s="28"/>
      <c r="G58" s="28"/>
      <c r="H58" s="28"/>
      <c r="I58" s="28"/>
    </row>
    <row r="59" spans="1:9" ht="21.75" customHeight="1" x14ac:dyDescent="0.25">
      <c r="A59" s="28"/>
      <c r="B59" s="31"/>
      <c r="C59" s="28"/>
      <c r="D59" s="26" t="str">
        <f>IF(C59="","",IFERROR(VLOOKUP(C59,Productos!$A$5:$I$504,2,FALSE()),"Revisar código"))</f>
        <v/>
      </c>
      <c r="E59" s="29"/>
      <c r="F59" s="28"/>
      <c r="G59" s="28"/>
      <c r="H59" s="28"/>
      <c r="I59" s="28"/>
    </row>
    <row r="60" spans="1:9" ht="21.75" customHeight="1" x14ac:dyDescent="0.25">
      <c r="A60" s="28"/>
      <c r="B60" s="31"/>
      <c r="C60" s="28"/>
      <c r="D60" s="26" t="str">
        <f>IF(C60="","",IFERROR(VLOOKUP(C60,Productos!$A$5:$I$504,2,FALSE()),"Revisar código"))</f>
        <v/>
      </c>
      <c r="E60" s="29"/>
      <c r="F60" s="28"/>
      <c r="G60" s="28"/>
      <c r="H60" s="28"/>
      <c r="I60" s="28"/>
    </row>
    <row r="61" spans="1:9" ht="21.75" customHeight="1" x14ac:dyDescent="0.25">
      <c r="A61" s="28"/>
      <c r="B61" s="31"/>
      <c r="C61" s="28"/>
      <c r="D61" s="26" t="str">
        <f>IF(C61="","",IFERROR(VLOOKUP(C61,Productos!$A$5:$I$504,2,FALSE()),"Revisar código"))</f>
        <v/>
      </c>
      <c r="E61" s="29"/>
      <c r="F61" s="28"/>
      <c r="G61" s="28"/>
      <c r="H61" s="28"/>
      <c r="I61" s="28"/>
    </row>
    <row r="62" spans="1:9" ht="21.75" customHeight="1" x14ac:dyDescent="0.25">
      <c r="A62" s="28"/>
      <c r="B62" s="31"/>
      <c r="C62" s="28"/>
      <c r="D62" s="26" t="str">
        <f>IF(C62="","",IFERROR(VLOOKUP(C62,Productos!$A$5:$I$504,2,FALSE()),"Revisar código"))</f>
        <v/>
      </c>
      <c r="E62" s="29"/>
      <c r="F62" s="28"/>
      <c r="G62" s="28"/>
      <c r="H62" s="28"/>
      <c r="I62" s="28"/>
    </row>
    <row r="63" spans="1:9" ht="21.75" customHeight="1" x14ac:dyDescent="0.25">
      <c r="A63" s="28"/>
      <c r="B63" s="31"/>
      <c r="C63" s="28"/>
      <c r="D63" s="26" t="str">
        <f>IF(C63="","",IFERROR(VLOOKUP(C63,Productos!$A$5:$I$504,2,FALSE()),"Revisar código"))</f>
        <v/>
      </c>
      <c r="E63" s="29"/>
      <c r="F63" s="28"/>
      <c r="G63" s="28"/>
      <c r="H63" s="28"/>
      <c r="I63" s="28"/>
    </row>
    <row r="64" spans="1:9" ht="21.75" customHeight="1" x14ac:dyDescent="0.25">
      <c r="A64" s="28"/>
      <c r="B64" s="31"/>
      <c r="C64" s="28"/>
      <c r="D64" s="26" t="str">
        <f>IF(C64="","",IFERROR(VLOOKUP(C64,Productos!$A$5:$I$504,2,FALSE()),"Revisar código"))</f>
        <v/>
      </c>
      <c r="E64" s="29"/>
      <c r="F64" s="28"/>
      <c r="G64" s="28"/>
      <c r="H64" s="28"/>
      <c r="I64" s="28"/>
    </row>
    <row r="65" spans="1:9" ht="21.75" customHeight="1" x14ac:dyDescent="0.25">
      <c r="A65" s="28"/>
      <c r="B65" s="31"/>
      <c r="C65" s="28"/>
      <c r="D65" s="26" t="str">
        <f>IF(C65="","",IFERROR(VLOOKUP(C65,Productos!$A$5:$I$504,2,FALSE()),"Revisar código"))</f>
        <v/>
      </c>
      <c r="E65" s="29"/>
      <c r="F65" s="28"/>
      <c r="G65" s="28"/>
      <c r="H65" s="28"/>
      <c r="I65" s="28"/>
    </row>
    <row r="66" spans="1:9" ht="21.75" customHeight="1" x14ac:dyDescent="0.25">
      <c r="A66" s="28"/>
      <c r="B66" s="31"/>
      <c r="C66" s="28"/>
      <c r="D66" s="26" t="str">
        <f>IF(C66="","",IFERROR(VLOOKUP(C66,Productos!$A$5:$I$504,2,FALSE()),"Revisar código"))</f>
        <v/>
      </c>
      <c r="E66" s="29"/>
      <c r="F66" s="28"/>
      <c r="G66" s="28"/>
      <c r="H66" s="28"/>
      <c r="I66" s="28"/>
    </row>
    <row r="67" spans="1:9" ht="21.75" customHeight="1" x14ac:dyDescent="0.25">
      <c r="A67" s="28"/>
      <c r="B67" s="31"/>
      <c r="C67" s="28"/>
      <c r="D67" s="26" t="str">
        <f>IF(C67="","",IFERROR(VLOOKUP(C67,Productos!$A$5:$I$504,2,FALSE()),"Revisar código"))</f>
        <v/>
      </c>
      <c r="E67" s="29"/>
      <c r="F67" s="28"/>
      <c r="G67" s="28"/>
      <c r="H67" s="28"/>
      <c r="I67" s="28"/>
    </row>
    <row r="68" spans="1:9" ht="21.75" customHeight="1" x14ac:dyDescent="0.25">
      <c r="A68" s="28"/>
      <c r="B68" s="31"/>
      <c r="C68" s="28"/>
      <c r="D68" s="26" t="str">
        <f>IF(C68="","",IFERROR(VLOOKUP(C68,Productos!$A$5:$I$504,2,FALSE()),"Revisar código"))</f>
        <v/>
      </c>
      <c r="E68" s="29"/>
      <c r="F68" s="28"/>
      <c r="G68" s="28"/>
      <c r="H68" s="28"/>
      <c r="I68" s="28"/>
    </row>
    <row r="69" spans="1:9" ht="21.75" customHeight="1" x14ac:dyDescent="0.25">
      <c r="A69" s="28"/>
      <c r="B69" s="31"/>
      <c r="C69" s="28"/>
      <c r="D69" s="26" t="str">
        <f>IF(C69="","",IFERROR(VLOOKUP(C69,Productos!$A$5:$I$504,2,FALSE()),"Revisar código"))</f>
        <v/>
      </c>
      <c r="E69" s="29"/>
      <c r="F69" s="28"/>
      <c r="G69" s="28"/>
      <c r="H69" s="28"/>
      <c r="I69" s="28"/>
    </row>
    <row r="70" spans="1:9" ht="21.75" customHeight="1" x14ac:dyDescent="0.25">
      <c r="A70" s="28"/>
      <c r="B70" s="31"/>
      <c r="C70" s="28"/>
      <c r="D70" s="26" t="str">
        <f>IF(C70="","",IFERROR(VLOOKUP(C70,Productos!$A$5:$I$504,2,FALSE()),"Revisar código"))</f>
        <v/>
      </c>
      <c r="E70" s="29"/>
      <c r="F70" s="28"/>
      <c r="G70" s="28"/>
      <c r="H70" s="28"/>
      <c r="I70" s="28"/>
    </row>
    <row r="71" spans="1:9" ht="21.75" customHeight="1" x14ac:dyDescent="0.25">
      <c r="A71" s="28"/>
      <c r="B71" s="31"/>
      <c r="C71" s="28"/>
      <c r="D71" s="26" t="str">
        <f>IF(C71="","",IFERROR(VLOOKUP(C71,Productos!$A$5:$I$504,2,FALSE()),"Revisar código"))</f>
        <v/>
      </c>
      <c r="E71" s="29"/>
      <c r="F71" s="28"/>
      <c r="G71" s="28"/>
      <c r="H71" s="28"/>
      <c r="I71" s="28"/>
    </row>
    <row r="72" spans="1:9" ht="21.75" customHeight="1" x14ac:dyDescent="0.25">
      <c r="A72" s="28"/>
      <c r="B72" s="31"/>
      <c r="C72" s="28"/>
      <c r="D72" s="26" t="str">
        <f>IF(C72="","",IFERROR(VLOOKUP(C72,Productos!$A$5:$I$504,2,FALSE()),"Revisar código"))</f>
        <v/>
      </c>
      <c r="E72" s="29"/>
      <c r="F72" s="28"/>
      <c r="G72" s="28"/>
      <c r="H72" s="28"/>
      <c r="I72" s="28"/>
    </row>
    <row r="73" spans="1:9" ht="21.75" customHeight="1" x14ac:dyDescent="0.25">
      <c r="A73" s="28"/>
      <c r="B73" s="31"/>
      <c r="C73" s="28"/>
      <c r="D73" s="26" t="str">
        <f>IF(C73="","",IFERROR(VLOOKUP(C73,Productos!$A$5:$I$504,2,FALSE()),"Revisar código"))</f>
        <v/>
      </c>
      <c r="E73" s="29"/>
      <c r="F73" s="28"/>
      <c r="G73" s="28"/>
      <c r="H73" s="28"/>
      <c r="I73" s="28"/>
    </row>
    <row r="74" spans="1:9" ht="21.75" customHeight="1" x14ac:dyDescent="0.25">
      <c r="A74" s="28"/>
      <c r="B74" s="31"/>
      <c r="C74" s="28"/>
      <c r="D74" s="26" t="str">
        <f>IF(C74="","",IFERROR(VLOOKUP(C74,Productos!$A$5:$I$504,2,FALSE()),"Revisar código"))</f>
        <v/>
      </c>
      <c r="E74" s="29"/>
      <c r="F74" s="28"/>
      <c r="G74" s="28"/>
      <c r="H74" s="28"/>
      <c r="I74" s="28"/>
    </row>
    <row r="75" spans="1:9" ht="21.75" customHeight="1" x14ac:dyDescent="0.25">
      <c r="A75" s="28"/>
      <c r="B75" s="31"/>
      <c r="C75" s="28"/>
      <c r="D75" s="26" t="str">
        <f>IF(C75="","",IFERROR(VLOOKUP(C75,Productos!$A$5:$I$504,2,FALSE()),"Revisar código"))</f>
        <v/>
      </c>
      <c r="E75" s="29"/>
      <c r="F75" s="28"/>
      <c r="G75" s="28"/>
      <c r="H75" s="28"/>
      <c r="I75" s="28"/>
    </row>
    <row r="76" spans="1:9" ht="21.75" customHeight="1" x14ac:dyDescent="0.25">
      <c r="A76" s="28"/>
      <c r="B76" s="31"/>
      <c r="C76" s="28"/>
      <c r="D76" s="26" t="str">
        <f>IF(C76="","",IFERROR(VLOOKUP(C76,Productos!$A$5:$I$504,2,FALSE()),"Revisar código"))</f>
        <v/>
      </c>
      <c r="E76" s="29"/>
      <c r="F76" s="28"/>
      <c r="G76" s="28"/>
      <c r="H76" s="28"/>
      <c r="I76" s="28"/>
    </row>
    <row r="77" spans="1:9" ht="21.75" customHeight="1" x14ac:dyDescent="0.25">
      <c r="A77" s="28"/>
      <c r="B77" s="31"/>
      <c r="C77" s="28"/>
      <c r="D77" s="26" t="str">
        <f>IF(C77="","",IFERROR(VLOOKUP(C77,Productos!$A$5:$I$504,2,FALSE()),"Revisar código"))</f>
        <v/>
      </c>
      <c r="E77" s="29"/>
      <c r="F77" s="28"/>
      <c r="G77" s="28"/>
      <c r="H77" s="28"/>
      <c r="I77" s="28"/>
    </row>
    <row r="78" spans="1:9" ht="21.75" customHeight="1" x14ac:dyDescent="0.25">
      <c r="A78" s="28"/>
      <c r="B78" s="31"/>
      <c r="C78" s="28"/>
      <c r="D78" s="26" t="str">
        <f>IF(C78="","",IFERROR(VLOOKUP(C78,Productos!$A$5:$I$504,2,FALSE()),"Revisar código"))</f>
        <v/>
      </c>
      <c r="E78" s="29"/>
      <c r="F78" s="28"/>
      <c r="G78" s="28"/>
      <c r="H78" s="28"/>
      <c r="I78" s="28"/>
    </row>
    <row r="79" spans="1:9" ht="21.75" customHeight="1" x14ac:dyDescent="0.25">
      <c r="A79" s="28"/>
      <c r="B79" s="31"/>
      <c r="C79" s="28"/>
      <c r="D79" s="26" t="str">
        <f>IF(C79="","",IFERROR(VLOOKUP(C79,Productos!$A$5:$I$504,2,FALSE()),"Revisar código"))</f>
        <v/>
      </c>
      <c r="E79" s="29"/>
      <c r="F79" s="28"/>
      <c r="G79" s="28"/>
      <c r="H79" s="28"/>
      <c r="I79" s="28"/>
    </row>
    <row r="80" spans="1:9" ht="21.75" customHeight="1" x14ac:dyDescent="0.25">
      <c r="A80" s="28"/>
      <c r="B80" s="31"/>
      <c r="C80" s="28"/>
      <c r="D80" s="26" t="str">
        <f>IF(C80="","",IFERROR(VLOOKUP(C80,Productos!$A$5:$I$504,2,FALSE()),"Revisar código"))</f>
        <v/>
      </c>
      <c r="E80" s="29"/>
      <c r="F80" s="28"/>
      <c r="G80" s="28"/>
      <c r="H80" s="28"/>
      <c r="I80" s="28"/>
    </row>
    <row r="81" spans="1:9" ht="21.75" customHeight="1" x14ac:dyDescent="0.25">
      <c r="A81" s="28"/>
      <c r="B81" s="31"/>
      <c r="C81" s="28"/>
      <c r="D81" s="26" t="str">
        <f>IF(C81="","",IFERROR(VLOOKUP(C81,Productos!$A$5:$I$504,2,FALSE()),"Revisar código"))</f>
        <v/>
      </c>
      <c r="E81" s="29"/>
      <c r="F81" s="28"/>
      <c r="G81" s="28"/>
      <c r="H81" s="28"/>
      <c r="I81" s="28"/>
    </row>
    <row r="82" spans="1:9" ht="21.75" customHeight="1" x14ac:dyDescent="0.25">
      <c r="A82" s="28"/>
      <c r="B82" s="31"/>
      <c r="C82" s="28"/>
      <c r="D82" s="26" t="str">
        <f>IF(C82="","",IFERROR(VLOOKUP(C82,Productos!$A$5:$I$504,2,FALSE()),"Revisar código"))</f>
        <v/>
      </c>
      <c r="E82" s="29"/>
      <c r="F82" s="28"/>
      <c r="G82" s="28"/>
      <c r="H82" s="28"/>
      <c r="I82" s="28"/>
    </row>
    <row r="83" spans="1:9" ht="21.75" customHeight="1" x14ac:dyDescent="0.25">
      <c r="A83" s="28"/>
      <c r="B83" s="31"/>
      <c r="C83" s="28"/>
      <c r="D83" s="26" t="str">
        <f>IF(C83="","",IFERROR(VLOOKUP(C83,Productos!$A$5:$I$504,2,FALSE()),"Revisar código"))</f>
        <v/>
      </c>
      <c r="E83" s="29"/>
      <c r="F83" s="28"/>
      <c r="G83" s="28"/>
      <c r="H83" s="28"/>
      <c r="I83" s="28"/>
    </row>
    <row r="84" spans="1:9" ht="21.75" customHeight="1" x14ac:dyDescent="0.25">
      <c r="A84" s="28"/>
      <c r="B84" s="31"/>
      <c r="C84" s="28"/>
      <c r="D84" s="26" t="str">
        <f>IF(C84="","",IFERROR(VLOOKUP(C84,Productos!$A$5:$I$504,2,FALSE()),"Revisar código"))</f>
        <v/>
      </c>
      <c r="E84" s="29"/>
      <c r="F84" s="28"/>
      <c r="G84" s="28"/>
      <c r="H84" s="28"/>
      <c r="I84" s="28"/>
    </row>
    <row r="85" spans="1:9" ht="21.75" customHeight="1" x14ac:dyDescent="0.25">
      <c r="A85" s="28"/>
      <c r="B85" s="31"/>
      <c r="C85" s="28"/>
      <c r="D85" s="26" t="str">
        <f>IF(C85="","",IFERROR(VLOOKUP(C85,Productos!$A$5:$I$504,2,FALSE()),"Revisar código"))</f>
        <v/>
      </c>
      <c r="E85" s="29"/>
      <c r="F85" s="28"/>
      <c r="G85" s="28"/>
      <c r="H85" s="28"/>
      <c r="I85" s="28"/>
    </row>
    <row r="86" spans="1:9" ht="21.75" customHeight="1" x14ac:dyDescent="0.25">
      <c r="A86" s="28"/>
      <c r="B86" s="31"/>
      <c r="C86" s="28"/>
      <c r="D86" s="26" t="str">
        <f>IF(C86="","",IFERROR(VLOOKUP(C86,Productos!$A$5:$I$504,2,FALSE()),"Revisar código"))</f>
        <v/>
      </c>
      <c r="E86" s="29"/>
      <c r="F86" s="28"/>
      <c r="G86" s="28"/>
      <c r="H86" s="28"/>
      <c r="I86" s="28"/>
    </row>
    <row r="87" spans="1:9" ht="21.75" customHeight="1" x14ac:dyDescent="0.25">
      <c r="A87" s="28"/>
      <c r="B87" s="31"/>
      <c r="C87" s="28"/>
      <c r="D87" s="26" t="str">
        <f>IF(C87="","",IFERROR(VLOOKUP(C87,Productos!$A$5:$I$504,2,FALSE()),"Revisar código"))</f>
        <v/>
      </c>
      <c r="E87" s="29"/>
      <c r="F87" s="28"/>
      <c r="G87" s="28"/>
      <c r="H87" s="28"/>
      <c r="I87" s="28"/>
    </row>
    <row r="88" spans="1:9" ht="21.75" customHeight="1" x14ac:dyDescent="0.25">
      <c r="A88" s="28"/>
      <c r="B88" s="31"/>
      <c r="C88" s="28"/>
      <c r="D88" s="26" t="str">
        <f>IF(C88="","",IFERROR(VLOOKUP(C88,Productos!$A$5:$I$504,2,FALSE()),"Revisar código"))</f>
        <v/>
      </c>
      <c r="E88" s="29"/>
      <c r="F88" s="28"/>
      <c r="G88" s="28"/>
      <c r="H88" s="28"/>
      <c r="I88" s="28"/>
    </row>
    <row r="89" spans="1:9" ht="21.75" customHeight="1" x14ac:dyDescent="0.25">
      <c r="A89" s="28"/>
      <c r="B89" s="31"/>
      <c r="C89" s="28"/>
      <c r="D89" s="26" t="str">
        <f>IF(C89="","",IFERROR(VLOOKUP(C89,Productos!$A$5:$I$504,2,FALSE()),"Revisar código"))</f>
        <v/>
      </c>
      <c r="E89" s="29"/>
      <c r="F89" s="28"/>
      <c r="G89" s="28"/>
      <c r="H89" s="28"/>
      <c r="I89" s="28"/>
    </row>
    <row r="90" spans="1:9" ht="21.75" customHeight="1" x14ac:dyDescent="0.25">
      <c r="A90" s="28"/>
      <c r="B90" s="31"/>
      <c r="C90" s="28"/>
      <c r="D90" s="26" t="str">
        <f>IF(C90="","",IFERROR(VLOOKUP(C90,Productos!$A$5:$I$504,2,FALSE()),"Revisar código"))</f>
        <v/>
      </c>
      <c r="E90" s="29"/>
      <c r="F90" s="28"/>
      <c r="G90" s="28"/>
      <c r="H90" s="28"/>
      <c r="I90" s="28"/>
    </row>
    <row r="91" spans="1:9" ht="21.75" customHeight="1" x14ac:dyDescent="0.25">
      <c r="A91" s="28"/>
      <c r="B91" s="31"/>
      <c r="C91" s="28"/>
      <c r="D91" s="26" t="str">
        <f>IF(C91="","",IFERROR(VLOOKUP(C91,Productos!$A$5:$I$504,2,FALSE()),"Revisar código"))</f>
        <v/>
      </c>
      <c r="E91" s="29"/>
      <c r="F91" s="28"/>
      <c r="G91" s="28"/>
      <c r="H91" s="28"/>
      <c r="I91" s="28"/>
    </row>
    <row r="92" spans="1:9" ht="21.75" customHeight="1" x14ac:dyDescent="0.25">
      <c r="A92" s="28"/>
      <c r="B92" s="31"/>
      <c r="C92" s="28"/>
      <c r="D92" s="26" t="str">
        <f>IF(C92="","",IFERROR(VLOOKUP(C92,Productos!$A$5:$I$504,2,FALSE()),"Revisar código"))</f>
        <v/>
      </c>
      <c r="E92" s="29"/>
      <c r="F92" s="28"/>
      <c r="G92" s="28"/>
      <c r="H92" s="28"/>
      <c r="I92" s="28"/>
    </row>
    <row r="93" spans="1:9" ht="21.75" customHeight="1" x14ac:dyDescent="0.25">
      <c r="A93" s="28"/>
      <c r="B93" s="31"/>
      <c r="C93" s="28"/>
      <c r="D93" s="26" t="str">
        <f>IF(C93="","",IFERROR(VLOOKUP(C93,Productos!$A$5:$I$504,2,FALSE()),"Revisar código"))</f>
        <v/>
      </c>
      <c r="E93" s="29"/>
      <c r="F93" s="28"/>
      <c r="G93" s="28"/>
      <c r="H93" s="28"/>
      <c r="I93" s="28"/>
    </row>
    <row r="94" spans="1:9" ht="21.75" customHeight="1" x14ac:dyDescent="0.25">
      <c r="A94" s="28"/>
      <c r="B94" s="31"/>
      <c r="C94" s="28"/>
      <c r="D94" s="26" t="str">
        <f>IF(C94="","",IFERROR(VLOOKUP(C94,Productos!$A$5:$I$504,2,FALSE()),"Revisar código"))</f>
        <v/>
      </c>
      <c r="E94" s="29"/>
      <c r="F94" s="28"/>
      <c r="G94" s="28"/>
      <c r="H94" s="28"/>
      <c r="I94" s="28"/>
    </row>
    <row r="95" spans="1:9" ht="21.75" customHeight="1" x14ac:dyDescent="0.25">
      <c r="A95" s="28"/>
      <c r="B95" s="31"/>
      <c r="C95" s="28"/>
      <c r="D95" s="26" t="str">
        <f>IF(C95="","",IFERROR(VLOOKUP(C95,Productos!$A$5:$I$504,2,FALSE()),"Revisar código"))</f>
        <v/>
      </c>
      <c r="E95" s="29"/>
      <c r="F95" s="28"/>
      <c r="G95" s="28"/>
      <c r="H95" s="28"/>
      <c r="I95" s="28"/>
    </row>
    <row r="96" spans="1:9" ht="21.75" customHeight="1" x14ac:dyDescent="0.25">
      <c r="A96" s="28"/>
      <c r="B96" s="31"/>
      <c r="C96" s="28"/>
      <c r="D96" s="26" t="str">
        <f>IF(C96="","",IFERROR(VLOOKUP(C96,Productos!$A$5:$I$504,2,FALSE()),"Revisar código"))</f>
        <v/>
      </c>
      <c r="E96" s="29"/>
      <c r="F96" s="28"/>
      <c r="G96" s="28"/>
      <c r="H96" s="28"/>
      <c r="I96" s="28"/>
    </row>
    <row r="97" spans="1:9" ht="21.75" customHeight="1" x14ac:dyDescent="0.25">
      <c r="A97" s="28"/>
      <c r="B97" s="31"/>
      <c r="C97" s="28"/>
      <c r="D97" s="26" t="str">
        <f>IF(C97="","",IFERROR(VLOOKUP(C97,Productos!$A$5:$I$504,2,FALSE()),"Revisar código"))</f>
        <v/>
      </c>
      <c r="E97" s="29"/>
      <c r="F97" s="28"/>
      <c r="G97" s="28"/>
      <c r="H97" s="28"/>
      <c r="I97" s="28"/>
    </row>
    <row r="98" spans="1:9" ht="21.75" customHeight="1" x14ac:dyDescent="0.25">
      <c r="A98" s="28"/>
      <c r="B98" s="31"/>
      <c r="C98" s="28"/>
      <c r="D98" s="26" t="str">
        <f>IF(C98="","",IFERROR(VLOOKUP(C98,Productos!$A$5:$I$504,2,FALSE()),"Revisar código"))</f>
        <v/>
      </c>
      <c r="E98" s="29"/>
      <c r="F98" s="28"/>
      <c r="G98" s="28"/>
      <c r="H98" s="28"/>
      <c r="I98" s="28"/>
    </row>
    <row r="99" spans="1:9" ht="21.75" customHeight="1" x14ac:dyDescent="0.25">
      <c r="A99" s="28"/>
      <c r="B99" s="31"/>
      <c r="C99" s="28"/>
      <c r="D99" s="26" t="str">
        <f>IF(C99="","",IFERROR(VLOOKUP(C99,Productos!$A$5:$I$504,2,FALSE()),"Revisar código"))</f>
        <v/>
      </c>
      <c r="E99" s="29"/>
      <c r="F99" s="28"/>
      <c r="G99" s="28"/>
      <c r="H99" s="28"/>
      <c r="I99" s="28"/>
    </row>
    <row r="100" spans="1:9" ht="21.75" customHeight="1" x14ac:dyDescent="0.25">
      <c r="A100" s="28"/>
      <c r="B100" s="31"/>
      <c r="C100" s="28"/>
      <c r="D100" s="26" t="str">
        <f>IF(C100="","",IFERROR(VLOOKUP(C100,Productos!$A$5:$I$504,2,FALSE()),"Revisar código"))</f>
        <v/>
      </c>
      <c r="E100" s="29"/>
      <c r="F100" s="28"/>
      <c r="G100" s="28"/>
      <c r="H100" s="28"/>
      <c r="I100" s="28"/>
    </row>
    <row r="101" spans="1:9" ht="21.75" customHeight="1" x14ac:dyDescent="0.25">
      <c r="A101" s="28"/>
      <c r="B101" s="31"/>
      <c r="C101" s="28"/>
      <c r="D101" s="26" t="str">
        <f>IF(C101="","",IFERROR(VLOOKUP(C101,Productos!$A$5:$I$504,2,FALSE()),"Revisar código"))</f>
        <v/>
      </c>
      <c r="E101" s="29"/>
      <c r="F101" s="28"/>
      <c r="G101" s="28"/>
      <c r="H101" s="28"/>
      <c r="I101" s="28"/>
    </row>
    <row r="102" spans="1:9" ht="21.75" customHeight="1" x14ac:dyDescent="0.25">
      <c r="A102" s="28"/>
      <c r="B102" s="31"/>
      <c r="C102" s="28"/>
      <c r="D102" s="26" t="str">
        <f>IF(C102="","",IFERROR(VLOOKUP(C102,Productos!$A$5:$I$504,2,FALSE()),"Revisar código"))</f>
        <v/>
      </c>
      <c r="E102" s="29"/>
      <c r="F102" s="28"/>
      <c r="G102" s="28"/>
      <c r="H102" s="28"/>
      <c r="I102" s="28"/>
    </row>
    <row r="103" spans="1:9" ht="21.75" customHeight="1" x14ac:dyDescent="0.25">
      <c r="A103" s="28"/>
      <c r="B103" s="31"/>
      <c r="C103" s="28"/>
      <c r="D103" s="26" t="str">
        <f>IF(C103="","",IFERROR(VLOOKUP(C103,Productos!$A$5:$I$504,2,FALSE()),"Revisar código"))</f>
        <v/>
      </c>
      <c r="E103" s="29"/>
      <c r="F103" s="28"/>
      <c r="G103" s="28"/>
      <c r="H103" s="28"/>
      <c r="I103" s="28"/>
    </row>
    <row r="104" spans="1:9" ht="21.75" customHeight="1" x14ac:dyDescent="0.25">
      <c r="A104" s="28"/>
      <c r="B104" s="31"/>
      <c r="C104" s="28"/>
      <c r="D104" s="26" t="str">
        <f>IF(C104="","",IFERROR(VLOOKUP(C104,Productos!$A$5:$I$504,2,FALSE()),"Revisar código"))</f>
        <v/>
      </c>
      <c r="E104" s="29"/>
      <c r="F104" s="28"/>
      <c r="G104" s="28"/>
      <c r="H104" s="28"/>
      <c r="I104" s="28"/>
    </row>
    <row r="105" spans="1:9" ht="21.75" customHeight="1" x14ac:dyDescent="0.25">
      <c r="A105" s="28"/>
      <c r="B105" s="31"/>
      <c r="C105" s="28"/>
      <c r="D105" s="26" t="str">
        <f>IF(C105="","",IFERROR(VLOOKUP(C105,Productos!$A$5:$I$504,2,FALSE()),"Revisar código"))</f>
        <v/>
      </c>
      <c r="E105" s="29"/>
      <c r="F105" s="28"/>
      <c r="G105" s="28"/>
      <c r="H105" s="28"/>
      <c r="I105" s="28"/>
    </row>
    <row r="106" spans="1:9" ht="21.75" customHeight="1" x14ac:dyDescent="0.25">
      <c r="A106" s="28"/>
      <c r="B106" s="31"/>
      <c r="C106" s="28"/>
      <c r="D106" s="26" t="str">
        <f>IF(C106="","",IFERROR(VLOOKUP(C106,Productos!$A$5:$I$504,2,FALSE()),"Revisar código"))</f>
        <v/>
      </c>
      <c r="E106" s="29"/>
      <c r="F106" s="28"/>
      <c r="G106" s="28"/>
      <c r="H106" s="28"/>
      <c r="I106" s="28"/>
    </row>
    <row r="107" spans="1:9" ht="21.75" customHeight="1" x14ac:dyDescent="0.25">
      <c r="A107" s="28"/>
      <c r="B107" s="31"/>
      <c r="C107" s="28"/>
      <c r="D107" s="26" t="str">
        <f>IF(C107="","",IFERROR(VLOOKUP(C107,Productos!$A$5:$I$504,2,FALSE()),"Revisar código"))</f>
        <v/>
      </c>
      <c r="E107" s="29"/>
      <c r="F107" s="28"/>
      <c r="G107" s="28"/>
      <c r="H107" s="28"/>
      <c r="I107" s="28"/>
    </row>
    <row r="108" spans="1:9" ht="21.75" customHeight="1" x14ac:dyDescent="0.25">
      <c r="A108" s="28"/>
      <c r="B108" s="31"/>
      <c r="C108" s="28"/>
      <c r="D108" s="26" t="str">
        <f>IF(C108="","",IFERROR(VLOOKUP(C108,Productos!$A$5:$I$504,2,FALSE()),"Revisar código"))</f>
        <v/>
      </c>
      <c r="E108" s="29"/>
      <c r="F108" s="28"/>
      <c r="G108" s="28"/>
      <c r="H108" s="28"/>
      <c r="I108" s="28"/>
    </row>
    <row r="109" spans="1:9" ht="21.75" customHeight="1" x14ac:dyDescent="0.25">
      <c r="A109" s="28"/>
      <c r="B109" s="31"/>
      <c r="C109" s="28"/>
      <c r="D109" s="26" t="str">
        <f>IF(C109="","",IFERROR(VLOOKUP(C109,Productos!$A$5:$I$504,2,FALSE()),"Revisar código"))</f>
        <v/>
      </c>
      <c r="E109" s="29"/>
      <c r="F109" s="28"/>
      <c r="G109" s="28"/>
      <c r="H109" s="28"/>
      <c r="I109" s="28"/>
    </row>
    <row r="110" spans="1:9" ht="21.75" customHeight="1" x14ac:dyDescent="0.25">
      <c r="A110" s="28"/>
      <c r="B110" s="31"/>
      <c r="C110" s="28"/>
      <c r="D110" s="26" t="str">
        <f>IF(C110="","",IFERROR(VLOOKUP(C110,Productos!$A$5:$I$504,2,FALSE()),"Revisar código"))</f>
        <v/>
      </c>
      <c r="E110" s="29"/>
      <c r="F110" s="28"/>
      <c r="G110" s="28"/>
      <c r="H110" s="28"/>
      <c r="I110" s="28"/>
    </row>
    <row r="111" spans="1:9" ht="21.75" customHeight="1" x14ac:dyDescent="0.25">
      <c r="A111" s="28"/>
      <c r="B111" s="31"/>
      <c r="C111" s="28"/>
      <c r="D111" s="26" t="str">
        <f>IF(C111="","",IFERROR(VLOOKUP(C111,Productos!$A$5:$I$504,2,FALSE()),"Revisar código"))</f>
        <v/>
      </c>
      <c r="E111" s="29"/>
      <c r="F111" s="28"/>
      <c r="G111" s="28"/>
      <c r="H111" s="28"/>
      <c r="I111" s="28"/>
    </row>
    <row r="112" spans="1:9" ht="21.75" customHeight="1" x14ac:dyDescent="0.25">
      <c r="A112" s="28"/>
      <c r="B112" s="31"/>
      <c r="C112" s="28"/>
      <c r="D112" s="26" t="str">
        <f>IF(C112="","",IFERROR(VLOOKUP(C112,Productos!$A$5:$I$504,2,FALSE()),"Revisar código"))</f>
        <v/>
      </c>
      <c r="E112" s="29"/>
      <c r="F112" s="28"/>
      <c r="G112" s="28"/>
      <c r="H112" s="28"/>
      <c r="I112" s="28"/>
    </row>
    <row r="113" spans="1:9" ht="21.75" customHeight="1" x14ac:dyDescent="0.25">
      <c r="A113" s="28"/>
      <c r="B113" s="31"/>
      <c r="C113" s="28"/>
      <c r="D113" s="26" t="str">
        <f>IF(C113="","",IFERROR(VLOOKUP(C113,Productos!$A$5:$I$504,2,FALSE()),"Revisar código"))</f>
        <v/>
      </c>
      <c r="E113" s="29"/>
      <c r="F113" s="28"/>
      <c r="G113" s="28"/>
      <c r="H113" s="28"/>
      <c r="I113" s="28"/>
    </row>
    <row r="114" spans="1:9" ht="21.75" customHeight="1" x14ac:dyDescent="0.25">
      <c r="A114" s="28"/>
      <c r="B114" s="31"/>
      <c r="C114" s="28"/>
      <c r="D114" s="26" t="str">
        <f>IF(C114="","",IFERROR(VLOOKUP(C114,Productos!$A$5:$I$504,2,FALSE()),"Revisar código"))</f>
        <v/>
      </c>
      <c r="E114" s="29"/>
      <c r="F114" s="28"/>
      <c r="G114" s="28"/>
      <c r="H114" s="28"/>
      <c r="I114" s="28"/>
    </row>
    <row r="115" spans="1:9" ht="21.75" customHeight="1" x14ac:dyDescent="0.25">
      <c r="A115" s="28"/>
      <c r="B115" s="31"/>
      <c r="C115" s="28"/>
      <c r="D115" s="26" t="str">
        <f>IF(C115="","",IFERROR(VLOOKUP(C115,Productos!$A$5:$I$504,2,FALSE()),"Revisar código"))</f>
        <v/>
      </c>
      <c r="E115" s="29"/>
      <c r="F115" s="28"/>
      <c r="G115" s="28"/>
      <c r="H115" s="28"/>
      <c r="I115" s="28"/>
    </row>
    <row r="116" spans="1:9" ht="21.75" customHeight="1" x14ac:dyDescent="0.25">
      <c r="A116" s="28"/>
      <c r="B116" s="31"/>
      <c r="C116" s="28"/>
      <c r="D116" s="26" t="str">
        <f>IF(C116="","",IFERROR(VLOOKUP(C116,Productos!$A$5:$I$504,2,FALSE()),"Revisar código"))</f>
        <v/>
      </c>
      <c r="E116" s="29"/>
      <c r="F116" s="28"/>
      <c r="G116" s="28"/>
      <c r="H116" s="28"/>
      <c r="I116" s="28"/>
    </row>
    <row r="117" spans="1:9" ht="21.75" customHeight="1" x14ac:dyDescent="0.25">
      <c r="A117" s="28"/>
      <c r="B117" s="31"/>
      <c r="C117" s="28"/>
      <c r="D117" s="26" t="str">
        <f>IF(C117="","",IFERROR(VLOOKUP(C117,Productos!$A$5:$I$504,2,FALSE()),"Revisar código"))</f>
        <v/>
      </c>
      <c r="E117" s="29"/>
      <c r="F117" s="28"/>
      <c r="G117" s="28"/>
      <c r="H117" s="28"/>
      <c r="I117" s="28"/>
    </row>
    <row r="118" spans="1:9" ht="21.75" customHeight="1" x14ac:dyDescent="0.25">
      <c r="A118" s="28"/>
      <c r="B118" s="31"/>
      <c r="C118" s="28"/>
      <c r="D118" s="26" t="str">
        <f>IF(C118="","",IFERROR(VLOOKUP(C118,Productos!$A$5:$I$504,2,FALSE()),"Revisar código"))</f>
        <v/>
      </c>
      <c r="E118" s="29"/>
      <c r="F118" s="28"/>
      <c r="G118" s="28"/>
      <c r="H118" s="28"/>
      <c r="I118" s="28"/>
    </row>
    <row r="119" spans="1:9" ht="21.75" customHeight="1" x14ac:dyDescent="0.25">
      <c r="A119" s="28"/>
      <c r="B119" s="31"/>
      <c r="C119" s="28"/>
      <c r="D119" s="26" t="str">
        <f>IF(C119="","",IFERROR(VLOOKUP(C119,Productos!$A$5:$I$504,2,FALSE()),"Revisar código"))</f>
        <v/>
      </c>
      <c r="E119" s="29"/>
      <c r="F119" s="28"/>
      <c r="G119" s="28"/>
      <c r="H119" s="28"/>
      <c r="I119" s="28"/>
    </row>
    <row r="120" spans="1:9" ht="21.75" customHeight="1" x14ac:dyDescent="0.25">
      <c r="A120" s="28"/>
      <c r="B120" s="31"/>
      <c r="C120" s="28"/>
      <c r="D120" s="26" t="str">
        <f>IF(C120="","",IFERROR(VLOOKUP(C120,Productos!$A$5:$I$504,2,FALSE()),"Revisar código"))</f>
        <v/>
      </c>
      <c r="E120" s="29"/>
      <c r="F120" s="28"/>
      <c r="G120" s="28"/>
      <c r="H120" s="28"/>
      <c r="I120" s="28"/>
    </row>
    <row r="121" spans="1:9" ht="21.75" customHeight="1" x14ac:dyDescent="0.25">
      <c r="A121" s="28"/>
      <c r="B121" s="31"/>
      <c r="C121" s="28"/>
      <c r="D121" s="26" t="str">
        <f>IF(C121="","",IFERROR(VLOOKUP(C121,Productos!$A$5:$I$504,2,FALSE()),"Revisar código"))</f>
        <v/>
      </c>
      <c r="E121" s="29"/>
      <c r="F121" s="28"/>
      <c r="G121" s="28"/>
      <c r="H121" s="28"/>
      <c r="I121" s="28"/>
    </row>
    <row r="122" spans="1:9" ht="21.75" customHeight="1" x14ac:dyDescent="0.25">
      <c r="A122" s="28"/>
      <c r="B122" s="31"/>
      <c r="C122" s="28"/>
      <c r="D122" s="26" t="str">
        <f>IF(C122="","",IFERROR(VLOOKUP(C122,Productos!$A$5:$I$504,2,FALSE()),"Revisar código"))</f>
        <v/>
      </c>
      <c r="E122" s="29"/>
      <c r="F122" s="28"/>
      <c r="G122" s="28"/>
      <c r="H122" s="28"/>
      <c r="I122" s="28"/>
    </row>
    <row r="123" spans="1:9" ht="21.75" customHeight="1" x14ac:dyDescent="0.25">
      <c r="A123" s="28"/>
      <c r="B123" s="31"/>
      <c r="C123" s="28"/>
      <c r="D123" s="26" t="str">
        <f>IF(C123="","",IFERROR(VLOOKUP(C123,Productos!$A$5:$I$504,2,FALSE()),"Revisar código"))</f>
        <v/>
      </c>
      <c r="E123" s="29"/>
      <c r="F123" s="28"/>
      <c r="G123" s="28"/>
      <c r="H123" s="28"/>
      <c r="I123" s="28"/>
    </row>
    <row r="124" spans="1:9" ht="21.75" customHeight="1" x14ac:dyDescent="0.25">
      <c r="A124" s="28"/>
      <c r="B124" s="31"/>
      <c r="C124" s="28"/>
      <c r="D124" s="26" t="str">
        <f>IF(C124="","",IFERROR(VLOOKUP(C124,Productos!$A$5:$I$504,2,FALSE()),"Revisar código"))</f>
        <v/>
      </c>
      <c r="E124" s="29"/>
      <c r="F124" s="28"/>
      <c r="G124" s="28"/>
      <c r="H124" s="28"/>
      <c r="I124" s="28"/>
    </row>
    <row r="125" spans="1:9" ht="21.75" customHeight="1" x14ac:dyDescent="0.25">
      <c r="A125" s="28"/>
      <c r="B125" s="31"/>
      <c r="C125" s="28"/>
      <c r="D125" s="26" t="str">
        <f>IF(C125="","",IFERROR(VLOOKUP(C125,Productos!$A$5:$I$504,2,FALSE()),"Revisar código"))</f>
        <v/>
      </c>
      <c r="E125" s="29"/>
      <c r="F125" s="28"/>
      <c r="G125" s="28"/>
      <c r="H125" s="28"/>
      <c r="I125" s="28"/>
    </row>
    <row r="126" spans="1:9" ht="21.75" customHeight="1" x14ac:dyDescent="0.25">
      <c r="A126" s="28"/>
      <c r="B126" s="31"/>
      <c r="C126" s="28"/>
      <c r="D126" s="26" t="str">
        <f>IF(C126="","",IFERROR(VLOOKUP(C126,Productos!$A$5:$I$504,2,FALSE()),"Revisar código"))</f>
        <v/>
      </c>
      <c r="E126" s="29"/>
      <c r="F126" s="28"/>
      <c r="G126" s="28"/>
      <c r="H126" s="28"/>
      <c r="I126" s="28"/>
    </row>
    <row r="127" spans="1:9" ht="21.75" customHeight="1" x14ac:dyDescent="0.25">
      <c r="A127" s="28"/>
      <c r="B127" s="31"/>
      <c r="C127" s="28"/>
      <c r="D127" s="26" t="str">
        <f>IF(C127="","",IFERROR(VLOOKUP(C127,Productos!$A$5:$I$504,2,FALSE()),"Revisar código"))</f>
        <v/>
      </c>
      <c r="E127" s="29"/>
      <c r="F127" s="28"/>
      <c r="G127" s="28"/>
      <c r="H127" s="28"/>
      <c r="I127" s="28"/>
    </row>
    <row r="128" spans="1:9" ht="21.75" customHeight="1" x14ac:dyDescent="0.25">
      <c r="A128" s="28"/>
      <c r="B128" s="31"/>
      <c r="C128" s="28"/>
      <c r="D128" s="26" t="str">
        <f>IF(C128="","",IFERROR(VLOOKUP(C128,Productos!$A$5:$I$504,2,FALSE()),"Revisar código"))</f>
        <v/>
      </c>
      <c r="E128" s="29"/>
      <c r="F128" s="28"/>
      <c r="G128" s="28"/>
      <c r="H128" s="28"/>
      <c r="I128" s="28"/>
    </row>
    <row r="129" spans="1:9" ht="21.75" customHeight="1" x14ac:dyDescent="0.25">
      <c r="A129" s="28"/>
      <c r="B129" s="31"/>
      <c r="C129" s="28"/>
      <c r="D129" s="26" t="str">
        <f>IF(C129="","",IFERROR(VLOOKUP(C129,Productos!$A$5:$I$504,2,FALSE()),"Revisar código"))</f>
        <v/>
      </c>
      <c r="E129" s="29"/>
      <c r="F129" s="28"/>
      <c r="G129" s="28"/>
      <c r="H129" s="28"/>
      <c r="I129" s="28"/>
    </row>
    <row r="130" spans="1:9" ht="21.75" customHeight="1" x14ac:dyDescent="0.25">
      <c r="A130" s="28"/>
      <c r="B130" s="31"/>
      <c r="C130" s="28"/>
      <c r="D130" s="26" t="str">
        <f>IF(C130="","",IFERROR(VLOOKUP(C130,Productos!$A$5:$I$504,2,FALSE()),"Revisar código"))</f>
        <v/>
      </c>
      <c r="E130" s="29"/>
      <c r="F130" s="28"/>
      <c r="G130" s="28"/>
      <c r="H130" s="28"/>
      <c r="I130" s="28"/>
    </row>
    <row r="131" spans="1:9" ht="21.75" customHeight="1" x14ac:dyDescent="0.25">
      <c r="A131" s="28"/>
      <c r="B131" s="31"/>
      <c r="C131" s="28"/>
      <c r="D131" s="26" t="str">
        <f>IF(C131="","",IFERROR(VLOOKUP(C131,Productos!$A$5:$I$504,2,FALSE()),"Revisar código"))</f>
        <v/>
      </c>
      <c r="E131" s="29"/>
      <c r="F131" s="28"/>
      <c r="G131" s="28"/>
      <c r="H131" s="28"/>
      <c r="I131" s="28"/>
    </row>
    <row r="132" spans="1:9" ht="21.75" customHeight="1" x14ac:dyDescent="0.25">
      <c r="A132" s="28"/>
      <c r="B132" s="31"/>
      <c r="C132" s="28"/>
      <c r="D132" s="26" t="str">
        <f>IF(C132="","",IFERROR(VLOOKUP(C132,Productos!$A$5:$I$504,2,FALSE()),"Revisar código"))</f>
        <v/>
      </c>
      <c r="E132" s="29"/>
      <c r="F132" s="28"/>
      <c r="G132" s="28"/>
      <c r="H132" s="28"/>
      <c r="I132" s="28"/>
    </row>
    <row r="133" spans="1:9" ht="21.75" customHeight="1" x14ac:dyDescent="0.25">
      <c r="A133" s="28"/>
      <c r="B133" s="31"/>
      <c r="C133" s="28"/>
      <c r="D133" s="26" t="str">
        <f>IF(C133="","",IFERROR(VLOOKUP(C133,Productos!$A$5:$I$504,2,FALSE()),"Revisar código"))</f>
        <v/>
      </c>
      <c r="E133" s="29"/>
      <c r="F133" s="28"/>
      <c r="G133" s="28"/>
      <c r="H133" s="28"/>
      <c r="I133" s="28"/>
    </row>
    <row r="134" spans="1:9" ht="21.75" customHeight="1" x14ac:dyDescent="0.25">
      <c r="A134" s="28"/>
      <c r="B134" s="31"/>
      <c r="C134" s="28"/>
      <c r="D134" s="26" t="str">
        <f>IF(C134="","",IFERROR(VLOOKUP(C134,Productos!$A$5:$I$504,2,FALSE()),"Revisar código"))</f>
        <v/>
      </c>
      <c r="E134" s="29"/>
      <c r="F134" s="28"/>
      <c r="G134" s="28"/>
      <c r="H134" s="28"/>
      <c r="I134" s="28"/>
    </row>
    <row r="135" spans="1:9" ht="21.75" customHeight="1" x14ac:dyDescent="0.25">
      <c r="A135" s="28"/>
      <c r="B135" s="31"/>
      <c r="C135" s="28"/>
      <c r="D135" s="26" t="str">
        <f>IF(C135="","",IFERROR(VLOOKUP(C135,Productos!$A$5:$I$504,2,FALSE()),"Revisar código"))</f>
        <v/>
      </c>
      <c r="E135" s="29"/>
      <c r="F135" s="28"/>
      <c r="G135" s="28"/>
      <c r="H135" s="28"/>
      <c r="I135" s="28"/>
    </row>
    <row r="136" spans="1:9" ht="21.75" customHeight="1" x14ac:dyDescent="0.25">
      <c r="A136" s="28"/>
      <c r="B136" s="31"/>
      <c r="C136" s="28"/>
      <c r="D136" s="26" t="str">
        <f>IF(C136="","",IFERROR(VLOOKUP(C136,Productos!$A$5:$I$504,2,FALSE()),"Revisar código"))</f>
        <v/>
      </c>
      <c r="E136" s="29"/>
      <c r="F136" s="28"/>
      <c r="G136" s="28"/>
      <c r="H136" s="28"/>
      <c r="I136" s="28"/>
    </row>
    <row r="137" spans="1:9" ht="21.75" customHeight="1" x14ac:dyDescent="0.25">
      <c r="A137" s="28"/>
      <c r="B137" s="31"/>
      <c r="C137" s="28"/>
      <c r="D137" s="26" t="str">
        <f>IF(C137="","",IFERROR(VLOOKUP(C137,Productos!$A$5:$I$504,2,FALSE()),"Revisar código"))</f>
        <v/>
      </c>
      <c r="E137" s="29"/>
      <c r="F137" s="28"/>
      <c r="G137" s="28"/>
      <c r="H137" s="28"/>
      <c r="I137" s="28"/>
    </row>
    <row r="138" spans="1:9" ht="21.75" customHeight="1" x14ac:dyDescent="0.25">
      <c r="A138" s="28"/>
      <c r="B138" s="31"/>
      <c r="C138" s="28"/>
      <c r="D138" s="26" t="str">
        <f>IF(C138="","",IFERROR(VLOOKUP(C138,Productos!$A$5:$I$504,2,FALSE()),"Revisar código"))</f>
        <v/>
      </c>
      <c r="E138" s="29"/>
      <c r="F138" s="28"/>
      <c r="G138" s="28"/>
      <c r="H138" s="28"/>
      <c r="I138" s="28"/>
    </row>
    <row r="139" spans="1:9" ht="21.75" customHeight="1" x14ac:dyDescent="0.25">
      <c r="A139" s="28"/>
      <c r="B139" s="31"/>
      <c r="C139" s="28"/>
      <c r="D139" s="26" t="str">
        <f>IF(C139="","",IFERROR(VLOOKUP(C139,Productos!$A$5:$I$504,2,FALSE()),"Revisar código"))</f>
        <v/>
      </c>
      <c r="E139" s="29"/>
      <c r="F139" s="28"/>
      <c r="G139" s="28"/>
      <c r="H139" s="28"/>
      <c r="I139" s="28"/>
    </row>
    <row r="140" spans="1:9" ht="21.75" customHeight="1" x14ac:dyDescent="0.25">
      <c r="A140" s="28"/>
      <c r="B140" s="31"/>
      <c r="C140" s="28"/>
      <c r="D140" s="26" t="str">
        <f>IF(C140="","",IFERROR(VLOOKUP(C140,Productos!$A$5:$I$504,2,FALSE()),"Revisar código"))</f>
        <v/>
      </c>
      <c r="E140" s="29"/>
      <c r="F140" s="28"/>
      <c r="G140" s="28"/>
      <c r="H140" s="28"/>
      <c r="I140" s="28"/>
    </row>
    <row r="141" spans="1:9" ht="21.75" customHeight="1" x14ac:dyDescent="0.25">
      <c r="A141" s="28"/>
      <c r="B141" s="31"/>
      <c r="C141" s="28"/>
      <c r="D141" s="26" t="str">
        <f>IF(C141="","",IFERROR(VLOOKUP(C141,Productos!$A$5:$I$504,2,FALSE()),"Revisar código"))</f>
        <v/>
      </c>
      <c r="E141" s="29"/>
      <c r="F141" s="28"/>
      <c r="G141" s="28"/>
      <c r="H141" s="28"/>
      <c r="I141" s="28"/>
    </row>
    <row r="142" spans="1:9" ht="21.75" customHeight="1" x14ac:dyDescent="0.25">
      <c r="A142" s="28"/>
      <c r="B142" s="31"/>
      <c r="C142" s="28"/>
      <c r="D142" s="26" t="str">
        <f>IF(C142="","",IFERROR(VLOOKUP(C142,Productos!$A$5:$I$504,2,FALSE()),"Revisar código"))</f>
        <v/>
      </c>
      <c r="E142" s="29"/>
      <c r="F142" s="28"/>
      <c r="G142" s="28"/>
      <c r="H142" s="28"/>
      <c r="I142" s="28"/>
    </row>
    <row r="143" spans="1:9" ht="21.75" customHeight="1" x14ac:dyDescent="0.25">
      <c r="A143" s="28"/>
      <c r="B143" s="31"/>
      <c r="C143" s="28"/>
      <c r="D143" s="26" t="str">
        <f>IF(C143="","",IFERROR(VLOOKUP(C143,Productos!$A$5:$I$504,2,FALSE()),"Revisar código"))</f>
        <v/>
      </c>
      <c r="E143" s="29"/>
      <c r="F143" s="28"/>
      <c r="G143" s="28"/>
      <c r="H143" s="28"/>
      <c r="I143" s="28"/>
    </row>
    <row r="144" spans="1:9" ht="21.75" customHeight="1" x14ac:dyDescent="0.25">
      <c r="A144" s="28"/>
      <c r="B144" s="31"/>
      <c r="C144" s="28"/>
      <c r="D144" s="26" t="str">
        <f>IF(C144="","",IFERROR(VLOOKUP(C144,Productos!$A$5:$I$504,2,FALSE()),"Revisar código"))</f>
        <v/>
      </c>
      <c r="E144" s="29"/>
      <c r="F144" s="28"/>
      <c r="G144" s="28"/>
      <c r="H144" s="28"/>
      <c r="I144" s="28"/>
    </row>
    <row r="145" spans="1:9" ht="21.75" customHeight="1" x14ac:dyDescent="0.25">
      <c r="A145" s="28"/>
      <c r="B145" s="31"/>
      <c r="C145" s="28"/>
      <c r="D145" s="26" t="str">
        <f>IF(C145="","",IFERROR(VLOOKUP(C145,Productos!$A$5:$I$504,2,FALSE()),"Revisar código"))</f>
        <v/>
      </c>
      <c r="E145" s="29"/>
      <c r="F145" s="28"/>
      <c r="G145" s="28"/>
      <c r="H145" s="28"/>
      <c r="I145" s="28"/>
    </row>
    <row r="146" spans="1:9" ht="21.75" customHeight="1" x14ac:dyDescent="0.25">
      <c r="A146" s="28"/>
      <c r="B146" s="31"/>
      <c r="C146" s="28"/>
      <c r="D146" s="26" t="str">
        <f>IF(C146="","",IFERROR(VLOOKUP(C146,Productos!$A$5:$I$504,2,FALSE()),"Revisar código"))</f>
        <v/>
      </c>
      <c r="E146" s="29"/>
      <c r="F146" s="28"/>
      <c r="G146" s="28"/>
      <c r="H146" s="28"/>
      <c r="I146" s="28"/>
    </row>
    <row r="147" spans="1:9" ht="21.75" customHeight="1" x14ac:dyDescent="0.25">
      <c r="A147" s="28"/>
      <c r="B147" s="31"/>
      <c r="C147" s="28"/>
      <c r="D147" s="26" t="str">
        <f>IF(C147="","",IFERROR(VLOOKUP(C147,Productos!$A$5:$I$504,2,FALSE()),"Revisar código"))</f>
        <v/>
      </c>
      <c r="E147" s="29"/>
      <c r="F147" s="28"/>
      <c r="G147" s="28"/>
      <c r="H147" s="28"/>
      <c r="I147" s="28"/>
    </row>
    <row r="148" spans="1:9" ht="21.75" customHeight="1" x14ac:dyDescent="0.25">
      <c r="A148" s="28"/>
      <c r="B148" s="31"/>
      <c r="C148" s="28"/>
      <c r="D148" s="26" t="str">
        <f>IF(C148="","",IFERROR(VLOOKUP(C148,Productos!$A$5:$I$504,2,FALSE()),"Revisar código"))</f>
        <v/>
      </c>
      <c r="E148" s="29"/>
      <c r="F148" s="28"/>
      <c r="G148" s="28"/>
      <c r="H148" s="28"/>
      <c r="I148" s="28"/>
    </row>
    <row r="149" spans="1:9" ht="21.75" customHeight="1" x14ac:dyDescent="0.25">
      <c r="A149" s="28"/>
      <c r="B149" s="31"/>
      <c r="C149" s="28"/>
      <c r="D149" s="26" t="str">
        <f>IF(C149="","",IFERROR(VLOOKUP(C149,Productos!$A$5:$I$504,2,FALSE()),"Revisar código"))</f>
        <v/>
      </c>
      <c r="E149" s="29"/>
      <c r="F149" s="28"/>
      <c r="G149" s="28"/>
      <c r="H149" s="28"/>
      <c r="I149" s="28"/>
    </row>
    <row r="150" spans="1:9" ht="21.75" customHeight="1" x14ac:dyDescent="0.25">
      <c r="A150" s="28"/>
      <c r="B150" s="31"/>
      <c r="C150" s="28"/>
      <c r="D150" s="26" t="str">
        <f>IF(C150="","",IFERROR(VLOOKUP(C150,Productos!$A$5:$I$504,2,FALSE()),"Revisar código"))</f>
        <v/>
      </c>
      <c r="E150" s="29"/>
      <c r="F150" s="28"/>
      <c r="G150" s="28"/>
      <c r="H150" s="28"/>
      <c r="I150" s="28"/>
    </row>
    <row r="151" spans="1:9" ht="21.75" customHeight="1" x14ac:dyDescent="0.25">
      <c r="A151" s="28"/>
      <c r="B151" s="31"/>
      <c r="C151" s="28"/>
      <c r="D151" s="26" t="str">
        <f>IF(C151="","",IFERROR(VLOOKUP(C151,Productos!$A$5:$I$504,2,FALSE()),"Revisar código"))</f>
        <v/>
      </c>
      <c r="E151" s="29"/>
      <c r="F151" s="28"/>
      <c r="G151" s="28"/>
      <c r="H151" s="28"/>
      <c r="I151" s="28"/>
    </row>
    <row r="152" spans="1:9" ht="21.75" customHeight="1" x14ac:dyDescent="0.25">
      <c r="A152" s="28"/>
      <c r="B152" s="31"/>
      <c r="C152" s="28"/>
      <c r="D152" s="26" t="str">
        <f>IF(C152="","",IFERROR(VLOOKUP(C152,Productos!$A$5:$I$504,2,FALSE()),"Revisar código"))</f>
        <v/>
      </c>
      <c r="E152" s="29"/>
      <c r="F152" s="28"/>
      <c r="G152" s="28"/>
      <c r="H152" s="28"/>
      <c r="I152" s="28"/>
    </row>
    <row r="153" spans="1:9" ht="21.75" customHeight="1" x14ac:dyDescent="0.25">
      <c r="A153" s="28"/>
      <c r="B153" s="31"/>
      <c r="C153" s="28"/>
      <c r="D153" s="26" t="str">
        <f>IF(C153="","",IFERROR(VLOOKUP(C153,Productos!$A$5:$I$504,2,FALSE()),"Revisar código"))</f>
        <v/>
      </c>
      <c r="E153" s="29"/>
      <c r="F153" s="28"/>
      <c r="G153" s="28"/>
      <c r="H153" s="28"/>
      <c r="I153" s="28"/>
    </row>
    <row r="154" spans="1:9" ht="21.75" customHeight="1" x14ac:dyDescent="0.25">
      <c r="A154" s="28"/>
      <c r="B154" s="31"/>
      <c r="C154" s="28"/>
      <c r="D154" s="26" t="str">
        <f>IF(C154="","",IFERROR(VLOOKUP(C154,Productos!$A$5:$I$504,2,FALSE()),"Revisar código"))</f>
        <v/>
      </c>
      <c r="E154" s="29"/>
      <c r="F154" s="28"/>
      <c r="G154" s="28"/>
      <c r="H154" s="28"/>
      <c r="I154" s="28"/>
    </row>
    <row r="155" spans="1:9" ht="21.75" customHeight="1" x14ac:dyDescent="0.25">
      <c r="A155" s="28"/>
      <c r="B155" s="31"/>
      <c r="C155" s="28"/>
      <c r="D155" s="26" t="str">
        <f>IF(C155="","",IFERROR(VLOOKUP(C155,Productos!$A$5:$I$504,2,FALSE()),"Revisar código"))</f>
        <v/>
      </c>
      <c r="E155" s="29"/>
      <c r="F155" s="28"/>
      <c r="G155" s="28"/>
      <c r="H155" s="28"/>
      <c r="I155" s="28"/>
    </row>
    <row r="156" spans="1:9" ht="21.75" customHeight="1" x14ac:dyDescent="0.25">
      <c r="A156" s="28"/>
      <c r="B156" s="31"/>
      <c r="C156" s="28"/>
      <c r="D156" s="26" t="str">
        <f>IF(C156="","",IFERROR(VLOOKUP(C156,Productos!$A$5:$I$504,2,FALSE()),"Revisar código"))</f>
        <v/>
      </c>
      <c r="E156" s="29"/>
      <c r="F156" s="28"/>
      <c r="G156" s="28"/>
      <c r="H156" s="28"/>
      <c r="I156" s="28"/>
    </row>
    <row r="157" spans="1:9" ht="21.75" customHeight="1" x14ac:dyDescent="0.25">
      <c r="A157" s="28"/>
      <c r="B157" s="31"/>
      <c r="C157" s="28"/>
      <c r="D157" s="26" t="str">
        <f>IF(C157="","",IFERROR(VLOOKUP(C157,Productos!$A$5:$I$504,2,FALSE()),"Revisar código"))</f>
        <v/>
      </c>
      <c r="E157" s="29"/>
      <c r="F157" s="28"/>
      <c r="G157" s="28"/>
      <c r="H157" s="28"/>
      <c r="I157" s="28"/>
    </row>
    <row r="158" spans="1:9" ht="21.75" customHeight="1" x14ac:dyDescent="0.25">
      <c r="A158" s="28"/>
      <c r="B158" s="31"/>
      <c r="C158" s="28"/>
      <c r="D158" s="26" t="str">
        <f>IF(C158="","",IFERROR(VLOOKUP(C158,Productos!$A$5:$I$504,2,FALSE()),"Revisar código"))</f>
        <v/>
      </c>
      <c r="E158" s="29"/>
      <c r="F158" s="28"/>
      <c r="G158" s="28"/>
      <c r="H158" s="28"/>
      <c r="I158" s="28"/>
    </row>
    <row r="159" spans="1:9" ht="21.75" customHeight="1" x14ac:dyDescent="0.25">
      <c r="A159" s="28"/>
      <c r="B159" s="31"/>
      <c r="C159" s="28"/>
      <c r="D159" s="26" t="str">
        <f>IF(C159="","",IFERROR(VLOOKUP(C159,Productos!$A$5:$I$504,2,FALSE()),"Revisar código"))</f>
        <v/>
      </c>
      <c r="E159" s="29"/>
      <c r="F159" s="28"/>
      <c r="G159" s="28"/>
      <c r="H159" s="28"/>
      <c r="I159" s="28"/>
    </row>
    <row r="160" spans="1:9" ht="21.75" customHeight="1" x14ac:dyDescent="0.25">
      <c r="A160" s="28"/>
      <c r="B160" s="31"/>
      <c r="C160" s="28"/>
      <c r="D160" s="26" t="str">
        <f>IF(C160="","",IFERROR(VLOOKUP(C160,Productos!$A$5:$I$504,2,FALSE()),"Revisar código"))</f>
        <v/>
      </c>
      <c r="E160" s="29"/>
      <c r="F160" s="28"/>
      <c r="G160" s="28"/>
      <c r="H160" s="28"/>
      <c r="I160" s="28"/>
    </row>
    <row r="161" spans="1:9" ht="21.75" customHeight="1" x14ac:dyDescent="0.25">
      <c r="A161" s="28"/>
      <c r="B161" s="31"/>
      <c r="C161" s="28"/>
      <c r="D161" s="26" t="str">
        <f>IF(C161="","",IFERROR(VLOOKUP(C161,Productos!$A$5:$I$504,2,FALSE()),"Revisar código"))</f>
        <v/>
      </c>
      <c r="E161" s="29"/>
      <c r="F161" s="28"/>
      <c r="G161" s="28"/>
      <c r="H161" s="28"/>
      <c r="I161" s="28"/>
    </row>
    <row r="162" spans="1:9" ht="21.75" customHeight="1" x14ac:dyDescent="0.25">
      <c r="A162" s="28"/>
      <c r="B162" s="31"/>
      <c r="C162" s="28"/>
      <c r="D162" s="26" t="str">
        <f>IF(C162="","",IFERROR(VLOOKUP(C162,Productos!$A$5:$I$504,2,FALSE()),"Revisar código"))</f>
        <v/>
      </c>
      <c r="E162" s="29"/>
      <c r="F162" s="28"/>
      <c r="G162" s="28"/>
      <c r="H162" s="28"/>
      <c r="I162" s="28"/>
    </row>
    <row r="163" spans="1:9" ht="21.75" customHeight="1" x14ac:dyDescent="0.25">
      <c r="A163" s="28"/>
      <c r="B163" s="31"/>
      <c r="C163" s="28"/>
      <c r="D163" s="26" t="str">
        <f>IF(C163="","",IFERROR(VLOOKUP(C163,Productos!$A$5:$I$504,2,FALSE()),"Revisar código"))</f>
        <v/>
      </c>
      <c r="E163" s="29"/>
      <c r="F163" s="28"/>
      <c r="G163" s="28"/>
      <c r="H163" s="28"/>
      <c r="I163" s="28"/>
    </row>
    <row r="164" spans="1:9" ht="21.75" customHeight="1" x14ac:dyDescent="0.25">
      <c r="A164" s="28"/>
      <c r="B164" s="31"/>
      <c r="C164" s="28"/>
      <c r="D164" s="26" t="str">
        <f>IF(C164="","",IFERROR(VLOOKUP(C164,Productos!$A$5:$I$504,2,FALSE()),"Revisar código"))</f>
        <v/>
      </c>
      <c r="E164" s="29"/>
      <c r="F164" s="28"/>
      <c r="G164" s="28"/>
      <c r="H164" s="28"/>
      <c r="I164" s="28"/>
    </row>
    <row r="165" spans="1:9" ht="21.75" customHeight="1" x14ac:dyDescent="0.25">
      <c r="A165" s="28"/>
      <c r="B165" s="31"/>
      <c r="C165" s="28"/>
      <c r="D165" s="26" t="str">
        <f>IF(C165="","",IFERROR(VLOOKUP(C165,Productos!$A$5:$I$504,2,FALSE()),"Revisar código"))</f>
        <v/>
      </c>
      <c r="E165" s="29"/>
      <c r="F165" s="28"/>
      <c r="G165" s="28"/>
      <c r="H165" s="28"/>
      <c r="I165" s="28"/>
    </row>
    <row r="166" spans="1:9" ht="21.75" customHeight="1" x14ac:dyDescent="0.25">
      <c r="A166" s="28"/>
      <c r="B166" s="31"/>
      <c r="C166" s="28"/>
      <c r="D166" s="26" t="str">
        <f>IF(C166="","",IFERROR(VLOOKUP(C166,Productos!$A$5:$I$504,2,FALSE()),"Revisar código"))</f>
        <v/>
      </c>
      <c r="E166" s="29"/>
      <c r="F166" s="28"/>
      <c r="G166" s="28"/>
      <c r="H166" s="28"/>
      <c r="I166" s="28"/>
    </row>
    <row r="167" spans="1:9" ht="21.75" customHeight="1" x14ac:dyDescent="0.25">
      <c r="A167" s="28"/>
      <c r="B167" s="31"/>
      <c r="C167" s="28"/>
      <c r="D167" s="26" t="str">
        <f>IF(C167="","",IFERROR(VLOOKUP(C167,Productos!$A$5:$I$504,2,FALSE()),"Revisar código"))</f>
        <v/>
      </c>
      <c r="E167" s="29"/>
      <c r="F167" s="28"/>
      <c r="G167" s="28"/>
      <c r="H167" s="28"/>
      <c r="I167" s="28"/>
    </row>
    <row r="168" spans="1:9" ht="21.75" customHeight="1" x14ac:dyDescent="0.25">
      <c r="A168" s="28"/>
      <c r="B168" s="31"/>
      <c r="C168" s="28"/>
      <c r="D168" s="26" t="str">
        <f>IF(C168="","",IFERROR(VLOOKUP(C168,Productos!$A$5:$I$504,2,FALSE()),"Revisar código"))</f>
        <v/>
      </c>
      <c r="E168" s="29"/>
      <c r="F168" s="28"/>
      <c r="G168" s="28"/>
      <c r="H168" s="28"/>
      <c r="I168" s="28"/>
    </row>
    <row r="169" spans="1:9" ht="21.75" customHeight="1" x14ac:dyDescent="0.25">
      <c r="A169" s="28"/>
      <c r="B169" s="31"/>
      <c r="C169" s="28"/>
      <c r="D169" s="26" t="str">
        <f>IF(C169="","",IFERROR(VLOOKUP(C169,Productos!$A$5:$I$504,2,FALSE()),"Revisar código"))</f>
        <v/>
      </c>
      <c r="E169" s="29"/>
      <c r="F169" s="28"/>
      <c r="G169" s="28"/>
      <c r="H169" s="28"/>
      <c r="I169" s="28"/>
    </row>
    <row r="170" spans="1:9" ht="21.75" customHeight="1" x14ac:dyDescent="0.25">
      <c r="A170" s="28"/>
      <c r="B170" s="31"/>
      <c r="C170" s="28"/>
      <c r="D170" s="26" t="str">
        <f>IF(C170="","",IFERROR(VLOOKUP(C170,Productos!$A$5:$I$504,2,FALSE()),"Revisar código"))</f>
        <v/>
      </c>
      <c r="E170" s="29"/>
      <c r="F170" s="28"/>
      <c r="G170" s="28"/>
      <c r="H170" s="28"/>
      <c r="I170" s="28"/>
    </row>
    <row r="171" spans="1:9" ht="21.75" customHeight="1" x14ac:dyDescent="0.25">
      <c r="A171" s="28"/>
      <c r="B171" s="31"/>
      <c r="C171" s="28"/>
      <c r="D171" s="26" t="str">
        <f>IF(C171="","",IFERROR(VLOOKUP(C171,Productos!$A$5:$I$504,2,FALSE()),"Revisar código"))</f>
        <v/>
      </c>
      <c r="E171" s="29"/>
      <c r="F171" s="28"/>
      <c r="G171" s="28"/>
      <c r="H171" s="28"/>
      <c r="I171" s="28"/>
    </row>
    <row r="172" spans="1:9" ht="21.75" customHeight="1" x14ac:dyDescent="0.25">
      <c r="A172" s="28"/>
      <c r="B172" s="31"/>
      <c r="C172" s="28"/>
      <c r="D172" s="26" t="str">
        <f>IF(C172="","",IFERROR(VLOOKUP(C172,Productos!$A$5:$I$504,2,FALSE()),"Revisar código"))</f>
        <v/>
      </c>
      <c r="E172" s="29"/>
      <c r="F172" s="28"/>
      <c r="G172" s="28"/>
      <c r="H172" s="28"/>
      <c r="I172" s="28"/>
    </row>
    <row r="173" spans="1:9" ht="21.75" customHeight="1" x14ac:dyDescent="0.25">
      <c r="A173" s="28"/>
      <c r="B173" s="31"/>
      <c r="C173" s="28"/>
      <c r="D173" s="26" t="str">
        <f>IF(C173="","",IFERROR(VLOOKUP(C173,Productos!$A$5:$I$504,2,FALSE()),"Revisar código"))</f>
        <v/>
      </c>
      <c r="E173" s="29"/>
      <c r="F173" s="28"/>
      <c r="G173" s="28"/>
      <c r="H173" s="28"/>
      <c r="I173" s="28"/>
    </row>
    <row r="174" spans="1:9" ht="21.75" customHeight="1" x14ac:dyDescent="0.25">
      <c r="A174" s="28"/>
      <c r="B174" s="31"/>
      <c r="C174" s="28"/>
      <c r="D174" s="26" t="str">
        <f>IF(C174="","",IFERROR(VLOOKUP(C174,Productos!$A$5:$I$504,2,FALSE()),"Revisar código"))</f>
        <v/>
      </c>
      <c r="E174" s="29"/>
      <c r="F174" s="28"/>
      <c r="G174" s="28"/>
      <c r="H174" s="28"/>
      <c r="I174" s="28"/>
    </row>
    <row r="175" spans="1:9" ht="21.75" customHeight="1" x14ac:dyDescent="0.25">
      <c r="A175" s="28"/>
      <c r="B175" s="31"/>
      <c r="C175" s="28"/>
      <c r="D175" s="26" t="str">
        <f>IF(C175="","",IFERROR(VLOOKUP(C175,Productos!$A$5:$I$504,2,FALSE()),"Revisar código"))</f>
        <v/>
      </c>
      <c r="E175" s="29"/>
      <c r="F175" s="28"/>
      <c r="G175" s="28"/>
      <c r="H175" s="28"/>
      <c r="I175" s="28"/>
    </row>
    <row r="176" spans="1:9" ht="21.75" customHeight="1" x14ac:dyDescent="0.25">
      <c r="A176" s="28"/>
      <c r="B176" s="31"/>
      <c r="C176" s="28"/>
      <c r="D176" s="26" t="str">
        <f>IF(C176="","",IFERROR(VLOOKUP(C176,Productos!$A$5:$I$504,2,FALSE()),"Revisar código"))</f>
        <v/>
      </c>
      <c r="E176" s="29"/>
      <c r="F176" s="28"/>
      <c r="G176" s="28"/>
      <c r="H176" s="28"/>
      <c r="I176" s="28"/>
    </row>
    <row r="177" spans="1:9" ht="21.75" customHeight="1" x14ac:dyDescent="0.25">
      <c r="A177" s="28"/>
      <c r="B177" s="31"/>
      <c r="C177" s="28"/>
      <c r="D177" s="26" t="str">
        <f>IF(C177="","",IFERROR(VLOOKUP(C177,Productos!$A$5:$I$504,2,FALSE()),"Revisar código"))</f>
        <v/>
      </c>
      <c r="E177" s="29"/>
      <c r="F177" s="28"/>
      <c r="G177" s="28"/>
      <c r="H177" s="28"/>
      <c r="I177" s="28"/>
    </row>
    <row r="178" spans="1:9" ht="21.75" customHeight="1" x14ac:dyDescent="0.25">
      <c r="A178" s="28"/>
      <c r="B178" s="31"/>
      <c r="C178" s="28"/>
      <c r="D178" s="26" t="str">
        <f>IF(C178="","",IFERROR(VLOOKUP(C178,Productos!$A$5:$I$504,2,FALSE()),"Revisar código"))</f>
        <v/>
      </c>
      <c r="E178" s="29"/>
      <c r="F178" s="28"/>
      <c r="G178" s="28"/>
      <c r="H178" s="28"/>
      <c r="I178" s="28"/>
    </row>
    <row r="179" spans="1:9" ht="21.75" customHeight="1" x14ac:dyDescent="0.25">
      <c r="A179" s="28"/>
      <c r="B179" s="31"/>
      <c r="C179" s="28"/>
      <c r="D179" s="26" t="str">
        <f>IF(C179="","",IFERROR(VLOOKUP(C179,Productos!$A$5:$I$504,2,FALSE()),"Revisar código"))</f>
        <v/>
      </c>
      <c r="E179" s="29"/>
      <c r="F179" s="28"/>
      <c r="G179" s="28"/>
      <c r="H179" s="28"/>
      <c r="I179" s="28"/>
    </row>
    <row r="180" spans="1:9" ht="21.75" customHeight="1" x14ac:dyDescent="0.25">
      <c r="A180" s="28"/>
      <c r="B180" s="31"/>
      <c r="C180" s="28"/>
      <c r="D180" s="26" t="str">
        <f>IF(C180="","",IFERROR(VLOOKUP(C180,Productos!$A$5:$I$504,2,FALSE()),"Revisar código"))</f>
        <v/>
      </c>
      <c r="E180" s="29"/>
      <c r="F180" s="28"/>
      <c r="G180" s="28"/>
      <c r="H180" s="28"/>
      <c r="I180" s="28"/>
    </row>
    <row r="181" spans="1:9" ht="21.75" customHeight="1" x14ac:dyDescent="0.25">
      <c r="A181" s="28"/>
      <c r="B181" s="31"/>
      <c r="C181" s="28"/>
      <c r="D181" s="26" t="str">
        <f>IF(C181="","",IFERROR(VLOOKUP(C181,Productos!$A$5:$I$504,2,FALSE()),"Revisar código"))</f>
        <v/>
      </c>
      <c r="E181" s="29"/>
      <c r="F181" s="28"/>
      <c r="G181" s="28"/>
      <c r="H181" s="28"/>
      <c r="I181" s="28"/>
    </row>
    <row r="182" spans="1:9" ht="21.75" customHeight="1" x14ac:dyDescent="0.25">
      <c r="A182" s="28"/>
      <c r="B182" s="31"/>
      <c r="C182" s="28"/>
      <c r="D182" s="26" t="str">
        <f>IF(C182="","",IFERROR(VLOOKUP(C182,Productos!$A$5:$I$504,2,FALSE()),"Revisar código"))</f>
        <v/>
      </c>
      <c r="E182" s="29"/>
      <c r="F182" s="28"/>
      <c r="G182" s="28"/>
      <c r="H182" s="28"/>
      <c r="I182" s="28"/>
    </row>
    <row r="183" spans="1:9" ht="21.75" customHeight="1" x14ac:dyDescent="0.25">
      <c r="A183" s="28"/>
      <c r="B183" s="31"/>
      <c r="C183" s="28"/>
      <c r="D183" s="26" t="str">
        <f>IF(C183="","",IFERROR(VLOOKUP(C183,Productos!$A$5:$I$504,2,FALSE()),"Revisar código"))</f>
        <v/>
      </c>
      <c r="E183" s="29"/>
      <c r="F183" s="28"/>
      <c r="G183" s="28"/>
      <c r="H183" s="28"/>
      <c r="I183" s="28"/>
    </row>
    <row r="184" spans="1:9" ht="21.75" customHeight="1" x14ac:dyDescent="0.25">
      <c r="A184" s="28"/>
      <c r="B184" s="31"/>
      <c r="C184" s="28"/>
      <c r="D184" s="26" t="str">
        <f>IF(C184="","",IFERROR(VLOOKUP(C184,Productos!$A$5:$I$504,2,FALSE()),"Revisar código"))</f>
        <v/>
      </c>
      <c r="E184" s="29"/>
      <c r="F184" s="28"/>
      <c r="G184" s="28"/>
      <c r="H184" s="28"/>
      <c r="I184" s="28"/>
    </row>
    <row r="185" spans="1:9" ht="21.75" customHeight="1" x14ac:dyDescent="0.25">
      <c r="A185" s="28"/>
      <c r="B185" s="31"/>
      <c r="C185" s="28"/>
      <c r="D185" s="26" t="str">
        <f>IF(C185="","",IFERROR(VLOOKUP(C185,Productos!$A$5:$I$504,2,FALSE()),"Revisar código"))</f>
        <v/>
      </c>
      <c r="E185" s="29"/>
      <c r="F185" s="28"/>
      <c r="G185" s="28"/>
      <c r="H185" s="28"/>
      <c r="I185" s="28"/>
    </row>
    <row r="186" spans="1:9" ht="21.75" customHeight="1" x14ac:dyDescent="0.25">
      <c r="A186" s="28"/>
      <c r="B186" s="31"/>
      <c r="C186" s="28"/>
      <c r="D186" s="26" t="str">
        <f>IF(C186="","",IFERROR(VLOOKUP(C186,Productos!$A$5:$I$504,2,FALSE()),"Revisar código"))</f>
        <v/>
      </c>
      <c r="E186" s="29"/>
      <c r="F186" s="28"/>
      <c r="G186" s="28"/>
      <c r="H186" s="28"/>
      <c r="I186" s="28"/>
    </row>
    <row r="187" spans="1:9" ht="21.75" customHeight="1" x14ac:dyDescent="0.25">
      <c r="A187" s="28"/>
      <c r="B187" s="31"/>
      <c r="C187" s="28"/>
      <c r="D187" s="26" t="str">
        <f>IF(C187="","",IFERROR(VLOOKUP(C187,Productos!$A$5:$I$504,2,FALSE()),"Revisar código"))</f>
        <v/>
      </c>
      <c r="E187" s="29"/>
      <c r="F187" s="28"/>
      <c r="G187" s="28"/>
      <c r="H187" s="28"/>
      <c r="I187" s="28"/>
    </row>
    <row r="188" spans="1:9" ht="21.75" customHeight="1" x14ac:dyDescent="0.25">
      <c r="A188" s="28"/>
      <c r="B188" s="31"/>
      <c r="C188" s="28"/>
      <c r="D188" s="26" t="str">
        <f>IF(C188="","",IFERROR(VLOOKUP(C188,Productos!$A$5:$I$504,2,FALSE()),"Revisar código"))</f>
        <v/>
      </c>
      <c r="E188" s="29"/>
      <c r="F188" s="28"/>
      <c r="G188" s="28"/>
      <c r="H188" s="28"/>
      <c r="I188" s="28"/>
    </row>
    <row r="189" spans="1:9" ht="21.75" customHeight="1" x14ac:dyDescent="0.25">
      <c r="A189" s="28"/>
      <c r="B189" s="31"/>
      <c r="C189" s="28"/>
      <c r="D189" s="26" t="str">
        <f>IF(C189="","",IFERROR(VLOOKUP(C189,Productos!$A$5:$I$504,2,FALSE()),"Revisar código"))</f>
        <v/>
      </c>
      <c r="E189" s="29"/>
      <c r="F189" s="28"/>
      <c r="G189" s="28"/>
      <c r="H189" s="28"/>
      <c r="I189" s="28"/>
    </row>
    <row r="190" spans="1:9" ht="21.75" customHeight="1" x14ac:dyDescent="0.25">
      <c r="A190" s="28"/>
      <c r="B190" s="31"/>
      <c r="C190" s="28"/>
      <c r="D190" s="26" t="str">
        <f>IF(C190="","",IFERROR(VLOOKUP(C190,Productos!$A$5:$I$504,2,FALSE()),"Revisar código"))</f>
        <v/>
      </c>
      <c r="E190" s="29"/>
      <c r="F190" s="28"/>
      <c r="G190" s="28"/>
      <c r="H190" s="28"/>
      <c r="I190" s="28"/>
    </row>
    <row r="191" spans="1:9" ht="21.75" customHeight="1" x14ac:dyDescent="0.25">
      <c r="A191" s="28"/>
      <c r="B191" s="31"/>
      <c r="C191" s="28"/>
      <c r="D191" s="26" t="str">
        <f>IF(C191="","",IFERROR(VLOOKUP(C191,Productos!$A$5:$I$504,2,FALSE()),"Revisar código"))</f>
        <v/>
      </c>
      <c r="E191" s="29"/>
      <c r="F191" s="28"/>
      <c r="G191" s="28"/>
      <c r="H191" s="28"/>
      <c r="I191" s="28"/>
    </row>
    <row r="192" spans="1:9" ht="21.75" customHeight="1" x14ac:dyDescent="0.25">
      <c r="A192" s="28"/>
      <c r="B192" s="31"/>
      <c r="C192" s="28"/>
      <c r="D192" s="26" t="str">
        <f>IF(C192="","",IFERROR(VLOOKUP(C192,Productos!$A$5:$I$504,2,FALSE()),"Revisar código"))</f>
        <v/>
      </c>
      <c r="E192" s="29"/>
      <c r="F192" s="28"/>
      <c r="G192" s="28"/>
      <c r="H192" s="28"/>
      <c r="I192" s="28"/>
    </row>
    <row r="193" spans="1:9" ht="21.75" customHeight="1" x14ac:dyDescent="0.25">
      <c r="A193" s="28"/>
      <c r="B193" s="31"/>
      <c r="C193" s="28"/>
      <c r="D193" s="26" t="str">
        <f>IF(C193="","",IFERROR(VLOOKUP(C193,Productos!$A$5:$I$504,2,FALSE()),"Revisar código"))</f>
        <v/>
      </c>
      <c r="E193" s="29"/>
      <c r="F193" s="28"/>
      <c r="G193" s="28"/>
      <c r="H193" s="28"/>
      <c r="I193" s="28"/>
    </row>
    <row r="194" spans="1:9" ht="21.75" customHeight="1" x14ac:dyDescent="0.25">
      <c r="A194" s="28"/>
      <c r="B194" s="31"/>
      <c r="C194" s="28"/>
      <c r="D194" s="26" t="str">
        <f>IF(C194="","",IFERROR(VLOOKUP(C194,Productos!$A$5:$I$504,2,FALSE()),"Revisar código"))</f>
        <v/>
      </c>
      <c r="E194" s="29"/>
      <c r="F194" s="28"/>
      <c r="G194" s="28"/>
      <c r="H194" s="28"/>
      <c r="I194" s="28"/>
    </row>
    <row r="195" spans="1:9" ht="21.75" customHeight="1" x14ac:dyDescent="0.25">
      <c r="A195" s="28"/>
      <c r="B195" s="31"/>
      <c r="C195" s="28"/>
      <c r="D195" s="26" t="str">
        <f>IF(C195="","",IFERROR(VLOOKUP(C195,Productos!$A$5:$I$504,2,FALSE()),"Revisar código"))</f>
        <v/>
      </c>
      <c r="E195" s="29"/>
      <c r="F195" s="28"/>
      <c r="G195" s="28"/>
      <c r="H195" s="28"/>
      <c r="I195" s="28"/>
    </row>
    <row r="196" spans="1:9" ht="21.75" customHeight="1" x14ac:dyDescent="0.25">
      <c r="A196" s="28"/>
      <c r="B196" s="31"/>
      <c r="C196" s="28"/>
      <c r="D196" s="26" t="str">
        <f>IF(C196="","",IFERROR(VLOOKUP(C196,Productos!$A$5:$I$504,2,FALSE()),"Revisar código"))</f>
        <v/>
      </c>
      <c r="E196" s="29"/>
      <c r="F196" s="28"/>
      <c r="G196" s="28"/>
      <c r="H196" s="28"/>
      <c r="I196" s="28"/>
    </row>
    <row r="197" spans="1:9" ht="21.75" customHeight="1" x14ac:dyDescent="0.25">
      <c r="A197" s="28"/>
      <c r="B197" s="31"/>
      <c r="C197" s="28"/>
      <c r="D197" s="26" t="str">
        <f>IF(C197="","",IFERROR(VLOOKUP(C197,Productos!$A$5:$I$504,2,FALSE()),"Revisar código"))</f>
        <v/>
      </c>
      <c r="E197" s="29"/>
      <c r="F197" s="28"/>
      <c r="G197" s="28"/>
      <c r="H197" s="28"/>
      <c r="I197" s="28"/>
    </row>
    <row r="198" spans="1:9" ht="21.75" customHeight="1" x14ac:dyDescent="0.25">
      <c r="A198" s="28"/>
      <c r="B198" s="31"/>
      <c r="C198" s="28"/>
      <c r="D198" s="26" t="str">
        <f>IF(C198="","",IFERROR(VLOOKUP(C198,Productos!$A$5:$I$504,2,FALSE()),"Revisar código"))</f>
        <v/>
      </c>
      <c r="E198" s="29"/>
      <c r="F198" s="28"/>
      <c r="G198" s="28"/>
      <c r="H198" s="28"/>
      <c r="I198" s="28"/>
    </row>
    <row r="199" spans="1:9" ht="21.75" customHeight="1" x14ac:dyDescent="0.25">
      <c r="A199" s="28"/>
      <c r="B199" s="31"/>
      <c r="C199" s="28"/>
      <c r="D199" s="26" t="str">
        <f>IF(C199="","",IFERROR(VLOOKUP(C199,Productos!$A$5:$I$504,2,FALSE()),"Revisar código"))</f>
        <v/>
      </c>
      <c r="E199" s="29"/>
      <c r="F199" s="28"/>
      <c r="G199" s="28"/>
      <c r="H199" s="28"/>
      <c r="I199" s="28"/>
    </row>
    <row r="200" spans="1:9" ht="21.75" customHeight="1" x14ac:dyDescent="0.25">
      <c r="A200" s="28"/>
      <c r="B200" s="31"/>
      <c r="C200" s="28"/>
      <c r="D200" s="26" t="str">
        <f>IF(C200="","",IFERROR(VLOOKUP(C200,Productos!$A$5:$I$504,2,FALSE()),"Revisar código"))</f>
        <v/>
      </c>
      <c r="E200" s="29"/>
      <c r="F200" s="28"/>
      <c r="G200" s="28"/>
      <c r="H200" s="28"/>
      <c r="I200" s="28"/>
    </row>
    <row r="201" spans="1:9" ht="21.75" customHeight="1" x14ac:dyDescent="0.25">
      <c r="A201" s="28"/>
      <c r="B201" s="31"/>
      <c r="C201" s="28"/>
      <c r="D201" s="26" t="str">
        <f>IF(C201="","",IFERROR(VLOOKUP(C201,Productos!$A$5:$I$504,2,FALSE()),"Revisar código"))</f>
        <v/>
      </c>
      <c r="E201" s="29"/>
      <c r="F201" s="28"/>
      <c r="G201" s="28"/>
      <c r="H201" s="28"/>
      <c r="I201" s="28"/>
    </row>
    <row r="202" spans="1:9" ht="21.75" customHeight="1" x14ac:dyDescent="0.25">
      <c r="A202" s="28"/>
      <c r="B202" s="31"/>
      <c r="C202" s="28"/>
      <c r="D202" s="26" t="str">
        <f>IF(C202="","",IFERROR(VLOOKUP(C202,Productos!$A$5:$I$504,2,FALSE()),"Revisar código"))</f>
        <v/>
      </c>
      <c r="E202" s="29"/>
      <c r="F202" s="28"/>
      <c r="G202" s="28"/>
      <c r="H202" s="28"/>
      <c r="I202" s="28"/>
    </row>
    <row r="203" spans="1:9" ht="21.75" customHeight="1" x14ac:dyDescent="0.25">
      <c r="A203" s="28"/>
      <c r="B203" s="31"/>
      <c r="C203" s="28"/>
      <c r="D203" s="26" t="str">
        <f>IF(C203="","",IFERROR(VLOOKUP(C203,Productos!$A$5:$I$504,2,FALSE()),"Revisar código"))</f>
        <v/>
      </c>
      <c r="E203" s="29"/>
      <c r="F203" s="28"/>
      <c r="G203" s="28"/>
      <c r="H203" s="28"/>
      <c r="I203" s="28"/>
    </row>
    <row r="204" spans="1:9" ht="21.75" customHeight="1" x14ac:dyDescent="0.25">
      <c r="A204" s="28"/>
      <c r="B204" s="31"/>
      <c r="C204" s="28"/>
      <c r="D204" s="26" t="str">
        <f>IF(C204="","",IFERROR(VLOOKUP(C204,Productos!$A$5:$I$504,2,FALSE()),"Revisar código"))</f>
        <v/>
      </c>
      <c r="E204" s="29"/>
      <c r="F204" s="28"/>
      <c r="G204" s="28"/>
      <c r="H204" s="28"/>
      <c r="I204" s="28"/>
    </row>
    <row r="205" spans="1:9" ht="21.75" customHeight="1" x14ac:dyDescent="0.25">
      <c r="A205" s="28"/>
      <c r="B205" s="31"/>
      <c r="C205" s="28"/>
      <c r="D205" s="26" t="str">
        <f>IF(C205="","",IFERROR(VLOOKUP(C205,Productos!$A$5:$I$504,2,FALSE()),"Revisar código"))</f>
        <v/>
      </c>
      <c r="E205" s="29"/>
      <c r="F205" s="28"/>
      <c r="G205" s="28"/>
      <c r="H205" s="28"/>
      <c r="I205" s="28"/>
    </row>
    <row r="206" spans="1:9" ht="21.75" customHeight="1" x14ac:dyDescent="0.25">
      <c r="A206" s="28"/>
      <c r="B206" s="31"/>
      <c r="C206" s="28"/>
      <c r="D206" s="26" t="str">
        <f>IF(C206="","",IFERROR(VLOOKUP(C206,Productos!$A$5:$I$504,2,FALSE()),"Revisar código"))</f>
        <v/>
      </c>
      <c r="E206" s="29"/>
      <c r="F206" s="28"/>
      <c r="G206" s="28"/>
      <c r="H206" s="28"/>
      <c r="I206" s="28"/>
    </row>
    <row r="207" spans="1:9" ht="21.75" customHeight="1" x14ac:dyDescent="0.25">
      <c r="A207" s="28"/>
      <c r="B207" s="31"/>
      <c r="C207" s="28"/>
      <c r="D207" s="26" t="str">
        <f>IF(C207="","",IFERROR(VLOOKUP(C207,Productos!$A$5:$I$504,2,FALSE()),"Revisar código"))</f>
        <v/>
      </c>
      <c r="E207" s="29"/>
      <c r="F207" s="28"/>
      <c r="G207" s="28"/>
      <c r="H207" s="28"/>
      <c r="I207" s="28"/>
    </row>
    <row r="208" spans="1:9" ht="21.75" customHeight="1" x14ac:dyDescent="0.25">
      <c r="A208" s="28"/>
      <c r="B208" s="31"/>
      <c r="C208" s="28"/>
      <c r="D208" s="26" t="str">
        <f>IF(C208="","",IFERROR(VLOOKUP(C208,Productos!$A$5:$I$504,2,FALSE()),"Revisar código"))</f>
        <v/>
      </c>
      <c r="E208" s="29"/>
      <c r="F208" s="28"/>
      <c r="G208" s="28"/>
      <c r="H208" s="28"/>
      <c r="I208" s="28"/>
    </row>
    <row r="209" spans="1:9" ht="21.75" customHeight="1" x14ac:dyDescent="0.25">
      <c r="A209" s="28"/>
      <c r="B209" s="31"/>
      <c r="C209" s="28"/>
      <c r="D209" s="26" t="str">
        <f>IF(C209="","",IFERROR(VLOOKUP(C209,Productos!$A$5:$I$504,2,FALSE()),"Revisar código"))</f>
        <v/>
      </c>
      <c r="E209" s="29"/>
      <c r="F209" s="28"/>
      <c r="G209" s="28"/>
      <c r="H209" s="28"/>
      <c r="I209" s="28"/>
    </row>
    <row r="210" spans="1:9" ht="21.75" customHeight="1" x14ac:dyDescent="0.25">
      <c r="A210" s="28"/>
      <c r="B210" s="31"/>
      <c r="C210" s="28"/>
      <c r="D210" s="26" t="str">
        <f>IF(C210="","",IFERROR(VLOOKUP(C210,Productos!$A$5:$I$504,2,FALSE()),"Revisar código"))</f>
        <v/>
      </c>
      <c r="E210" s="29"/>
      <c r="F210" s="28"/>
      <c r="G210" s="28"/>
      <c r="H210" s="28"/>
      <c r="I210" s="28"/>
    </row>
    <row r="211" spans="1:9" ht="21.75" customHeight="1" x14ac:dyDescent="0.25">
      <c r="A211" s="28"/>
      <c r="B211" s="31"/>
      <c r="C211" s="28"/>
      <c r="D211" s="26" t="str">
        <f>IF(C211="","",IFERROR(VLOOKUP(C211,Productos!$A$5:$I$504,2,FALSE()),"Revisar código"))</f>
        <v/>
      </c>
      <c r="E211" s="29"/>
      <c r="F211" s="28"/>
      <c r="G211" s="28"/>
      <c r="H211" s="28"/>
      <c r="I211" s="28"/>
    </row>
    <row r="212" spans="1:9" ht="21.75" customHeight="1" x14ac:dyDescent="0.25">
      <c r="A212" s="28"/>
      <c r="B212" s="31"/>
      <c r="C212" s="28"/>
      <c r="D212" s="26" t="str">
        <f>IF(C212="","",IFERROR(VLOOKUP(C212,Productos!$A$5:$I$504,2,FALSE()),"Revisar código"))</f>
        <v/>
      </c>
      <c r="E212" s="29"/>
      <c r="F212" s="28"/>
      <c r="G212" s="28"/>
      <c r="H212" s="28"/>
      <c r="I212" s="28"/>
    </row>
    <row r="213" spans="1:9" ht="21.75" customHeight="1" x14ac:dyDescent="0.25">
      <c r="A213" s="28"/>
      <c r="B213" s="31"/>
      <c r="C213" s="28"/>
      <c r="D213" s="26" t="str">
        <f>IF(C213="","",IFERROR(VLOOKUP(C213,Productos!$A$5:$I$504,2,FALSE()),"Revisar código"))</f>
        <v/>
      </c>
      <c r="E213" s="29"/>
      <c r="F213" s="28"/>
      <c r="G213" s="28"/>
      <c r="H213" s="28"/>
      <c r="I213" s="28"/>
    </row>
    <row r="214" spans="1:9" ht="21.75" customHeight="1" x14ac:dyDescent="0.25">
      <c r="A214" s="28"/>
      <c r="B214" s="31"/>
      <c r="C214" s="28"/>
      <c r="D214" s="26" t="str">
        <f>IF(C214="","",IFERROR(VLOOKUP(C214,Productos!$A$5:$I$504,2,FALSE()),"Revisar código"))</f>
        <v/>
      </c>
      <c r="E214" s="29"/>
      <c r="F214" s="28"/>
      <c r="G214" s="28"/>
      <c r="H214" s="28"/>
      <c r="I214" s="28"/>
    </row>
    <row r="215" spans="1:9" ht="21.75" customHeight="1" x14ac:dyDescent="0.25">
      <c r="A215" s="28"/>
      <c r="B215" s="31"/>
      <c r="C215" s="28"/>
      <c r="D215" s="26" t="str">
        <f>IF(C215="","",IFERROR(VLOOKUP(C215,Productos!$A$5:$I$504,2,FALSE()),"Revisar código"))</f>
        <v/>
      </c>
      <c r="E215" s="29"/>
      <c r="F215" s="28"/>
      <c r="G215" s="28"/>
      <c r="H215" s="28"/>
      <c r="I215" s="28"/>
    </row>
    <row r="216" spans="1:9" ht="21.75" customHeight="1" x14ac:dyDescent="0.25">
      <c r="A216" s="28"/>
      <c r="B216" s="31"/>
      <c r="C216" s="28"/>
      <c r="D216" s="26" t="str">
        <f>IF(C216="","",IFERROR(VLOOKUP(C216,Productos!$A$5:$I$504,2,FALSE()),"Revisar código"))</f>
        <v/>
      </c>
      <c r="E216" s="29"/>
      <c r="F216" s="28"/>
      <c r="G216" s="28"/>
      <c r="H216" s="28"/>
      <c r="I216" s="28"/>
    </row>
    <row r="217" spans="1:9" ht="21.75" customHeight="1" x14ac:dyDescent="0.25">
      <c r="A217" s="28"/>
      <c r="B217" s="31"/>
      <c r="C217" s="28"/>
      <c r="D217" s="26" t="str">
        <f>IF(C217="","",IFERROR(VLOOKUP(C217,Productos!$A$5:$I$504,2,FALSE()),"Revisar código"))</f>
        <v/>
      </c>
      <c r="E217" s="29"/>
      <c r="F217" s="28"/>
      <c r="G217" s="28"/>
      <c r="H217" s="28"/>
      <c r="I217" s="28"/>
    </row>
    <row r="218" spans="1:9" ht="21.75" customHeight="1" x14ac:dyDescent="0.25">
      <c r="A218" s="28"/>
      <c r="B218" s="31"/>
      <c r="C218" s="28"/>
      <c r="D218" s="26" t="str">
        <f>IF(C218="","",IFERROR(VLOOKUP(C218,Productos!$A$5:$I$504,2,FALSE()),"Revisar código"))</f>
        <v/>
      </c>
      <c r="E218" s="29"/>
      <c r="F218" s="28"/>
      <c r="G218" s="28"/>
      <c r="H218" s="28"/>
      <c r="I218" s="28"/>
    </row>
    <row r="219" spans="1:9" ht="21.75" customHeight="1" x14ac:dyDescent="0.25">
      <c r="A219" s="28"/>
      <c r="B219" s="31"/>
      <c r="C219" s="28"/>
      <c r="D219" s="26" t="str">
        <f>IF(C219="","",IFERROR(VLOOKUP(C219,Productos!$A$5:$I$504,2,FALSE()),"Revisar código"))</f>
        <v/>
      </c>
      <c r="E219" s="29"/>
      <c r="F219" s="28"/>
      <c r="G219" s="28"/>
      <c r="H219" s="28"/>
      <c r="I219" s="28"/>
    </row>
    <row r="220" spans="1:9" ht="21.75" customHeight="1" x14ac:dyDescent="0.25">
      <c r="A220" s="28"/>
      <c r="B220" s="31"/>
      <c r="C220" s="28"/>
      <c r="D220" s="26" t="str">
        <f>IF(C220="","",IFERROR(VLOOKUP(C220,Productos!$A$5:$I$504,2,FALSE()),"Revisar código"))</f>
        <v/>
      </c>
      <c r="E220" s="29"/>
      <c r="F220" s="28"/>
      <c r="G220" s="28"/>
      <c r="H220" s="28"/>
      <c r="I220" s="28"/>
    </row>
    <row r="221" spans="1:9" ht="21.75" customHeight="1" x14ac:dyDescent="0.25">
      <c r="A221" s="28"/>
      <c r="B221" s="31"/>
      <c r="C221" s="28"/>
      <c r="D221" s="26" t="str">
        <f>IF(C221="","",IFERROR(VLOOKUP(C221,Productos!$A$5:$I$504,2,FALSE()),"Revisar código"))</f>
        <v/>
      </c>
      <c r="E221" s="29"/>
      <c r="F221" s="28"/>
      <c r="G221" s="28"/>
      <c r="H221" s="28"/>
      <c r="I221" s="28"/>
    </row>
    <row r="222" spans="1:9" ht="21.75" customHeight="1" x14ac:dyDescent="0.25">
      <c r="A222" s="28"/>
      <c r="B222" s="31"/>
      <c r="C222" s="28"/>
      <c r="D222" s="26" t="str">
        <f>IF(C222="","",IFERROR(VLOOKUP(C222,Productos!$A$5:$I$504,2,FALSE()),"Revisar código"))</f>
        <v/>
      </c>
      <c r="E222" s="29"/>
      <c r="F222" s="28"/>
      <c r="G222" s="28"/>
      <c r="H222" s="28"/>
      <c r="I222" s="28"/>
    </row>
    <row r="223" spans="1:9" ht="21.75" customHeight="1" x14ac:dyDescent="0.25">
      <c r="A223" s="28"/>
      <c r="B223" s="31"/>
      <c r="C223" s="28"/>
      <c r="D223" s="26" t="str">
        <f>IF(C223="","",IFERROR(VLOOKUP(C223,Productos!$A$5:$I$504,2,FALSE()),"Revisar código"))</f>
        <v/>
      </c>
      <c r="E223" s="29"/>
      <c r="F223" s="28"/>
      <c r="G223" s="28"/>
      <c r="H223" s="28"/>
      <c r="I223" s="28"/>
    </row>
    <row r="224" spans="1:9" ht="21.75" customHeight="1" x14ac:dyDescent="0.25">
      <c r="A224" s="28"/>
      <c r="B224" s="31"/>
      <c r="C224" s="28"/>
      <c r="D224" s="26" t="str">
        <f>IF(C224="","",IFERROR(VLOOKUP(C224,Productos!$A$5:$I$504,2,FALSE()),"Revisar código"))</f>
        <v/>
      </c>
      <c r="E224" s="29"/>
      <c r="F224" s="28"/>
      <c r="G224" s="28"/>
      <c r="H224" s="28"/>
      <c r="I224" s="28"/>
    </row>
    <row r="225" spans="1:9" ht="21.75" customHeight="1" x14ac:dyDescent="0.25">
      <c r="A225" s="28"/>
      <c r="B225" s="31"/>
      <c r="C225" s="28"/>
      <c r="D225" s="26" t="str">
        <f>IF(C225="","",IFERROR(VLOOKUP(C225,Productos!$A$5:$I$504,2,FALSE()),"Revisar código"))</f>
        <v/>
      </c>
      <c r="E225" s="29"/>
      <c r="F225" s="28"/>
      <c r="G225" s="28"/>
      <c r="H225" s="28"/>
      <c r="I225" s="28"/>
    </row>
    <row r="226" spans="1:9" ht="21.75" customHeight="1" x14ac:dyDescent="0.25">
      <c r="A226" s="28"/>
      <c r="B226" s="31"/>
      <c r="C226" s="28"/>
      <c r="D226" s="26" t="str">
        <f>IF(C226="","",IFERROR(VLOOKUP(C226,Productos!$A$5:$I$504,2,FALSE()),"Revisar código"))</f>
        <v/>
      </c>
      <c r="E226" s="29"/>
      <c r="F226" s="28"/>
      <c r="G226" s="28"/>
      <c r="H226" s="28"/>
      <c r="I226" s="28"/>
    </row>
    <row r="227" spans="1:9" ht="21.75" customHeight="1" x14ac:dyDescent="0.25">
      <c r="A227" s="28"/>
      <c r="B227" s="31"/>
      <c r="C227" s="28"/>
      <c r="D227" s="26" t="str">
        <f>IF(C227="","",IFERROR(VLOOKUP(C227,Productos!$A$5:$I$504,2,FALSE()),"Revisar código"))</f>
        <v/>
      </c>
      <c r="E227" s="29"/>
      <c r="F227" s="28"/>
      <c r="G227" s="28"/>
      <c r="H227" s="28"/>
      <c r="I227" s="28"/>
    </row>
    <row r="228" spans="1:9" ht="21.75" customHeight="1" x14ac:dyDescent="0.25">
      <c r="A228" s="28"/>
      <c r="B228" s="31"/>
      <c r="C228" s="28"/>
      <c r="D228" s="26" t="str">
        <f>IF(C228="","",IFERROR(VLOOKUP(C228,Productos!$A$5:$I$504,2,FALSE()),"Revisar código"))</f>
        <v/>
      </c>
      <c r="E228" s="29"/>
      <c r="F228" s="28"/>
      <c r="G228" s="28"/>
      <c r="H228" s="28"/>
      <c r="I228" s="28"/>
    </row>
    <row r="229" spans="1:9" ht="21.75" customHeight="1" x14ac:dyDescent="0.25">
      <c r="A229" s="28"/>
      <c r="B229" s="31"/>
      <c r="C229" s="28"/>
      <c r="D229" s="26" t="str">
        <f>IF(C229="","",IFERROR(VLOOKUP(C229,Productos!$A$5:$I$504,2,FALSE()),"Revisar código"))</f>
        <v/>
      </c>
      <c r="E229" s="29"/>
      <c r="F229" s="28"/>
      <c r="G229" s="28"/>
      <c r="H229" s="28"/>
      <c r="I229" s="28"/>
    </row>
    <row r="230" spans="1:9" ht="21.75" customHeight="1" x14ac:dyDescent="0.25">
      <c r="A230" s="28"/>
      <c r="B230" s="31"/>
      <c r="C230" s="28"/>
      <c r="D230" s="26" t="str">
        <f>IF(C230="","",IFERROR(VLOOKUP(C230,Productos!$A$5:$I$504,2,FALSE()),"Revisar código"))</f>
        <v/>
      </c>
      <c r="E230" s="29"/>
      <c r="F230" s="28"/>
      <c r="G230" s="28"/>
      <c r="H230" s="28"/>
      <c r="I230" s="28"/>
    </row>
    <row r="231" spans="1:9" ht="21.75" customHeight="1" x14ac:dyDescent="0.25">
      <c r="A231" s="28"/>
      <c r="B231" s="31"/>
      <c r="C231" s="28"/>
      <c r="D231" s="26" t="str">
        <f>IF(C231="","",IFERROR(VLOOKUP(C231,Productos!$A$5:$I$504,2,FALSE()),"Revisar código"))</f>
        <v/>
      </c>
      <c r="E231" s="29"/>
      <c r="F231" s="28"/>
      <c r="G231" s="28"/>
      <c r="H231" s="28"/>
      <c r="I231" s="28"/>
    </row>
    <row r="232" spans="1:9" ht="21.75" customHeight="1" x14ac:dyDescent="0.25">
      <c r="A232" s="28"/>
      <c r="B232" s="31"/>
      <c r="C232" s="28"/>
      <c r="D232" s="26" t="str">
        <f>IF(C232="","",IFERROR(VLOOKUP(C232,Productos!$A$5:$I$504,2,FALSE()),"Revisar código"))</f>
        <v/>
      </c>
      <c r="E232" s="29"/>
      <c r="F232" s="28"/>
      <c r="G232" s="28"/>
      <c r="H232" s="28"/>
      <c r="I232" s="28"/>
    </row>
    <row r="233" spans="1:9" ht="21.75" customHeight="1" x14ac:dyDescent="0.25">
      <c r="A233" s="28"/>
      <c r="B233" s="31"/>
      <c r="C233" s="28"/>
      <c r="D233" s="26" t="str">
        <f>IF(C233="","",IFERROR(VLOOKUP(C233,Productos!$A$5:$I$504,2,FALSE()),"Revisar código"))</f>
        <v/>
      </c>
      <c r="E233" s="29"/>
      <c r="F233" s="28"/>
      <c r="G233" s="28"/>
      <c r="H233" s="28"/>
      <c r="I233" s="28"/>
    </row>
    <row r="234" spans="1:9" ht="21.75" customHeight="1" x14ac:dyDescent="0.25">
      <c r="A234" s="28"/>
      <c r="B234" s="31"/>
      <c r="C234" s="28"/>
      <c r="D234" s="26" t="str">
        <f>IF(C234="","",IFERROR(VLOOKUP(C234,Productos!$A$5:$I$504,2,FALSE()),"Revisar código"))</f>
        <v/>
      </c>
      <c r="E234" s="29"/>
      <c r="F234" s="28"/>
      <c r="G234" s="28"/>
      <c r="H234" s="28"/>
      <c r="I234" s="28"/>
    </row>
    <row r="235" spans="1:9" ht="21.75" customHeight="1" x14ac:dyDescent="0.25">
      <c r="A235" s="28"/>
      <c r="B235" s="31"/>
      <c r="C235" s="28"/>
      <c r="D235" s="26" t="str">
        <f>IF(C235="","",IFERROR(VLOOKUP(C235,Productos!$A$5:$I$504,2,FALSE()),"Revisar código"))</f>
        <v/>
      </c>
      <c r="E235" s="29"/>
      <c r="F235" s="28"/>
      <c r="G235" s="28"/>
      <c r="H235" s="28"/>
      <c r="I235" s="28"/>
    </row>
    <row r="236" spans="1:9" ht="21.75" customHeight="1" x14ac:dyDescent="0.25">
      <c r="A236" s="28"/>
      <c r="B236" s="31"/>
      <c r="C236" s="28"/>
      <c r="D236" s="26" t="str">
        <f>IF(C236="","",IFERROR(VLOOKUP(C236,Productos!$A$5:$I$504,2,FALSE()),"Revisar código"))</f>
        <v/>
      </c>
      <c r="E236" s="29"/>
      <c r="F236" s="28"/>
      <c r="G236" s="28"/>
      <c r="H236" s="28"/>
      <c r="I236" s="28"/>
    </row>
    <row r="237" spans="1:9" ht="21.75" customHeight="1" x14ac:dyDescent="0.25">
      <c r="A237" s="28"/>
      <c r="B237" s="31"/>
      <c r="C237" s="28"/>
      <c r="D237" s="26" t="str">
        <f>IF(C237="","",IFERROR(VLOOKUP(C237,Productos!$A$5:$I$504,2,FALSE()),"Revisar código"))</f>
        <v/>
      </c>
      <c r="E237" s="29"/>
      <c r="F237" s="28"/>
      <c r="G237" s="28"/>
      <c r="H237" s="28"/>
      <c r="I237" s="28"/>
    </row>
    <row r="238" spans="1:9" ht="21.75" customHeight="1" x14ac:dyDescent="0.25">
      <c r="A238" s="28"/>
      <c r="B238" s="31"/>
      <c r="C238" s="28"/>
      <c r="D238" s="26" t="str">
        <f>IF(C238="","",IFERROR(VLOOKUP(C238,Productos!$A$5:$I$504,2,FALSE()),"Revisar código"))</f>
        <v/>
      </c>
      <c r="E238" s="29"/>
      <c r="F238" s="28"/>
      <c r="G238" s="28"/>
      <c r="H238" s="28"/>
      <c r="I238" s="28"/>
    </row>
    <row r="239" spans="1:9" ht="21.75" customHeight="1" x14ac:dyDescent="0.25">
      <c r="A239" s="28"/>
      <c r="B239" s="31"/>
      <c r="C239" s="28"/>
      <c r="D239" s="26" t="str">
        <f>IF(C239="","",IFERROR(VLOOKUP(C239,Productos!$A$5:$I$504,2,FALSE()),"Revisar código"))</f>
        <v/>
      </c>
      <c r="E239" s="29"/>
      <c r="F239" s="28"/>
      <c r="G239" s="28"/>
      <c r="H239" s="28"/>
      <c r="I239" s="28"/>
    </row>
    <row r="240" spans="1:9" ht="21.75" customHeight="1" x14ac:dyDescent="0.25">
      <c r="A240" s="28"/>
      <c r="B240" s="31"/>
      <c r="C240" s="28"/>
      <c r="D240" s="26" t="str">
        <f>IF(C240="","",IFERROR(VLOOKUP(C240,Productos!$A$5:$I$504,2,FALSE()),"Revisar código"))</f>
        <v/>
      </c>
      <c r="E240" s="29"/>
      <c r="F240" s="28"/>
      <c r="G240" s="28"/>
      <c r="H240" s="28"/>
      <c r="I240" s="28"/>
    </row>
    <row r="241" spans="1:9" ht="21.75" customHeight="1" x14ac:dyDescent="0.25">
      <c r="A241" s="28"/>
      <c r="B241" s="31"/>
      <c r="C241" s="28"/>
      <c r="D241" s="26" t="str">
        <f>IF(C241="","",IFERROR(VLOOKUP(C241,Productos!$A$5:$I$504,2,FALSE()),"Revisar código"))</f>
        <v/>
      </c>
      <c r="E241" s="29"/>
      <c r="F241" s="28"/>
      <c r="G241" s="28"/>
      <c r="H241" s="28"/>
      <c r="I241" s="28"/>
    </row>
    <row r="242" spans="1:9" ht="21.75" customHeight="1" x14ac:dyDescent="0.25">
      <c r="A242" s="28"/>
      <c r="B242" s="31"/>
      <c r="C242" s="28"/>
      <c r="D242" s="26" t="str">
        <f>IF(C242="","",IFERROR(VLOOKUP(C242,Productos!$A$5:$I$504,2,FALSE()),"Revisar código"))</f>
        <v/>
      </c>
      <c r="E242" s="29"/>
      <c r="F242" s="28"/>
      <c r="G242" s="28"/>
      <c r="H242" s="28"/>
      <c r="I242" s="28"/>
    </row>
    <row r="243" spans="1:9" ht="21.75" customHeight="1" x14ac:dyDescent="0.25">
      <c r="A243" s="28"/>
      <c r="B243" s="31"/>
      <c r="C243" s="28"/>
      <c r="D243" s="26" t="str">
        <f>IF(C243="","",IFERROR(VLOOKUP(C243,Productos!$A$5:$I$504,2,FALSE()),"Revisar código"))</f>
        <v/>
      </c>
      <c r="E243" s="29"/>
      <c r="F243" s="28"/>
      <c r="G243" s="28"/>
      <c r="H243" s="28"/>
      <c r="I243" s="28"/>
    </row>
    <row r="244" spans="1:9" ht="21.75" customHeight="1" x14ac:dyDescent="0.25">
      <c r="A244" s="28"/>
      <c r="B244" s="31"/>
      <c r="C244" s="28"/>
      <c r="D244" s="26" t="str">
        <f>IF(C244="","",IFERROR(VLOOKUP(C244,Productos!$A$5:$I$504,2,FALSE()),"Revisar código"))</f>
        <v/>
      </c>
      <c r="E244" s="29"/>
      <c r="F244" s="28"/>
      <c r="G244" s="28"/>
      <c r="H244" s="28"/>
      <c r="I244" s="28"/>
    </row>
    <row r="245" spans="1:9" ht="21.75" customHeight="1" x14ac:dyDescent="0.25">
      <c r="A245" s="28"/>
      <c r="B245" s="31"/>
      <c r="C245" s="28"/>
      <c r="D245" s="26" t="str">
        <f>IF(C245="","",IFERROR(VLOOKUP(C245,Productos!$A$5:$I$504,2,FALSE()),"Revisar código"))</f>
        <v/>
      </c>
      <c r="E245" s="29"/>
      <c r="F245" s="28"/>
      <c r="G245" s="28"/>
      <c r="H245" s="28"/>
      <c r="I245" s="28"/>
    </row>
    <row r="246" spans="1:9" ht="21.75" customHeight="1" x14ac:dyDescent="0.25">
      <c r="A246" s="28"/>
      <c r="B246" s="31"/>
      <c r="C246" s="28"/>
      <c r="D246" s="26" t="str">
        <f>IF(C246="","",IFERROR(VLOOKUP(C246,Productos!$A$5:$I$504,2,FALSE()),"Revisar código"))</f>
        <v/>
      </c>
      <c r="E246" s="29"/>
      <c r="F246" s="28"/>
      <c r="G246" s="28"/>
      <c r="H246" s="28"/>
      <c r="I246" s="28"/>
    </row>
    <row r="247" spans="1:9" ht="21.75" customHeight="1" x14ac:dyDescent="0.25">
      <c r="A247" s="28"/>
      <c r="B247" s="31"/>
      <c r="C247" s="28"/>
      <c r="D247" s="26" t="str">
        <f>IF(C247="","",IFERROR(VLOOKUP(C247,Productos!$A$5:$I$504,2,FALSE()),"Revisar código"))</f>
        <v/>
      </c>
      <c r="E247" s="29"/>
      <c r="F247" s="28"/>
      <c r="G247" s="28"/>
      <c r="H247" s="28"/>
      <c r="I247" s="28"/>
    </row>
    <row r="248" spans="1:9" ht="21.75" customHeight="1" x14ac:dyDescent="0.25">
      <c r="A248" s="28"/>
      <c r="B248" s="31"/>
      <c r="C248" s="28"/>
      <c r="D248" s="26" t="str">
        <f>IF(C248="","",IFERROR(VLOOKUP(C248,Productos!$A$5:$I$504,2,FALSE()),"Revisar código"))</f>
        <v/>
      </c>
      <c r="E248" s="29"/>
      <c r="F248" s="28"/>
      <c r="G248" s="28"/>
      <c r="H248" s="28"/>
      <c r="I248" s="28"/>
    </row>
    <row r="249" spans="1:9" ht="21.75" customHeight="1" x14ac:dyDescent="0.25">
      <c r="A249" s="28"/>
      <c r="B249" s="31"/>
      <c r="C249" s="28"/>
      <c r="D249" s="26" t="str">
        <f>IF(C249="","",IFERROR(VLOOKUP(C249,Productos!$A$5:$I$504,2,FALSE()),"Revisar código"))</f>
        <v/>
      </c>
      <c r="E249" s="29"/>
      <c r="F249" s="28"/>
      <c r="G249" s="28"/>
      <c r="H249" s="28"/>
      <c r="I249" s="28"/>
    </row>
    <row r="250" spans="1:9" ht="21.75" customHeight="1" x14ac:dyDescent="0.25">
      <c r="A250" s="28"/>
      <c r="B250" s="31"/>
      <c r="C250" s="28"/>
      <c r="D250" s="26" t="str">
        <f>IF(C250="","",IFERROR(VLOOKUP(C250,Productos!$A$5:$I$504,2,FALSE()),"Revisar código"))</f>
        <v/>
      </c>
      <c r="E250" s="29"/>
      <c r="F250" s="28"/>
      <c r="G250" s="28"/>
      <c r="H250" s="28"/>
      <c r="I250" s="28"/>
    </row>
    <row r="251" spans="1:9" ht="21.75" customHeight="1" x14ac:dyDescent="0.25">
      <c r="A251" s="28"/>
      <c r="B251" s="31"/>
      <c r="C251" s="28"/>
      <c r="D251" s="26" t="str">
        <f>IF(C251="","",IFERROR(VLOOKUP(C251,Productos!$A$5:$I$504,2,FALSE()),"Revisar código"))</f>
        <v/>
      </c>
      <c r="E251" s="29"/>
      <c r="F251" s="28"/>
      <c r="G251" s="28"/>
      <c r="H251" s="28"/>
      <c r="I251" s="28"/>
    </row>
    <row r="252" spans="1:9" ht="21.75" customHeight="1" x14ac:dyDescent="0.25">
      <c r="A252" s="28"/>
      <c r="B252" s="31"/>
      <c r="C252" s="28"/>
      <c r="D252" s="26" t="str">
        <f>IF(C252="","",IFERROR(VLOOKUP(C252,Productos!$A$5:$I$504,2,FALSE()),"Revisar código"))</f>
        <v/>
      </c>
      <c r="E252" s="29"/>
      <c r="F252" s="28"/>
      <c r="G252" s="28"/>
      <c r="H252" s="28"/>
      <c r="I252" s="28"/>
    </row>
    <row r="253" spans="1:9" ht="21.75" customHeight="1" x14ac:dyDescent="0.25">
      <c r="A253" s="28"/>
      <c r="B253" s="31"/>
      <c r="C253" s="28"/>
      <c r="D253" s="26" t="str">
        <f>IF(C253="","",IFERROR(VLOOKUP(C253,Productos!$A$5:$I$504,2,FALSE()),"Revisar código"))</f>
        <v/>
      </c>
      <c r="E253" s="29"/>
      <c r="F253" s="28"/>
      <c r="G253" s="28"/>
      <c r="H253" s="28"/>
      <c r="I253" s="28"/>
    </row>
    <row r="254" spans="1:9" ht="21.75" customHeight="1" x14ac:dyDescent="0.25">
      <c r="A254" s="28"/>
      <c r="B254" s="31"/>
      <c r="C254" s="28"/>
      <c r="D254" s="26" t="str">
        <f>IF(C254="","",IFERROR(VLOOKUP(C254,Productos!$A$5:$I$504,2,FALSE()),"Revisar código"))</f>
        <v/>
      </c>
      <c r="E254" s="29"/>
      <c r="F254" s="28"/>
      <c r="G254" s="28"/>
      <c r="H254" s="28"/>
      <c r="I254" s="28"/>
    </row>
    <row r="255" spans="1:9" ht="21.75" customHeight="1" x14ac:dyDescent="0.25">
      <c r="A255" s="28"/>
      <c r="B255" s="31"/>
      <c r="C255" s="28"/>
      <c r="D255" s="26" t="str">
        <f>IF(C255="","",IFERROR(VLOOKUP(C255,Productos!$A$5:$I$504,2,FALSE()),"Revisar código"))</f>
        <v/>
      </c>
      <c r="E255" s="29"/>
      <c r="F255" s="28"/>
      <c r="G255" s="28"/>
      <c r="H255" s="28"/>
      <c r="I255" s="28"/>
    </row>
    <row r="256" spans="1:9" ht="21.75" customHeight="1" x14ac:dyDescent="0.25">
      <c r="A256" s="28"/>
      <c r="B256" s="31"/>
      <c r="C256" s="28"/>
      <c r="D256" s="26" t="str">
        <f>IF(C256="","",IFERROR(VLOOKUP(C256,Productos!$A$5:$I$504,2,FALSE()),"Revisar código"))</f>
        <v/>
      </c>
      <c r="E256" s="29"/>
      <c r="F256" s="28"/>
      <c r="G256" s="28"/>
      <c r="H256" s="28"/>
      <c r="I256" s="28"/>
    </row>
    <row r="257" spans="1:9" ht="21.75" customHeight="1" x14ac:dyDescent="0.25">
      <c r="A257" s="28"/>
      <c r="B257" s="31"/>
      <c r="C257" s="28"/>
      <c r="D257" s="26" t="str">
        <f>IF(C257="","",IFERROR(VLOOKUP(C257,Productos!$A$5:$I$504,2,FALSE()),"Revisar código"))</f>
        <v/>
      </c>
      <c r="E257" s="29"/>
      <c r="F257" s="28"/>
      <c r="G257" s="28"/>
      <c r="H257" s="28"/>
      <c r="I257" s="28"/>
    </row>
    <row r="258" spans="1:9" ht="21.75" customHeight="1" x14ac:dyDescent="0.25">
      <c r="A258" s="28"/>
      <c r="B258" s="31"/>
      <c r="C258" s="28"/>
      <c r="D258" s="26" t="str">
        <f>IF(C258="","",IFERROR(VLOOKUP(C258,Productos!$A$5:$I$504,2,FALSE()),"Revisar código"))</f>
        <v/>
      </c>
      <c r="E258" s="29"/>
      <c r="F258" s="28"/>
      <c r="G258" s="28"/>
      <c r="H258" s="28"/>
      <c r="I258" s="28"/>
    </row>
    <row r="259" spans="1:9" ht="21.75" customHeight="1" x14ac:dyDescent="0.25">
      <c r="A259" s="28"/>
      <c r="B259" s="31"/>
      <c r="C259" s="28"/>
      <c r="D259" s="26" t="str">
        <f>IF(C259="","",IFERROR(VLOOKUP(C259,Productos!$A$5:$I$504,2,FALSE()),"Revisar código"))</f>
        <v/>
      </c>
      <c r="E259" s="29"/>
      <c r="F259" s="28"/>
      <c r="G259" s="28"/>
      <c r="H259" s="28"/>
      <c r="I259" s="28"/>
    </row>
    <row r="260" spans="1:9" ht="21.75" customHeight="1" x14ac:dyDescent="0.25">
      <c r="A260" s="28"/>
      <c r="B260" s="31"/>
      <c r="C260" s="28"/>
      <c r="D260" s="26" t="str">
        <f>IF(C260="","",IFERROR(VLOOKUP(C260,Productos!$A$5:$I$504,2,FALSE()),"Revisar código"))</f>
        <v/>
      </c>
      <c r="E260" s="29"/>
      <c r="F260" s="28"/>
      <c r="G260" s="28"/>
      <c r="H260" s="28"/>
      <c r="I260" s="28"/>
    </row>
    <row r="261" spans="1:9" ht="21.75" customHeight="1" x14ac:dyDescent="0.25">
      <c r="A261" s="28"/>
      <c r="B261" s="31"/>
      <c r="C261" s="28"/>
      <c r="D261" s="26" t="str">
        <f>IF(C261="","",IFERROR(VLOOKUP(C261,Productos!$A$5:$I$504,2,FALSE()),"Revisar código"))</f>
        <v/>
      </c>
      <c r="E261" s="29"/>
      <c r="F261" s="28"/>
      <c r="G261" s="28"/>
      <c r="H261" s="28"/>
      <c r="I261" s="28"/>
    </row>
    <row r="262" spans="1:9" ht="21.75" customHeight="1" x14ac:dyDescent="0.25">
      <c r="A262" s="28"/>
      <c r="B262" s="31"/>
      <c r="C262" s="28"/>
      <c r="D262" s="26" t="str">
        <f>IF(C262="","",IFERROR(VLOOKUP(C262,Productos!$A$5:$I$504,2,FALSE()),"Revisar código"))</f>
        <v/>
      </c>
      <c r="E262" s="29"/>
      <c r="F262" s="28"/>
      <c r="G262" s="28"/>
      <c r="H262" s="28"/>
      <c r="I262" s="28"/>
    </row>
    <row r="263" spans="1:9" ht="21.75" customHeight="1" x14ac:dyDescent="0.25">
      <c r="A263" s="28"/>
      <c r="B263" s="31"/>
      <c r="C263" s="28"/>
      <c r="D263" s="26" t="str">
        <f>IF(C263="","",IFERROR(VLOOKUP(C263,Productos!$A$5:$I$504,2,FALSE()),"Revisar código"))</f>
        <v/>
      </c>
      <c r="E263" s="29"/>
      <c r="F263" s="28"/>
      <c r="G263" s="28"/>
      <c r="H263" s="28"/>
      <c r="I263" s="28"/>
    </row>
    <row r="264" spans="1:9" ht="21.75" customHeight="1" x14ac:dyDescent="0.25">
      <c r="A264" s="28"/>
      <c r="B264" s="31"/>
      <c r="C264" s="28"/>
      <c r="D264" s="26" t="str">
        <f>IF(C264="","",IFERROR(VLOOKUP(C264,Productos!$A$5:$I$504,2,FALSE()),"Revisar código"))</f>
        <v/>
      </c>
      <c r="E264" s="29"/>
      <c r="F264" s="28"/>
      <c r="G264" s="28"/>
      <c r="H264" s="28"/>
      <c r="I264" s="28"/>
    </row>
    <row r="265" spans="1:9" ht="21.75" customHeight="1" x14ac:dyDescent="0.25">
      <c r="A265" s="28"/>
      <c r="B265" s="31"/>
      <c r="C265" s="28"/>
      <c r="D265" s="26" t="str">
        <f>IF(C265="","",IFERROR(VLOOKUP(C265,Productos!$A$5:$I$504,2,FALSE()),"Revisar código"))</f>
        <v/>
      </c>
      <c r="E265" s="29"/>
      <c r="F265" s="28"/>
      <c r="G265" s="28"/>
      <c r="H265" s="28"/>
      <c r="I265" s="28"/>
    </row>
    <row r="266" spans="1:9" ht="21.75" customHeight="1" x14ac:dyDescent="0.25">
      <c r="A266" s="28"/>
      <c r="B266" s="31"/>
      <c r="C266" s="28"/>
      <c r="D266" s="26" t="str">
        <f>IF(C266="","",IFERROR(VLOOKUP(C266,Productos!$A$5:$I$504,2,FALSE()),"Revisar código"))</f>
        <v/>
      </c>
      <c r="E266" s="29"/>
      <c r="F266" s="28"/>
      <c r="G266" s="28"/>
      <c r="H266" s="28"/>
      <c r="I266" s="28"/>
    </row>
    <row r="267" spans="1:9" ht="21.75" customHeight="1" x14ac:dyDescent="0.25">
      <c r="A267" s="28"/>
      <c r="B267" s="31"/>
      <c r="C267" s="28"/>
      <c r="D267" s="26" t="str">
        <f>IF(C267="","",IFERROR(VLOOKUP(C267,Productos!$A$5:$I$504,2,FALSE()),"Revisar código"))</f>
        <v/>
      </c>
      <c r="E267" s="29"/>
      <c r="F267" s="28"/>
      <c r="G267" s="28"/>
      <c r="H267" s="28"/>
      <c r="I267" s="28"/>
    </row>
    <row r="268" spans="1:9" ht="21.75" customHeight="1" x14ac:dyDescent="0.25">
      <c r="A268" s="28"/>
      <c r="B268" s="31"/>
      <c r="C268" s="28"/>
      <c r="D268" s="26" t="str">
        <f>IF(C268="","",IFERROR(VLOOKUP(C268,Productos!$A$5:$I$504,2,FALSE()),"Revisar código"))</f>
        <v/>
      </c>
      <c r="E268" s="29"/>
      <c r="F268" s="28"/>
      <c r="G268" s="28"/>
      <c r="H268" s="28"/>
      <c r="I268" s="28"/>
    </row>
    <row r="269" spans="1:9" ht="21.75" customHeight="1" x14ac:dyDescent="0.25">
      <c r="A269" s="28"/>
      <c r="B269" s="31"/>
      <c r="C269" s="28"/>
      <c r="D269" s="26" t="str">
        <f>IF(C269="","",IFERROR(VLOOKUP(C269,Productos!$A$5:$I$504,2,FALSE()),"Revisar código"))</f>
        <v/>
      </c>
      <c r="E269" s="29"/>
      <c r="F269" s="28"/>
      <c r="G269" s="28"/>
      <c r="H269" s="28"/>
      <c r="I269" s="28"/>
    </row>
    <row r="270" spans="1:9" ht="21.75" customHeight="1" x14ac:dyDescent="0.25">
      <c r="A270" s="28"/>
      <c r="B270" s="31"/>
      <c r="C270" s="28"/>
      <c r="D270" s="26" t="str">
        <f>IF(C270="","",IFERROR(VLOOKUP(C270,Productos!$A$5:$I$504,2,FALSE()),"Revisar código"))</f>
        <v/>
      </c>
      <c r="E270" s="29"/>
      <c r="F270" s="28"/>
      <c r="G270" s="28"/>
      <c r="H270" s="28"/>
      <c r="I270" s="28"/>
    </row>
    <row r="271" spans="1:9" ht="21.75" customHeight="1" x14ac:dyDescent="0.25">
      <c r="A271" s="28"/>
      <c r="B271" s="31"/>
      <c r="C271" s="28"/>
      <c r="D271" s="26" t="str">
        <f>IF(C271="","",IFERROR(VLOOKUP(C271,Productos!$A$5:$I$504,2,FALSE()),"Revisar código"))</f>
        <v/>
      </c>
      <c r="E271" s="29"/>
      <c r="F271" s="28"/>
      <c r="G271" s="28"/>
      <c r="H271" s="28"/>
      <c r="I271" s="28"/>
    </row>
    <row r="272" spans="1:9" ht="21.75" customHeight="1" x14ac:dyDescent="0.25">
      <c r="A272" s="28"/>
      <c r="B272" s="31"/>
      <c r="C272" s="28"/>
      <c r="D272" s="26" t="str">
        <f>IF(C272="","",IFERROR(VLOOKUP(C272,Productos!$A$5:$I$504,2,FALSE()),"Revisar código"))</f>
        <v/>
      </c>
      <c r="E272" s="29"/>
      <c r="F272" s="28"/>
      <c r="G272" s="28"/>
      <c r="H272" s="28"/>
      <c r="I272" s="28"/>
    </row>
    <row r="273" spans="1:9" ht="21.75" customHeight="1" x14ac:dyDescent="0.25">
      <c r="A273" s="28"/>
      <c r="B273" s="31"/>
      <c r="C273" s="28"/>
      <c r="D273" s="26" t="str">
        <f>IF(C273="","",IFERROR(VLOOKUP(C273,Productos!$A$5:$I$504,2,FALSE()),"Revisar código"))</f>
        <v/>
      </c>
      <c r="E273" s="29"/>
      <c r="F273" s="28"/>
      <c r="G273" s="28"/>
      <c r="H273" s="28"/>
      <c r="I273" s="28"/>
    </row>
    <row r="274" spans="1:9" ht="21.75" customHeight="1" x14ac:dyDescent="0.25">
      <c r="A274" s="28"/>
      <c r="B274" s="31"/>
      <c r="C274" s="28"/>
      <c r="D274" s="26" t="str">
        <f>IF(C274="","",IFERROR(VLOOKUP(C274,Productos!$A$5:$I$504,2,FALSE()),"Revisar código"))</f>
        <v/>
      </c>
      <c r="E274" s="29"/>
      <c r="F274" s="28"/>
      <c r="G274" s="28"/>
      <c r="H274" s="28"/>
      <c r="I274" s="28"/>
    </row>
    <row r="275" spans="1:9" ht="21.75" customHeight="1" x14ac:dyDescent="0.25">
      <c r="A275" s="28"/>
      <c r="B275" s="31"/>
      <c r="C275" s="28"/>
      <c r="D275" s="26" t="str">
        <f>IF(C275="","",IFERROR(VLOOKUP(C275,Productos!$A$5:$I$504,2,FALSE()),"Revisar código"))</f>
        <v/>
      </c>
      <c r="E275" s="29"/>
      <c r="F275" s="28"/>
      <c r="G275" s="28"/>
      <c r="H275" s="28"/>
      <c r="I275" s="28"/>
    </row>
    <row r="276" spans="1:9" ht="21.75" customHeight="1" x14ac:dyDescent="0.25">
      <c r="A276" s="28"/>
      <c r="B276" s="31"/>
      <c r="C276" s="28"/>
      <c r="D276" s="26" t="str">
        <f>IF(C276="","",IFERROR(VLOOKUP(C276,Productos!$A$5:$I$504,2,FALSE()),"Revisar código"))</f>
        <v/>
      </c>
      <c r="E276" s="29"/>
      <c r="F276" s="28"/>
      <c r="G276" s="28"/>
      <c r="H276" s="28"/>
      <c r="I276" s="28"/>
    </row>
    <row r="277" spans="1:9" ht="21.75" customHeight="1" x14ac:dyDescent="0.25">
      <c r="A277" s="28"/>
      <c r="B277" s="31"/>
      <c r="C277" s="28"/>
      <c r="D277" s="26" t="str">
        <f>IF(C277="","",IFERROR(VLOOKUP(C277,Productos!$A$5:$I$504,2,FALSE()),"Revisar código"))</f>
        <v/>
      </c>
      <c r="E277" s="29"/>
      <c r="F277" s="28"/>
      <c r="G277" s="28"/>
      <c r="H277" s="28"/>
      <c r="I277" s="28"/>
    </row>
    <row r="278" spans="1:9" ht="21.75" customHeight="1" x14ac:dyDescent="0.25">
      <c r="A278" s="28"/>
      <c r="B278" s="31"/>
      <c r="C278" s="28"/>
      <c r="D278" s="26" t="str">
        <f>IF(C278="","",IFERROR(VLOOKUP(C278,Productos!$A$5:$I$504,2,FALSE()),"Revisar código"))</f>
        <v/>
      </c>
      <c r="E278" s="29"/>
      <c r="F278" s="28"/>
      <c r="G278" s="28"/>
      <c r="H278" s="28"/>
      <c r="I278" s="28"/>
    </row>
    <row r="279" spans="1:9" ht="21.75" customHeight="1" x14ac:dyDescent="0.25">
      <c r="A279" s="28"/>
      <c r="B279" s="31"/>
      <c r="C279" s="28"/>
      <c r="D279" s="26" t="str">
        <f>IF(C279="","",IFERROR(VLOOKUP(C279,Productos!$A$5:$I$504,2,FALSE()),"Revisar código"))</f>
        <v/>
      </c>
      <c r="E279" s="29"/>
      <c r="F279" s="28"/>
      <c r="G279" s="28"/>
      <c r="H279" s="28"/>
      <c r="I279" s="28"/>
    </row>
    <row r="280" spans="1:9" ht="21.75" customHeight="1" x14ac:dyDescent="0.25">
      <c r="A280" s="28"/>
      <c r="B280" s="31"/>
      <c r="C280" s="28"/>
      <c r="D280" s="26" t="str">
        <f>IF(C280="","",IFERROR(VLOOKUP(C280,Productos!$A$5:$I$504,2,FALSE()),"Revisar código"))</f>
        <v/>
      </c>
      <c r="E280" s="29"/>
      <c r="F280" s="28"/>
      <c r="G280" s="28"/>
      <c r="H280" s="28"/>
      <c r="I280" s="28"/>
    </row>
    <row r="281" spans="1:9" ht="21.75" customHeight="1" x14ac:dyDescent="0.25">
      <c r="A281" s="28"/>
      <c r="B281" s="31"/>
      <c r="C281" s="28"/>
      <c r="D281" s="26" t="str">
        <f>IF(C281="","",IFERROR(VLOOKUP(C281,Productos!$A$5:$I$504,2,FALSE()),"Revisar código"))</f>
        <v/>
      </c>
      <c r="E281" s="29"/>
      <c r="F281" s="28"/>
      <c r="G281" s="28"/>
      <c r="H281" s="28"/>
      <c r="I281" s="28"/>
    </row>
    <row r="282" spans="1:9" ht="21.75" customHeight="1" x14ac:dyDescent="0.25">
      <c r="A282" s="28"/>
      <c r="B282" s="31"/>
      <c r="C282" s="28"/>
      <c r="D282" s="26" t="str">
        <f>IF(C282="","",IFERROR(VLOOKUP(C282,Productos!$A$5:$I$504,2,FALSE()),"Revisar código"))</f>
        <v/>
      </c>
      <c r="E282" s="29"/>
      <c r="F282" s="28"/>
      <c r="G282" s="28"/>
      <c r="H282" s="28"/>
      <c r="I282" s="28"/>
    </row>
    <row r="283" spans="1:9" ht="21.75" customHeight="1" x14ac:dyDescent="0.25">
      <c r="A283" s="28"/>
      <c r="B283" s="31"/>
      <c r="C283" s="28"/>
      <c r="D283" s="26" t="str">
        <f>IF(C283="","",IFERROR(VLOOKUP(C283,Productos!$A$5:$I$504,2,FALSE()),"Revisar código"))</f>
        <v/>
      </c>
      <c r="E283" s="29"/>
      <c r="F283" s="28"/>
      <c r="G283" s="28"/>
      <c r="H283" s="28"/>
      <c r="I283" s="28"/>
    </row>
    <row r="284" spans="1:9" ht="21.75" customHeight="1" x14ac:dyDescent="0.25">
      <c r="A284" s="28"/>
      <c r="B284" s="31"/>
      <c r="C284" s="28"/>
      <c r="D284" s="26" t="str">
        <f>IF(C284="","",IFERROR(VLOOKUP(C284,Productos!$A$5:$I$504,2,FALSE()),"Revisar código"))</f>
        <v/>
      </c>
      <c r="E284" s="29"/>
      <c r="F284" s="28"/>
      <c r="G284" s="28"/>
      <c r="H284" s="28"/>
      <c r="I284" s="28"/>
    </row>
    <row r="285" spans="1:9" ht="21.75" customHeight="1" x14ac:dyDescent="0.25">
      <c r="A285" s="28"/>
      <c r="B285" s="31"/>
      <c r="C285" s="28"/>
      <c r="D285" s="26" t="str">
        <f>IF(C285="","",IFERROR(VLOOKUP(C285,Productos!$A$5:$I$504,2,FALSE()),"Revisar código"))</f>
        <v/>
      </c>
      <c r="E285" s="29"/>
      <c r="F285" s="28"/>
      <c r="G285" s="28"/>
      <c r="H285" s="28"/>
      <c r="I285" s="28"/>
    </row>
    <row r="286" spans="1:9" ht="21.75" customHeight="1" x14ac:dyDescent="0.25">
      <c r="A286" s="28"/>
      <c r="B286" s="31"/>
      <c r="C286" s="28"/>
      <c r="D286" s="26" t="str">
        <f>IF(C286="","",IFERROR(VLOOKUP(C286,Productos!$A$5:$I$504,2,FALSE()),"Revisar código"))</f>
        <v/>
      </c>
      <c r="E286" s="29"/>
      <c r="F286" s="28"/>
      <c r="G286" s="28"/>
      <c r="H286" s="28"/>
      <c r="I286" s="28"/>
    </row>
    <row r="287" spans="1:9" ht="21.75" customHeight="1" x14ac:dyDescent="0.25">
      <c r="A287" s="28"/>
      <c r="B287" s="31"/>
      <c r="C287" s="28"/>
      <c r="D287" s="26" t="str">
        <f>IF(C287="","",IFERROR(VLOOKUP(C287,Productos!$A$5:$I$504,2,FALSE()),"Revisar código"))</f>
        <v/>
      </c>
      <c r="E287" s="29"/>
      <c r="F287" s="28"/>
      <c r="G287" s="28"/>
      <c r="H287" s="28"/>
      <c r="I287" s="28"/>
    </row>
    <row r="288" spans="1:9" ht="21.75" customHeight="1" x14ac:dyDescent="0.25">
      <c r="A288" s="28"/>
      <c r="B288" s="31"/>
      <c r="C288" s="28"/>
      <c r="D288" s="26" t="str">
        <f>IF(C288="","",IFERROR(VLOOKUP(C288,Productos!$A$5:$I$504,2,FALSE()),"Revisar código"))</f>
        <v/>
      </c>
      <c r="E288" s="29"/>
      <c r="F288" s="28"/>
      <c r="G288" s="28"/>
      <c r="H288" s="28"/>
      <c r="I288" s="28"/>
    </row>
    <row r="289" spans="1:9" ht="21.75" customHeight="1" x14ac:dyDescent="0.25">
      <c r="A289" s="28"/>
      <c r="B289" s="31"/>
      <c r="C289" s="28"/>
      <c r="D289" s="26" t="str">
        <f>IF(C289="","",IFERROR(VLOOKUP(C289,Productos!$A$5:$I$504,2,FALSE()),"Revisar código"))</f>
        <v/>
      </c>
      <c r="E289" s="29"/>
      <c r="F289" s="28"/>
      <c r="G289" s="28"/>
      <c r="H289" s="28"/>
      <c r="I289" s="28"/>
    </row>
    <row r="290" spans="1:9" ht="21.75" customHeight="1" x14ac:dyDescent="0.25">
      <c r="A290" s="28"/>
      <c r="B290" s="31"/>
      <c r="C290" s="28"/>
      <c r="D290" s="26" t="str">
        <f>IF(C290="","",IFERROR(VLOOKUP(C290,Productos!$A$5:$I$504,2,FALSE()),"Revisar código"))</f>
        <v/>
      </c>
      <c r="E290" s="29"/>
      <c r="F290" s="28"/>
      <c r="G290" s="28"/>
      <c r="H290" s="28"/>
      <c r="I290" s="28"/>
    </row>
    <row r="291" spans="1:9" ht="21.75" customHeight="1" x14ac:dyDescent="0.25">
      <c r="A291" s="28"/>
      <c r="B291" s="31"/>
      <c r="C291" s="28"/>
      <c r="D291" s="26" t="str">
        <f>IF(C291="","",IFERROR(VLOOKUP(C291,Productos!$A$5:$I$504,2,FALSE()),"Revisar código"))</f>
        <v/>
      </c>
      <c r="E291" s="29"/>
      <c r="F291" s="28"/>
      <c r="G291" s="28"/>
      <c r="H291" s="28"/>
      <c r="I291" s="28"/>
    </row>
    <row r="292" spans="1:9" ht="21.75" customHeight="1" x14ac:dyDescent="0.25">
      <c r="A292" s="28"/>
      <c r="B292" s="31"/>
      <c r="C292" s="28"/>
      <c r="D292" s="26" t="str">
        <f>IF(C292="","",IFERROR(VLOOKUP(C292,Productos!$A$5:$I$504,2,FALSE()),"Revisar código"))</f>
        <v/>
      </c>
      <c r="E292" s="29"/>
      <c r="F292" s="28"/>
      <c r="G292" s="28"/>
      <c r="H292" s="28"/>
      <c r="I292" s="28"/>
    </row>
    <row r="293" spans="1:9" ht="21.75" customHeight="1" x14ac:dyDescent="0.25">
      <c r="A293" s="28"/>
      <c r="B293" s="31"/>
      <c r="C293" s="28"/>
      <c r="D293" s="26" t="str">
        <f>IF(C293="","",IFERROR(VLOOKUP(C293,Productos!$A$5:$I$504,2,FALSE()),"Revisar código"))</f>
        <v/>
      </c>
      <c r="E293" s="29"/>
      <c r="F293" s="28"/>
      <c r="G293" s="28"/>
      <c r="H293" s="28"/>
      <c r="I293" s="28"/>
    </row>
    <row r="294" spans="1:9" ht="21.75" customHeight="1" x14ac:dyDescent="0.25">
      <c r="A294" s="28"/>
      <c r="B294" s="31"/>
      <c r="C294" s="28"/>
      <c r="D294" s="26" t="str">
        <f>IF(C294="","",IFERROR(VLOOKUP(C294,Productos!$A$5:$I$504,2,FALSE()),"Revisar código"))</f>
        <v/>
      </c>
      <c r="E294" s="29"/>
      <c r="F294" s="28"/>
      <c r="G294" s="28"/>
      <c r="H294" s="28"/>
      <c r="I294" s="28"/>
    </row>
    <row r="295" spans="1:9" ht="21.75" customHeight="1" x14ac:dyDescent="0.25">
      <c r="A295" s="28"/>
      <c r="B295" s="31"/>
      <c r="C295" s="28"/>
      <c r="D295" s="26" t="str">
        <f>IF(C295="","",IFERROR(VLOOKUP(C295,Productos!$A$5:$I$504,2,FALSE()),"Revisar código"))</f>
        <v/>
      </c>
      <c r="E295" s="29"/>
      <c r="F295" s="28"/>
      <c r="G295" s="28"/>
      <c r="H295" s="28"/>
      <c r="I295" s="28"/>
    </row>
    <row r="296" spans="1:9" ht="21.75" customHeight="1" x14ac:dyDescent="0.25">
      <c r="A296" s="28"/>
      <c r="B296" s="31"/>
      <c r="C296" s="28"/>
      <c r="D296" s="26" t="str">
        <f>IF(C296="","",IFERROR(VLOOKUP(C296,Productos!$A$5:$I$504,2,FALSE()),"Revisar código"))</f>
        <v/>
      </c>
      <c r="E296" s="29"/>
      <c r="F296" s="28"/>
      <c r="G296" s="28"/>
      <c r="H296" s="28"/>
      <c r="I296" s="28"/>
    </row>
    <row r="297" spans="1:9" ht="21.75" customHeight="1" x14ac:dyDescent="0.25">
      <c r="A297" s="28"/>
      <c r="B297" s="31"/>
      <c r="C297" s="28"/>
      <c r="D297" s="26" t="str">
        <f>IF(C297="","",IFERROR(VLOOKUP(C297,Productos!$A$5:$I$504,2,FALSE()),"Revisar código"))</f>
        <v/>
      </c>
      <c r="E297" s="29"/>
      <c r="F297" s="28"/>
      <c r="G297" s="28"/>
      <c r="H297" s="28"/>
      <c r="I297" s="28"/>
    </row>
    <row r="298" spans="1:9" ht="21.75" customHeight="1" x14ac:dyDescent="0.25">
      <c r="A298" s="28"/>
      <c r="B298" s="31"/>
      <c r="C298" s="28"/>
      <c r="D298" s="26" t="str">
        <f>IF(C298="","",IFERROR(VLOOKUP(C298,Productos!$A$5:$I$504,2,FALSE()),"Revisar código"))</f>
        <v/>
      </c>
      <c r="E298" s="29"/>
      <c r="F298" s="28"/>
      <c r="G298" s="28"/>
      <c r="H298" s="28"/>
      <c r="I298" s="28"/>
    </row>
    <row r="299" spans="1:9" ht="21.75" customHeight="1" x14ac:dyDescent="0.25">
      <c r="A299" s="28"/>
      <c r="B299" s="31"/>
      <c r="C299" s="28"/>
      <c r="D299" s="26" t="str">
        <f>IF(C299="","",IFERROR(VLOOKUP(C299,Productos!$A$5:$I$504,2,FALSE()),"Revisar código"))</f>
        <v/>
      </c>
      <c r="E299" s="29"/>
      <c r="F299" s="28"/>
      <c r="G299" s="28"/>
      <c r="H299" s="28"/>
      <c r="I299" s="28"/>
    </row>
    <row r="300" spans="1:9" ht="21.75" customHeight="1" x14ac:dyDescent="0.25">
      <c r="A300" s="28"/>
      <c r="B300" s="31"/>
      <c r="C300" s="28"/>
      <c r="D300" s="26" t="str">
        <f>IF(C300="","",IFERROR(VLOOKUP(C300,Productos!$A$5:$I$504,2,FALSE()),"Revisar código"))</f>
        <v/>
      </c>
      <c r="E300" s="29"/>
      <c r="F300" s="28"/>
      <c r="G300" s="28"/>
      <c r="H300" s="28"/>
      <c r="I300" s="28"/>
    </row>
    <row r="301" spans="1:9" ht="21.75" customHeight="1" x14ac:dyDescent="0.25">
      <c r="A301" s="28"/>
      <c r="B301" s="31"/>
      <c r="C301" s="28"/>
      <c r="D301" s="26" t="str">
        <f>IF(C301="","",IFERROR(VLOOKUP(C301,Productos!$A$5:$I$504,2,FALSE()),"Revisar código"))</f>
        <v/>
      </c>
      <c r="E301" s="29"/>
      <c r="F301" s="28"/>
      <c r="G301" s="28"/>
      <c r="H301" s="28"/>
      <c r="I301" s="28"/>
    </row>
    <row r="302" spans="1:9" ht="21.75" customHeight="1" x14ac:dyDescent="0.25">
      <c r="A302" s="28"/>
      <c r="B302" s="31"/>
      <c r="C302" s="28"/>
      <c r="D302" s="26" t="str">
        <f>IF(C302="","",IFERROR(VLOOKUP(C302,Productos!$A$5:$I$504,2,FALSE()),"Revisar código"))</f>
        <v/>
      </c>
      <c r="E302" s="29"/>
      <c r="F302" s="28"/>
      <c r="G302" s="28"/>
      <c r="H302" s="28"/>
      <c r="I302" s="28"/>
    </row>
    <row r="303" spans="1:9" ht="21.75" customHeight="1" x14ac:dyDescent="0.25">
      <c r="A303" s="28"/>
      <c r="B303" s="31"/>
      <c r="C303" s="28"/>
      <c r="D303" s="26" t="str">
        <f>IF(C303="","",IFERROR(VLOOKUP(C303,Productos!$A$5:$I$504,2,FALSE()),"Revisar código"))</f>
        <v/>
      </c>
      <c r="E303" s="29"/>
      <c r="F303" s="28"/>
      <c r="G303" s="28"/>
      <c r="H303" s="28"/>
      <c r="I303" s="28"/>
    </row>
    <row r="304" spans="1:9" ht="21.75" customHeight="1" x14ac:dyDescent="0.25">
      <c r="A304" s="28"/>
      <c r="B304" s="31"/>
      <c r="C304" s="28"/>
      <c r="D304" s="26" t="str">
        <f>IF(C304="","",IFERROR(VLOOKUP(C304,Productos!$A$5:$I$504,2,FALSE()),"Revisar código"))</f>
        <v/>
      </c>
      <c r="E304" s="29"/>
      <c r="F304" s="28"/>
      <c r="G304" s="28"/>
      <c r="H304" s="28"/>
      <c r="I304" s="28"/>
    </row>
    <row r="305" spans="1:9" ht="21.75" customHeight="1" x14ac:dyDescent="0.25">
      <c r="A305" s="28"/>
      <c r="B305" s="31"/>
      <c r="C305" s="28"/>
      <c r="D305" s="26" t="str">
        <f>IF(C305="","",IFERROR(VLOOKUP(C305,Productos!$A$5:$I$504,2,FALSE()),"Revisar código"))</f>
        <v/>
      </c>
      <c r="E305" s="29"/>
      <c r="F305" s="28"/>
      <c r="G305" s="28"/>
      <c r="H305" s="28"/>
      <c r="I305" s="28"/>
    </row>
    <row r="306" spans="1:9" ht="21.75" customHeight="1" x14ac:dyDescent="0.25">
      <c r="A306" s="28"/>
      <c r="B306" s="31"/>
      <c r="C306" s="28"/>
      <c r="D306" s="26" t="str">
        <f>IF(C306="","",IFERROR(VLOOKUP(C306,Productos!$A$5:$I$504,2,FALSE()),"Revisar código"))</f>
        <v/>
      </c>
      <c r="E306" s="29"/>
      <c r="F306" s="28"/>
      <c r="G306" s="28"/>
      <c r="H306" s="28"/>
      <c r="I306" s="28"/>
    </row>
    <row r="307" spans="1:9" ht="21.75" customHeight="1" x14ac:dyDescent="0.25">
      <c r="A307" s="28"/>
      <c r="B307" s="31"/>
      <c r="C307" s="28"/>
      <c r="D307" s="26" t="str">
        <f>IF(C307="","",IFERROR(VLOOKUP(C307,Productos!$A$5:$I$504,2,FALSE()),"Revisar código"))</f>
        <v/>
      </c>
      <c r="E307" s="29"/>
      <c r="F307" s="28"/>
      <c r="G307" s="28"/>
      <c r="H307" s="28"/>
      <c r="I307" s="28"/>
    </row>
    <row r="308" spans="1:9" ht="21.75" customHeight="1" x14ac:dyDescent="0.25">
      <c r="A308" s="28"/>
      <c r="B308" s="31"/>
      <c r="C308" s="28"/>
      <c r="D308" s="26" t="str">
        <f>IF(C308="","",IFERROR(VLOOKUP(C308,Productos!$A$5:$I$504,2,FALSE()),"Revisar código"))</f>
        <v/>
      </c>
      <c r="E308" s="29"/>
      <c r="F308" s="28"/>
      <c r="G308" s="28"/>
      <c r="H308" s="28"/>
      <c r="I308" s="28"/>
    </row>
    <row r="309" spans="1:9" ht="21.75" customHeight="1" x14ac:dyDescent="0.25">
      <c r="A309" s="28"/>
      <c r="B309" s="31"/>
      <c r="C309" s="28"/>
      <c r="D309" s="26" t="str">
        <f>IF(C309="","",IFERROR(VLOOKUP(C309,Productos!$A$5:$I$504,2,FALSE()),"Revisar código"))</f>
        <v/>
      </c>
      <c r="E309" s="29"/>
      <c r="F309" s="28"/>
      <c r="G309" s="28"/>
      <c r="H309" s="28"/>
      <c r="I309" s="28"/>
    </row>
    <row r="310" spans="1:9" ht="21.75" customHeight="1" x14ac:dyDescent="0.25">
      <c r="A310" s="28"/>
      <c r="B310" s="31"/>
      <c r="C310" s="28"/>
      <c r="D310" s="26" t="str">
        <f>IF(C310="","",IFERROR(VLOOKUP(C310,Productos!$A$5:$I$504,2,FALSE()),"Revisar código"))</f>
        <v/>
      </c>
      <c r="E310" s="29"/>
      <c r="F310" s="28"/>
      <c r="G310" s="28"/>
      <c r="H310" s="28"/>
      <c r="I310" s="28"/>
    </row>
    <row r="311" spans="1:9" ht="21.75" customHeight="1" x14ac:dyDescent="0.25">
      <c r="A311" s="28"/>
      <c r="B311" s="31"/>
      <c r="C311" s="28"/>
      <c r="D311" s="26" t="str">
        <f>IF(C311="","",IFERROR(VLOOKUP(C311,Productos!$A$5:$I$504,2,FALSE()),"Revisar código"))</f>
        <v/>
      </c>
      <c r="E311" s="29"/>
      <c r="F311" s="28"/>
      <c r="G311" s="28"/>
      <c r="H311" s="28"/>
      <c r="I311" s="28"/>
    </row>
    <row r="312" spans="1:9" ht="21.75" customHeight="1" x14ac:dyDescent="0.25">
      <c r="A312" s="28"/>
      <c r="B312" s="31"/>
      <c r="C312" s="28"/>
      <c r="D312" s="26" t="str">
        <f>IF(C312="","",IFERROR(VLOOKUP(C312,Productos!$A$5:$I$504,2,FALSE()),"Revisar código"))</f>
        <v/>
      </c>
      <c r="E312" s="29"/>
      <c r="F312" s="28"/>
      <c r="G312" s="28"/>
      <c r="H312" s="28"/>
      <c r="I312" s="28"/>
    </row>
    <row r="313" spans="1:9" ht="21.75" customHeight="1" x14ac:dyDescent="0.25">
      <c r="A313" s="28"/>
      <c r="B313" s="31"/>
      <c r="C313" s="28"/>
      <c r="D313" s="26" t="str">
        <f>IF(C313="","",IFERROR(VLOOKUP(C313,Productos!$A$5:$I$504,2,FALSE()),"Revisar código"))</f>
        <v/>
      </c>
      <c r="E313" s="29"/>
      <c r="F313" s="28"/>
      <c r="G313" s="28"/>
      <c r="H313" s="28"/>
      <c r="I313" s="28"/>
    </row>
    <row r="314" spans="1:9" ht="21.75" customHeight="1" x14ac:dyDescent="0.25">
      <c r="A314" s="28"/>
      <c r="B314" s="31"/>
      <c r="C314" s="28"/>
      <c r="D314" s="26" t="str">
        <f>IF(C314="","",IFERROR(VLOOKUP(C314,Productos!$A$5:$I$504,2,FALSE()),"Revisar código"))</f>
        <v/>
      </c>
      <c r="E314" s="29"/>
      <c r="F314" s="28"/>
      <c r="G314" s="28"/>
      <c r="H314" s="28"/>
      <c r="I314" s="28"/>
    </row>
    <row r="315" spans="1:9" ht="21.75" customHeight="1" x14ac:dyDescent="0.25">
      <c r="A315" s="28"/>
      <c r="B315" s="31"/>
      <c r="C315" s="28"/>
      <c r="D315" s="26" t="str">
        <f>IF(C315="","",IFERROR(VLOOKUP(C315,Productos!$A$5:$I$504,2,FALSE()),"Revisar código"))</f>
        <v/>
      </c>
      <c r="E315" s="29"/>
      <c r="F315" s="28"/>
      <c r="G315" s="28"/>
      <c r="H315" s="28"/>
      <c r="I315" s="28"/>
    </row>
    <row r="316" spans="1:9" ht="21.75" customHeight="1" x14ac:dyDescent="0.25">
      <c r="A316" s="28"/>
      <c r="B316" s="31"/>
      <c r="C316" s="28"/>
      <c r="D316" s="26" t="str">
        <f>IF(C316="","",IFERROR(VLOOKUP(C316,Productos!$A$5:$I$504,2,FALSE()),"Revisar código"))</f>
        <v/>
      </c>
      <c r="E316" s="29"/>
      <c r="F316" s="28"/>
      <c r="G316" s="28"/>
      <c r="H316" s="28"/>
      <c r="I316" s="28"/>
    </row>
    <row r="317" spans="1:9" ht="21.75" customHeight="1" x14ac:dyDescent="0.25">
      <c r="A317" s="28"/>
      <c r="B317" s="31"/>
      <c r="C317" s="28"/>
      <c r="D317" s="26" t="str">
        <f>IF(C317="","",IFERROR(VLOOKUP(C317,Productos!$A$5:$I$504,2,FALSE()),"Revisar código"))</f>
        <v/>
      </c>
      <c r="E317" s="29"/>
      <c r="F317" s="28"/>
      <c r="G317" s="28"/>
      <c r="H317" s="28"/>
      <c r="I317" s="28"/>
    </row>
    <row r="318" spans="1:9" ht="21.75" customHeight="1" x14ac:dyDescent="0.25">
      <c r="A318" s="28"/>
      <c r="B318" s="31"/>
      <c r="C318" s="28"/>
      <c r="D318" s="26" t="str">
        <f>IF(C318="","",IFERROR(VLOOKUP(C318,Productos!$A$5:$I$504,2,FALSE()),"Revisar código"))</f>
        <v/>
      </c>
      <c r="E318" s="29"/>
      <c r="F318" s="28"/>
      <c r="G318" s="28"/>
      <c r="H318" s="28"/>
      <c r="I318" s="28"/>
    </row>
    <row r="319" spans="1:9" ht="21.75" customHeight="1" x14ac:dyDescent="0.25">
      <c r="A319" s="28"/>
      <c r="B319" s="31"/>
      <c r="C319" s="28"/>
      <c r="D319" s="26" t="str">
        <f>IF(C319="","",IFERROR(VLOOKUP(C319,Productos!$A$5:$I$504,2,FALSE()),"Revisar código"))</f>
        <v/>
      </c>
      <c r="E319" s="29"/>
      <c r="F319" s="28"/>
      <c r="G319" s="28"/>
      <c r="H319" s="28"/>
      <c r="I319" s="28"/>
    </row>
    <row r="320" spans="1:9" ht="21.75" customHeight="1" x14ac:dyDescent="0.25">
      <c r="A320" s="28"/>
      <c r="B320" s="31"/>
      <c r="C320" s="28"/>
      <c r="D320" s="26" t="str">
        <f>IF(C320="","",IFERROR(VLOOKUP(C320,Productos!$A$5:$I$504,2,FALSE()),"Revisar código"))</f>
        <v/>
      </c>
      <c r="E320" s="29"/>
      <c r="F320" s="28"/>
      <c r="G320" s="28"/>
      <c r="H320" s="28"/>
      <c r="I320" s="28"/>
    </row>
    <row r="321" spans="1:9" ht="21.75" customHeight="1" x14ac:dyDescent="0.25">
      <c r="A321" s="28"/>
      <c r="B321" s="31"/>
      <c r="C321" s="28"/>
      <c r="D321" s="26" t="str">
        <f>IF(C321="","",IFERROR(VLOOKUP(C321,Productos!$A$5:$I$504,2,FALSE()),"Revisar código"))</f>
        <v/>
      </c>
      <c r="E321" s="29"/>
      <c r="F321" s="28"/>
      <c r="G321" s="28"/>
      <c r="H321" s="28"/>
      <c r="I321" s="28"/>
    </row>
    <row r="322" spans="1:9" ht="21.75" customHeight="1" x14ac:dyDescent="0.25">
      <c r="A322" s="28"/>
      <c r="B322" s="31"/>
      <c r="C322" s="28"/>
      <c r="D322" s="26" t="str">
        <f>IF(C322="","",IFERROR(VLOOKUP(C322,Productos!$A$5:$I$504,2,FALSE()),"Revisar código"))</f>
        <v/>
      </c>
      <c r="E322" s="29"/>
      <c r="F322" s="28"/>
      <c r="G322" s="28"/>
      <c r="H322" s="28"/>
      <c r="I322" s="28"/>
    </row>
    <row r="323" spans="1:9" ht="21.75" customHeight="1" x14ac:dyDescent="0.25">
      <c r="A323" s="28"/>
      <c r="B323" s="31"/>
      <c r="C323" s="28"/>
      <c r="D323" s="26" t="str">
        <f>IF(C323="","",IFERROR(VLOOKUP(C323,Productos!$A$5:$I$504,2,FALSE()),"Revisar código"))</f>
        <v/>
      </c>
      <c r="E323" s="29"/>
      <c r="F323" s="28"/>
      <c r="G323" s="28"/>
      <c r="H323" s="28"/>
      <c r="I323" s="28"/>
    </row>
    <row r="324" spans="1:9" ht="21.75" customHeight="1" x14ac:dyDescent="0.25">
      <c r="A324" s="28"/>
      <c r="B324" s="31"/>
      <c r="C324" s="28"/>
      <c r="D324" s="26" t="str">
        <f>IF(C324="","",IFERROR(VLOOKUP(C324,Productos!$A$5:$I$504,2,FALSE()),"Revisar código"))</f>
        <v/>
      </c>
      <c r="E324" s="29"/>
      <c r="F324" s="28"/>
      <c r="G324" s="28"/>
      <c r="H324" s="28"/>
      <c r="I324" s="28"/>
    </row>
    <row r="325" spans="1:9" ht="21.75" customHeight="1" x14ac:dyDescent="0.25">
      <c r="A325" s="28"/>
      <c r="B325" s="31"/>
      <c r="C325" s="28"/>
      <c r="D325" s="26" t="str">
        <f>IF(C325="","",IFERROR(VLOOKUP(C325,Productos!$A$5:$I$504,2,FALSE()),"Revisar código"))</f>
        <v/>
      </c>
      <c r="E325" s="29"/>
      <c r="F325" s="28"/>
      <c r="G325" s="28"/>
      <c r="H325" s="28"/>
      <c r="I325" s="28"/>
    </row>
    <row r="326" spans="1:9" ht="21.75" customHeight="1" x14ac:dyDescent="0.25">
      <c r="A326" s="28"/>
      <c r="B326" s="31"/>
      <c r="C326" s="28"/>
      <c r="D326" s="26" t="str">
        <f>IF(C326="","",IFERROR(VLOOKUP(C326,Productos!$A$5:$I$504,2,FALSE()),"Revisar código"))</f>
        <v/>
      </c>
      <c r="E326" s="29"/>
      <c r="F326" s="28"/>
      <c r="G326" s="28"/>
      <c r="H326" s="28"/>
      <c r="I326" s="28"/>
    </row>
    <row r="327" spans="1:9" ht="21.75" customHeight="1" x14ac:dyDescent="0.25">
      <c r="A327" s="28"/>
      <c r="B327" s="31"/>
      <c r="C327" s="28"/>
      <c r="D327" s="26" t="str">
        <f>IF(C327="","",IFERROR(VLOOKUP(C327,Productos!$A$5:$I$504,2,FALSE()),"Revisar código"))</f>
        <v/>
      </c>
      <c r="E327" s="29"/>
      <c r="F327" s="28"/>
      <c r="G327" s="28"/>
      <c r="H327" s="28"/>
      <c r="I327" s="28"/>
    </row>
    <row r="328" spans="1:9" ht="21.75" customHeight="1" x14ac:dyDescent="0.25">
      <c r="A328" s="28"/>
      <c r="B328" s="31"/>
      <c r="C328" s="28"/>
      <c r="D328" s="26" t="str">
        <f>IF(C328="","",IFERROR(VLOOKUP(C328,Productos!$A$5:$I$504,2,FALSE()),"Revisar código"))</f>
        <v/>
      </c>
      <c r="E328" s="29"/>
      <c r="F328" s="28"/>
      <c r="G328" s="28"/>
      <c r="H328" s="28"/>
      <c r="I328" s="28"/>
    </row>
    <row r="329" spans="1:9" ht="21.75" customHeight="1" x14ac:dyDescent="0.25">
      <c r="A329" s="28"/>
      <c r="B329" s="31"/>
      <c r="C329" s="28"/>
      <c r="D329" s="26" t="str">
        <f>IF(C329="","",IFERROR(VLOOKUP(C329,Productos!$A$5:$I$504,2,FALSE()),"Revisar código"))</f>
        <v/>
      </c>
      <c r="E329" s="29"/>
      <c r="F329" s="28"/>
      <c r="G329" s="28"/>
      <c r="H329" s="28"/>
      <c r="I329" s="28"/>
    </row>
    <row r="330" spans="1:9" ht="21.75" customHeight="1" x14ac:dyDescent="0.25">
      <c r="A330" s="28"/>
      <c r="B330" s="31"/>
      <c r="C330" s="28"/>
      <c r="D330" s="26" t="str">
        <f>IF(C330="","",IFERROR(VLOOKUP(C330,Productos!$A$5:$I$504,2,FALSE()),"Revisar código"))</f>
        <v/>
      </c>
      <c r="E330" s="29"/>
      <c r="F330" s="28"/>
      <c r="G330" s="28"/>
      <c r="H330" s="28"/>
      <c r="I330" s="28"/>
    </row>
    <row r="331" spans="1:9" ht="21.75" customHeight="1" x14ac:dyDescent="0.25">
      <c r="A331" s="28"/>
      <c r="B331" s="31"/>
      <c r="C331" s="28"/>
      <c r="D331" s="26" t="str">
        <f>IF(C331="","",IFERROR(VLOOKUP(C331,Productos!$A$5:$I$504,2,FALSE()),"Revisar código"))</f>
        <v/>
      </c>
      <c r="E331" s="29"/>
      <c r="F331" s="28"/>
      <c r="G331" s="28"/>
      <c r="H331" s="28"/>
      <c r="I331" s="28"/>
    </row>
    <row r="332" spans="1:9" ht="21.75" customHeight="1" x14ac:dyDescent="0.25">
      <c r="A332" s="28"/>
      <c r="B332" s="31"/>
      <c r="C332" s="28"/>
      <c r="D332" s="26" t="str">
        <f>IF(C332="","",IFERROR(VLOOKUP(C332,Productos!$A$5:$I$504,2,FALSE()),"Revisar código"))</f>
        <v/>
      </c>
      <c r="E332" s="29"/>
      <c r="F332" s="28"/>
      <c r="G332" s="28"/>
      <c r="H332" s="28"/>
      <c r="I332" s="28"/>
    </row>
    <row r="333" spans="1:9" ht="21.75" customHeight="1" x14ac:dyDescent="0.25">
      <c r="A333" s="28"/>
      <c r="B333" s="31"/>
      <c r="C333" s="28"/>
      <c r="D333" s="26" t="str">
        <f>IF(C333="","",IFERROR(VLOOKUP(C333,Productos!$A$5:$I$504,2,FALSE()),"Revisar código"))</f>
        <v/>
      </c>
      <c r="E333" s="29"/>
      <c r="F333" s="28"/>
      <c r="G333" s="28"/>
      <c r="H333" s="28"/>
      <c r="I333" s="28"/>
    </row>
    <row r="334" spans="1:9" ht="21.75" customHeight="1" x14ac:dyDescent="0.25">
      <c r="A334" s="28"/>
      <c r="B334" s="31"/>
      <c r="C334" s="28"/>
      <c r="D334" s="26" t="str">
        <f>IF(C334="","",IFERROR(VLOOKUP(C334,Productos!$A$5:$I$504,2,FALSE()),"Revisar código"))</f>
        <v/>
      </c>
      <c r="E334" s="29"/>
      <c r="F334" s="28"/>
      <c r="G334" s="28"/>
      <c r="H334" s="28"/>
      <c r="I334" s="28"/>
    </row>
    <row r="335" spans="1:9" ht="21.75" customHeight="1" x14ac:dyDescent="0.25">
      <c r="A335" s="28"/>
      <c r="B335" s="31"/>
      <c r="C335" s="28"/>
      <c r="D335" s="26" t="str">
        <f>IF(C335="","",IFERROR(VLOOKUP(C335,Productos!$A$5:$I$504,2,FALSE()),"Revisar código"))</f>
        <v/>
      </c>
      <c r="E335" s="29"/>
      <c r="F335" s="28"/>
      <c r="G335" s="28"/>
      <c r="H335" s="28"/>
      <c r="I335" s="28"/>
    </row>
    <row r="336" spans="1:9" ht="21.75" customHeight="1" x14ac:dyDescent="0.25">
      <c r="A336" s="28"/>
      <c r="B336" s="31"/>
      <c r="C336" s="28"/>
      <c r="D336" s="26" t="str">
        <f>IF(C336="","",IFERROR(VLOOKUP(C336,Productos!$A$5:$I$504,2,FALSE()),"Revisar código"))</f>
        <v/>
      </c>
      <c r="E336" s="29"/>
      <c r="F336" s="28"/>
      <c r="G336" s="28"/>
      <c r="H336" s="28"/>
      <c r="I336" s="28"/>
    </row>
    <row r="337" spans="1:9" ht="21.75" customHeight="1" x14ac:dyDescent="0.25">
      <c r="A337" s="28"/>
      <c r="B337" s="31"/>
      <c r="C337" s="28"/>
      <c r="D337" s="26" t="str">
        <f>IF(C337="","",IFERROR(VLOOKUP(C337,Productos!$A$5:$I$504,2,FALSE()),"Revisar código"))</f>
        <v/>
      </c>
      <c r="E337" s="29"/>
      <c r="F337" s="28"/>
      <c r="G337" s="28"/>
      <c r="H337" s="28"/>
      <c r="I337" s="28"/>
    </row>
    <row r="338" spans="1:9" ht="21.75" customHeight="1" x14ac:dyDescent="0.25">
      <c r="A338" s="28"/>
      <c r="B338" s="31"/>
      <c r="C338" s="28"/>
      <c r="D338" s="26" t="str">
        <f>IF(C338="","",IFERROR(VLOOKUP(C338,Productos!$A$5:$I$504,2,FALSE()),"Revisar código"))</f>
        <v/>
      </c>
      <c r="E338" s="29"/>
      <c r="F338" s="28"/>
      <c r="G338" s="28"/>
      <c r="H338" s="28"/>
      <c r="I338" s="28"/>
    </row>
    <row r="339" spans="1:9" ht="21.75" customHeight="1" x14ac:dyDescent="0.25">
      <c r="A339" s="28"/>
      <c r="B339" s="31"/>
      <c r="C339" s="28"/>
      <c r="D339" s="26" t="str">
        <f>IF(C339="","",IFERROR(VLOOKUP(C339,Productos!$A$5:$I$504,2,FALSE()),"Revisar código"))</f>
        <v/>
      </c>
      <c r="E339" s="29"/>
      <c r="F339" s="28"/>
      <c r="G339" s="28"/>
      <c r="H339" s="28"/>
      <c r="I339" s="28"/>
    </row>
    <row r="340" spans="1:9" ht="21.75" customHeight="1" x14ac:dyDescent="0.25">
      <c r="A340" s="28"/>
      <c r="B340" s="31"/>
      <c r="C340" s="28"/>
      <c r="D340" s="26" t="str">
        <f>IF(C340="","",IFERROR(VLOOKUP(C340,Productos!$A$5:$I$504,2,FALSE()),"Revisar código"))</f>
        <v/>
      </c>
      <c r="E340" s="29"/>
      <c r="F340" s="28"/>
      <c r="G340" s="28"/>
      <c r="H340" s="28"/>
      <c r="I340" s="28"/>
    </row>
    <row r="341" spans="1:9" ht="21.75" customHeight="1" x14ac:dyDescent="0.25">
      <c r="A341" s="28"/>
      <c r="B341" s="31"/>
      <c r="C341" s="28"/>
      <c r="D341" s="26" t="str">
        <f>IF(C341="","",IFERROR(VLOOKUP(C341,Productos!$A$5:$I$504,2,FALSE()),"Revisar código"))</f>
        <v/>
      </c>
      <c r="E341" s="29"/>
      <c r="F341" s="28"/>
      <c r="G341" s="28"/>
      <c r="H341" s="28"/>
      <c r="I341" s="28"/>
    </row>
    <row r="342" spans="1:9" ht="21.75" customHeight="1" x14ac:dyDescent="0.25">
      <c r="A342" s="28"/>
      <c r="B342" s="31"/>
      <c r="C342" s="28"/>
      <c r="D342" s="26" t="str">
        <f>IF(C342="","",IFERROR(VLOOKUP(C342,Productos!$A$5:$I$504,2,FALSE()),"Revisar código"))</f>
        <v/>
      </c>
      <c r="E342" s="29"/>
      <c r="F342" s="28"/>
      <c r="G342" s="28"/>
      <c r="H342" s="28"/>
      <c r="I342" s="28"/>
    </row>
    <row r="343" spans="1:9" ht="21.75" customHeight="1" x14ac:dyDescent="0.25">
      <c r="A343" s="28"/>
      <c r="B343" s="31"/>
      <c r="C343" s="28"/>
      <c r="D343" s="26" t="str">
        <f>IF(C343="","",IFERROR(VLOOKUP(C343,Productos!$A$5:$I$504,2,FALSE()),"Revisar código"))</f>
        <v/>
      </c>
      <c r="E343" s="29"/>
      <c r="F343" s="28"/>
      <c r="G343" s="28"/>
      <c r="H343" s="28"/>
      <c r="I343" s="28"/>
    </row>
    <row r="344" spans="1:9" ht="21.75" customHeight="1" x14ac:dyDescent="0.25">
      <c r="A344" s="28"/>
      <c r="B344" s="31"/>
      <c r="C344" s="28"/>
      <c r="D344" s="26" t="str">
        <f>IF(C344="","",IFERROR(VLOOKUP(C344,Productos!$A$5:$I$504,2,FALSE()),"Revisar código"))</f>
        <v/>
      </c>
      <c r="E344" s="29"/>
      <c r="F344" s="28"/>
      <c r="G344" s="28"/>
      <c r="H344" s="28"/>
      <c r="I344" s="28"/>
    </row>
    <row r="345" spans="1:9" ht="21.75" customHeight="1" x14ac:dyDescent="0.25">
      <c r="A345" s="28"/>
      <c r="B345" s="31"/>
      <c r="C345" s="28"/>
      <c r="D345" s="26" t="str">
        <f>IF(C345="","",IFERROR(VLOOKUP(C345,Productos!$A$5:$I$504,2,FALSE()),"Revisar código"))</f>
        <v/>
      </c>
      <c r="E345" s="29"/>
      <c r="F345" s="28"/>
      <c r="G345" s="28"/>
      <c r="H345" s="28"/>
      <c r="I345" s="28"/>
    </row>
    <row r="346" spans="1:9" ht="21.75" customHeight="1" x14ac:dyDescent="0.25">
      <c r="A346" s="28"/>
      <c r="B346" s="31"/>
      <c r="C346" s="28"/>
      <c r="D346" s="26" t="str">
        <f>IF(C346="","",IFERROR(VLOOKUP(C346,Productos!$A$5:$I$504,2,FALSE()),"Revisar código"))</f>
        <v/>
      </c>
      <c r="E346" s="29"/>
      <c r="F346" s="28"/>
      <c r="G346" s="28"/>
      <c r="H346" s="28"/>
      <c r="I346" s="28"/>
    </row>
    <row r="347" spans="1:9" ht="21.75" customHeight="1" x14ac:dyDescent="0.25">
      <c r="A347" s="28"/>
      <c r="B347" s="31"/>
      <c r="C347" s="28"/>
      <c r="D347" s="26" t="str">
        <f>IF(C347="","",IFERROR(VLOOKUP(C347,Productos!$A$5:$I$504,2,FALSE()),"Revisar código"))</f>
        <v/>
      </c>
      <c r="E347" s="29"/>
      <c r="F347" s="28"/>
      <c r="G347" s="28"/>
      <c r="H347" s="28"/>
      <c r="I347" s="28"/>
    </row>
    <row r="348" spans="1:9" ht="21.75" customHeight="1" x14ac:dyDescent="0.25">
      <c r="A348" s="28"/>
      <c r="B348" s="31"/>
      <c r="C348" s="28"/>
      <c r="D348" s="26" t="str">
        <f>IF(C348="","",IFERROR(VLOOKUP(C348,Productos!$A$5:$I$504,2,FALSE()),"Revisar código"))</f>
        <v/>
      </c>
      <c r="E348" s="29"/>
      <c r="F348" s="28"/>
      <c r="G348" s="28"/>
      <c r="H348" s="28"/>
      <c r="I348" s="28"/>
    </row>
    <row r="349" spans="1:9" ht="21.75" customHeight="1" x14ac:dyDescent="0.25">
      <c r="A349" s="28"/>
      <c r="B349" s="31"/>
      <c r="C349" s="28"/>
      <c r="D349" s="26" t="str">
        <f>IF(C349="","",IFERROR(VLOOKUP(C349,Productos!$A$5:$I$504,2,FALSE()),"Revisar código"))</f>
        <v/>
      </c>
      <c r="E349" s="29"/>
      <c r="F349" s="28"/>
      <c r="G349" s="28"/>
      <c r="H349" s="28"/>
      <c r="I349" s="28"/>
    </row>
    <row r="350" spans="1:9" ht="21.75" customHeight="1" x14ac:dyDescent="0.25">
      <c r="A350" s="28"/>
      <c r="B350" s="31"/>
      <c r="C350" s="28"/>
      <c r="D350" s="26" t="str">
        <f>IF(C350="","",IFERROR(VLOOKUP(C350,Productos!$A$5:$I$504,2,FALSE()),"Revisar código"))</f>
        <v/>
      </c>
      <c r="E350" s="29"/>
      <c r="F350" s="28"/>
      <c r="G350" s="28"/>
      <c r="H350" s="28"/>
      <c r="I350" s="28"/>
    </row>
    <row r="351" spans="1:9" ht="21.75" customHeight="1" x14ac:dyDescent="0.25">
      <c r="A351" s="28"/>
      <c r="B351" s="31"/>
      <c r="C351" s="28"/>
      <c r="D351" s="26" t="str">
        <f>IF(C351="","",IFERROR(VLOOKUP(C351,Productos!$A$5:$I$504,2,FALSE()),"Revisar código"))</f>
        <v/>
      </c>
      <c r="E351" s="29"/>
      <c r="F351" s="28"/>
      <c r="G351" s="28"/>
      <c r="H351" s="28"/>
      <c r="I351" s="28"/>
    </row>
    <row r="352" spans="1:9" ht="21.75" customHeight="1" x14ac:dyDescent="0.25">
      <c r="A352" s="28"/>
      <c r="B352" s="31"/>
      <c r="C352" s="28"/>
      <c r="D352" s="26" t="str">
        <f>IF(C352="","",IFERROR(VLOOKUP(C352,Productos!$A$5:$I$504,2,FALSE()),"Revisar código"))</f>
        <v/>
      </c>
      <c r="E352" s="29"/>
      <c r="F352" s="28"/>
      <c r="G352" s="28"/>
      <c r="H352" s="28"/>
      <c r="I352" s="28"/>
    </row>
    <row r="353" spans="1:9" ht="21.75" customHeight="1" x14ac:dyDescent="0.25">
      <c r="A353" s="28"/>
      <c r="B353" s="31"/>
      <c r="C353" s="28"/>
      <c r="D353" s="26" t="str">
        <f>IF(C353="","",IFERROR(VLOOKUP(C353,Productos!$A$5:$I$504,2,FALSE()),"Revisar código"))</f>
        <v/>
      </c>
      <c r="E353" s="29"/>
      <c r="F353" s="28"/>
      <c r="G353" s="28"/>
      <c r="H353" s="28"/>
      <c r="I353" s="28"/>
    </row>
    <row r="354" spans="1:9" ht="21.75" customHeight="1" x14ac:dyDescent="0.25">
      <c r="A354" s="28"/>
      <c r="B354" s="31"/>
      <c r="C354" s="28"/>
      <c r="D354" s="26" t="str">
        <f>IF(C354="","",IFERROR(VLOOKUP(C354,Productos!$A$5:$I$504,2,FALSE()),"Revisar código"))</f>
        <v/>
      </c>
      <c r="E354" s="29"/>
      <c r="F354" s="28"/>
      <c r="G354" s="28"/>
      <c r="H354" s="28"/>
      <c r="I354" s="28"/>
    </row>
    <row r="355" spans="1:9" ht="21.75" customHeight="1" x14ac:dyDescent="0.25">
      <c r="A355" s="28"/>
      <c r="B355" s="31"/>
      <c r="C355" s="28"/>
      <c r="D355" s="26" t="str">
        <f>IF(C355="","",IFERROR(VLOOKUP(C355,Productos!$A$5:$I$504,2,FALSE()),"Revisar código"))</f>
        <v/>
      </c>
      <c r="E355" s="29"/>
      <c r="F355" s="28"/>
      <c r="G355" s="28"/>
      <c r="H355" s="28"/>
      <c r="I355" s="28"/>
    </row>
    <row r="356" spans="1:9" ht="21.75" customHeight="1" x14ac:dyDescent="0.25">
      <c r="A356" s="28"/>
      <c r="B356" s="31"/>
      <c r="C356" s="28"/>
      <c r="D356" s="26" t="str">
        <f>IF(C356="","",IFERROR(VLOOKUP(C356,Productos!$A$5:$I$504,2,FALSE()),"Revisar código"))</f>
        <v/>
      </c>
      <c r="E356" s="29"/>
      <c r="F356" s="28"/>
      <c r="G356" s="28"/>
      <c r="H356" s="28"/>
      <c r="I356" s="28"/>
    </row>
    <row r="357" spans="1:9" ht="21.75" customHeight="1" x14ac:dyDescent="0.25">
      <c r="A357" s="28"/>
      <c r="B357" s="31"/>
      <c r="C357" s="28"/>
      <c r="D357" s="26" t="str">
        <f>IF(C357="","",IFERROR(VLOOKUP(C357,Productos!$A$5:$I$504,2,FALSE()),"Revisar código"))</f>
        <v/>
      </c>
      <c r="E357" s="29"/>
      <c r="F357" s="28"/>
      <c r="G357" s="28"/>
      <c r="H357" s="28"/>
      <c r="I357" s="28"/>
    </row>
    <row r="358" spans="1:9" ht="21.75" customHeight="1" x14ac:dyDescent="0.25">
      <c r="A358" s="28"/>
      <c r="B358" s="31"/>
      <c r="C358" s="28"/>
      <c r="D358" s="26" t="str">
        <f>IF(C358="","",IFERROR(VLOOKUP(C358,Productos!$A$5:$I$504,2,FALSE()),"Revisar código"))</f>
        <v/>
      </c>
      <c r="E358" s="29"/>
      <c r="F358" s="28"/>
      <c r="G358" s="28"/>
      <c r="H358" s="28"/>
      <c r="I358" s="28"/>
    </row>
    <row r="359" spans="1:9" ht="21.75" customHeight="1" x14ac:dyDescent="0.25">
      <c r="A359" s="28"/>
      <c r="B359" s="31"/>
      <c r="C359" s="28"/>
      <c r="D359" s="26" t="str">
        <f>IF(C359="","",IFERROR(VLOOKUP(C359,Productos!$A$5:$I$504,2,FALSE()),"Revisar código"))</f>
        <v/>
      </c>
      <c r="E359" s="29"/>
      <c r="F359" s="28"/>
      <c r="G359" s="28"/>
      <c r="H359" s="28"/>
      <c r="I359" s="28"/>
    </row>
    <row r="360" spans="1:9" ht="21.75" customHeight="1" x14ac:dyDescent="0.25">
      <c r="A360" s="28"/>
      <c r="B360" s="31"/>
      <c r="C360" s="28"/>
      <c r="D360" s="26" t="str">
        <f>IF(C360="","",IFERROR(VLOOKUP(C360,Productos!$A$5:$I$504,2,FALSE()),"Revisar código"))</f>
        <v/>
      </c>
      <c r="E360" s="29"/>
      <c r="F360" s="28"/>
      <c r="G360" s="28"/>
      <c r="H360" s="28"/>
      <c r="I360" s="28"/>
    </row>
    <row r="361" spans="1:9" ht="21.75" customHeight="1" x14ac:dyDescent="0.25">
      <c r="A361" s="28"/>
      <c r="B361" s="31"/>
      <c r="C361" s="28"/>
      <c r="D361" s="26" t="str">
        <f>IF(C361="","",IFERROR(VLOOKUP(C361,Productos!$A$5:$I$504,2,FALSE()),"Revisar código"))</f>
        <v/>
      </c>
      <c r="E361" s="29"/>
      <c r="F361" s="28"/>
      <c r="G361" s="28"/>
      <c r="H361" s="28"/>
      <c r="I361" s="28"/>
    </row>
    <row r="362" spans="1:9" ht="21.75" customHeight="1" x14ac:dyDescent="0.25">
      <c r="A362" s="28"/>
      <c r="B362" s="31"/>
      <c r="C362" s="28"/>
      <c r="D362" s="26" t="str">
        <f>IF(C362="","",IFERROR(VLOOKUP(C362,Productos!$A$5:$I$504,2,FALSE()),"Revisar código"))</f>
        <v/>
      </c>
      <c r="E362" s="29"/>
      <c r="F362" s="28"/>
      <c r="G362" s="28"/>
      <c r="H362" s="28"/>
      <c r="I362" s="28"/>
    </row>
    <row r="363" spans="1:9" ht="21.75" customHeight="1" x14ac:dyDescent="0.25">
      <c r="A363" s="28"/>
      <c r="B363" s="31"/>
      <c r="C363" s="28"/>
      <c r="D363" s="26" t="str">
        <f>IF(C363="","",IFERROR(VLOOKUP(C363,Productos!$A$5:$I$504,2,FALSE()),"Revisar código"))</f>
        <v/>
      </c>
      <c r="E363" s="29"/>
      <c r="F363" s="28"/>
      <c r="G363" s="28"/>
      <c r="H363" s="28"/>
      <c r="I363" s="28"/>
    </row>
    <row r="364" spans="1:9" ht="21.75" customHeight="1" x14ac:dyDescent="0.25">
      <c r="A364" s="28"/>
      <c r="B364" s="31"/>
      <c r="C364" s="28"/>
      <c r="D364" s="26" t="str">
        <f>IF(C364="","",IFERROR(VLOOKUP(C364,Productos!$A$5:$I$504,2,FALSE()),"Revisar código"))</f>
        <v/>
      </c>
      <c r="E364" s="29"/>
      <c r="F364" s="28"/>
      <c r="G364" s="28"/>
      <c r="H364" s="28"/>
      <c r="I364" s="28"/>
    </row>
    <row r="365" spans="1:9" ht="21.75" customHeight="1" x14ac:dyDescent="0.25">
      <c r="A365" s="28"/>
      <c r="B365" s="31"/>
      <c r="C365" s="28"/>
      <c r="D365" s="26" t="str">
        <f>IF(C365="","",IFERROR(VLOOKUP(C365,Productos!$A$5:$I$504,2,FALSE()),"Revisar código"))</f>
        <v/>
      </c>
      <c r="E365" s="29"/>
      <c r="F365" s="28"/>
      <c r="G365" s="28"/>
      <c r="H365" s="28"/>
      <c r="I365" s="28"/>
    </row>
    <row r="366" spans="1:9" ht="21.75" customHeight="1" x14ac:dyDescent="0.25">
      <c r="A366" s="28"/>
      <c r="B366" s="31"/>
      <c r="C366" s="28"/>
      <c r="D366" s="26" t="str">
        <f>IF(C366="","",IFERROR(VLOOKUP(C366,Productos!$A$5:$I$504,2,FALSE()),"Revisar código"))</f>
        <v/>
      </c>
      <c r="E366" s="29"/>
      <c r="F366" s="28"/>
      <c r="G366" s="28"/>
      <c r="H366" s="28"/>
      <c r="I366" s="28"/>
    </row>
    <row r="367" spans="1:9" ht="21.75" customHeight="1" x14ac:dyDescent="0.25">
      <c r="A367" s="28"/>
      <c r="B367" s="31"/>
      <c r="C367" s="28"/>
      <c r="D367" s="26" t="str">
        <f>IF(C367="","",IFERROR(VLOOKUP(C367,Productos!$A$5:$I$504,2,FALSE()),"Revisar código"))</f>
        <v/>
      </c>
      <c r="E367" s="29"/>
      <c r="F367" s="28"/>
      <c r="G367" s="28"/>
      <c r="H367" s="28"/>
      <c r="I367" s="28"/>
    </row>
    <row r="368" spans="1:9" ht="21.75" customHeight="1" x14ac:dyDescent="0.25">
      <c r="A368" s="28"/>
      <c r="B368" s="31"/>
      <c r="C368" s="28"/>
      <c r="D368" s="26" t="str">
        <f>IF(C368="","",IFERROR(VLOOKUP(C368,Productos!$A$5:$I$504,2,FALSE()),"Revisar código"))</f>
        <v/>
      </c>
      <c r="E368" s="29"/>
      <c r="F368" s="28"/>
      <c r="G368" s="28"/>
      <c r="H368" s="28"/>
      <c r="I368" s="28"/>
    </row>
    <row r="369" spans="1:9" ht="21.75" customHeight="1" x14ac:dyDescent="0.25">
      <c r="A369" s="28"/>
      <c r="B369" s="31"/>
      <c r="C369" s="28"/>
      <c r="D369" s="26" t="str">
        <f>IF(C369="","",IFERROR(VLOOKUP(C369,Productos!$A$5:$I$504,2,FALSE()),"Revisar código"))</f>
        <v/>
      </c>
      <c r="E369" s="29"/>
      <c r="F369" s="28"/>
      <c r="G369" s="28"/>
      <c r="H369" s="28"/>
      <c r="I369" s="28"/>
    </row>
    <row r="370" spans="1:9" ht="21.75" customHeight="1" x14ac:dyDescent="0.25">
      <c r="A370" s="28"/>
      <c r="B370" s="31"/>
      <c r="C370" s="28"/>
      <c r="D370" s="26" t="str">
        <f>IF(C370="","",IFERROR(VLOOKUP(C370,Productos!$A$5:$I$504,2,FALSE()),"Revisar código"))</f>
        <v/>
      </c>
      <c r="E370" s="29"/>
      <c r="F370" s="28"/>
      <c r="G370" s="28"/>
      <c r="H370" s="28"/>
      <c r="I370" s="28"/>
    </row>
    <row r="371" spans="1:9" ht="21.75" customHeight="1" x14ac:dyDescent="0.25">
      <c r="A371" s="28"/>
      <c r="B371" s="31"/>
      <c r="C371" s="28"/>
      <c r="D371" s="26" t="str">
        <f>IF(C371="","",IFERROR(VLOOKUP(C371,Productos!$A$5:$I$504,2,FALSE()),"Revisar código"))</f>
        <v/>
      </c>
      <c r="E371" s="29"/>
      <c r="F371" s="28"/>
      <c r="G371" s="28"/>
      <c r="H371" s="28"/>
      <c r="I371" s="28"/>
    </row>
    <row r="372" spans="1:9" ht="21.75" customHeight="1" x14ac:dyDescent="0.25">
      <c r="A372" s="28"/>
      <c r="B372" s="31"/>
      <c r="C372" s="28"/>
      <c r="D372" s="26" t="str">
        <f>IF(C372="","",IFERROR(VLOOKUP(C372,Productos!$A$5:$I$504,2,FALSE()),"Revisar código"))</f>
        <v/>
      </c>
      <c r="E372" s="29"/>
      <c r="F372" s="28"/>
      <c r="G372" s="28"/>
      <c r="H372" s="28"/>
      <c r="I372" s="28"/>
    </row>
    <row r="373" spans="1:9" ht="21.75" customHeight="1" x14ac:dyDescent="0.25">
      <c r="A373" s="28"/>
      <c r="B373" s="31"/>
      <c r="C373" s="28"/>
      <c r="D373" s="26" t="str">
        <f>IF(C373="","",IFERROR(VLOOKUP(C373,Productos!$A$5:$I$504,2,FALSE()),"Revisar código"))</f>
        <v/>
      </c>
      <c r="E373" s="29"/>
      <c r="F373" s="28"/>
      <c r="G373" s="28"/>
      <c r="H373" s="28"/>
      <c r="I373" s="28"/>
    </row>
    <row r="374" spans="1:9" ht="21.75" customHeight="1" x14ac:dyDescent="0.25">
      <c r="A374" s="28"/>
      <c r="B374" s="31"/>
      <c r="C374" s="28"/>
      <c r="D374" s="26" t="str">
        <f>IF(C374="","",IFERROR(VLOOKUP(C374,Productos!$A$5:$I$504,2,FALSE()),"Revisar código"))</f>
        <v/>
      </c>
      <c r="E374" s="29"/>
      <c r="F374" s="28"/>
      <c r="G374" s="28"/>
      <c r="H374" s="28"/>
      <c r="I374" s="28"/>
    </row>
    <row r="375" spans="1:9" ht="21.75" customHeight="1" x14ac:dyDescent="0.25">
      <c r="A375" s="28"/>
      <c r="B375" s="31"/>
      <c r="C375" s="28"/>
      <c r="D375" s="26" t="str">
        <f>IF(C375="","",IFERROR(VLOOKUP(C375,Productos!$A$5:$I$504,2,FALSE()),"Revisar código"))</f>
        <v/>
      </c>
      <c r="E375" s="29"/>
      <c r="F375" s="28"/>
      <c r="G375" s="28"/>
      <c r="H375" s="28"/>
      <c r="I375" s="28"/>
    </row>
    <row r="376" spans="1:9" ht="21.75" customHeight="1" x14ac:dyDescent="0.25">
      <c r="A376" s="28"/>
      <c r="B376" s="31"/>
      <c r="C376" s="28"/>
      <c r="D376" s="26" t="str">
        <f>IF(C376="","",IFERROR(VLOOKUP(C376,Productos!$A$5:$I$504,2,FALSE()),"Revisar código"))</f>
        <v/>
      </c>
      <c r="E376" s="29"/>
      <c r="F376" s="28"/>
      <c r="G376" s="28"/>
      <c r="H376" s="28"/>
      <c r="I376" s="28"/>
    </row>
    <row r="377" spans="1:9" ht="21.75" customHeight="1" x14ac:dyDescent="0.25">
      <c r="A377" s="28"/>
      <c r="B377" s="31"/>
      <c r="C377" s="28"/>
      <c r="D377" s="26" t="str">
        <f>IF(C377="","",IFERROR(VLOOKUP(C377,Productos!$A$5:$I$504,2,FALSE()),"Revisar código"))</f>
        <v/>
      </c>
      <c r="E377" s="29"/>
      <c r="F377" s="28"/>
      <c r="G377" s="28"/>
      <c r="H377" s="28"/>
      <c r="I377" s="28"/>
    </row>
    <row r="378" spans="1:9" ht="21.75" customHeight="1" x14ac:dyDescent="0.25">
      <c r="A378" s="28"/>
      <c r="B378" s="31"/>
      <c r="C378" s="28"/>
      <c r="D378" s="26" t="str">
        <f>IF(C378="","",IFERROR(VLOOKUP(C378,Productos!$A$5:$I$504,2,FALSE()),"Revisar código"))</f>
        <v/>
      </c>
      <c r="E378" s="29"/>
      <c r="F378" s="28"/>
      <c r="G378" s="28"/>
      <c r="H378" s="28"/>
      <c r="I378" s="28"/>
    </row>
    <row r="379" spans="1:9" ht="21.75" customHeight="1" x14ac:dyDescent="0.25">
      <c r="A379" s="28"/>
      <c r="B379" s="31"/>
      <c r="C379" s="28"/>
      <c r="D379" s="26" t="str">
        <f>IF(C379="","",IFERROR(VLOOKUP(C379,Productos!$A$5:$I$504,2,FALSE()),"Revisar código"))</f>
        <v/>
      </c>
      <c r="E379" s="29"/>
      <c r="F379" s="28"/>
      <c r="G379" s="28"/>
      <c r="H379" s="28"/>
      <c r="I379" s="28"/>
    </row>
    <row r="380" spans="1:9" ht="21.75" customHeight="1" x14ac:dyDescent="0.25">
      <c r="A380" s="28"/>
      <c r="B380" s="31"/>
      <c r="C380" s="28"/>
      <c r="D380" s="26" t="str">
        <f>IF(C380="","",IFERROR(VLOOKUP(C380,Productos!$A$5:$I$504,2,FALSE()),"Revisar código"))</f>
        <v/>
      </c>
      <c r="E380" s="29"/>
      <c r="F380" s="28"/>
      <c r="G380" s="28"/>
      <c r="H380" s="28"/>
      <c r="I380" s="28"/>
    </row>
    <row r="381" spans="1:9" ht="21.75" customHeight="1" x14ac:dyDescent="0.25">
      <c r="A381" s="28"/>
      <c r="B381" s="31"/>
      <c r="C381" s="28"/>
      <c r="D381" s="26" t="str">
        <f>IF(C381="","",IFERROR(VLOOKUP(C381,Productos!$A$5:$I$504,2,FALSE()),"Revisar código"))</f>
        <v/>
      </c>
      <c r="E381" s="29"/>
      <c r="F381" s="28"/>
      <c r="G381" s="28"/>
      <c r="H381" s="28"/>
      <c r="I381" s="28"/>
    </row>
    <row r="382" spans="1:9" ht="21.75" customHeight="1" x14ac:dyDescent="0.25">
      <c r="A382" s="28"/>
      <c r="B382" s="31"/>
      <c r="C382" s="28"/>
      <c r="D382" s="26" t="str">
        <f>IF(C382="","",IFERROR(VLOOKUP(C382,Productos!$A$5:$I$504,2,FALSE()),"Revisar código"))</f>
        <v/>
      </c>
      <c r="E382" s="29"/>
      <c r="F382" s="28"/>
      <c r="G382" s="28"/>
      <c r="H382" s="28"/>
      <c r="I382" s="28"/>
    </row>
    <row r="383" spans="1:9" ht="21.75" customHeight="1" x14ac:dyDescent="0.25">
      <c r="A383" s="28"/>
      <c r="B383" s="31"/>
      <c r="C383" s="28"/>
      <c r="D383" s="26" t="str">
        <f>IF(C383="","",IFERROR(VLOOKUP(C383,Productos!$A$5:$I$504,2,FALSE()),"Revisar código"))</f>
        <v/>
      </c>
      <c r="E383" s="29"/>
      <c r="F383" s="28"/>
      <c r="G383" s="28"/>
      <c r="H383" s="28"/>
      <c r="I383" s="28"/>
    </row>
    <row r="384" spans="1:9" ht="21.75" customHeight="1" x14ac:dyDescent="0.25">
      <c r="A384" s="28"/>
      <c r="B384" s="31"/>
      <c r="C384" s="28"/>
      <c r="D384" s="26" t="str">
        <f>IF(C384="","",IFERROR(VLOOKUP(C384,Productos!$A$5:$I$504,2,FALSE()),"Revisar código"))</f>
        <v/>
      </c>
      <c r="E384" s="29"/>
      <c r="F384" s="28"/>
      <c r="G384" s="28"/>
      <c r="H384" s="28"/>
      <c r="I384" s="28"/>
    </row>
    <row r="385" spans="1:9" ht="21.75" customHeight="1" x14ac:dyDescent="0.25">
      <c r="A385" s="28"/>
      <c r="B385" s="31"/>
      <c r="C385" s="28"/>
      <c r="D385" s="26" t="str">
        <f>IF(C385="","",IFERROR(VLOOKUP(C385,Productos!$A$5:$I$504,2,FALSE()),"Revisar código"))</f>
        <v/>
      </c>
      <c r="E385" s="29"/>
      <c r="F385" s="28"/>
      <c r="G385" s="28"/>
      <c r="H385" s="28"/>
      <c r="I385" s="28"/>
    </row>
    <row r="386" spans="1:9" ht="21.75" customHeight="1" x14ac:dyDescent="0.25">
      <c r="A386" s="28"/>
      <c r="B386" s="31"/>
      <c r="C386" s="28"/>
      <c r="D386" s="26" t="str">
        <f>IF(C386="","",IFERROR(VLOOKUP(C386,Productos!$A$5:$I$504,2,FALSE()),"Revisar código"))</f>
        <v/>
      </c>
      <c r="E386" s="29"/>
      <c r="F386" s="28"/>
      <c r="G386" s="28"/>
      <c r="H386" s="28"/>
      <c r="I386" s="28"/>
    </row>
    <row r="387" spans="1:9" ht="21.75" customHeight="1" x14ac:dyDescent="0.25">
      <c r="A387" s="28"/>
      <c r="B387" s="31"/>
      <c r="C387" s="28"/>
      <c r="D387" s="26" t="str">
        <f>IF(C387="","",IFERROR(VLOOKUP(C387,Productos!$A$5:$I$504,2,FALSE()),"Revisar código"))</f>
        <v/>
      </c>
      <c r="E387" s="29"/>
      <c r="F387" s="28"/>
      <c r="G387" s="28"/>
      <c r="H387" s="28"/>
      <c r="I387" s="28"/>
    </row>
    <row r="388" spans="1:9" ht="21.75" customHeight="1" x14ac:dyDescent="0.25">
      <c r="A388" s="28"/>
      <c r="B388" s="31"/>
      <c r="C388" s="28"/>
      <c r="D388" s="26" t="str">
        <f>IF(C388="","",IFERROR(VLOOKUP(C388,Productos!$A$5:$I$504,2,FALSE()),"Revisar código"))</f>
        <v/>
      </c>
      <c r="E388" s="29"/>
      <c r="F388" s="28"/>
      <c r="G388" s="28"/>
      <c r="H388" s="28"/>
      <c r="I388" s="28"/>
    </row>
    <row r="389" spans="1:9" ht="21.75" customHeight="1" x14ac:dyDescent="0.25">
      <c r="A389" s="28"/>
      <c r="B389" s="31"/>
      <c r="C389" s="28"/>
      <c r="D389" s="26" t="str">
        <f>IF(C389="","",IFERROR(VLOOKUP(C389,Productos!$A$5:$I$504,2,FALSE()),"Revisar código"))</f>
        <v/>
      </c>
      <c r="E389" s="29"/>
      <c r="F389" s="28"/>
      <c r="G389" s="28"/>
      <c r="H389" s="28"/>
      <c r="I389" s="28"/>
    </row>
    <row r="390" spans="1:9" ht="21.75" customHeight="1" x14ac:dyDescent="0.25">
      <c r="A390" s="28"/>
      <c r="B390" s="31"/>
      <c r="C390" s="28"/>
      <c r="D390" s="26" t="str">
        <f>IF(C390="","",IFERROR(VLOOKUP(C390,Productos!$A$5:$I$504,2,FALSE()),"Revisar código"))</f>
        <v/>
      </c>
      <c r="E390" s="29"/>
      <c r="F390" s="28"/>
      <c r="G390" s="28"/>
      <c r="H390" s="28"/>
      <c r="I390" s="28"/>
    </row>
    <row r="391" spans="1:9" ht="21.75" customHeight="1" x14ac:dyDescent="0.25">
      <c r="A391" s="28"/>
      <c r="B391" s="31"/>
      <c r="C391" s="28"/>
      <c r="D391" s="26" t="str">
        <f>IF(C391="","",IFERROR(VLOOKUP(C391,Productos!$A$5:$I$504,2,FALSE()),"Revisar código"))</f>
        <v/>
      </c>
      <c r="E391" s="29"/>
      <c r="F391" s="28"/>
      <c r="G391" s="28"/>
      <c r="H391" s="28"/>
      <c r="I391" s="28"/>
    </row>
    <row r="392" spans="1:9" ht="21.75" customHeight="1" x14ac:dyDescent="0.25">
      <c r="A392" s="28"/>
      <c r="B392" s="31"/>
      <c r="C392" s="28"/>
      <c r="D392" s="26" t="str">
        <f>IF(C392="","",IFERROR(VLOOKUP(C392,Productos!$A$5:$I$504,2,FALSE()),"Revisar código"))</f>
        <v/>
      </c>
      <c r="E392" s="29"/>
      <c r="F392" s="28"/>
      <c r="G392" s="28"/>
      <c r="H392" s="28"/>
      <c r="I392" s="28"/>
    </row>
    <row r="393" spans="1:9" ht="21.75" customHeight="1" x14ac:dyDescent="0.25">
      <c r="A393" s="28"/>
      <c r="B393" s="31"/>
      <c r="C393" s="28"/>
      <c r="D393" s="26" t="str">
        <f>IF(C393="","",IFERROR(VLOOKUP(C393,Productos!$A$5:$I$504,2,FALSE()),"Revisar código"))</f>
        <v/>
      </c>
      <c r="E393" s="29"/>
      <c r="F393" s="28"/>
      <c r="G393" s="28"/>
      <c r="H393" s="28"/>
      <c r="I393" s="28"/>
    </row>
    <row r="394" spans="1:9" ht="21.75" customHeight="1" x14ac:dyDescent="0.25">
      <c r="A394" s="28"/>
      <c r="B394" s="31"/>
      <c r="C394" s="28"/>
      <c r="D394" s="26" t="str">
        <f>IF(C394="","",IFERROR(VLOOKUP(C394,Productos!$A$5:$I$504,2,FALSE()),"Revisar código"))</f>
        <v/>
      </c>
      <c r="E394" s="29"/>
      <c r="F394" s="28"/>
      <c r="G394" s="28"/>
      <c r="H394" s="28"/>
      <c r="I394" s="28"/>
    </row>
    <row r="395" spans="1:9" ht="21.75" customHeight="1" x14ac:dyDescent="0.25">
      <c r="A395" s="28"/>
      <c r="B395" s="31"/>
      <c r="C395" s="28"/>
      <c r="D395" s="26" t="str">
        <f>IF(C395="","",IFERROR(VLOOKUP(C395,Productos!$A$5:$I$504,2,FALSE()),"Revisar código"))</f>
        <v/>
      </c>
      <c r="E395" s="29"/>
      <c r="F395" s="28"/>
      <c r="G395" s="28"/>
      <c r="H395" s="28"/>
      <c r="I395" s="28"/>
    </row>
    <row r="396" spans="1:9" ht="21.75" customHeight="1" x14ac:dyDescent="0.25">
      <c r="A396" s="28"/>
      <c r="B396" s="31"/>
      <c r="C396" s="28"/>
      <c r="D396" s="26" t="str">
        <f>IF(C396="","",IFERROR(VLOOKUP(C396,Productos!$A$5:$I$504,2,FALSE()),"Revisar código"))</f>
        <v/>
      </c>
      <c r="E396" s="29"/>
      <c r="F396" s="28"/>
      <c r="G396" s="28"/>
      <c r="H396" s="28"/>
      <c r="I396" s="28"/>
    </row>
    <row r="397" spans="1:9" ht="21.75" customHeight="1" x14ac:dyDescent="0.25">
      <c r="A397" s="28"/>
      <c r="B397" s="31"/>
      <c r="C397" s="28"/>
      <c r="D397" s="26" t="str">
        <f>IF(C397="","",IFERROR(VLOOKUP(C397,Productos!$A$5:$I$504,2,FALSE()),"Revisar código"))</f>
        <v/>
      </c>
      <c r="E397" s="29"/>
      <c r="F397" s="28"/>
      <c r="G397" s="28"/>
      <c r="H397" s="28"/>
      <c r="I397" s="28"/>
    </row>
    <row r="398" spans="1:9" ht="21.75" customHeight="1" x14ac:dyDescent="0.25">
      <c r="A398" s="28"/>
      <c r="B398" s="31"/>
      <c r="C398" s="28"/>
      <c r="D398" s="26" t="str">
        <f>IF(C398="","",IFERROR(VLOOKUP(C398,Productos!$A$5:$I$504,2,FALSE()),"Revisar código"))</f>
        <v/>
      </c>
      <c r="E398" s="29"/>
      <c r="F398" s="28"/>
      <c r="G398" s="28"/>
      <c r="H398" s="28"/>
      <c r="I398" s="28"/>
    </row>
    <row r="399" spans="1:9" ht="21.75" customHeight="1" x14ac:dyDescent="0.25">
      <c r="A399" s="28"/>
      <c r="B399" s="31"/>
      <c r="C399" s="28"/>
      <c r="D399" s="26" t="str">
        <f>IF(C399="","",IFERROR(VLOOKUP(C399,Productos!$A$5:$I$504,2,FALSE()),"Revisar código"))</f>
        <v/>
      </c>
      <c r="E399" s="29"/>
      <c r="F399" s="28"/>
      <c r="G399" s="28"/>
      <c r="H399" s="28"/>
      <c r="I399" s="28"/>
    </row>
    <row r="400" spans="1:9" ht="21.75" customHeight="1" x14ac:dyDescent="0.25">
      <c r="A400" s="28"/>
      <c r="B400" s="31"/>
      <c r="C400" s="28"/>
      <c r="D400" s="26" t="str">
        <f>IF(C400="","",IFERROR(VLOOKUP(C400,Productos!$A$5:$I$504,2,FALSE()),"Revisar código"))</f>
        <v/>
      </c>
      <c r="E400" s="29"/>
      <c r="F400" s="28"/>
      <c r="G400" s="28"/>
      <c r="H400" s="28"/>
      <c r="I400" s="28"/>
    </row>
    <row r="401" spans="1:9" ht="21.75" customHeight="1" x14ac:dyDescent="0.25">
      <c r="A401" s="28"/>
      <c r="B401" s="31"/>
      <c r="C401" s="28"/>
      <c r="D401" s="26" t="str">
        <f>IF(C401="","",IFERROR(VLOOKUP(C401,Productos!$A$5:$I$504,2,FALSE()),"Revisar código"))</f>
        <v/>
      </c>
      <c r="E401" s="29"/>
      <c r="F401" s="28"/>
      <c r="G401" s="28"/>
      <c r="H401" s="28"/>
      <c r="I401" s="28"/>
    </row>
    <row r="402" spans="1:9" ht="21.75" customHeight="1" x14ac:dyDescent="0.25">
      <c r="A402" s="28"/>
      <c r="B402" s="31"/>
      <c r="C402" s="28"/>
      <c r="D402" s="26" t="str">
        <f>IF(C402="","",IFERROR(VLOOKUP(C402,Productos!$A$5:$I$504,2,FALSE()),"Revisar código"))</f>
        <v/>
      </c>
      <c r="E402" s="29"/>
      <c r="F402" s="28"/>
      <c r="G402" s="28"/>
      <c r="H402" s="28"/>
      <c r="I402" s="28"/>
    </row>
    <row r="403" spans="1:9" ht="21.75" customHeight="1" x14ac:dyDescent="0.25">
      <c r="A403" s="28"/>
      <c r="B403" s="31"/>
      <c r="C403" s="28"/>
      <c r="D403" s="26" t="str">
        <f>IF(C403="","",IFERROR(VLOOKUP(C403,Productos!$A$5:$I$504,2,FALSE()),"Revisar código"))</f>
        <v/>
      </c>
      <c r="E403" s="29"/>
      <c r="F403" s="28"/>
      <c r="G403" s="28"/>
      <c r="H403" s="28"/>
      <c r="I403" s="28"/>
    </row>
    <row r="404" spans="1:9" ht="21.75" customHeight="1" x14ac:dyDescent="0.25">
      <c r="A404" s="28"/>
      <c r="B404" s="31"/>
      <c r="C404" s="28"/>
      <c r="D404" s="26" t="str">
        <f>IF(C404="","",IFERROR(VLOOKUP(C404,Productos!$A$5:$I$504,2,FALSE()),"Revisar código"))</f>
        <v/>
      </c>
      <c r="E404" s="29"/>
      <c r="F404" s="28"/>
      <c r="G404" s="28"/>
      <c r="H404" s="28"/>
      <c r="I404" s="28"/>
    </row>
    <row r="405" spans="1:9" ht="21.75" customHeight="1" x14ac:dyDescent="0.25">
      <c r="A405" s="28"/>
      <c r="B405" s="31"/>
      <c r="C405" s="28"/>
      <c r="D405" s="26" t="str">
        <f>IF(C405="","",IFERROR(VLOOKUP(C405,Productos!$A$5:$I$504,2,FALSE()),"Revisar código"))</f>
        <v/>
      </c>
      <c r="E405" s="29"/>
      <c r="F405" s="28"/>
      <c r="G405" s="28"/>
      <c r="H405" s="28"/>
      <c r="I405" s="28"/>
    </row>
    <row r="406" spans="1:9" ht="21.75" customHeight="1" x14ac:dyDescent="0.25">
      <c r="A406" s="28"/>
      <c r="B406" s="31"/>
      <c r="C406" s="28"/>
      <c r="D406" s="26" t="str">
        <f>IF(C406="","",IFERROR(VLOOKUP(C406,Productos!$A$5:$I$504,2,FALSE()),"Revisar código"))</f>
        <v/>
      </c>
      <c r="E406" s="29"/>
      <c r="F406" s="28"/>
      <c r="G406" s="28"/>
      <c r="H406" s="28"/>
      <c r="I406" s="28"/>
    </row>
    <row r="407" spans="1:9" ht="21.75" customHeight="1" x14ac:dyDescent="0.25">
      <c r="A407" s="28"/>
      <c r="B407" s="31"/>
      <c r="C407" s="28"/>
      <c r="D407" s="26" t="str">
        <f>IF(C407="","",IFERROR(VLOOKUP(C407,Productos!$A$5:$I$504,2,FALSE()),"Revisar código"))</f>
        <v/>
      </c>
      <c r="E407" s="29"/>
      <c r="F407" s="28"/>
      <c r="G407" s="28"/>
      <c r="H407" s="28"/>
      <c r="I407" s="28"/>
    </row>
    <row r="408" spans="1:9" ht="21.75" customHeight="1" x14ac:dyDescent="0.25">
      <c r="A408" s="28"/>
      <c r="B408" s="31"/>
      <c r="C408" s="28"/>
      <c r="D408" s="26" t="str">
        <f>IF(C408="","",IFERROR(VLOOKUP(C408,Productos!$A$5:$I$504,2,FALSE()),"Revisar código"))</f>
        <v/>
      </c>
      <c r="E408" s="29"/>
      <c r="F408" s="28"/>
      <c r="G408" s="28"/>
      <c r="H408" s="28"/>
      <c r="I408" s="28"/>
    </row>
    <row r="409" spans="1:9" ht="21.75" customHeight="1" x14ac:dyDescent="0.25">
      <c r="A409" s="28"/>
      <c r="B409" s="31"/>
      <c r="C409" s="28"/>
      <c r="D409" s="26" t="str">
        <f>IF(C409="","",IFERROR(VLOOKUP(C409,Productos!$A$5:$I$504,2,FALSE()),"Revisar código"))</f>
        <v/>
      </c>
      <c r="E409" s="29"/>
      <c r="F409" s="28"/>
      <c r="G409" s="28"/>
      <c r="H409" s="28"/>
      <c r="I409" s="28"/>
    </row>
    <row r="410" spans="1:9" ht="21.75" customHeight="1" x14ac:dyDescent="0.25">
      <c r="A410" s="28"/>
      <c r="B410" s="31"/>
      <c r="C410" s="28"/>
      <c r="D410" s="26" t="str">
        <f>IF(C410="","",IFERROR(VLOOKUP(C410,Productos!$A$5:$I$504,2,FALSE()),"Revisar código"))</f>
        <v/>
      </c>
      <c r="E410" s="29"/>
      <c r="F410" s="28"/>
      <c r="G410" s="28"/>
      <c r="H410" s="28"/>
      <c r="I410" s="28"/>
    </row>
    <row r="411" spans="1:9" ht="21.75" customHeight="1" x14ac:dyDescent="0.25">
      <c r="A411" s="28"/>
      <c r="B411" s="31"/>
      <c r="C411" s="28"/>
      <c r="D411" s="26" t="str">
        <f>IF(C411="","",IFERROR(VLOOKUP(C411,Productos!$A$5:$I$504,2,FALSE()),"Revisar código"))</f>
        <v/>
      </c>
      <c r="E411" s="29"/>
      <c r="F411" s="28"/>
      <c r="G411" s="28"/>
      <c r="H411" s="28"/>
      <c r="I411" s="28"/>
    </row>
    <row r="412" spans="1:9" ht="21.75" customHeight="1" x14ac:dyDescent="0.25">
      <c r="A412" s="28"/>
      <c r="B412" s="31"/>
      <c r="C412" s="28"/>
      <c r="D412" s="26" t="str">
        <f>IF(C412="","",IFERROR(VLOOKUP(C412,Productos!$A$5:$I$504,2,FALSE()),"Revisar código"))</f>
        <v/>
      </c>
      <c r="E412" s="29"/>
      <c r="F412" s="28"/>
      <c r="G412" s="28"/>
      <c r="H412" s="28"/>
      <c r="I412" s="28"/>
    </row>
    <row r="413" spans="1:9" ht="21.75" customHeight="1" x14ac:dyDescent="0.25">
      <c r="A413" s="28"/>
      <c r="B413" s="31"/>
      <c r="C413" s="28"/>
      <c r="D413" s="26" t="str">
        <f>IF(C413="","",IFERROR(VLOOKUP(C413,Productos!$A$5:$I$504,2,FALSE()),"Revisar código"))</f>
        <v/>
      </c>
      <c r="E413" s="29"/>
      <c r="F413" s="28"/>
      <c r="G413" s="28"/>
      <c r="H413" s="28"/>
      <c r="I413" s="28"/>
    </row>
    <row r="414" spans="1:9" ht="21.75" customHeight="1" x14ac:dyDescent="0.25">
      <c r="A414" s="28"/>
      <c r="B414" s="31"/>
      <c r="C414" s="28"/>
      <c r="D414" s="26" t="str">
        <f>IF(C414="","",IFERROR(VLOOKUP(C414,Productos!$A$5:$I$504,2,FALSE()),"Revisar código"))</f>
        <v/>
      </c>
      <c r="E414" s="29"/>
      <c r="F414" s="28"/>
      <c r="G414" s="28"/>
      <c r="H414" s="28"/>
      <c r="I414" s="28"/>
    </row>
    <row r="415" spans="1:9" ht="21.75" customHeight="1" x14ac:dyDescent="0.25">
      <c r="A415" s="28"/>
      <c r="B415" s="31"/>
      <c r="C415" s="28"/>
      <c r="D415" s="26" t="str">
        <f>IF(C415="","",IFERROR(VLOOKUP(C415,Productos!$A$5:$I$504,2,FALSE()),"Revisar código"))</f>
        <v/>
      </c>
      <c r="E415" s="29"/>
      <c r="F415" s="28"/>
      <c r="G415" s="28"/>
      <c r="H415" s="28"/>
      <c r="I415" s="28"/>
    </row>
    <row r="416" spans="1:9" ht="21.75" customHeight="1" x14ac:dyDescent="0.25">
      <c r="A416" s="28"/>
      <c r="B416" s="31"/>
      <c r="C416" s="28"/>
      <c r="D416" s="26" t="str">
        <f>IF(C416="","",IFERROR(VLOOKUP(C416,Productos!$A$5:$I$504,2,FALSE()),"Revisar código"))</f>
        <v/>
      </c>
      <c r="E416" s="29"/>
      <c r="F416" s="28"/>
      <c r="G416" s="28"/>
      <c r="H416" s="28"/>
      <c r="I416" s="28"/>
    </row>
    <row r="417" spans="1:9" ht="21.75" customHeight="1" x14ac:dyDescent="0.25">
      <c r="A417" s="28"/>
      <c r="B417" s="31"/>
      <c r="C417" s="28"/>
      <c r="D417" s="26" t="str">
        <f>IF(C417="","",IFERROR(VLOOKUP(C417,Productos!$A$5:$I$504,2,FALSE()),"Revisar código"))</f>
        <v/>
      </c>
      <c r="E417" s="29"/>
      <c r="F417" s="28"/>
      <c r="G417" s="28"/>
      <c r="H417" s="28"/>
      <c r="I417" s="28"/>
    </row>
    <row r="418" spans="1:9" ht="21.75" customHeight="1" x14ac:dyDescent="0.25">
      <c r="A418" s="28"/>
      <c r="B418" s="31"/>
      <c r="C418" s="28"/>
      <c r="D418" s="26" t="str">
        <f>IF(C418="","",IFERROR(VLOOKUP(C418,Productos!$A$5:$I$504,2,FALSE()),"Revisar código"))</f>
        <v/>
      </c>
      <c r="E418" s="29"/>
      <c r="F418" s="28"/>
      <c r="G418" s="28"/>
      <c r="H418" s="28"/>
      <c r="I418" s="28"/>
    </row>
    <row r="419" spans="1:9" ht="21.75" customHeight="1" x14ac:dyDescent="0.25">
      <c r="A419" s="28"/>
      <c r="B419" s="31"/>
      <c r="C419" s="28"/>
      <c r="D419" s="26" t="str">
        <f>IF(C419="","",IFERROR(VLOOKUP(C419,Productos!$A$5:$I$504,2,FALSE()),"Revisar código"))</f>
        <v/>
      </c>
      <c r="E419" s="29"/>
      <c r="F419" s="28"/>
      <c r="G419" s="28"/>
      <c r="H419" s="28"/>
      <c r="I419" s="28"/>
    </row>
    <row r="420" spans="1:9" ht="21.75" customHeight="1" x14ac:dyDescent="0.25">
      <c r="A420" s="28"/>
      <c r="B420" s="31"/>
      <c r="C420" s="28"/>
      <c r="D420" s="26" t="str">
        <f>IF(C420="","",IFERROR(VLOOKUP(C420,Productos!$A$5:$I$504,2,FALSE()),"Revisar código"))</f>
        <v/>
      </c>
      <c r="E420" s="29"/>
      <c r="F420" s="28"/>
      <c r="G420" s="28"/>
      <c r="H420" s="28"/>
      <c r="I420" s="28"/>
    </row>
    <row r="421" spans="1:9" ht="21.75" customHeight="1" x14ac:dyDescent="0.25">
      <c r="A421" s="28"/>
      <c r="B421" s="31"/>
      <c r="C421" s="28"/>
      <c r="D421" s="26" t="str">
        <f>IF(C421="","",IFERROR(VLOOKUP(C421,Productos!$A$5:$I$504,2,FALSE()),"Revisar código"))</f>
        <v/>
      </c>
      <c r="E421" s="29"/>
      <c r="F421" s="28"/>
      <c r="G421" s="28"/>
      <c r="H421" s="28"/>
      <c r="I421" s="28"/>
    </row>
    <row r="422" spans="1:9" ht="21.75" customHeight="1" x14ac:dyDescent="0.25">
      <c r="A422" s="28"/>
      <c r="B422" s="31"/>
      <c r="C422" s="28"/>
      <c r="D422" s="26" t="str">
        <f>IF(C422="","",IFERROR(VLOOKUP(C422,Productos!$A$5:$I$504,2,FALSE()),"Revisar código"))</f>
        <v/>
      </c>
      <c r="E422" s="29"/>
      <c r="F422" s="28"/>
      <c r="G422" s="28"/>
      <c r="H422" s="28"/>
      <c r="I422" s="28"/>
    </row>
    <row r="423" spans="1:9" ht="21.75" customHeight="1" x14ac:dyDescent="0.25">
      <c r="A423" s="28"/>
      <c r="B423" s="31"/>
      <c r="C423" s="28"/>
      <c r="D423" s="26" t="str">
        <f>IF(C423="","",IFERROR(VLOOKUP(C423,Productos!$A$5:$I$504,2,FALSE()),"Revisar código"))</f>
        <v/>
      </c>
      <c r="E423" s="29"/>
      <c r="F423" s="28"/>
      <c r="G423" s="28"/>
      <c r="H423" s="28"/>
      <c r="I423" s="28"/>
    </row>
    <row r="424" spans="1:9" ht="21.75" customHeight="1" x14ac:dyDescent="0.25">
      <c r="A424" s="28"/>
      <c r="B424" s="31"/>
      <c r="C424" s="28"/>
      <c r="D424" s="26" t="str">
        <f>IF(C424="","",IFERROR(VLOOKUP(C424,Productos!$A$5:$I$504,2,FALSE()),"Revisar código"))</f>
        <v/>
      </c>
      <c r="E424" s="29"/>
      <c r="F424" s="28"/>
      <c r="G424" s="28"/>
      <c r="H424" s="28"/>
      <c r="I424" s="28"/>
    </row>
    <row r="425" spans="1:9" ht="21.75" customHeight="1" x14ac:dyDescent="0.25">
      <c r="A425" s="28"/>
      <c r="B425" s="31"/>
      <c r="C425" s="28"/>
      <c r="D425" s="26" t="str">
        <f>IF(C425="","",IFERROR(VLOOKUP(C425,Productos!$A$5:$I$504,2,FALSE()),"Revisar código"))</f>
        <v/>
      </c>
      <c r="E425" s="29"/>
      <c r="F425" s="28"/>
      <c r="G425" s="28"/>
      <c r="H425" s="28"/>
      <c r="I425" s="28"/>
    </row>
    <row r="426" spans="1:9" ht="21.75" customHeight="1" x14ac:dyDescent="0.25">
      <c r="A426" s="28"/>
      <c r="B426" s="31"/>
      <c r="C426" s="28"/>
      <c r="D426" s="26" t="str">
        <f>IF(C426="","",IFERROR(VLOOKUP(C426,Productos!$A$5:$I$504,2,FALSE()),"Revisar código"))</f>
        <v/>
      </c>
      <c r="E426" s="29"/>
      <c r="F426" s="28"/>
      <c r="G426" s="28"/>
      <c r="H426" s="28"/>
      <c r="I426" s="28"/>
    </row>
    <row r="427" spans="1:9" ht="21.75" customHeight="1" x14ac:dyDescent="0.25">
      <c r="A427" s="28"/>
      <c r="B427" s="31"/>
      <c r="C427" s="28"/>
      <c r="D427" s="26" t="str">
        <f>IF(C427="","",IFERROR(VLOOKUP(C427,Productos!$A$5:$I$504,2,FALSE()),"Revisar código"))</f>
        <v/>
      </c>
      <c r="E427" s="29"/>
      <c r="F427" s="28"/>
      <c r="G427" s="28"/>
      <c r="H427" s="28"/>
      <c r="I427" s="28"/>
    </row>
    <row r="428" spans="1:9" ht="21.75" customHeight="1" x14ac:dyDescent="0.25">
      <c r="A428" s="28"/>
      <c r="B428" s="31"/>
      <c r="C428" s="28"/>
      <c r="D428" s="26" t="str">
        <f>IF(C428="","",IFERROR(VLOOKUP(C428,Productos!$A$5:$I$504,2,FALSE()),"Revisar código"))</f>
        <v/>
      </c>
      <c r="E428" s="29"/>
      <c r="F428" s="28"/>
      <c r="G428" s="28"/>
      <c r="H428" s="28"/>
      <c r="I428" s="28"/>
    </row>
    <row r="429" spans="1:9" ht="21.75" customHeight="1" x14ac:dyDescent="0.25">
      <c r="A429" s="28"/>
      <c r="B429" s="31"/>
      <c r="C429" s="28"/>
      <c r="D429" s="26" t="str">
        <f>IF(C429="","",IFERROR(VLOOKUP(C429,Productos!$A$5:$I$504,2,FALSE()),"Revisar código"))</f>
        <v/>
      </c>
      <c r="E429" s="29"/>
      <c r="F429" s="28"/>
      <c r="G429" s="28"/>
      <c r="H429" s="28"/>
      <c r="I429" s="28"/>
    </row>
    <row r="430" spans="1:9" ht="21.75" customHeight="1" x14ac:dyDescent="0.25">
      <c r="A430" s="28"/>
      <c r="B430" s="31"/>
      <c r="C430" s="28"/>
      <c r="D430" s="26" t="str">
        <f>IF(C430="","",IFERROR(VLOOKUP(C430,Productos!$A$5:$I$504,2,FALSE()),"Revisar código"))</f>
        <v/>
      </c>
      <c r="E430" s="29"/>
      <c r="F430" s="28"/>
      <c r="G430" s="28"/>
      <c r="H430" s="28"/>
      <c r="I430" s="28"/>
    </row>
    <row r="431" spans="1:9" ht="21.75" customHeight="1" x14ac:dyDescent="0.25">
      <c r="A431" s="28"/>
      <c r="B431" s="31"/>
      <c r="C431" s="28"/>
      <c r="D431" s="26" t="str">
        <f>IF(C431="","",IFERROR(VLOOKUP(C431,Productos!$A$5:$I$504,2,FALSE()),"Revisar código"))</f>
        <v/>
      </c>
      <c r="E431" s="29"/>
      <c r="F431" s="28"/>
      <c r="G431" s="28"/>
      <c r="H431" s="28"/>
      <c r="I431" s="28"/>
    </row>
    <row r="432" spans="1:9" ht="21.75" customHeight="1" x14ac:dyDescent="0.25">
      <c r="A432" s="28"/>
      <c r="B432" s="31"/>
      <c r="C432" s="28"/>
      <c r="D432" s="26" t="str">
        <f>IF(C432="","",IFERROR(VLOOKUP(C432,Productos!$A$5:$I$504,2,FALSE()),"Revisar código"))</f>
        <v/>
      </c>
      <c r="E432" s="29"/>
      <c r="F432" s="28"/>
      <c r="G432" s="28"/>
      <c r="H432" s="28"/>
      <c r="I432" s="28"/>
    </row>
    <row r="433" spans="1:9" ht="21.75" customHeight="1" x14ac:dyDescent="0.25">
      <c r="A433" s="28"/>
      <c r="B433" s="31"/>
      <c r="C433" s="28"/>
      <c r="D433" s="26" t="str">
        <f>IF(C433="","",IFERROR(VLOOKUP(C433,Productos!$A$5:$I$504,2,FALSE()),"Revisar código"))</f>
        <v/>
      </c>
      <c r="E433" s="29"/>
      <c r="F433" s="28"/>
      <c r="G433" s="28"/>
      <c r="H433" s="28"/>
      <c r="I433" s="28"/>
    </row>
    <row r="434" spans="1:9" ht="21.75" customHeight="1" x14ac:dyDescent="0.25">
      <c r="A434" s="28"/>
      <c r="B434" s="31"/>
      <c r="C434" s="28"/>
      <c r="D434" s="26" t="str">
        <f>IF(C434="","",IFERROR(VLOOKUP(C434,Productos!$A$5:$I$504,2,FALSE()),"Revisar código"))</f>
        <v/>
      </c>
      <c r="E434" s="29"/>
      <c r="F434" s="28"/>
      <c r="G434" s="28"/>
      <c r="H434" s="28"/>
      <c r="I434" s="28"/>
    </row>
    <row r="435" spans="1:9" ht="21.75" customHeight="1" x14ac:dyDescent="0.25">
      <c r="A435" s="28"/>
      <c r="B435" s="31"/>
      <c r="C435" s="28"/>
      <c r="D435" s="26" t="str">
        <f>IF(C435="","",IFERROR(VLOOKUP(C435,Productos!$A$5:$I$504,2,FALSE()),"Revisar código"))</f>
        <v/>
      </c>
      <c r="E435" s="29"/>
      <c r="F435" s="28"/>
      <c r="G435" s="28"/>
      <c r="H435" s="28"/>
      <c r="I435" s="28"/>
    </row>
    <row r="436" spans="1:9" ht="21.75" customHeight="1" x14ac:dyDescent="0.25">
      <c r="A436" s="28"/>
      <c r="B436" s="31"/>
      <c r="C436" s="28"/>
      <c r="D436" s="26" t="str">
        <f>IF(C436="","",IFERROR(VLOOKUP(C436,Productos!$A$5:$I$504,2,FALSE()),"Revisar código"))</f>
        <v/>
      </c>
      <c r="E436" s="29"/>
      <c r="F436" s="28"/>
      <c r="G436" s="28"/>
      <c r="H436" s="28"/>
      <c r="I436" s="28"/>
    </row>
    <row r="437" spans="1:9" ht="21.75" customHeight="1" x14ac:dyDescent="0.25">
      <c r="A437" s="28"/>
      <c r="B437" s="31"/>
      <c r="C437" s="28"/>
      <c r="D437" s="26" t="str">
        <f>IF(C437="","",IFERROR(VLOOKUP(C437,Productos!$A$5:$I$504,2,FALSE()),"Revisar código"))</f>
        <v/>
      </c>
      <c r="E437" s="29"/>
      <c r="F437" s="28"/>
      <c r="G437" s="28"/>
      <c r="H437" s="28"/>
      <c r="I437" s="28"/>
    </row>
    <row r="438" spans="1:9" ht="21.75" customHeight="1" x14ac:dyDescent="0.25">
      <c r="A438" s="28"/>
      <c r="B438" s="31"/>
      <c r="C438" s="28"/>
      <c r="D438" s="26" t="str">
        <f>IF(C438="","",IFERROR(VLOOKUP(C438,Productos!$A$5:$I$504,2,FALSE()),"Revisar código"))</f>
        <v/>
      </c>
      <c r="E438" s="29"/>
      <c r="F438" s="28"/>
      <c r="G438" s="28"/>
      <c r="H438" s="28"/>
      <c r="I438" s="28"/>
    </row>
    <row r="439" spans="1:9" ht="21.75" customHeight="1" x14ac:dyDescent="0.25">
      <c r="A439" s="28"/>
      <c r="B439" s="31"/>
      <c r="C439" s="28"/>
      <c r="D439" s="26" t="str">
        <f>IF(C439="","",IFERROR(VLOOKUP(C439,Productos!$A$5:$I$504,2,FALSE()),"Revisar código"))</f>
        <v/>
      </c>
      <c r="E439" s="29"/>
      <c r="F439" s="28"/>
      <c r="G439" s="28"/>
      <c r="H439" s="28"/>
      <c r="I439" s="28"/>
    </row>
    <row r="440" spans="1:9" ht="21.75" customHeight="1" x14ac:dyDescent="0.25">
      <c r="A440" s="28"/>
      <c r="B440" s="31"/>
      <c r="C440" s="28"/>
      <c r="D440" s="26" t="str">
        <f>IF(C440="","",IFERROR(VLOOKUP(C440,Productos!$A$5:$I$504,2,FALSE()),"Revisar código"))</f>
        <v/>
      </c>
      <c r="E440" s="29"/>
      <c r="F440" s="28"/>
      <c r="G440" s="28"/>
      <c r="H440" s="28"/>
      <c r="I440" s="28"/>
    </row>
    <row r="441" spans="1:9" ht="21.75" customHeight="1" x14ac:dyDescent="0.25">
      <c r="A441" s="28"/>
      <c r="B441" s="31"/>
      <c r="C441" s="28"/>
      <c r="D441" s="26" t="str">
        <f>IF(C441="","",IFERROR(VLOOKUP(C441,Productos!$A$5:$I$504,2,FALSE()),"Revisar código"))</f>
        <v/>
      </c>
      <c r="E441" s="29"/>
      <c r="F441" s="28"/>
      <c r="G441" s="28"/>
      <c r="H441" s="28"/>
      <c r="I441" s="28"/>
    </row>
    <row r="442" spans="1:9" ht="21.75" customHeight="1" x14ac:dyDescent="0.25">
      <c r="A442" s="28"/>
      <c r="B442" s="31"/>
      <c r="C442" s="28"/>
      <c r="D442" s="26" t="str">
        <f>IF(C442="","",IFERROR(VLOOKUP(C442,Productos!$A$5:$I$504,2,FALSE()),"Revisar código"))</f>
        <v/>
      </c>
      <c r="E442" s="29"/>
      <c r="F442" s="28"/>
      <c r="G442" s="28"/>
      <c r="H442" s="28"/>
      <c r="I442" s="28"/>
    </row>
    <row r="443" spans="1:9" ht="21.75" customHeight="1" x14ac:dyDescent="0.25">
      <c r="A443" s="28"/>
      <c r="B443" s="31"/>
      <c r="C443" s="28"/>
      <c r="D443" s="26" t="str">
        <f>IF(C443="","",IFERROR(VLOOKUP(C443,Productos!$A$5:$I$504,2,FALSE()),"Revisar código"))</f>
        <v/>
      </c>
      <c r="E443" s="29"/>
      <c r="F443" s="28"/>
      <c r="G443" s="28"/>
      <c r="H443" s="28"/>
      <c r="I443" s="28"/>
    </row>
    <row r="444" spans="1:9" ht="21.75" customHeight="1" x14ac:dyDescent="0.25">
      <c r="A444" s="28"/>
      <c r="B444" s="31"/>
      <c r="C444" s="28"/>
      <c r="D444" s="26" t="str">
        <f>IF(C444="","",IFERROR(VLOOKUP(C444,Productos!$A$5:$I$504,2,FALSE()),"Revisar código"))</f>
        <v/>
      </c>
      <c r="E444" s="29"/>
      <c r="F444" s="28"/>
      <c r="G444" s="28"/>
      <c r="H444" s="28"/>
      <c r="I444" s="28"/>
    </row>
    <row r="445" spans="1:9" ht="21.75" customHeight="1" x14ac:dyDescent="0.25">
      <c r="A445" s="28"/>
      <c r="B445" s="31"/>
      <c r="C445" s="28"/>
      <c r="D445" s="26" t="str">
        <f>IF(C445="","",IFERROR(VLOOKUP(C445,Productos!$A$5:$I$504,2,FALSE()),"Revisar código"))</f>
        <v/>
      </c>
      <c r="E445" s="29"/>
      <c r="F445" s="28"/>
      <c r="G445" s="28"/>
      <c r="H445" s="28"/>
      <c r="I445" s="28"/>
    </row>
    <row r="446" spans="1:9" ht="21.75" customHeight="1" x14ac:dyDescent="0.25">
      <c r="A446" s="28"/>
      <c r="B446" s="31"/>
      <c r="C446" s="28"/>
      <c r="D446" s="26" t="str">
        <f>IF(C446="","",IFERROR(VLOOKUP(C446,Productos!$A$5:$I$504,2,FALSE()),"Revisar código"))</f>
        <v/>
      </c>
      <c r="E446" s="29"/>
      <c r="F446" s="28"/>
      <c r="G446" s="28"/>
      <c r="H446" s="28"/>
      <c r="I446" s="28"/>
    </row>
    <row r="447" spans="1:9" ht="21.75" customHeight="1" x14ac:dyDescent="0.25">
      <c r="A447" s="28"/>
      <c r="B447" s="31"/>
      <c r="C447" s="28"/>
      <c r="D447" s="26" t="str">
        <f>IF(C447="","",IFERROR(VLOOKUP(C447,Productos!$A$5:$I$504,2,FALSE()),"Revisar código"))</f>
        <v/>
      </c>
      <c r="E447" s="29"/>
      <c r="F447" s="28"/>
      <c r="G447" s="28"/>
      <c r="H447" s="28"/>
      <c r="I447" s="28"/>
    </row>
    <row r="448" spans="1:9" ht="21.75" customHeight="1" x14ac:dyDescent="0.25">
      <c r="A448" s="28"/>
      <c r="B448" s="31"/>
      <c r="C448" s="28"/>
      <c r="D448" s="26" t="str">
        <f>IF(C448="","",IFERROR(VLOOKUP(C448,Productos!$A$5:$I$504,2,FALSE()),"Revisar código"))</f>
        <v/>
      </c>
      <c r="E448" s="29"/>
      <c r="F448" s="28"/>
      <c r="G448" s="28"/>
      <c r="H448" s="28"/>
      <c r="I448" s="28"/>
    </row>
    <row r="449" spans="1:9" ht="21.75" customHeight="1" x14ac:dyDescent="0.25">
      <c r="A449" s="28"/>
      <c r="B449" s="31"/>
      <c r="C449" s="28"/>
      <c r="D449" s="26" t="str">
        <f>IF(C449="","",IFERROR(VLOOKUP(C449,Productos!$A$5:$I$504,2,FALSE()),"Revisar código"))</f>
        <v/>
      </c>
      <c r="E449" s="29"/>
      <c r="F449" s="28"/>
      <c r="G449" s="28"/>
      <c r="H449" s="28"/>
      <c r="I449" s="28"/>
    </row>
    <row r="450" spans="1:9" ht="21.75" customHeight="1" x14ac:dyDescent="0.25">
      <c r="A450" s="28"/>
      <c r="B450" s="31"/>
      <c r="C450" s="28"/>
      <c r="D450" s="26" t="str">
        <f>IF(C450="","",IFERROR(VLOOKUP(C450,Productos!$A$5:$I$504,2,FALSE()),"Revisar código"))</f>
        <v/>
      </c>
      <c r="E450" s="29"/>
      <c r="F450" s="28"/>
      <c r="G450" s="28"/>
      <c r="H450" s="28"/>
      <c r="I450" s="28"/>
    </row>
    <row r="451" spans="1:9" ht="21.75" customHeight="1" x14ac:dyDescent="0.25">
      <c r="A451" s="28"/>
      <c r="B451" s="31"/>
      <c r="C451" s="28"/>
      <c r="D451" s="26" t="str">
        <f>IF(C451="","",IFERROR(VLOOKUP(C451,Productos!$A$5:$I$504,2,FALSE()),"Revisar código"))</f>
        <v/>
      </c>
      <c r="E451" s="29"/>
      <c r="F451" s="28"/>
      <c r="G451" s="28"/>
      <c r="H451" s="28"/>
      <c r="I451" s="28"/>
    </row>
    <row r="452" spans="1:9" ht="21.75" customHeight="1" x14ac:dyDescent="0.25">
      <c r="A452" s="28"/>
      <c r="B452" s="31"/>
      <c r="C452" s="28"/>
      <c r="D452" s="26" t="str">
        <f>IF(C452="","",IFERROR(VLOOKUP(C452,Productos!$A$5:$I$504,2,FALSE()),"Revisar código"))</f>
        <v/>
      </c>
      <c r="E452" s="29"/>
      <c r="F452" s="28"/>
      <c r="G452" s="28"/>
      <c r="H452" s="28"/>
      <c r="I452" s="28"/>
    </row>
    <row r="453" spans="1:9" ht="21.75" customHeight="1" x14ac:dyDescent="0.25">
      <c r="A453" s="28"/>
      <c r="B453" s="31"/>
      <c r="C453" s="28"/>
      <c r="D453" s="26" t="str">
        <f>IF(C453="","",IFERROR(VLOOKUP(C453,Productos!$A$5:$I$504,2,FALSE()),"Revisar código"))</f>
        <v/>
      </c>
      <c r="E453" s="29"/>
      <c r="F453" s="28"/>
      <c r="G453" s="28"/>
      <c r="H453" s="28"/>
      <c r="I453" s="28"/>
    </row>
    <row r="454" spans="1:9" ht="21.75" customHeight="1" x14ac:dyDescent="0.25">
      <c r="A454" s="28"/>
      <c r="B454" s="31"/>
      <c r="C454" s="28"/>
      <c r="D454" s="26" t="str">
        <f>IF(C454="","",IFERROR(VLOOKUP(C454,Productos!$A$5:$I$504,2,FALSE()),"Revisar código"))</f>
        <v/>
      </c>
      <c r="E454" s="29"/>
      <c r="F454" s="28"/>
      <c r="G454" s="28"/>
      <c r="H454" s="28"/>
      <c r="I454" s="28"/>
    </row>
    <row r="455" spans="1:9" ht="21.75" customHeight="1" x14ac:dyDescent="0.25">
      <c r="A455" s="28"/>
      <c r="B455" s="31"/>
      <c r="C455" s="28"/>
      <c r="D455" s="26" t="str">
        <f>IF(C455="","",IFERROR(VLOOKUP(C455,Productos!$A$5:$I$504,2,FALSE()),"Revisar código"))</f>
        <v/>
      </c>
      <c r="E455" s="29"/>
      <c r="F455" s="28"/>
      <c r="G455" s="28"/>
      <c r="H455" s="28"/>
      <c r="I455" s="28"/>
    </row>
    <row r="456" spans="1:9" ht="21.75" customHeight="1" x14ac:dyDescent="0.25">
      <c r="A456" s="28"/>
      <c r="B456" s="31"/>
      <c r="C456" s="28"/>
      <c r="D456" s="26" t="str">
        <f>IF(C456="","",IFERROR(VLOOKUP(C456,Productos!$A$5:$I$504,2,FALSE()),"Revisar código"))</f>
        <v/>
      </c>
      <c r="E456" s="29"/>
      <c r="F456" s="28"/>
      <c r="G456" s="28"/>
      <c r="H456" s="28"/>
      <c r="I456" s="28"/>
    </row>
    <row r="457" spans="1:9" ht="21.75" customHeight="1" x14ac:dyDescent="0.25">
      <c r="A457" s="28"/>
      <c r="B457" s="31"/>
      <c r="C457" s="28"/>
      <c r="D457" s="26" t="str">
        <f>IF(C457="","",IFERROR(VLOOKUP(C457,Productos!$A$5:$I$504,2,FALSE()),"Revisar código"))</f>
        <v/>
      </c>
      <c r="E457" s="29"/>
      <c r="F457" s="28"/>
      <c r="G457" s="28"/>
      <c r="H457" s="28"/>
      <c r="I457" s="28"/>
    </row>
    <row r="458" spans="1:9" ht="21.75" customHeight="1" x14ac:dyDescent="0.25">
      <c r="A458" s="28"/>
      <c r="B458" s="31"/>
      <c r="C458" s="28"/>
      <c r="D458" s="26" t="str">
        <f>IF(C458="","",IFERROR(VLOOKUP(C458,Productos!$A$5:$I$504,2,FALSE()),"Revisar código"))</f>
        <v/>
      </c>
      <c r="E458" s="29"/>
      <c r="F458" s="28"/>
      <c r="G458" s="28"/>
      <c r="H458" s="28"/>
      <c r="I458" s="28"/>
    </row>
    <row r="459" spans="1:9" ht="21.75" customHeight="1" x14ac:dyDescent="0.25">
      <c r="A459" s="28"/>
      <c r="B459" s="31"/>
      <c r="C459" s="28"/>
      <c r="D459" s="26" t="str">
        <f>IF(C459="","",IFERROR(VLOOKUP(C459,Productos!$A$5:$I$504,2,FALSE()),"Revisar código"))</f>
        <v/>
      </c>
      <c r="E459" s="29"/>
      <c r="F459" s="28"/>
      <c r="G459" s="28"/>
      <c r="H459" s="28"/>
      <c r="I459" s="28"/>
    </row>
    <row r="460" spans="1:9" ht="21.75" customHeight="1" x14ac:dyDescent="0.25">
      <c r="A460" s="28"/>
      <c r="B460" s="31"/>
      <c r="C460" s="28"/>
      <c r="D460" s="26" t="str">
        <f>IF(C460="","",IFERROR(VLOOKUP(C460,Productos!$A$5:$I$504,2,FALSE()),"Revisar código"))</f>
        <v/>
      </c>
      <c r="E460" s="29"/>
      <c r="F460" s="28"/>
      <c r="G460" s="28"/>
      <c r="H460" s="28"/>
      <c r="I460" s="28"/>
    </row>
    <row r="461" spans="1:9" ht="21.75" customHeight="1" x14ac:dyDescent="0.25">
      <c r="A461" s="28"/>
      <c r="B461" s="31"/>
      <c r="C461" s="28"/>
      <c r="D461" s="26" t="str">
        <f>IF(C461="","",IFERROR(VLOOKUP(C461,Productos!$A$5:$I$504,2,FALSE()),"Revisar código"))</f>
        <v/>
      </c>
      <c r="E461" s="29"/>
      <c r="F461" s="28"/>
      <c r="G461" s="28"/>
      <c r="H461" s="28"/>
      <c r="I461" s="28"/>
    </row>
    <row r="462" spans="1:9" ht="21.75" customHeight="1" x14ac:dyDescent="0.25">
      <c r="A462" s="28"/>
      <c r="B462" s="31"/>
      <c r="C462" s="28"/>
      <c r="D462" s="26" t="str">
        <f>IF(C462="","",IFERROR(VLOOKUP(C462,Productos!$A$5:$I$504,2,FALSE()),"Revisar código"))</f>
        <v/>
      </c>
      <c r="E462" s="29"/>
      <c r="F462" s="28"/>
      <c r="G462" s="28"/>
      <c r="H462" s="28"/>
      <c r="I462" s="28"/>
    </row>
    <row r="463" spans="1:9" ht="21.75" customHeight="1" x14ac:dyDescent="0.25">
      <c r="A463" s="28"/>
      <c r="B463" s="31"/>
      <c r="C463" s="28"/>
      <c r="D463" s="26" t="str">
        <f>IF(C463="","",IFERROR(VLOOKUP(C463,Productos!$A$5:$I$504,2,FALSE()),"Revisar código"))</f>
        <v/>
      </c>
      <c r="E463" s="29"/>
      <c r="F463" s="28"/>
      <c r="G463" s="28"/>
      <c r="H463" s="28"/>
      <c r="I463" s="28"/>
    </row>
    <row r="464" spans="1:9" ht="21.75" customHeight="1" x14ac:dyDescent="0.25">
      <c r="A464" s="28"/>
      <c r="B464" s="31"/>
      <c r="C464" s="28"/>
      <c r="D464" s="26" t="str">
        <f>IF(C464="","",IFERROR(VLOOKUP(C464,Productos!$A$5:$I$504,2,FALSE()),"Revisar código"))</f>
        <v/>
      </c>
      <c r="E464" s="29"/>
      <c r="F464" s="28"/>
      <c r="G464" s="28"/>
      <c r="H464" s="28"/>
      <c r="I464" s="28"/>
    </row>
    <row r="465" spans="1:9" ht="21.75" customHeight="1" x14ac:dyDescent="0.25">
      <c r="A465" s="28"/>
      <c r="B465" s="31"/>
      <c r="C465" s="28"/>
      <c r="D465" s="26" t="str">
        <f>IF(C465="","",IFERROR(VLOOKUP(C465,Productos!$A$5:$I$504,2,FALSE()),"Revisar código"))</f>
        <v/>
      </c>
      <c r="E465" s="29"/>
      <c r="F465" s="28"/>
      <c r="G465" s="28"/>
      <c r="H465" s="28"/>
      <c r="I465" s="28"/>
    </row>
    <row r="466" spans="1:9" ht="21.75" customHeight="1" x14ac:dyDescent="0.25">
      <c r="A466" s="28"/>
      <c r="B466" s="31"/>
      <c r="C466" s="28"/>
      <c r="D466" s="26" t="str">
        <f>IF(C466="","",IFERROR(VLOOKUP(C466,Productos!$A$5:$I$504,2,FALSE()),"Revisar código"))</f>
        <v/>
      </c>
      <c r="E466" s="29"/>
      <c r="F466" s="28"/>
      <c r="G466" s="28"/>
      <c r="H466" s="28"/>
      <c r="I466" s="28"/>
    </row>
    <row r="467" spans="1:9" ht="21.75" customHeight="1" x14ac:dyDescent="0.25">
      <c r="A467" s="28"/>
      <c r="B467" s="31"/>
      <c r="C467" s="28"/>
      <c r="D467" s="26" t="str">
        <f>IF(C467="","",IFERROR(VLOOKUP(C467,Productos!$A$5:$I$504,2,FALSE()),"Revisar código"))</f>
        <v/>
      </c>
      <c r="E467" s="29"/>
      <c r="F467" s="28"/>
      <c r="G467" s="28"/>
      <c r="H467" s="28"/>
      <c r="I467" s="28"/>
    </row>
    <row r="468" spans="1:9" ht="21.75" customHeight="1" x14ac:dyDescent="0.25">
      <c r="A468" s="28"/>
      <c r="B468" s="31"/>
      <c r="C468" s="28"/>
      <c r="D468" s="26" t="str">
        <f>IF(C468="","",IFERROR(VLOOKUP(C468,Productos!$A$5:$I$504,2,FALSE()),"Revisar código"))</f>
        <v/>
      </c>
      <c r="E468" s="29"/>
      <c r="F468" s="28"/>
      <c r="G468" s="28"/>
      <c r="H468" s="28"/>
      <c r="I468" s="28"/>
    </row>
    <row r="469" spans="1:9" ht="21.75" customHeight="1" x14ac:dyDescent="0.25">
      <c r="A469" s="28"/>
      <c r="B469" s="31"/>
      <c r="C469" s="28"/>
      <c r="D469" s="26" t="str">
        <f>IF(C469="","",IFERROR(VLOOKUP(C469,Productos!$A$5:$I$504,2,FALSE()),"Revisar código"))</f>
        <v/>
      </c>
      <c r="E469" s="29"/>
      <c r="F469" s="28"/>
      <c r="G469" s="28"/>
      <c r="H469" s="28"/>
      <c r="I469" s="28"/>
    </row>
    <row r="470" spans="1:9" ht="21.75" customHeight="1" x14ac:dyDescent="0.25">
      <c r="A470" s="28"/>
      <c r="B470" s="31"/>
      <c r="C470" s="28"/>
      <c r="D470" s="26" t="str">
        <f>IF(C470="","",IFERROR(VLOOKUP(C470,Productos!$A$5:$I$504,2,FALSE()),"Revisar código"))</f>
        <v/>
      </c>
      <c r="E470" s="29"/>
      <c r="F470" s="28"/>
      <c r="G470" s="28"/>
      <c r="H470" s="28"/>
      <c r="I470" s="28"/>
    </row>
    <row r="471" spans="1:9" ht="21.75" customHeight="1" x14ac:dyDescent="0.25">
      <c r="A471" s="28"/>
      <c r="B471" s="31"/>
      <c r="C471" s="28"/>
      <c r="D471" s="26" t="str">
        <f>IF(C471="","",IFERROR(VLOOKUP(C471,Productos!$A$5:$I$504,2,FALSE()),"Revisar código"))</f>
        <v/>
      </c>
      <c r="E471" s="29"/>
      <c r="F471" s="28"/>
      <c r="G471" s="28"/>
      <c r="H471" s="28"/>
      <c r="I471" s="28"/>
    </row>
    <row r="472" spans="1:9" ht="21.75" customHeight="1" x14ac:dyDescent="0.25">
      <c r="A472" s="28"/>
      <c r="B472" s="31"/>
      <c r="C472" s="28"/>
      <c r="D472" s="26" t="str">
        <f>IF(C472="","",IFERROR(VLOOKUP(C472,Productos!$A$5:$I$504,2,FALSE()),"Revisar código"))</f>
        <v/>
      </c>
      <c r="E472" s="29"/>
      <c r="F472" s="28"/>
      <c r="G472" s="28"/>
      <c r="H472" s="28"/>
      <c r="I472" s="28"/>
    </row>
    <row r="473" spans="1:9" ht="21.75" customHeight="1" x14ac:dyDescent="0.25">
      <c r="A473" s="28"/>
      <c r="B473" s="31"/>
      <c r="C473" s="28"/>
      <c r="D473" s="26" t="str">
        <f>IF(C473="","",IFERROR(VLOOKUP(C473,Productos!$A$5:$I$504,2,FALSE()),"Revisar código"))</f>
        <v/>
      </c>
      <c r="E473" s="29"/>
      <c r="F473" s="28"/>
      <c r="G473" s="28"/>
      <c r="H473" s="28"/>
      <c r="I473" s="28"/>
    </row>
    <row r="474" spans="1:9" ht="21.75" customHeight="1" x14ac:dyDescent="0.25">
      <c r="A474" s="28"/>
      <c r="B474" s="31"/>
      <c r="C474" s="28"/>
      <c r="D474" s="26" t="str">
        <f>IF(C474="","",IFERROR(VLOOKUP(C474,Productos!$A$5:$I$504,2,FALSE()),"Revisar código"))</f>
        <v/>
      </c>
      <c r="E474" s="29"/>
      <c r="F474" s="28"/>
      <c r="G474" s="28"/>
      <c r="H474" s="28"/>
      <c r="I474" s="28"/>
    </row>
    <row r="475" spans="1:9" ht="21.75" customHeight="1" x14ac:dyDescent="0.25">
      <c r="A475" s="28"/>
      <c r="B475" s="31"/>
      <c r="C475" s="28"/>
      <c r="D475" s="26" t="str">
        <f>IF(C475="","",IFERROR(VLOOKUP(C475,Productos!$A$5:$I$504,2,FALSE()),"Revisar código"))</f>
        <v/>
      </c>
      <c r="E475" s="29"/>
      <c r="F475" s="28"/>
      <c r="G475" s="28"/>
      <c r="H475" s="28"/>
      <c r="I475" s="28"/>
    </row>
    <row r="476" spans="1:9" ht="21.75" customHeight="1" x14ac:dyDescent="0.25">
      <c r="A476" s="28"/>
      <c r="B476" s="31"/>
      <c r="C476" s="28"/>
      <c r="D476" s="26" t="str">
        <f>IF(C476="","",IFERROR(VLOOKUP(C476,Productos!$A$5:$I$504,2,FALSE()),"Revisar código"))</f>
        <v/>
      </c>
      <c r="E476" s="29"/>
      <c r="F476" s="28"/>
      <c r="G476" s="28"/>
      <c r="H476" s="28"/>
      <c r="I476" s="28"/>
    </row>
    <row r="477" spans="1:9" ht="21.75" customHeight="1" x14ac:dyDescent="0.25">
      <c r="A477" s="28"/>
      <c r="B477" s="31"/>
      <c r="C477" s="28"/>
      <c r="D477" s="26" t="str">
        <f>IF(C477="","",IFERROR(VLOOKUP(C477,Productos!$A$5:$I$504,2,FALSE()),"Revisar código"))</f>
        <v/>
      </c>
      <c r="E477" s="29"/>
      <c r="F477" s="28"/>
      <c r="G477" s="28"/>
      <c r="H477" s="28"/>
      <c r="I477" s="28"/>
    </row>
    <row r="478" spans="1:9" ht="21.75" customHeight="1" x14ac:dyDescent="0.25">
      <c r="A478" s="28"/>
      <c r="B478" s="31"/>
      <c r="C478" s="28"/>
      <c r="D478" s="26" t="str">
        <f>IF(C478="","",IFERROR(VLOOKUP(C478,Productos!$A$5:$I$504,2,FALSE()),"Revisar código"))</f>
        <v/>
      </c>
      <c r="E478" s="29"/>
      <c r="F478" s="28"/>
      <c r="G478" s="28"/>
      <c r="H478" s="28"/>
      <c r="I478" s="28"/>
    </row>
    <row r="479" spans="1:9" ht="21.75" customHeight="1" x14ac:dyDescent="0.25">
      <c r="A479" s="28"/>
      <c r="B479" s="31"/>
      <c r="C479" s="28"/>
      <c r="D479" s="26" t="str">
        <f>IF(C479="","",IFERROR(VLOOKUP(C479,Productos!$A$5:$I$504,2,FALSE()),"Revisar código"))</f>
        <v/>
      </c>
      <c r="E479" s="29"/>
      <c r="F479" s="28"/>
      <c r="G479" s="28"/>
      <c r="H479" s="28"/>
      <c r="I479" s="28"/>
    </row>
    <row r="480" spans="1:9" ht="21.75" customHeight="1" x14ac:dyDescent="0.25">
      <c r="A480" s="28"/>
      <c r="B480" s="31"/>
      <c r="C480" s="28"/>
      <c r="D480" s="26" t="str">
        <f>IF(C480="","",IFERROR(VLOOKUP(C480,Productos!$A$5:$I$504,2,FALSE()),"Revisar código"))</f>
        <v/>
      </c>
      <c r="E480" s="29"/>
      <c r="F480" s="28"/>
      <c r="G480" s="28"/>
      <c r="H480" s="28"/>
      <c r="I480" s="28"/>
    </row>
    <row r="481" spans="1:9" ht="21.75" customHeight="1" x14ac:dyDescent="0.25">
      <c r="A481" s="28"/>
      <c r="B481" s="31"/>
      <c r="C481" s="28"/>
      <c r="D481" s="26" t="str">
        <f>IF(C481="","",IFERROR(VLOOKUP(C481,Productos!$A$5:$I$504,2,FALSE()),"Revisar código"))</f>
        <v/>
      </c>
      <c r="E481" s="29"/>
      <c r="F481" s="28"/>
      <c r="G481" s="28"/>
      <c r="H481" s="28"/>
      <c r="I481" s="28"/>
    </row>
    <row r="482" spans="1:9" ht="21.75" customHeight="1" x14ac:dyDescent="0.25">
      <c r="A482" s="28"/>
      <c r="B482" s="31"/>
      <c r="C482" s="28"/>
      <c r="D482" s="26" t="str">
        <f>IF(C482="","",IFERROR(VLOOKUP(C482,Productos!$A$5:$I$504,2,FALSE()),"Revisar código"))</f>
        <v/>
      </c>
      <c r="E482" s="29"/>
      <c r="F482" s="28"/>
      <c r="G482" s="28"/>
      <c r="H482" s="28"/>
      <c r="I482" s="28"/>
    </row>
    <row r="483" spans="1:9" ht="21.75" customHeight="1" x14ac:dyDescent="0.25">
      <c r="A483" s="28"/>
      <c r="B483" s="31"/>
      <c r="C483" s="28"/>
      <c r="D483" s="26" t="str">
        <f>IF(C483="","",IFERROR(VLOOKUP(C483,Productos!$A$5:$I$504,2,FALSE()),"Revisar código"))</f>
        <v/>
      </c>
      <c r="E483" s="29"/>
      <c r="F483" s="28"/>
      <c r="G483" s="28"/>
      <c r="H483" s="28"/>
      <c r="I483" s="28"/>
    </row>
    <row r="484" spans="1:9" ht="21.75" customHeight="1" x14ac:dyDescent="0.25">
      <c r="A484" s="28"/>
      <c r="B484" s="31"/>
      <c r="C484" s="28"/>
      <c r="D484" s="26" t="str">
        <f>IF(C484="","",IFERROR(VLOOKUP(C484,Productos!$A$5:$I$504,2,FALSE()),"Revisar código"))</f>
        <v/>
      </c>
      <c r="E484" s="29"/>
      <c r="F484" s="28"/>
      <c r="G484" s="28"/>
      <c r="H484" s="28"/>
      <c r="I484" s="28"/>
    </row>
    <row r="485" spans="1:9" ht="21.75" customHeight="1" x14ac:dyDescent="0.25">
      <c r="A485" s="28"/>
      <c r="B485" s="31"/>
      <c r="C485" s="28"/>
      <c r="D485" s="26" t="str">
        <f>IF(C485="","",IFERROR(VLOOKUP(C485,Productos!$A$5:$I$504,2,FALSE()),"Revisar código"))</f>
        <v/>
      </c>
      <c r="E485" s="29"/>
      <c r="F485" s="28"/>
      <c r="G485" s="28"/>
      <c r="H485" s="28"/>
      <c r="I485" s="28"/>
    </row>
    <row r="486" spans="1:9" ht="21.75" customHeight="1" x14ac:dyDescent="0.25">
      <c r="A486" s="28"/>
      <c r="B486" s="31"/>
      <c r="C486" s="28"/>
      <c r="D486" s="26" t="str">
        <f>IF(C486="","",IFERROR(VLOOKUP(C486,Productos!$A$5:$I$504,2,FALSE()),"Revisar código"))</f>
        <v/>
      </c>
      <c r="E486" s="29"/>
      <c r="F486" s="28"/>
      <c r="G486" s="28"/>
      <c r="H486" s="28"/>
      <c r="I486" s="28"/>
    </row>
    <row r="487" spans="1:9" ht="21.75" customHeight="1" x14ac:dyDescent="0.25">
      <c r="A487" s="28"/>
      <c r="B487" s="31"/>
      <c r="C487" s="28"/>
      <c r="D487" s="26" t="str">
        <f>IF(C487="","",IFERROR(VLOOKUP(C487,Productos!$A$5:$I$504,2,FALSE()),"Revisar código"))</f>
        <v/>
      </c>
      <c r="E487" s="29"/>
      <c r="F487" s="28"/>
      <c r="G487" s="28"/>
      <c r="H487" s="28"/>
      <c r="I487" s="28"/>
    </row>
    <row r="488" spans="1:9" ht="21.75" customHeight="1" x14ac:dyDescent="0.25">
      <c r="A488" s="28"/>
      <c r="B488" s="31"/>
      <c r="C488" s="28"/>
      <c r="D488" s="26" t="str">
        <f>IF(C488="","",IFERROR(VLOOKUP(C488,Productos!$A$5:$I$504,2,FALSE()),"Revisar código"))</f>
        <v/>
      </c>
      <c r="E488" s="29"/>
      <c r="F488" s="28"/>
      <c r="G488" s="28"/>
      <c r="H488" s="28"/>
      <c r="I488" s="28"/>
    </row>
    <row r="489" spans="1:9" ht="21.75" customHeight="1" x14ac:dyDescent="0.25">
      <c r="A489" s="28"/>
      <c r="B489" s="31"/>
      <c r="C489" s="28"/>
      <c r="D489" s="26" t="str">
        <f>IF(C489="","",IFERROR(VLOOKUP(C489,Productos!$A$5:$I$504,2,FALSE()),"Revisar código"))</f>
        <v/>
      </c>
      <c r="E489" s="29"/>
      <c r="F489" s="28"/>
      <c r="G489" s="28"/>
      <c r="H489" s="28"/>
      <c r="I489" s="28"/>
    </row>
    <row r="490" spans="1:9" ht="21.75" customHeight="1" x14ac:dyDescent="0.25">
      <c r="A490" s="28"/>
      <c r="B490" s="31"/>
      <c r="C490" s="28"/>
      <c r="D490" s="26" t="str">
        <f>IF(C490="","",IFERROR(VLOOKUP(C490,Productos!$A$5:$I$504,2,FALSE()),"Revisar código"))</f>
        <v/>
      </c>
      <c r="E490" s="29"/>
      <c r="F490" s="28"/>
      <c r="G490" s="28"/>
      <c r="H490" s="28"/>
      <c r="I490" s="28"/>
    </row>
    <row r="491" spans="1:9" ht="21.75" customHeight="1" x14ac:dyDescent="0.25">
      <c r="A491" s="28"/>
      <c r="B491" s="31"/>
      <c r="C491" s="28"/>
      <c r="D491" s="26" t="str">
        <f>IF(C491="","",IFERROR(VLOOKUP(C491,Productos!$A$5:$I$504,2,FALSE()),"Revisar código"))</f>
        <v/>
      </c>
      <c r="E491" s="29"/>
      <c r="F491" s="28"/>
      <c r="G491" s="28"/>
      <c r="H491" s="28"/>
      <c r="I491" s="28"/>
    </row>
    <row r="492" spans="1:9" ht="21.75" customHeight="1" x14ac:dyDescent="0.25">
      <c r="A492" s="28"/>
      <c r="B492" s="31"/>
      <c r="C492" s="28"/>
      <c r="D492" s="26" t="str">
        <f>IF(C492="","",IFERROR(VLOOKUP(C492,Productos!$A$5:$I$504,2,FALSE()),"Revisar código"))</f>
        <v/>
      </c>
      <c r="E492" s="29"/>
      <c r="F492" s="28"/>
      <c r="G492" s="28"/>
      <c r="H492" s="28"/>
      <c r="I492" s="28"/>
    </row>
    <row r="493" spans="1:9" ht="21.75" customHeight="1" x14ac:dyDescent="0.25">
      <c r="A493" s="28"/>
      <c r="B493" s="31"/>
      <c r="C493" s="28"/>
      <c r="D493" s="26" t="str">
        <f>IF(C493="","",IFERROR(VLOOKUP(C493,Productos!$A$5:$I$504,2,FALSE()),"Revisar código"))</f>
        <v/>
      </c>
      <c r="E493" s="29"/>
      <c r="F493" s="28"/>
      <c r="G493" s="28"/>
      <c r="H493" s="28"/>
      <c r="I493" s="28"/>
    </row>
    <row r="494" spans="1:9" ht="21.75" customHeight="1" x14ac:dyDescent="0.25">
      <c r="A494" s="28"/>
      <c r="B494" s="31"/>
      <c r="C494" s="28"/>
      <c r="D494" s="26" t="str">
        <f>IF(C494="","",IFERROR(VLOOKUP(C494,Productos!$A$5:$I$504,2,FALSE()),"Revisar código"))</f>
        <v/>
      </c>
      <c r="E494" s="29"/>
      <c r="F494" s="28"/>
      <c r="G494" s="28"/>
      <c r="H494" s="28"/>
      <c r="I494" s="28"/>
    </row>
    <row r="495" spans="1:9" ht="21.75" customHeight="1" x14ac:dyDescent="0.25">
      <c r="A495" s="28"/>
      <c r="B495" s="31"/>
      <c r="C495" s="28"/>
      <c r="D495" s="26" t="str">
        <f>IF(C495="","",IFERROR(VLOOKUP(C495,Productos!$A$5:$I$504,2,FALSE()),"Revisar código"))</f>
        <v/>
      </c>
      <c r="E495" s="29"/>
      <c r="F495" s="28"/>
      <c r="G495" s="28"/>
      <c r="H495" s="28"/>
      <c r="I495" s="28"/>
    </row>
    <row r="496" spans="1:9" ht="21.75" customHeight="1" x14ac:dyDescent="0.25">
      <c r="A496" s="28"/>
      <c r="B496" s="31"/>
      <c r="C496" s="28"/>
      <c r="D496" s="26" t="str">
        <f>IF(C496="","",IFERROR(VLOOKUP(C496,Productos!$A$5:$I$504,2,FALSE()),"Revisar código"))</f>
        <v/>
      </c>
      <c r="E496" s="29"/>
      <c r="F496" s="28"/>
      <c r="G496" s="28"/>
      <c r="H496" s="28"/>
      <c r="I496" s="28"/>
    </row>
    <row r="497" spans="1:9" ht="21.75" customHeight="1" x14ac:dyDescent="0.25">
      <c r="A497" s="28"/>
      <c r="B497" s="31"/>
      <c r="C497" s="28"/>
      <c r="D497" s="26" t="str">
        <f>IF(C497="","",IFERROR(VLOOKUP(C497,Productos!$A$5:$I$504,2,FALSE()),"Revisar código"))</f>
        <v/>
      </c>
      <c r="E497" s="29"/>
      <c r="F497" s="28"/>
      <c r="G497" s="28"/>
      <c r="H497" s="28"/>
      <c r="I497" s="28"/>
    </row>
    <row r="498" spans="1:9" ht="21.75" customHeight="1" x14ac:dyDescent="0.25">
      <c r="A498" s="28"/>
      <c r="B498" s="31"/>
      <c r="C498" s="28"/>
      <c r="D498" s="26" t="str">
        <f>IF(C498="","",IFERROR(VLOOKUP(C498,Productos!$A$5:$I$504,2,FALSE()),"Revisar código"))</f>
        <v/>
      </c>
      <c r="E498" s="29"/>
      <c r="F498" s="28"/>
      <c r="G498" s="28"/>
      <c r="H498" s="28"/>
      <c r="I498" s="28"/>
    </row>
    <row r="499" spans="1:9" ht="21.75" customHeight="1" x14ac:dyDescent="0.25">
      <c r="A499" s="28"/>
      <c r="B499" s="31"/>
      <c r="C499" s="28"/>
      <c r="D499" s="26" t="str">
        <f>IF(C499="","",IFERROR(VLOOKUP(C499,Productos!$A$5:$I$504,2,FALSE()),"Revisar código"))</f>
        <v/>
      </c>
      <c r="E499" s="29"/>
      <c r="F499" s="28"/>
      <c r="G499" s="28"/>
      <c r="H499" s="28"/>
      <c r="I499" s="28"/>
    </row>
    <row r="500" spans="1:9" ht="21.75" customHeight="1" x14ac:dyDescent="0.25">
      <c r="A500" s="28"/>
      <c r="B500" s="31"/>
      <c r="C500" s="28"/>
      <c r="D500" s="26" t="str">
        <f>IF(C500="","",IFERROR(VLOOKUP(C500,Productos!$A$5:$I$504,2,FALSE()),"Revisar código"))</f>
        <v/>
      </c>
      <c r="E500" s="29"/>
      <c r="F500" s="28"/>
      <c r="G500" s="28"/>
      <c r="H500" s="28"/>
      <c r="I500" s="28"/>
    </row>
    <row r="501" spans="1:9" ht="21.75" customHeight="1" x14ac:dyDescent="0.25">
      <c r="A501" s="28"/>
      <c r="B501" s="31"/>
      <c r="C501" s="28"/>
      <c r="D501" s="26" t="str">
        <f>IF(C501="","",IFERROR(VLOOKUP(C501,Productos!$A$5:$I$504,2,FALSE()),"Revisar código"))</f>
        <v/>
      </c>
      <c r="E501" s="29"/>
      <c r="F501" s="28"/>
      <c r="G501" s="28"/>
      <c r="H501" s="28"/>
      <c r="I501" s="28"/>
    </row>
    <row r="502" spans="1:9" ht="21.75" customHeight="1" x14ac:dyDescent="0.25">
      <c r="A502" s="28"/>
      <c r="B502" s="31"/>
      <c r="C502" s="28"/>
      <c r="D502" s="26" t="str">
        <f>IF(C502="","",IFERROR(VLOOKUP(C502,Productos!$A$5:$I$504,2,FALSE()),"Revisar código"))</f>
        <v/>
      </c>
      <c r="E502" s="29"/>
      <c r="F502" s="28"/>
      <c r="G502" s="28"/>
      <c r="H502" s="28"/>
      <c r="I502" s="28"/>
    </row>
    <row r="503" spans="1:9" ht="21.75" customHeight="1" x14ac:dyDescent="0.25">
      <c r="A503" s="28"/>
      <c r="B503" s="31"/>
      <c r="C503" s="28"/>
      <c r="D503" s="26" t="str">
        <f>IF(C503="","",IFERROR(VLOOKUP(C503,Productos!$A$5:$I$504,2,FALSE()),"Revisar código"))</f>
        <v/>
      </c>
      <c r="E503" s="29"/>
      <c r="F503" s="28"/>
      <c r="G503" s="28"/>
      <c r="H503" s="28"/>
      <c r="I503" s="28"/>
    </row>
    <row r="504" spans="1:9" ht="21.75" customHeight="1" x14ac:dyDescent="0.25">
      <c r="A504" s="28"/>
      <c r="B504" s="31"/>
      <c r="C504" s="28"/>
      <c r="D504" s="26" t="str">
        <f>IF(C504="","",IFERROR(VLOOKUP(C504,Productos!$A$5:$I$504,2,FALSE()),"Revisar código"))</f>
        <v/>
      </c>
      <c r="E504" s="29"/>
      <c r="F504" s="28"/>
      <c r="G504" s="28"/>
      <c r="H504" s="28"/>
      <c r="I504" s="28"/>
    </row>
    <row r="505" spans="1:9" ht="21.75" customHeight="1" x14ac:dyDescent="0.25">
      <c r="A505" s="28"/>
      <c r="B505" s="31"/>
      <c r="C505" s="28"/>
      <c r="D505" s="26" t="str">
        <f>IF(C505="","",IFERROR(VLOOKUP(C505,Productos!$A$5:$I$204,2,FALSE()),"Revisar código"))</f>
        <v/>
      </c>
      <c r="E505" s="29"/>
      <c r="F505" s="28"/>
      <c r="G505" s="28"/>
      <c r="H505" s="28"/>
      <c r="I505" s="28"/>
    </row>
    <row r="506" spans="1:9" ht="21.75" customHeight="1" x14ac:dyDescent="0.25">
      <c r="A506" s="28"/>
      <c r="B506" s="31"/>
      <c r="C506" s="28"/>
      <c r="D506" s="26" t="str">
        <f>IF(C506="","",IFERROR(VLOOKUP(C506,Productos!$A$5:$I$204,2,FALSE()),"Revisar código"))</f>
        <v/>
      </c>
      <c r="E506" s="29"/>
      <c r="F506" s="28"/>
      <c r="G506" s="28"/>
      <c r="H506" s="28"/>
      <c r="I506" s="28"/>
    </row>
    <row r="507" spans="1:9" ht="21.75" customHeight="1" x14ac:dyDescent="0.25">
      <c r="A507" s="28"/>
      <c r="B507" s="31"/>
      <c r="C507" s="28"/>
      <c r="D507" s="26" t="str">
        <f>IF(C507="","",IFERROR(VLOOKUP(C507,Productos!$A$5:$I$204,2,FALSE()),"Revisar código"))</f>
        <v/>
      </c>
      <c r="E507" s="29"/>
      <c r="F507" s="28"/>
      <c r="G507" s="28"/>
      <c r="H507" s="28"/>
      <c r="I507" s="28"/>
    </row>
    <row r="508" spans="1:9" ht="21.75" customHeight="1" x14ac:dyDescent="0.25">
      <c r="A508" s="28"/>
      <c r="B508" s="31"/>
      <c r="C508" s="28"/>
      <c r="D508" s="26" t="str">
        <f>IF(C508="","",IFERROR(VLOOKUP(C508,Productos!$A$5:$I$204,2,FALSE()),"Revisar código"))</f>
        <v/>
      </c>
      <c r="E508" s="29"/>
      <c r="F508" s="28"/>
      <c r="G508" s="28"/>
      <c r="H508" s="28"/>
      <c r="I508" s="28"/>
    </row>
    <row r="509" spans="1:9" ht="21.75" customHeight="1" x14ac:dyDescent="0.25">
      <c r="A509" s="28"/>
      <c r="B509" s="31"/>
      <c r="C509" s="28"/>
      <c r="D509" s="26" t="str">
        <f>IF(C509="","",IFERROR(VLOOKUP(C509,Productos!$A$5:$I$204,2,FALSE()),"Revisar código"))</f>
        <v/>
      </c>
      <c r="E509" s="29"/>
      <c r="F509" s="28"/>
      <c r="G509" s="28"/>
      <c r="H509" s="28"/>
      <c r="I509" s="28"/>
    </row>
    <row r="510" spans="1:9" ht="21.75" customHeight="1" x14ac:dyDescent="0.25">
      <c r="A510" s="28"/>
      <c r="B510" s="31"/>
      <c r="C510" s="28"/>
      <c r="D510" s="26" t="str">
        <f>IF(C510="","",IFERROR(VLOOKUP(C510,Productos!$A$5:$I$204,2,FALSE()),"Revisar código"))</f>
        <v/>
      </c>
      <c r="E510" s="29"/>
      <c r="F510" s="28"/>
      <c r="G510" s="28"/>
      <c r="H510" s="28"/>
      <c r="I510" s="28"/>
    </row>
    <row r="511" spans="1:9" ht="21.75" customHeight="1" x14ac:dyDescent="0.25">
      <c r="A511" s="28"/>
      <c r="B511" s="31"/>
      <c r="C511" s="28"/>
      <c r="D511" s="26" t="str">
        <f>IF(C511="","",IFERROR(VLOOKUP(C511,Productos!$A$5:$I$204,2,FALSE()),"Revisar código"))</f>
        <v/>
      </c>
      <c r="E511" s="29"/>
      <c r="F511" s="28"/>
      <c r="G511" s="28"/>
      <c r="H511" s="28"/>
      <c r="I511" s="28"/>
    </row>
    <row r="512" spans="1:9" ht="21.75" customHeight="1" x14ac:dyDescent="0.25">
      <c r="A512" s="28"/>
      <c r="B512" s="31"/>
      <c r="C512" s="28"/>
      <c r="D512" s="26" t="str">
        <f>IF(C512="","",IFERROR(VLOOKUP(C512,Productos!$A$5:$I$204,2,FALSE()),"Revisar código"))</f>
        <v/>
      </c>
      <c r="E512" s="29"/>
      <c r="F512" s="28"/>
      <c r="G512" s="28"/>
      <c r="H512" s="28"/>
      <c r="I512" s="28"/>
    </row>
    <row r="513" spans="1:9" ht="21.75" customHeight="1" x14ac:dyDescent="0.25">
      <c r="A513" s="28"/>
      <c r="B513" s="31"/>
      <c r="C513" s="28"/>
      <c r="D513" s="26" t="str">
        <f>IF(C513="","",IFERROR(VLOOKUP(C513,Productos!$A$5:$I$204,2,FALSE()),"Revisar código"))</f>
        <v/>
      </c>
      <c r="E513" s="29"/>
      <c r="F513" s="28"/>
      <c r="G513" s="28"/>
      <c r="H513" s="28"/>
      <c r="I513" s="28"/>
    </row>
    <row r="514" spans="1:9" ht="21.75" customHeight="1" x14ac:dyDescent="0.25">
      <c r="A514" s="28"/>
      <c r="B514" s="31"/>
      <c r="C514" s="28"/>
      <c r="D514" s="26" t="str">
        <f>IF(C514="","",IFERROR(VLOOKUP(C514,Productos!$A$5:$I$204,2,FALSE()),"Revisar código"))</f>
        <v/>
      </c>
      <c r="E514" s="29"/>
      <c r="F514" s="28"/>
      <c r="G514" s="28"/>
      <c r="H514" s="28"/>
      <c r="I514" s="28"/>
    </row>
    <row r="515" spans="1:9" ht="21.75" customHeight="1" x14ac:dyDescent="0.25">
      <c r="A515" s="28"/>
      <c r="B515" s="31"/>
      <c r="C515" s="28"/>
      <c r="D515" s="26" t="str">
        <f>IF(C515="","",IFERROR(VLOOKUP(C515,Productos!$A$5:$I$204,2,FALSE()),"Revisar código"))</f>
        <v/>
      </c>
      <c r="E515" s="29"/>
      <c r="F515" s="28"/>
      <c r="G515" s="28"/>
      <c r="H515" s="28"/>
      <c r="I515" s="28"/>
    </row>
    <row r="516" spans="1:9" ht="21.75" customHeight="1" x14ac:dyDescent="0.25">
      <c r="A516" s="28"/>
      <c r="B516" s="31"/>
      <c r="C516" s="28"/>
      <c r="D516" s="26" t="str">
        <f>IF(C516="","",IFERROR(VLOOKUP(C516,Productos!$A$5:$I$204,2,FALSE()),"Revisar código"))</f>
        <v/>
      </c>
      <c r="E516" s="29"/>
      <c r="F516" s="28"/>
      <c r="G516" s="28"/>
      <c r="H516" s="28"/>
      <c r="I516" s="28"/>
    </row>
    <row r="517" spans="1:9" ht="21.75" customHeight="1" x14ac:dyDescent="0.25">
      <c r="A517" s="28"/>
      <c r="B517" s="31"/>
      <c r="C517" s="28"/>
      <c r="D517" s="26" t="str">
        <f>IF(C517="","",IFERROR(VLOOKUP(C517,Productos!$A$5:$I$204,2,FALSE()),"Revisar código"))</f>
        <v/>
      </c>
      <c r="E517" s="29"/>
      <c r="F517" s="28"/>
      <c r="G517" s="28"/>
      <c r="H517" s="28"/>
      <c r="I517" s="28"/>
    </row>
    <row r="518" spans="1:9" ht="21.75" customHeight="1" x14ac:dyDescent="0.25">
      <c r="A518" s="28"/>
      <c r="B518" s="31"/>
      <c r="C518" s="28"/>
      <c r="D518" s="26" t="str">
        <f>IF(C518="","",IFERROR(VLOOKUP(C518,Productos!$A$5:$I$204,2,FALSE()),"Revisar código"))</f>
        <v/>
      </c>
      <c r="E518" s="29"/>
      <c r="F518" s="28"/>
      <c r="G518" s="28"/>
      <c r="H518" s="28"/>
      <c r="I518" s="28"/>
    </row>
    <row r="519" spans="1:9" ht="21.75" customHeight="1" x14ac:dyDescent="0.25">
      <c r="A519" s="28"/>
      <c r="B519" s="31"/>
      <c r="C519" s="28"/>
      <c r="D519" s="26" t="str">
        <f>IF(C519="","",IFERROR(VLOOKUP(C519,Productos!$A$5:$I$204,2,FALSE()),"Revisar código"))</f>
        <v/>
      </c>
      <c r="E519" s="29"/>
      <c r="F519" s="28"/>
      <c r="G519" s="28"/>
      <c r="H519" s="28"/>
      <c r="I519" s="28"/>
    </row>
    <row r="520" spans="1:9" ht="21.75" customHeight="1" x14ac:dyDescent="0.25">
      <c r="A520" s="28"/>
      <c r="B520" s="31"/>
      <c r="C520" s="28"/>
      <c r="D520" s="26" t="str">
        <f>IF(C520="","",IFERROR(VLOOKUP(C520,Productos!$A$5:$I$204,2,FALSE()),"Revisar código"))</f>
        <v/>
      </c>
      <c r="E520" s="29"/>
      <c r="F520" s="28"/>
      <c r="G520" s="28"/>
      <c r="H520" s="28"/>
      <c r="I520" s="28"/>
    </row>
    <row r="521" spans="1:9" ht="21.75" customHeight="1" x14ac:dyDescent="0.25">
      <c r="A521" s="28"/>
      <c r="B521" s="31"/>
      <c r="C521" s="28"/>
      <c r="D521" s="26" t="str">
        <f>IF(C521="","",IFERROR(VLOOKUP(C521,Productos!$A$5:$I$204,2,FALSE()),"Revisar código"))</f>
        <v/>
      </c>
      <c r="E521" s="29"/>
      <c r="F521" s="28"/>
      <c r="G521" s="28"/>
      <c r="H521" s="28"/>
      <c r="I521" s="28"/>
    </row>
    <row r="522" spans="1:9" ht="21.75" customHeight="1" x14ac:dyDescent="0.25">
      <c r="A522" s="28"/>
      <c r="B522" s="31"/>
      <c r="C522" s="28"/>
      <c r="D522" s="26" t="str">
        <f>IF(C522="","",IFERROR(VLOOKUP(C522,Productos!$A$5:$I$204,2,FALSE()),"Revisar código"))</f>
        <v/>
      </c>
      <c r="E522" s="29"/>
      <c r="F522" s="28"/>
      <c r="G522" s="28"/>
      <c r="H522" s="28"/>
      <c r="I522" s="28"/>
    </row>
    <row r="523" spans="1:9" ht="21.75" customHeight="1" x14ac:dyDescent="0.25">
      <c r="A523" s="28"/>
      <c r="B523" s="31"/>
      <c r="C523" s="28"/>
      <c r="D523" s="26" t="str">
        <f>IF(C523="","",IFERROR(VLOOKUP(C523,Productos!$A$5:$I$204,2,FALSE()),"Revisar código"))</f>
        <v/>
      </c>
      <c r="E523" s="29"/>
      <c r="F523" s="28"/>
      <c r="G523" s="28"/>
      <c r="H523" s="28"/>
      <c r="I523" s="28"/>
    </row>
    <row r="524" spans="1:9" ht="21.75" customHeight="1" x14ac:dyDescent="0.25">
      <c r="A524" s="28"/>
      <c r="B524" s="31"/>
      <c r="C524" s="28"/>
      <c r="D524" s="26" t="str">
        <f>IF(C524="","",IFERROR(VLOOKUP(C524,Productos!$A$5:$I$204,2,FALSE()),"Revisar código"))</f>
        <v/>
      </c>
      <c r="E524" s="29"/>
      <c r="F524" s="28"/>
      <c r="G524" s="28"/>
      <c r="H524" s="28"/>
      <c r="I524" s="28"/>
    </row>
    <row r="525" spans="1:9" ht="21.75" customHeight="1" x14ac:dyDescent="0.25">
      <c r="A525" s="28"/>
      <c r="B525" s="31"/>
      <c r="C525" s="28"/>
      <c r="D525" s="26" t="str">
        <f>IF(C525="","",IFERROR(VLOOKUP(C525,Productos!$A$5:$I$204,2,FALSE()),"Revisar código"))</f>
        <v/>
      </c>
      <c r="E525" s="29"/>
      <c r="F525" s="28"/>
      <c r="G525" s="28"/>
      <c r="H525" s="28"/>
      <c r="I525" s="28"/>
    </row>
    <row r="526" spans="1:9" ht="21.75" customHeight="1" x14ac:dyDescent="0.25">
      <c r="A526" s="28"/>
      <c r="B526" s="31"/>
      <c r="C526" s="28"/>
      <c r="D526" s="26" t="str">
        <f>IF(C526="","",IFERROR(VLOOKUP(C526,Productos!$A$5:$I$204,2,FALSE()),"Revisar código"))</f>
        <v/>
      </c>
      <c r="E526" s="29"/>
      <c r="F526" s="28"/>
      <c r="G526" s="28"/>
      <c r="H526" s="28"/>
      <c r="I526" s="28"/>
    </row>
    <row r="527" spans="1:9" ht="21.75" customHeight="1" x14ac:dyDescent="0.25">
      <c r="A527" s="28"/>
      <c r="B527" s="31"/>
      <c r="C527" s="28"/>
      <c r="D527" s="26" t="str">
        <f>IF(C527="","",IFERROR(VLOOKUP(C527,Productos!$A$5:$I$204,2,FALSE()),"Revisar código"))</f>
        <v/>
      </c>
      <c r="E527" s="29"/>
      <c r="F527" s="28"/>
      <c r="G527" s="28"/>
      <c r="H527" s="28"/>
      <c r="I527" s="28"/>
    </row>
    <row r="528" spans="1:9" ht="21.75" customHeight="1" x14ac:dyDescent="0.25">
      <c r="A528" s="28"/>
      <c r="B528" s="31"/>
      <c r="C528" s="28"/>
      <c r="D528" s="26" t="str">
        <f>IF(C528="","",IFERROR(VLOOKUP(C528,Productos!$A$5:$I$204,2,FALSE()),"Revisar código"))</f>
        <v/>
      </c>
      <c r="E528" s="29"/>
      <c r="F528" s="28"/>
      <c r="G528" s="28"/>
      <c r="H528" s="28"/>
      <c r="I528" s="28"/>
    </row>
    <row r="529" spans="1:9" ht="21.75" customHeight="1" x14ac:dyDescent="0.25">
      <c r="A529" s="28"/>
      <c r="B529" s="31"/>
      <c r="C529" s="28"/>
      <c r="D529" s="26" t="str">
        <f>IF(C529="","",IFERROR(VLOOKUP(C529,Productos!$A$5:$I$204,2,FALSE()),"Revisar código"))</f>
        <v/>
      </c>
      <c r="E529" s="29"/>
      <c r="F529" s="28"/>
      <c r="G529" s="28"/>
      <c r="H529" s="28"/>
      <c r="I529" s="28"/>
    </row>
    <row r="530" spans="1:9" ht="21.75" customHeight="1" x14ac:dyDescent="0.25">
      <c r="A530" s="28"/>
      <c r="B530" s="31"/>
      <c r="C530" s="28"/>
      <c r="D530" s="26" t="str">
        <f>IF(C530="","",IFERROR(VLOOKUP(C530,Productos!$A$5:$I$204,2,FALSE()),"Revisar código"))</f>
        <v/>
      </c>
      <c r="E530" s="29"/>
      <c r="F530" s="28"/>
      <c r="G530" s="28"/>
      <c r="H530" s="28"/>
      <c r="I530" s="28"/>
    </row>
    <row r="531" spans="1:9" ht="21.75" customHeight="1" x14ac:dyDescent="0.25">
      <c r="A531" s="28"/>
      <c r="B531" s="31"/>
      <c r="C531" s="28"/>
      <c r="D531" s="26" t="str">
        <f>IF(C531="","",IFERROR(VLOOKUP(C531,Productos!$A$5:$I$204,2,FALSE()),"Revisar código"))</f>
        <v/>
      </c>
      <c r="E531" s="29"/>
      <c r="F531" s="28"/>
      <c r="G531" s="28"/>
      <c r="H531" s="28"/>
      <c r="I531" s="28"/>
    </row>
    <row r="532" spans="1:9" ht="21.75" customHeight="1" x14ac:dyDescent="0.25">
      <c r="A532" s="28"/>
      <c r="B532" s="31"/>
      <c r="C532" s="28"/>
      <c r="D532" s="26" t="str">
        <f>IF(C532="","",IFERROR(VLOOKUP(C532,Productos!$A$5:$I$204,2,FALSE()),"Revisar código"))</f>
        <v/>
      </c>
      <c r="E532" s="29"/>
      <c r="F532" s="28"/>
      <c r="G532" s="28"/>
      <c r="H532" s="28"/>
      <c r="I532" s="28"/>
    </row>
    <row r="533" spans="1:9" ht="21.75" customHeight="1" x14ac:dyDescent="0.25">
      <c r="A533" s="28"/>
      <c r="B533" s="31"/>
      <c r="C533" s="28"/>
      <c r="D533" s="26" t="str">
        <f>IF(C533="","",IFERROR(VLOOKUP(C533,Productos!$A$5:$I$204,2,FALSE()),"Revisar código"))</f>
        <v/>
      </c>
      <c r="E533" s="29"/>
      <c r="F533" s="28"/>
      <c r="G533" s="28"/>
      <c r="H533" s="28"/>
      <c r="I533" s="28"/>
    </row>
    <row r="534" spans="1:9" ht="21.75" customHeight="1" x14ac:dyDescent="0.25">
      <c r="A534" s="28"/>
      <c r="B534" s="31"/>
      <c r="C534" s="28"/>
      <c r="D534" s="26" t="str">
        <f>IF(C534="","",IFERROR(VLOOKUP(C534,Productos!$A$5:$I$204,2,FALSE()),"Revisar código"))</f>
        <v/>
      </c>
      <c r="E534" s="29"/>
      <c r="F534" s="28"/>
      <c r="G534" s="28"/>
      <c r="H534" s="28"/>
      <c r="I534" s="28"/>
    </row>
    <row r="535" spans="1:9" ht="21.75" customHeight="1" x14ac:dyDescent="0.25">
      <c r="A535" s="28"/>
      <c r="B535" s="31"/>
      <c r="C535" s="28"/>
      <c r="D535" s="26" t="str">
        <f>IF(C535="","",IFERROR(VLOOKUP(C535,Productos!$A$5:$I$204,2,FALSE()),"Revisar código"))</f>
        <v/>
      </c>
      <c r="E535" s="29"/>
      <c r="F535" s="28"/>
      <c r="G535" s="28"/>
      <c r="H535" s="28"/>
      <c r="I535" s="28"/>
    </row>
    <row r="536" spans="1:9" ht="21.75" customHeight="1" x14ac:dyDescent="0.25">
      <c r="A536" s="28"/>
      <c r="B536" s="31"/>
      <c r="C536" s="28"/>
      <c r="D536" s="26" t="str">
        <f>IF(C536="","",IFERROR(VLOOKUP(C536,Productos!$A$5:$I$204,2,FALSE()),"Revisar código"))</f>
        <v/>
      </c>
      <c r="E536" s="29"/>
      <c r="F536" s="28"/>
      <c r="G536" s="28"/>
      <c r="H536" s="28"/>
      <c r="I536" s="28"/>
    </row>
    <row r="537" spans="1:9" ht="21.75" customHeight="1" x14ac:dyDescent="0.25">
      <c r="A537" s="28"/>
      <c r="B537" s="31"/>
      <c r="C537" s="28"/>
      <c r="D537" s="26" t="str">
        <f>IF(C537="","",IFERROR(VLOOKUP(C537,Productos!$A$5:$I$204,2,FALSE()),"Revisar código"))</f>
        <v/>
      </c>
      <c r="E537" s="29"/>
      <c r="F537" s="28"/>
      <c r="G537" s="28"/>
      <c r="H537" s="28"/>
      <c r="I537" s="28"/>
    </row>
    <row r="538" spans="1:9" ht="21.75" customHeight="1" x14ac:dyDescent="0.25">
      <c r="A538" s="28"/>
      <c r="B538" s="31"/>
      <c r="C538" s="28"/>
      <c r="D538" s="26" t="str">
        <f>IF(C538="","",IFERROR(VLOOKUP(C538,Productos!$A$5:$I$204,2,FALSE()),"Revisar código"))</f>
        <v/>
      </c>
      <c r="E538" s="29"/>
      <c r="F538" s="28"/>
      <c r="G538" s="28"/>
      <c r="H538" s="28"/>
      <c r="I538" s="28"/>
    </row>
    <row r="539" spans="1:9" ht="21.75" customHeight="1" x14ac:dyDescent="0.25">
      <c r="A539" s="28"/>
      <c r="B539" s="31"/>
      <c r="C539" s="28"/>
      <c r="D539" s="26" t="str">
        <f>IF(C539="","",IFERROR(VLOOKUP(C539,Productos!$A$5:$I$204,2,FALSE()),"Revisar código"))</f>
        <v/>
      </c>
      <c r="E539" s="29"/>
      <c r="F539" s="28"/>
      <c r="G539" s="28"/>
      <c r="H539" s="28"/>
      <c r="I539" s="28"/>
    </row>
    <row r="540" spans="1:9" ht="21.75" customHeight="1" x14ac:dyDescent="0.25">
      <c r="A540" s="28"/>
      <c r="B540" s="31"/>
      <c r="C540" s="28"/>
      <c r="D540" s="26" t="str">
        <f>IF(C540="","",IFERROR(VLOOKUP(C540,Productos!$A$5:$I$204,2,FALSE()),"Revisar código"))</f>
        <v/>
      </c>
      <c r="E540" s="29"/>
      <c r="F540" s="28"/>
      <c r="G540" s="28"/>
      <c r="H540" s="28"/>
      <c r="I540" s="28"/>
    </row>
    <row r="541" spans="1:9" ht="21.75" customHeight="1" x14ac:dyDescent="0.25">
      <c r="A541" s="28"/>
      <c r="B541" s="31"/>
      <c r="C541" s="28"/>
      <c r="D541" s="26" t="str">
        <f>IF(C541="","",IFERROR(VLOOKUP(C541,Productos!$A$5:$I$204,2,FALSE()),"Revisar código"))</f>
        <v/>
      </c>
      <c r="E541" s="29"/>
      <c r="F541" s="28"/>
      <c r="G541" s="28"/>
      <c r="H541" s="28"/>
      <c r="I541" s="28"/>
    </row>
    <row r="542" spans="1:9" ht="21.75" customHeight="1" x14ac:dyDescent="0.25">
      <c r="A542" s="28"/>
      <c r="B542" s="31"/>
      <c r="C542" s="28"/>
      <c r="D542" s="26" t="str">
        <f>IF(C542="","",IFERROR(VLOOKUP(C542,Productos!$A$5:$I$204,2,FALSE()),"Revisar código"))</f>
        <v/>
      </c>
      <c r="E542" s="29"/>
      <c r="F542" s="28"/>
      <c r="G542" s="28"/>
      <c r="H542" s="28"/>
      <c r="I542" s="28"/>
    </row>
    <row r="543" spans="1:9" ht="21.75" customHeight="1" x14ac:dyDescent="0.25">
      <c r="A543" s="28"/>
      <c r="B543" s="31"/>
      <c r="C543" s="28"/>
      <c r="D543" s="26" t="str">
        <f>IF(C543="","",IFERROR(VLOOKUP(C543,Productos!$A$5:$I$204,2,FALSE()),"Revisar código"))</f>
        <v/>
      </c>
      <c r="E543" s="29"/>
      <c r="F543" s="28"/>
      <c r="G543" s="28"/>
      <c r="H543" s="28"/>
      <c r="I543" s="28"/>
    </row>
    <row r="544" spans="1:9" ht="21.75" customHeight="1" x14ac:dyDescent="0.25">
      <c r="A544" s="28"/>
      <c r="B544" s="31"/>
      <c r="C544" s="28"/>
      <c r="D544" s="26" t="str">
        <f>IF(C544="","",IFERROR(VLOOKUP(C544,Productos!$A$5:$I$204,2,FALSE()),"Revisar código"))</f>
        <v/>
      </c>
      <c r="E544" s="29"/>
      <c r="F544" s="28"/>
      <c r="G544" s="28"/>
      <c r="H544" s="28"/>
      <c r="I544" s="28"/>
    </row>
    <row r="545" spans="1:9" ht="21.75" customHeight="1" x14ac:dyDescent="0.25">
      <c r="A545" s="28"/>
      <c r="B545" s="31"/>
      <c r="C545" s="28"/>
      <c r="D545" s="26" t="str">
        <f>IF(C545="","",IFERROR(VLOOKUP(C545,Productos!$A$5:$I$204,2,FALSE()),"Revisar código"))</f>
        <v/>
      </c>
      <c r="E545" s="29"/>
      <c r="F545" s="28"/>
      <c r="G545" s="28"/>
      <c r="H545" s="28"/>
      <c r="I545" s="28"/>
    </row>
    <row r="546" spans="1:9" ht="21.75" customHeight="1" x14ac:dyDescent="0.25">
      <c r="A546" s="28"/>
      <c r="B546" s="31"/>
      <c r="C546" s="28"/>
      <c r="D546" s="26" t="str">
        <f>IF(C546="","",IFERROR(VLOOKUP(C546,Productos!$A$5:$I$204,2,FALSE()),"Revisar código"))</f>
        <v/>
      </c>
      <c r="E546" s="29"/>
      <c r="F546" s="28"/>
      <c r="G546" s="28"/>
      <c r="H546" s="28"/>
      <c r="I546" s="28"/>
    </row>
    <row r="547" spans="1:9" ht="21.75" customHeight="1" x14ac:dyDescent="0.25">
      <c r="A547" s="28"/>
      <c r="B547" s="31"/>
      <c r="C547" s="28"/>
      <c r="D547" s="26" t="str">
        <f>IF(C547="","",IFERROR(VLOOKUP(C547,Productos!$A$5:$I$204,2,FALSE()),"Revisar código"))</f>
        <v/>
      </c>
      <c r="E547" s="29"/>
      <c r="F547" s="28"/>
      <c r="G547" s="28"/>
      <c r="H547" s="28"/>
      <c r="I547" s="28"/>
    </row>
    <row r="548" spans="1:9" ht="21.75" customHeight="1" x14ac:dyDescent="0.25">
      <c r="A548" s="28"/>
      <c r="B548" s="31"/>
      <c r="C548" s="28"/>
      <c r="D548" s="26" t="str">
        <f>IF(C548="","",IFERROR(VLOOKUP(C548,Productos!$A$5:$I$204,2,FALSE()),"Revisar código"))</f>
        <v/>
      </c>
      <c r="E548" s="29"/>
      <c r="F548" s="28"/>
      <c r="G548" s="28"/>
      <c r="H548" s="28"/>
      <c r="I548" s="28"/>
    </row>
    <row r="549" spans="1:9" ht="21.75" customHeight="1" x14ac:dyDescent="0.25">
      <c r="A549" s="28"/>
      <c r="B549" s="31"/>
      <c r="C549" s="28"/>
      <c r="D549" s="26" t="str">
        <f>IF(C549="","",IFERROR(VLOOKUP(C549,Productos!$A$5:$I$204,2,FALSE()),"Revisar código"))</f>
        <v/>
      </c>
      <c r="E549" s="29"/>
      <c r="F549" s="28"/>
      <c r="G549" s="28"/>
      <c r="H549" s="28"/>
      <c r="I549" s="28"/>
    </row>
    <row r="550" spans="1:9" ht="21.75" customHeight="1" x14ac:dyDescent="0.25">
      <c r="A550" s="28"/>
      <c r="B550" s="31"/>
      <c r="C550" s="28"/>
      <c r="D550" s="26" t="str">
        <f>IF(C550="","",IFERROR(VLOOKUP(C550,Productos!$A$5:$I$204,2,FALSE()),"Revisar código"))</f>
        <v/>
      </c>
      <c r="E550" s="29"/>
      <c r="F550" s="28"/>
      <c r="G550" s="28"/>
      <c r="H550" s="28"/>
      <c r="I550" s="28"/>
    </row>
    <row r="551" spans="1:9" ht="21.75" customHeight="1" x14ac:dyDescent="0.25">
      <c r="A551" s="28"/>
      <c r="B551" s="31"/>
      <c r="C551" s="28"/>
      <c r="D551" s="26" t="str">
        <f>IF(C551="","",IFERROR(VLOOKUP(C551,Productos!$A$5:$I$204,2,FALSE()),"Revisar código"))</f>
        <v/>
      </c>
      <c r="E551" s="29"/>
      <c r="F551" s="28"/>
      <c r="G551" s="28"/>
      <c r="H551" s="28"/>
      <c r="I551" s="28"/>
    </row>
    <row r="552" spans="1:9" ht="21.75" customHeight="1" x14ac:dyDescent="0.25">
      <c r="A552" s="28"/>
      <c r="B552" s="31"/>
      <c r="C552" s="28"/>
      <c r="D552" s="26" t="str">
        <f>IF(C552="","",IFERROR(VLOOKUP(C552,Productos!$A$5:$I$204,2,FALSE()),"Revisar código"))</f>
        <v/>
      </c>
      <c r="E552" s="29"/>
      <c r="F552" s="28"/>
      <c r="G552" s="28"/>
      <c r="H552" s="28"/>
      <c r="I552" s="28"/>
    </row>
    <row r="553" spans="1:9" ht="21.75" customHeight="1" x14ac:dyDescent="0.25">
      <c r="A553" s="28"/>
      <c r="B553" s="31"/>
      <c r="C553" s="28"/>
      <c r="D553" s="26" t="str">
        <f>IF(C553="","",IFERROR(VLOOKUP(C553,Productos!$A$5:$I$204,2,FALSE()),"Revisar código"))</f>
        <v/>
      </c>
      <c r="E553" s="29"/>
      <c r="F553" s="28"/>
      <c r="G553" s="28"/>
      <c r="H553" s="28"/>
      <c r="I553" s="28"/>
    </row>
    <row r="554" spans="1:9" ht="21.75" customHeight="1" x14ac:dyDescent="0.25">
      <c r="A554" s="28"/>
      <c r="B554" s="31"/>
      <c r="C554" s="28"/>
      <c r="D554" s="26" t="str">
        <f>IF(C554="","",IFERROR(VLOOKUP(C554,Productos!$A$5:$I$204,2,FALSE()),"Revisar código"))</f>
        <v/>
      </c>
      <c r="E554" s="29"/>
      <c r="F554" s="28"/>
      <c r="G554" s="28"/>
      <c r="H554" s="28"/>
      <c r="I554" s="28"/>
    </row>
    <row r="555" spans="1:9" ht="21.75" customHeight="1" x14ac:dyDescent="0.25">
      <c r="A555" s="28"/>
      <c r="B555" s="31"/>
      <c r="C555" s="28"/>
      <c r="D555" s="26" t="str">
        <f>IF(C555="","",IFERROR(VLOOKUP(C555,Productos!$A$5:$I$204,2,FALSE()),"Revisar código"))</f>
        <v/>
      </c>
      <c r="E555" s="29"/>
      <c r="F555" s="28"/>
      <c r="G555" s="28"/>
      <c r="H555" s="28"/>
      <c r="I555" s="28"/>
    </row>
    <row r="556" spans="1:9" ht="21.75" customHeight="1" x14ac:dyDescent="0.25">
      <c r="A556" s="28"/>
      <c r="B556" s="31"/>
      <c r="C556" s="28"/>
      <c r="D556" s="26" t="str">
        <f>IF(C556="","",IFERROR(VLOOKUP(C556,Productos!$A$5:$I$204,2,FALSE()),"Revisar código"))</f>
        <v/>
      </c>
      <c r="E556" s="29"/>
      <c r="F556" s="28"/>
      <c r="G556" s="28"/>
      <c r="H556" s="28"/>
      <c r="I556" s="28"/>
    </row>
    <row r="557" spans="1:9" ht="21.75" customHeight="1" x14ac:dyDescent="0.25">
      <c r="A557" s="28"/>
      <c r="B557" s="31"/>
      <c r="C557" s="28"/>
      <c r="D557" s="26" t="str">
        <f>IF(C557="","",IFERROR(VLOOKUP(C557,Productos!$A$5:$I$204,2,FALSE()),"Revisar código"))</f>
        <v/>
      </c>
      <c r="E557" s="29"/>
      <c r="F557" s="28"/>
      <c r="G557" s="28"/>
      <c r="H557" s="28"/>
      <c r="I557" s="28"/>
    </row>
    <row r="558" spans="1:9" ht="21.75" customHeight="1" x14ac:dyDescent="0.25">
      <c r="A558" s="28"/>
      <c r="B558" s="31"/>
      <c r="C558" s="28"/>
      <c r="D558" s="26" t="str">
        <f>IF(C558="","",IFERROR(VLOOKUP(C558,Productos!$A$5:$I$204,2,FALSE()),"Revisar código"))</f>
        <v/>
      </c>
      <c r="E558" s="29"/>
      <c r="F558" s="28"/>
      <c r="G558" s="28"/>
      <c r="H558" s="28"/>
      <c r="I558" s="28"/>
    </row>
    <row r="559" spans="1:9" ht="21.75" customHeight="1" x14ac:dyDescent="0.25">
      <c r="A559" s="28"/>
      <c r="B559" s="31"/>
      <c r="C559" s="28"/>
      <c r="D559" s="26" t="str">
        <f>IF(C559="","",IFERROR(VLOOKUP(C559,Productos!$A$5:$I$204,2,FALSE()),"Revisar código"))</f>
        <v/>
      </c>
      <c r="E559" s="29"/>
      <c r="F559" s="28"/>
      <c r="G559" s="28"/>
      <c r="H559" s="28"/>
      <c r="I559" s="28"/>
    </row>
    <row r="560" spans="1:9" ht="21.75" customHeight="1" x14ac:dyDescent="0.25">
      <c r="A560" s="28"/>
      <c r="B560" s="31"/>
      <c r="C560" s="28"/>
      <c r="D560" s="26" t="str">
        <f>IF(C560="","",IFERROR(VLOOKUP(C560,Productos!$A$5:$I$204,2,FALSE()),"Revisar código"))</f>
        <v/>
      </c>
      <c r="E560" s="29"/>
      <c r="F560" s="28"/>
      <c r="G560" s="28"/>
      <c r="H560" s="28"/>
      <c r="I560" s="28"/>
    </row>
    <row r="561" spans="1:9" ht="21.75" customHeight="1" x14ac:dyDescent="0.25">
      <c r="A561" s="28"/>
      <c r="B561" s="31"/>
      <c r="C561" s="28"/>
      <c r="D561" s="26" t="str">
        <f>IF(C561="","",IFERROR(VLOOKUP(C561,Productos!$A$5:$I$204,2,FALSE()),"Revisar código"))</f>
        <v/>
      </c>
      <c r="E561" s="29"/>
      <c r="F561" s="28"/>
      <c r="G561" s="28"/>
      <c r="H561" s="28"/>
      <c r="I561" s="28"/>
    </row>
    <row r="562" spans="1:9" ht="21.75" customHeight="1" x14ac:dyDescent="0.25">
      <c r="A562" s="28"/>
      <c r="B562" s="31"/>
      <c r="C562" s="28"/>
      <c r="D562" s="26" t="str">
        <f>IF(C562="","",IFERROR(VLOOKUP(C562,Productos!$A$5:$I$204,2,FALSE()),"Revisar código"))</f>
        <v/>
      </c>
      <c r="E562" s="29"/>
      <c r="F562" s="28"/>
      <c r="G562" s="28"/>
      <c r="H562" s="28"/>
      <c r="I562" s="28"/>
    </row>
    <row r="563" spans="1:9" ht="21.75" customHeight="1" x14ac:dyDescent="0.25">
      <c r="A563" s="28"/>
      <c r="B563" s="31"/>
      <c r="C563" s="28"/>
      <c r="D563" s="26" t="str">
        <f>IF(C563="","",IFERROR(VLOOKUP(C563,Productos!$A$5:$I$204,2,FALSE()),"Revisar código"))</f>
        <v/>
      </c>
      <c r="E563" s="29"/>
      <c r="F563" s="28"/>
      <c r="G563" s="28"/>
      <c r="H563" s="28"/>
      <c r="I563" s="28"/>
    </row>
    <row r="564" spans="1:9" ht="21.75" customHeight="1" x14ac:dyDescent="0.25">
      <c r="A564" s="28"/>
      <c r="B564" s="31"/>
      <c r="C564" s="28"/>
      <c r="D564" s="26" t="str">
        <f>IF(C564="","",IFERROR(VLOOKUP(C564,Productos!$A$5:$I$204,2,FALSE()),"Revisar código"))</f>
        <v/>
      </c>
      <c r="E564" s="29"/>
      <c r="F564" s="28"/>
      <c r="G564" s="28"/>
      <c r="H564" s="28"/>
      <c r="I564" s="28"/>
    </row>
    <row r="565" spans="1:9" ht="21.75" customHeight="1" x14ac:dyDescent="0.25">
      <c r="A565" s="28"/>
      <c r="B565" s="31"/>
      <c r="C565" s="28"/>
      <c r="D565" s="26" t="str">
        <f>IF(C565="","",IFERROR(VLOOKUP(C565,Productos!$A$5:$I$204,2,FALSE()),"Revisar código"))</f>
        <v/>
      </c>
      <c r="E565" s="29"/>
      <c r="F565" s="28"/>
      <c r="G565" s="28"/>
      <c r="H565" s="28"/>
      <c r="I565" s="28"/>
    </row>
    <row r="566" spans="1:9" ht="21.75" customHeight="1" x14ac:dyDescent="0.25">
      <c r="A566" s="28"/>
      <c r="B566" s="31"/>
      <c r="C566" s="28"/>
      <c r="D566" s="26" t="str">
        <f>IF(C566="","",IFERROR(VLOOKUP(C566,Productos!$A$5:$I$204,2,FALSE()),"Revisar código"))</f>
        <v/>
      </c>
      <c r="E566" s="29"/>
      <c r="F566" s="28"/>
      <c r="G566" s="28"/>
      <c r="H566" s="28"/>
      <c r="I566" s="28"/>
    </row>
    <row r="567" spans="1:9" ht="21.75" customHeight="1" x14ac:dyDescent="0.25">
      <c r="A567" s="28"/>
      <c r="B567" s="31"/>
      <c r="C567" s="28"/>
      <c r="D567" s="26" t="str">
        <f>IF(C567="","",IFERROR(VLOOKUP(C567,Productos!$A$5:$I$204,2,FALSE()),"Revisar código"))</f>
        <v/>
      </c>
      <c r="E567" s="29"/>
      <c r="F567" s="28"/>
      <c r="G567" s="28"/>
      <c r="H567" s="28"/>
      <c r="I567" s="28"/>
    </row>
    <row r="568" spans="1:9" ht="21.75" customHeight="1" x14ac:dyDescent="0.25">
      <c r="A568" s="28"/>
      <c r="B568" s="31"/>
      <c r="C568" s="28"/>
      <c r="D568" s="26" t="str">
        <f>IF(C568="","",IFERROR(VLOOKUP(C568,Productos!$A$5:$I$204,2,FALSE()),"Revisar código"))</f>
        <v/>
      </c>
      <c r="E568" s="29"/>
      <c r="F568" s="28"/>
      <c r="G568" s="28"/>
      <c r="H568" s="28"/>
      <c r="I568" s="28"/>
    </row>
    <row r="569" spans="1:9" ht="21.75" customHeight="1" x14ac:dyDescent="0.25">
      <c r="A569" s="28"/>
      <c r="B569" s="31"/>
      <c r="C569" s="28"/>
      <c r="D569" s="26" t="str">
        <f>IF(C569="","",IFERROR(VLOOKUP(C569,Productos!$A$5:$I$204,2,FALSE()),"Revisar código"))</f>
        <v/>
      </c>
      <c r="E569" s="29"/>
      <c r="F569" s="28"/>
      <c r="G569" s="28"/>
      <c r="H569" s="28"/>
      <c r="I569" s="28"/>
    </row>
    <row r="570" spans="1:9" ht="21.75" customHeight="1" x14ac:dyDescent="0.25">
      <c r="A570" s="28"/>
      <c r="B570" s="31"/>
      <c r="C570" s="28"/>
      <c r="D570" s="26" t="str">
        <f>IF(C570="","",IFERROR(VLOOKUP(C570,Productos!$A$5:$I$204,2,FALSE()),"Revisar código"))</f>
        <v/>
      </c>
      <c r="E570" s="29"/>
      <c r="F570" s="28"/>
      <c r="G570" s="28"/>
      <c r="H570" s="28"/>
      <c r="I570" s="28"/>
    </row>
    <row r="571" spans="1:9" ht="21.75" customHeight="1" x14ac:dyDescent="0.25">
      <c r="A571" s="28"/>
      <c r="B571" s="31"/>
      <c r="C571" s="28"/>
      <c r="D571" s="26" t="str">
        <f>IF(C571="","",IFERROR(VLOOKUP(C571,Productos!$A$5:$I$204,2,FALSE()),"Revisar código"))</f>
        <v/>
      </c>
      <c r="E571" s="29"/>
      <c r="F571" s="28"/>
      <c r="G571" s="28"/>
      <c r="H571" s="28"/>
      <c r="I571" s="28"/>
    </row>
    <row r="572" spans="1:9" ht="21.75" customHeight="1" x14ac:dyDescent="0.25">
      <c r="A572" s="28"/>
      <c r="B572" s="31"/>
      <c r="C572" s="28"/>
      <c r="D572" s="26" t="str">
        <f>IF(C572="","",IFERROR(VLOOKUP(C572,Productos!$A$5:$I$204,2,FALSE()),"Revisar código"))</f>
        <v/>
      </c>
      <c r="E572" s="29"/>
      <c r="F572" s="28"/>
      <c r="G572" s="28"/>
      <c r="H572" s="28"/>
      <c r="I572" s="28"/>
    </row>
    <row r="573" spans="1:9" ht="21.75" customHeight="1" x14ac:dyDescent="0.25">
      <c r="A573" s="28"/>
      <c r="B573" s="31"/>
      <c r="C573" s="28"/>
      <c r="D573" s="26" t="str">
        <f>IF(C573="","",IFERROR(VLOOKUP(C573,Productos!$A$5:$I$204,2,FALSE()),"Revisar código"))</f>
        <v/>
      </c>
      <c r="E573" s="29"/>
      <c r="F573" s="28"/>
      <c r="G573" s="28"/>
      <c r="H573" s="28"/>
      <c r="I573" s="28"/>
    </row>
    <row r="574" spans="1:9" ht="21.75" customHeight="1" x14ac:dyDescent="0.25">
      <c r="A574" s="28"/>
      <c r="B574" s="31"/>
      <c r="C574" s="28"/>
      <c r="D574" s="26" t="str">
        <f>IF(C574="","",IFERROR(VLOOKUP(C574,Productos!$A$5:$I$204,2,FALSE()),"Revisar código"))</f>
        <v/>
      </c>
      <c r="E574" s="29"/>
      <c r="F574" s="28"/>
      <c r="G574" s="28"/>
      <c r="H574" s="28"/>
      <c r="I574" s="28"/>
    </row>
    <row r="575" spans="1:9" ht="21.75" customHeight="1" x14ac:dyDescent="0.25">
      <c r="A575" s="28"/>
      <c r="B575" s="31"/>
      <c r="C575" s="28"/>
      <c r="D575" s="26" t="str">
        <f>IF(C575="","",IFERROR(VLOOKUP(C575,Productos!$A$5:$I$204,2,FALSE()),"Revisar código"))</f>
        <v/>
      </c>
      <c r="E575" s="29"/>
      <c r="F575" s="28"/>
      <c r="G575" s="28"/>
      <c r="H575" s="28"/>
      <c r="I575" s="28"/>
    </row>
    <row r="576" spans="1:9" ht="21.75" customHeight="1" x14ac:dyDescent="0.25">
      <c r="A576" s="28"/>
      <c r="B576" s="31"/>
      <c r="C576" s="28"/>
      <c r="D576" s="26" t="str">
        <f>IF(C576="","",IFERROR(VLOOKUP(C576,Productos!$A$5:$I$204,2,FALSE()),"Revisar código"))</f>
        <v/>
      </c>
      <c r="E576" s="29"/>
      <c r="F576" s="28"/>
      <c r="G576" s="28"/>
      <c r="H576" s="28"/>
      <c r="I576" s="28"/>
    </row>
    <row r="577" spans="1:9" ht="21.75" customHeight="1" x14ac:dyDescent="0.25">
      <c r="A577" s="28"/>
      <c r="B577" s="31"/>
      <c r="C577" s="28"/>
      <c r="D577" s="26" t="str">
        <f>IF(C577="","",IFERROR(VLOOKUP(C577,Productos!$A$5:$I$204,2,FALSE()),"Revisar código"))</f>
        <v/>
      </c>
      <c r="E577" s="29"/>
      <c r="F577" s="28"/>
      <c r="G577" s="28"/>
      <c r="H577" s="28"/>
      <c r="I577" s="28"/>
    </row>
    <row r="578" spans="1:9" ht="21.75" customHeight="1" x14ac:dyDescent="0.25">
      <c r="A578" s="28"/>
      <c r="B578" s="31"/>
      <c r="C578" s="28"/>
      <c r="D578" s="26" t="str">
        <f>IF(C578="","",IFERROR(VLOOKUP(C578,Productos!$A$5:$I$204,2,FALSE()),"Revisar código"))</f>
        <v/>
      </c>
      <c r="E578" s="29"/>
      <c r="F578" s="28"/>
      <c r="G578" s="28"/>
      <c r="H578" s="28"/>
      <c r="I578" s="28"/>
    </row>
    <row r="579" spans="1:9" ht="21.75" customHeight="1" x14ac:dyDescent="0.25">
      <c r="A579" s="28"/>
      <c r="B579" s="31"/>
      <c r="C579" s="28"/>
      <c r="D579" s="26" t="str">
        <f>IF(C579="","",IFERROR(VLOOKUP(C579,Productos!$A$5:$I$204,2,FALSE()),"Revisar código"))</f>
        <v/>
      </c>
      <c r="E579" s="29"/>
      <c r="F579" s="28"/>
      <c r="G579" s="28"/>
      <c r="H579" s="28"/>
      <c r="I579" s="28"/>
    </row>
    <row r="580" spans="1:9" ht="21.75" customHeight="1" x14ac:dyDescent="0.25">
      <c r="A580" s="28"/>
      <c r="B580" s="31"/>
      <c r="C580" s="28"/>
      <c r="D580" s="26" t="str">
        <f>IF(C580="","",IFERROR(VLOOKUP(C580,Productos!$A$5:$I$204,2,FALSE()),"Revisar código"))</f>
        <v/>
      </c>
      <c r="E580" s="29"/>
      <c r="F580" s="28"/>
      <c r="G580" s="28"/>
      <c r="H580" s="28"/>
      <c r="I580" s="28"/>
    </row>
    <row r="581" spans="1:9" ht="21.75" customHeight="1" x14ac:dyDescent="0.25">
      <c r="A581" s="28"/>
      <c r="B581" s="31"/>
      <c r="C581" s="28"/>
      <c r="D581" s="26" t="str">
        <f>IF(C581="","",IFERROR(VLOOKUP(C581,Productos!$A$5:$I$204,2,FALSE()),"Revisar código"))</f>
        <v/>
      </c>
      <c r="E581" s="29"/>
      <c r="F581" s="28"/>
      <c r="G581" s="28"/>
      <c r="H581" s="28"/>
      <c r="I581" s="28"/>
    </row>
    <row r="582" spans="1:9" ht="21.75" customHeight="1" x14ac:dyDescent="0.25">
      <c r="A582" s="28"/>
      <c r="B582" s="31"/>
      <c r="C582" s="28"/>
      <c r="D582" s="26" t="str">
        <f>IF(C582="","",IFERROR(VLOOKUP(C582,Productos!$A$5:$I$204,2,FALSE()),"Revisar código"))</f>
        <v/>
      </c>
      <c r="E582" s="29"/>
      <c r="F582" s="28"/>
      <c r="G582" s="28"/>
      <c r="H582" s="28"/>
      <c r="I582" s="28"/>
    </row>
    <row r="583" spans="1:9" ht="21.75" customHeight="1" x14ac:dyDescent="0.25">
      <c r="A583" s="28"/>
      <c r="B583" s="31"/>
      <c r="C583" s="28"/>
      <c r="D583" s="26" t="str">
        <f>IF(C583="","",IFERROR(VLOOKUP(C583,Productos!$A$5:$I$204,2,FALSE()),"Revisar código"))</f>
        <v/>
      </c>
      <c r="E583" s="29"/>
      <c r="F583" s="28"/>
      <c r="G583" s="28"/>
      <c r="H583" s="28"/>
      <c r="I583" s="28"/>
    </row>
    <row r="584" spans="1:9" ht="21.75" customHeight="1" x14ac:dyDescent="0.25">
      <c r="A584" s="28"/>
      <c r="B584" s="31"/>
      <c r="C584" s="28"/>
      <c r="D584" s="26" t="str">
        <f>IF(C584="","",IFERROR(VLOOKUP(C584,Productos!$A$5:$I$204,2,FALSE()),"Revisar código"))</f>
        <v/>
      </c>
      <c r="E584" s="29"/>
      <c r="F584" s="28"/>
      <c r="G584" s="28"/>
      <c r="H584" s="28"/>
      <c r="I584" s="28"/>
    </row>
    <row r="585" spans="1:9" ht="21.75" customHeight="1" x14ac:dyDescent="0.25">
      <c r="A585" s="28"/>
      <c r="B585" s="31"/>
      <c r="C585" s="28"/>
      <c r="D585" s="26" t="str">
        <f>IF(C585="","",IFERROR(VLOOKUP(C585,Productos!$A$5:$I$204,2,FALSE()),"Revisar código"))</f>
        <v/>
      </c>
      <c r="E585" s="29"/>
      <c r="F585" s="28"/>
      <c r="G585" s="28"/>
      <c r="H585" s="28"/>
      <c r="I585" s="28"/>
    </row>
    <row r="586" spans="1:9" ht="21.75" customHeight="1" x14ac:dyDescent="0.25">
      <c r="A586" s="28"/>
      <c r="B586" s="31"/>
      <c r="C586" s="28"/>
      <c r="D586" s="26" t="str">
        <f>IF(C586="","",IFERROR(VLOOKUP(C586,Productos!$A$5:$I$204,2,FALSE()),"Revisar código"))</f>
        <v/>
      </c>
      <c r="E586" s="29"/>
      <c r="F586" s="28"/>
      <c r="G586" s="28"/>
      <c r="H586" s="28"/>
      <c r="I586" s="28"/>
    </row>
    <row r="587" spans="1:9" ht="21.75" customHeight="1" x14ac:dyDescent="0.25">
      <c r="A587" s="28"/>
      <c r="B587" s="31"/>
      <c r="C587" s="28"/>
      <c r="D587" s="26" t="str">
        <f>IF(C587="","",IFERROR(VLOOKUP(C587,Productos!$A$5:$I$204,2,FALSE()),"Revisar código"))</f>
        <v/>
      </c>
      <c r="E587" s="29"/>
      <c r="F587" s="28"/>
      <c r="G587" s="28"/>
      <c r="H587" s="28"/>
      <c r="I587" s="28"/>
    </row>
    <row r="588" spans="1:9" ht="21.75" customHeight="1" x14ac:dyDescent="0.25">
      <c r="A588" s="28"/>
      <c r="B588" s="31"/>
      <c r="C588" s="28"/>
      <c r="D588" s="26" t="str">
        <f>IF(C588="","",IFERROR(VLOOKUP(C588,Productos!$A$5:$I$204,2,FALSE()),"Revisar código"))</f>
        <v/>
      </c>
      <c r="E588" s="29"/>
      <c r="F588" s="28"/>
      <c r="G588" s="28"/>
      <c r="H588" s="28"/>
      <c r="I588" s="28"/>
    </row>
    <row r="589" spans="1:9" ht="21.75" customHeight="1" x14ac:dyDescent="0.25">
      <c r="A589" s="28"/>
      <c r="B589" s="31"/>
      <c r="C589" s="28"/>
      <c r="D589" s="26" t="str">
        <f>IF(C589="","",IFERROR(VLOOKUP(C589,Productos!$A$5:$I$204,2,FALSE()),"Revisar código"))</f>
        <v/>
      </c>
      <c r="E589" s="29"/>
      <c r="F589" s="28"/>
      <c r="G589" s="28"/>
      <c r="H589" s="28"/>
      <c r="I589" s="28"/>
    </row>
    <row r="590" spans="1:9" ht="21.75" customHeight="1" x14ac:dyDescent="0.25">
      <c r="A590" s="28"/>
      <c r="B590" s="31"/>
      <c r="C590" s="28"/>
      <c r="D590" s="26" t="str">
        <f>IF(C590="","",IFERROR(VLOOKUP(C590,Productos!$A$5:$I$204,2,FALSE()),"Revisar código"))</f>
        <v/>
      </c>
      <c r="E590" s="29"/>
      <c r="F590" s="28"/>
      <c r="G590" s="28"/>
      <c r="H590" s="28"/>
      <c r="I590" s="28"/>
    </row>
    <row r="591" spans="1:9" ht="21.75" customHeight="1" x14ac:dyDescent="0.25">
      <c r="A591" s="28"/>
      <c r="B591" s="31"/>
      <c r="C591" s="28"/>
      <c r="D591" s="26" t="str">
        <f>IF(C591="","",IFERROR(VLOOKUP(C591,Productos!$A$5:$I$204,2,FALSE()),"Revisar código"))</f>
        <v/>
      </c>
      <c r="E591" s="29"/>
      <c r="F591" s="28"/>
      <c r="G591" s="28"/>
      <c r="H591" s="28"/>
      <c r="I591" s="28"/>
    </row>
    <row r="592" spans="1:9" ht="21.75" customHeight="1" x14ac:dyDescent="0.25">
      <c r="A592" s="28"/>
      <c r="B592" s="31"/>
      <c r="C592" s="28"/>
      <c r="D592" s="26" t="str">
        <f>IF(C592="","",IFERROR(VLOOKUP(C592,Productos!$A$5:$I$204,2,FALSE()),"Revisar código"))</f>
        <v/>
      </c>
      <c r="E592" s="29"/>
      <c r="F592" s="28"/>
      <c r="G592" s="28"/>
      <c r="H592" s="28"/>
      <c r="I592" s="28"/>
    </row>
    <row r="593" spans="1:9" ht="21.75" customHeight="1" x14ac:dyDescent="0.25">
      <c r="A593" s="28"/>
      <c r="B593" s="31"/>
      <c r="C593" s="28"/>
      <c r="D593" s="26" t="str">
        <f>IF(C593="","",IFERROR(VLOOKUP(C593,Productos!$A$5:$I$204,2,FALSE()),"Revisar código"))</f>
        <v/>
      </c>
      <c r="E593" s="29"/>
      <c r="F593" s="28"/>
      <c r="G593" s="28"/>
      <c r="H593" s="28"/>
      <c r="I593" s="28"/>
    </row>
    <row r="594" spans="1:9" ht="21.75" customHeight="1" x14ac:dyDescent="0.25">
      <c r="A594" s="28"/>
      <c r="B594" s="31"/>
      <c r="C594" s="28"/>
      <c r="D594" s="26" t="str">
        <f>IF(C594="","",IFERROR(VLOOKUP(C594,Productos!$A$5:$I$204,2,FALSE()),"Revisar código"))</f>
        <v/>
      </c>
      <c r="E594" s="29"/>
      <c r="F594" s="28"/>
      <c r="G594" s="28"/>
      <c r="H594" s="28"/>
      <c r="I594" s="28"/>
    </row>
    <row r="595" spans="1:9" ht="21.75" customHeight="1" x14ac:dyDescent="0.25">
      <c r="A595" s="28"/>
      <c r="B595" s="31"/>
      <c r="C595" s="28"/>
      <c r="D595" s="26" t="str">
        <f>IF(C595="","",IFERROR(VLOOKUP(C595,Productos!$A$5:$I$204,2,FALSE()),"Revisar código"))</f>
        <v/>
      </c>
      <c r="E595" s="29"/>
      <c r="F595" s="28"/>
      <c r="G595" s="28"/>
      <c r="H595" s="28"/>
      <c r="I595" s="28"/>
    </row>
    <row r="596" spans="1:9" ht="21.75" customHeight="1" x14ac:dyDescent="0.25">
      <c r="A596" s="28"/>
      <c r="B596" s="31"/>
      <c r="C596" s="28"/>
      <c r="D596" s="26" t="str">
        <f>IF(C596="","",IFERROR(VLOOKUP(C596,Productos!$A$5:$I$204,2,FALSE()),"Revisar código"))</f>
        <v/>
      </c>
      <c r="E596" s="29"/>
      <c r="F596" s="28"/>
      <c r="G596" s="28"/>
      <c r="H596" s="28"/>
      <c r="I596" s="28"/>
    </row>
    <row r="597" spans="1:9" ht="21.75" customHeight="1" x14ac:dyDescent="0.25">
      <c r="A597" s="28"/>
      <c r="B597" s="31"/>
      <c r="C597" s="28"/>
      <c r="D597" s="26" t="str">
        <f>IF(C597="","",IFERROR(VLOOKUP(C597,Productos!$A$5:$I$204,2,FALSE()),"Revisar código"))</f>
        <v/>
      </c>
      <c r="E597" s="29"/>
      <c r="F597" s="28"/>
      <c r="G597" s="28"/>
      <c r="H597" s="28"/>
      <c r="I597" s="28"/>
    </row>
    <row r="598" spans="1:9" ht="21.75" customHeight="1" x14ac:dyDescent="0.25">
      <c r="A598" s="28"/>
      <c r="B598" s="31"/>
      <c r="C598" s="28"/>
      <c r="D598" s="26" t="str">
        <f>IF(C598="","",IFERROR(VLOOKUP(C598,Productos!$A$5:$I$204,2,FALSE()),"Revisar código"))</f>
        <v/>
      </c>
      <c r="E598" s="29"/>
      <c r="F598" s="28"/>
      <c r="G598" s="28"/>
      <c r="H598" s="28"/>
      <c r="I598" s="28"/>
    </row>
    <row r="599" spans="1:9" ht="21.75" customHeight="1" x14ac:dyDescent="0.25">
      <c r="A599" s="28"/>
      <c r="B599" s="31"/>
      <c r="C599" s="28"/>
      <c r="D599" s="26" t="str">
        <f>IF(C599="","",IFERROR(VLOOKUP(C599,Productos!$A$5:$I$204,2,FALSE()),"Revisar código"))</f>
        <v/>
      </c>
      <c r="E599" s="29"/>
      <c r="F599" s="28"/>
      <c r="G599" s="28"/>
      <c r="H599" s="28"/>
      <c r="I599" s="28"/>
    </row>
    <row r="600" spans="1:9" ht="21.75" customHeight="1" x14ac:dyDescent="0.25">
      <c r="A600" s="28"/>
      <c r="B600" s="31"/>
      <c r="C600" s="28"/>
      <c r="D600" s="26" t="str">
        <f>IF(C600="","",IFERROR(VLOOKUP(C600,Productos!$A$5:$I$204,2,FALSE()),"Revisar código"))</f>
        <v/>
      </c>
      <c r="E600" s="29"/>
      <c r="F600" s="28"/>
      <c r="G600" s="28"/>
      <c r="H600" s="28"/>
      <c r="I600" s="28"/>
    </row>
    <row r="601" spans="1:9" ht="21.75" customHeight="1" x14ac:dyDescent="0.25">
      <c r="A601" s="28"/>
      <c r="B601" s="31"/>
      <c r="C601" s="28"/>
      <c r="D601" s="26" t="str">
        <f>IF(C601="","",IFERROR(VLOOKUP(C601,Productos!$A$5:$I$204,2,FALSE()),"Revisar código"))</f>
        <v/>
      </c>
      <c r="E601" s="29"/>
      <c r="F601" s="28"/>
      <c r="G601" s="28"/>
      <c r="H601" s="28"/>
      <c r="I601" s="28"/>
    </row>
    <row r="602" spans="1:9" ht="21.75" customHeight="1" x14ac:dyDescent="0.25">
      <c r="A602" s="28"/>
      <c r="B602" s="31"/>
      <c r="C602" s="28"/>
      <c r="D602" s="26" t="str">
        <f>IF(C602="","",IFERROR(VLOOKUP(C602,Productos!$A$5:$I$204,2,FALSE()),"Revisar código"))</f>
        <v/>
      </c>
      <c r="E602" s="29"/>
      <c r="F602" s="28"/>
      <c r="G602" s="28"/>
      <c r="H602" s="28"/>
      <c r="I602" s="28"/>
    </row>
    <row r="603" spans="1:9" ht="21.75" customHeight="1" x14ac:dyDescent="0.25">
      <c r="A603" s="28"/>
      <c r="B603" s="31"/>
      <c r="C603" s="28"/>
      <c r="D603" s="26" t="str">
        <f>IF(C603="","",IFERROR(VLOOKUP(C603,Productos!$A$5:$I$204,2,FALSE()),"Revisar código"))</f>
        <v/>
      </c>
      <c r="E603" s="29"/>
      <c r="F603" s="28"/>
      <c r="G603" s="28"/>
      <c r="H603" s="28"/>
      <c r="I603" s="28"/>
    </row>
    <row r="604" spans="1:9" ht="21.75" customHeight="1" x14ac:dyDescent="0.25">
      <c r="A604" s="28"/>
      <c r="B604" s="31"/>
      <c r="C604" s="28"/>
      <c r="D604" s="26" t="str">
        <f>IF(C604="","",IFERROR(VLOOKUP(C604,Productos!$A$5:$I$204,2,FALSE()),"Revisar código"))</f>
        <v/>
      </c>
      <c r="E604" s="29"/>
      <c r="F604" s="28"/>
      <c r="G604" s="28"/>
      <c r="H604" s="28"/>
      <c r="I604" s="28"/>
    </row>
    <row r="605" spans="1:9" s="13" customFormat="1" ht="21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</row>
    <row r="606" spans="1:9" s="13" customFormat="1" ht="21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</row>
    <row r="607" spans="1:9" s="13" customFormat="1" ht="21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</row>
    <row r="608" spans="1:9" s="13" customFormat="1" ht="21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</row>
    <row r="609" spans="1:9" s="13" customFormat="1" ht="21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</row>
    <row r="610" spans="1:9" s="13" customFormat="1" ht="21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</row>
    <row r="611" spans="1:9" s="13" customFormat="1" ht="21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</row>
    <row r="612" spans="1:9" s="13" customFormat="1" ht="21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</row>
    <row r="613" spans="1:9" s="13" customFormat="1" ht="21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</row>
    <row r="614" spans="1:9" s="13" customFormat="1" ht="21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</row>
    <row r="615" spans="1:9" s="13" customFormat="1" ht="21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</row>
    <row r="616" spans="1:9" s="13" customFormat="1" ht="21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</row>
    <row r="617" spans="1:9" s="13" customFormat="1" ht="21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</row>
    <row r="618" spans="1:9" s="13" customFormat="1" ht="21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</row>
    <row r="619" spans="1:9" s="13" customFormat="1" ht="21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</row>
    <row r="620" spans="1:9" s="13" customFormat="1" ht="21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</row>
    <row r="621" spans="1:9" s="13" customFormat="1" ht="21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</row>
    <row r="622" spans="1:9" s="13" customFormat="1" ht="21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</row>
    <row r="623" spans="1:9" s="13" customFormat="1" ht="21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</row>
    <row r="624" spans="1:9" s="13" customFormat="1" ht="21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</row>
    <row r="625" spans="1:9" s="13" customFormat="1" ht="21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</row>
    <row r="626" spans="1:9" s="13" customFormat="1" ht="21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</row>
    <row r="627" spans="1:9" s="13" customFormat="1" ht="21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</row>
    <row r="628" spans="1:9" s="13" customFormat="1" ht="21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</row>
    <row r="629" spans="1:9" s="13" customFormat="1" ht="21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</row>
    <row r="630" spans="1:9" s="13" customFormat="1" ht="21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</row>
    <row r="631" spans="1:9" s="13" customFormat="1" ht="21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</row>
    <row r="632" spans="1:9" s="13" customFormat="1" ht="21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</row>
    <row r="633" spans="1:9" s="13" customFormat="1" ht="21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</row>
    <row r="634" spans="1:9" s="13" customFormat="1" ht="21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</row>
    <row r="635" spans="1:9" s="13" customFormat="1" ht="21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</row>
    <row r="636" spans="1:9" s="13" customFormat="1" ht="21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</row>
    <row r="637" spans="1:9" s="13" customFormat="1" ht="21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</row>
    <row r="638" spans="1:9" s="13" customFormat="1" ht="21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</row>
    <row r="639" spans="1:9" s="13" customFormat="1" ht="21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</row>
    <row r="640" spans="1:9" s="13" customFormat="1" ht="21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</row>
    <row r="641" s="13" customFormat="1" ht="21.75" customHeight="1" x14ac:dyDescent="0.25"/>
    <row r="642" s="13" customFormat="1" ht="21.75" customHeight="1" x14ac:dyDescent="0.25"/>
    <row r="643" s="13" customFormat="1" ht="21.75" customHeight="1" x14ac:dyDescent="0.25"/>
    <row r="644" ht="21.75" customHeight="1" x14ac:dyDescent="0.25"/>
  </sheetData>
  <mergeCells count="2">
    <mergeCell ref="A1:I1"/>
    <mergeCell ref="A2:I2"/>
  </mergeCells>
  <dataValidations count="1">
    <dataValidation type="list" allowBlank="1" sqref="F5:F604" xr:uid="{00000000-0002-0000-0400-000000000000}">
      <formula1>"Venta,Merma,Muestra,Ajuste inventario,Devolución proveedor,Uso interno"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F37"/>
  </sheetPr>
  <dimension ref="A1:AC644"/>
  <sheetViews>
    <sheetView showGridLines="0" zoomScaleNormal="100" workbookViewId="0">
      <pane ySplit="4" topLeftCell="A5" activePane="bottomLeft" state="frozen"/>
      <selection pane="bottomLeft" activeCell="J6" sqref="J6"/>
    </sheetView>
  </sheetViews>
  <sheetFormatPr baseColWidth="10" defaultColWidth="9.140625" defaultRowHeight="15" x14ac:dyDescent="0.25"/>
  <cols>
    <col min="1" max="1" width="18" customWidth="1"/>
    <col min="2" max="2" width="34" customWidth="1"/>
    <col min="3" max="3" width="20" customWidth="1"/>
    <col min="4" max="4" width="18" customWidth="1"/>
    <col min="5" max="8" width="16" customWidth="1"/>
    <col min="9" max="10" width="18" customWidth="1"/>
    <col min="11" max="11" width="26" customWidth="1"/>
    <col min="12" max="12" width="9.140625" style="13"/>
    <col min="13" max="13" width="13" style="13" hidden="1" customWidth="1"/>
    <col min="14" max="29" width="9.140625" style="13"/>
  </cols>
  <sheetData>
    <row r="1" spans="1:29" ht="21.75" customHeight="1" x14ac:dyDescent="0.25">
      <c r="A1" s="10" t="s">
        <v>122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21.75" customHeight="1" x14ac:dyDescent="0.25">
      <c r="A2" s="11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s="13" customFormat="1" ht="12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21.75" customHeight="1" x14ac:dyDescent="0.25">
      <c r="A4" s="1" t="s">
        <v>54</v>
      </c>
      <c r="B4" s="1" t="s">
        <v>48</v>
      </c>
      <c r="C4" s="1" t="s">
        <v>35</v>
      </c>
      <c r="D4" s="1" t="s">
        <v>55</v>
      </c>
      <c r="E4" s="1" t="s">
        <v>56</v>
      </c>
      <c r="F4" s="1" t="s">
        <v>57</v>
      </c>
      <c r="G4" s="1" t="s">
        <v>40</v>
      </c>
      <c r="H4" s="1" t="s">
        <v>42</v>
      </c>
      <c r="I4" s="1" t="s">
        <v>44</v>
      </c>
      <c r="J4" s="1" t="s">
        <v>50</v>
      </c>
      <c r="K4" s="1" t="s">
        <v>124</v>
      </c>
      <c r="L4" s="22"/>
      <c r="M4" s="22" t="s">
        <v>125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ht="21.75" customHeight="1" x14ac:dyDescent="0.25">
      <c r="A5" s="26" t="str">
        <f>IF(Productos!A5="","",Productos!A5)</f>
        <v>AN001</v>
      </c>
      <c r="B5" s="26" t="str">
        <f>IF(Productos!A5="","",Productos!B5)</f>
        <v>Anillo luna plata</v>
      </c>
      <c r="C5" s="26" t="str">
        <f>IF(Productos!A5="","",Productos!C5)</f>
        <v>Anillos</v>
      </c>
      <c r="D5" s="26" t="str">
        <f>IF(Productos!A5="","",Productos!D5)</f>
        <v>Proveedor A</v>
      </c>
      <c r="E5" s="27">
        <f>IF(Productos!A5="","",Productos!E5)</f>
        <v>5</v>
      </c>
      <c r="F5" s="27">
        <f>IF(Productos!A5="","",Productos!F5)</f>
        <v>20</v>
      </c>
      <c r="G5" s="27">
        <f>IF(A5="","",SUMIF('Compras Entradas'!$C$5:$C$504,A5,'Compras Entradas'!$E$5:$E$504))</f>
        <v>15</v>
      </c>
      <c r="H5" s="27">
        <f>IF(A5="","",SUMIF('Ventas Salidas'!$C$5:$C$504,A5,'Ventas Salidas'!$E$5:$E$504))</f>
        <v>5</v>
      </c>
      <c r="I5" s="27">
        <f t="shared" ref="I5:I68" si="0">IF(A5="","",F5+G5-H5)</f>
        <v>30</v>
      </c>
      <c r="J5" s="26" t="str">
        <f t="shared" ref="J5:J68" si="1">IF(A5="","",IF(I5&lt;=0,"Sin stock",IF(I5&lt;E5,"Bajo stock","OK")))</f>
        <v>OK</v>
      </c>
      <c r="K5" s="26" t="str">
        <f t="shared" ref="K5:K68" si="2">IF(A5="","",IF(I5&lt;=0,"Comprar urgente",IF(I5&lt;E5,"Reponer pronto","Stock suficiente")))</f>
        <v>Stock suficiente</v>
      </c>
      <c r="L5" s="22"/>
      <c r="M5" s="22" t="str">
        <f>IF(A5="","",IF(OR(J5="Bajo stock",J5="Sin stock"),COUNTIFS($J$5:$J5,"Bajo stock")+COUNTIFS($J$5:$J5,"Sin stock"),""))</f>
        <v/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21.75" customHeight="1" x14ac:dyDescent="0.25">
      <c r="A6" s="26" t="str">
        <f>IF(Productos!A6="","",Productos!A6)</f>
        <v>AN002</v>
      </c>
      <c r="B6" s="26" t="str">
        <f>IF(Productos!A6="","",Productos!B6)</f>
        <v>Anillo venus plata</v>
      </c>
      <c r="C6" s="26" t="str">
        <f>IF(Productos!A6="","",Productos!C6)</f>
        <v>Anillos</v>
      </c>
      <c r="D6" s="26" t="str">
        <f>IF(Productos!A6="","",Productos!D6)</f>
        <v>Proveedor A</v>
      </c>
      <c r="E6" s="27">
        <f>IF(Productos!A6="","",Productos!E6)</f>
        <v>5</v>
      </c>
      <c r="F6" s="27">
        <f>IF(Productos!A6="","",Productos!F6)</f>
        <v>15</v>
      </c>
      <c r="G6" s="27">
        <f>IF(A6="","",SUMIF('Compras Entradas'!$C$5:$C$504,A6,'Compras Entradas'!$E$5:$E$504))</f>
        <v>0</v>
      </c>
      <c r="H6" s="27">
        <f>IF(A6="","",SUMIF('Ventas Salidas'!$C$5:$C$504,A6,'Ventas Salidas'!$E$5:$E$504))</f>
        <v>15</v>
      </c>
      <c r="I6" s="27">
        <f t="shared" si="0"/>
        <v>0</v>
      </c>
      <c r="J6" s="26" t="str">
        <f t="shared" si="1"/>
        <v>Sin stock</v>
      </c>
      <c r="K6" s="26" t="str">
        <f t="shared" si="2"/>
        <v>Comprar urgente</v>
      </c>
      <c r="L6" s="22"/>
      <c r="M6" s="22">
        <f>IF(A6="","",IF(OR(J6="Bajo stock",J6="Sin stock"),COUNTIFS($J$5:$J6,"Bajo stock")+COUNTIFS($J$5:$J6,"Sin stock"),""))</f>
        <v>1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21.75" customHeight="1" x14ac:dyDescent="0.25">
      <c r="A7" s="26" t="str">
        <f>IF(Productos!A7="","",Productos!A7)</f>
        <v>AN003</v>
      </c>
      <c r="B7" s="26" t="str">
        <f>IF(Productos!A7="","",Productos!B7)</f>
        <v>Anillo marte oro</v>
      </c>
      <c r="C7" s="26" t="str">
        <f>IF(Productos!A7="","",Productos!C7)</f>
        <v>Anillos</v>
      </c>
      <c r="D7" s="26" t="str">
        <f>IF(Productos!A7="","",Productos!D7)</f>
        <v>Proveedor B</v>
      </c>
      <c r="E7" s="27">
        <f>IF(Productos!A7="","",Productos!E7)</f>
        <v>4</v>
      </c>
      <c r="F7" s="27">
        <f>IF(Productos!A7="","",Productos!F7)</f>
        <v>12</v>
      </c>
      <c r="G7" s="27">
        <f>IF(A7="","",SUMIF('Compras Entradas'!$C$5:$C$504,A7,'Compras Entradas'!$E$5:$E$504))</f>
        <v>0</v>
      </c>
      <c r="H7" s="27">
        <f>IF(A7="","",SUMIF('Ventas Salidas'!$C$5:$C$504,A7,'Ventas Salidas'!$E$5:$E$504))</f>
        <v>0</v>
      </c>
      <c r="I7" s="27">
        <f t="shared" si="0"/>
        <v>12</v>
      </c>
      <c r="J7" s="26" t="str">
        <f t="shared" si="1"/>
        <v>OK</v>
      </c>
      <c r="K7" s="26" t="str">
        <f t="shared" si="2"/>
        <v>Stock suficiente</v>
      </c>
      <c r="L7" s="22"/>
      <c r="M7" s="22" t="str">
        <f>IF(A7="","",IF(OR(J7="Bajo stock",J7="Sin stock"),COUNTIFS($J$5:$J7,"Bajo stock")+COUNTIFS($J$5:$J7,"Sin stock"),""))</f>
        <v/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21.75" customHeight="1" x14ac:dyDescent="0.25">
      <c r="A8" s="26" t="str">
        <f>IF(Productos!A8="","",Productos!A8)</f>
        <v>PU001</v>
      </c>
      <c r="B8" s="26" t="str">
        <f>IF(Productos!A8="","",Productos!B8)</f>
        <v>Pulsera rubí plata</v>
      </c>
      <c r="C8" s="26" t="str">
        <f>IF(Productos!A8="","",Productos!C8)</f>
        <v>Pulseras</v>
      </c>
      <c r="D8" s="26" t="str">
        <f>IF(Productos!A8="","",Productos!D8)</f>
        <v>Proveedor B</v>
      </c>
      <c r="E8" s="27">
        <f>IF(Productos!A8="","",Productos!E8)</f>
        <v>3</v>
      </c>
      <c r="F8" s="27">
        <f>IF(Productos!A8="","",Productos!F8)</f>
        <v>10</v>
      </c>
      <c r="G8" s="27">
        <f>IF(A8="","",SUMIF('Compras Entradas'!$C$5:$C$504,A8,'Compras Entradas'!$E$5:$E$504))</f>
        <v>10</v>
      </c>
      <c r="H8" s="27">
        <f>IF(A8="","",SUMIF('Ventas Salidas'!$C$5:$C$504,A8,'Ventas Salidas'!$E$5:$E$504))</f>
        <v>3</v>
      </c>
      <c r="I8" s="27">
        <f t="shared" si="0"/>
        <v>17</v>
      </c>
      <c r="J8" s="26" t="str">
        <f t="shared" si="1"/>
        <v>OK</v>
      </c>
      <c r="K8" s="26" t="str">
        <f t="shared" si="2"/>
        <v>Stock suficiente</v>
      </c>
      <c r="L8" s="22"/>
      <c r="M8" s="22" t="str">
        <f>IF(A8="","",IF(OR(J8="Bajo stock",J8="Sin stock"),COUNTIFS($J$5:$J8,"Bajo stock")+COUNTIFS($J$5:$J8,"Sin stock"),""))</f>
        <v/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21.75" customHeight="1" x14ac:dyDescent="0.25">
      <c r="A9" s="26" t="str">
        <f>IF(Productos!A9="","",Productos!A9)</f>
        <v>PU002</v>
      </c>
      <c r="B9" s="26" t="str">
        <f>IF(Productos!A9="","",Productos!B9)</f>
        <v>Pulsera rubí oro</v>
      </c>
      <c r="C9" s="26" t="str">
        <f>IF(Productos!A9="","",Productos!C9)</f>
        <v>Pulseras</v>
      </c>
      <c r="D9" s="26" t="str">
        <f>IF(Productos!A9="","",Productos!D9)</f>
        <v>Proveedor B</v>
      </c>
      <c r="E9" s="27">
        <f>IF(Productos!A9="","",Productos!E9)</f>
        <v>3</v>
      </c>
      <c r="F9" s="27">
        <f>IF(Productos!A9="","",Productos!F9)</f>
        <v>8</v>
      </c>
      <c r="G9" s="27">
        <f>IF(A9="","",SUMIF('Compras Entradas'!$C$5:$C$504,A9,'Compras Entradas'!$E$5:$E$504))</f>
        <v>0</v>
      </c>
      <c r="H9" s="27">
        <f>IF(A9="","",SUMIF('Ventas Salidas'!$C$5:$C$504,A9,'Ventas Salidas'!$E$5:$E$504))</f>
        <v>0</v>
      </c>
      <c r="I9" s="27">
        <f t="shared" si="0"/>
        <v>8</v>
      </c>
      <c r="J9" s="26" t="str">
        <f t="shared" si="1"/>
        <v>OK</v>
      </c>
      <c r="K9" s="26" t="str">
        <f t="shared" si="2"/>
        <v>Stock suficiente</v>
      </c>
      <c r="L9" s="22"/>
      <c r="M9" s="22" t="str">
        <f>IF(A9="","",IF(OR(J9="Bajo stock",J9="Sin stock"),COUNTIFS($J$5:$J9,"Bajo stock")+COUNTIFS($J$5:$J9,"Sin stock"),""))</f>
        <v/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21.75" customHeight="1" x14ac:dyDescent="0.25">
      <c r="A10" s="26" t="str">
        <f>IF(Productos!A10="","",Productos!A10)</f>
        <v>PE001</v>
      </c>
      <c r="B10" s="26" t="str">
        <f>IF(Productos!A10="","",Productos!B10)</f>
        <v>Pendientes rubí plata</v>
      </c>
      <c r="C10" s="26" t="str">
        <f>IF(Productos!A10="","",Productos!C10)</f>
        <v>Pendientes</v>
      </c>
      <c r="D10" s="26" t="str">
        <f>IF(Productos!A10="","",Productos!D10)</f>
        <v>Proveedor C</v>
      </c>
      <c r="E10" s="27">
        <f>IF(Productos!A10="","",Productos!E10)</f>
        <v>4</v>
      </c>
      <c r="F10" s="27">
        <f>IF(Productos!A10="","",Productos!F10)</f>
        <v>18</v>
      </c>
      <c r="G10" s="27">
        <f>IF(A10="","",SUMIF('Compras Entradas'!$C$5:$C$504,A10,'Compras Entradas'!$E$5:$E$504))</f>
        <v>0</v>
      </c>
      <c r="H10" s="27">
        <f>IF(A10="","",SUMIF('Ventas Salidas'!$C$5:$C$504,A10,'Ventas Salidas'!$E$5:$E$504))</f>
        <v>0</v>
      </c>
      <c r="I10" s="27">
        <f t="shared" si="0"/>
        <v>18</v>
      </c>
      <c r="J10" s="26" t="str">
        <f t="shared" si="1"/>
        <v>OK</v>
      </c>
      <c r="K10" s="26" t="str">
        <f t="shared" si="2"/>
        <v>Stock suficiente</v>
      </c>
      <c r="L10" s="22"/>
      <c r="M10" s="22" t="str">
        <f>IF(A10="","",IF(OR(J10="Bajo stock",J10="Sin stock"),COUNTIFS($J$5:$J10,"Bajo stock")+COUNTIFS($J$5:$J10,"Sin stock"),""))</f>
        <v/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21.75" customHeight="1" x14ac:dyDescent="0.25">
      <c r="A11" s="26" t="str">
        <f>IF(Productos!A11="","",Productos!A11)</f>
        <v>PE002</v>
      </c>
      <c r="B11" s="26" t="str">
        <f>IF(Productos!A11="","",Productos!B11)</f>
        <v>Pendientes camee vermeil</v>
      </c>
      <c r="C11" s="26" t="str">
        <f>IF(Productos!A11="","",Productos!C11)</f>
        <v>Pendientes</v>
      </c>
      <c r="D11" s="26" t="str">
        <f>IF(Productos!A11="","",Productos!D11)</f>
        <v>Proveedor C</v>
      </c>
      <c r="E11" s="27">
        <f>IF(Productos!A11="","",Productos!E11)</f>
        <v>4</v>
      </c>
      <c r="F11" s="27">
        <f>IF(Productos!A11="","",Productos!F11)</f>
        <v>11</v>
      </c>
      <c r="G11" s="27">
        <f>IF(A11="","",SUMIF('Compras Entradas'!$C$5:$C$504,A11,'Compras Entradas'!$E$5:$E$504))</f>
        <v>0</v>
      </c>
      <c r="H11" s="27">
        <f>IF(A11="","",SUMIF('Ventas Salidas'!$C$5:$C$504,A11,'Ventas Salidas'!$E$5:$E$504))</f>
        <v>0</v>
      </c>
      <c r="I11" s="27">
        <f t="shared" si="0"/>
        <v>11</v>
      </c>
      <c r="J11" s="26" t="str">
        <f t="shared" si="1"/>
        <v>OK</v>
      </c>
      <c r="K11" s="26" t="str">
        <f t="shared" si="2"/>
        <v>Stock suficiente</v>
      </c>
      <c r="L11" s="22"/>
      <c r="M11" s="22" t="str">
        <f>IF(A11="","",IF(OR(J11="Bajo stock",J11="Sin stock"),COUNTIFS($J$5:$J11,"Bajo stock")+COUNTIFS($J$5:$J11,"Sin stock"),""))</f>
        <v/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21.75" customHeight="1" x14ac:dyDescent="0.25">
      <c r="A12" s="26" t="str">
        <f>IF(Productos!A12="","",Productos!A12)</f>
        <v>PE003</v>
      </c>
      <c r="B12" s="26" t="str">
        <f>IF(Productos!A12="","",Productos!B12)</f>
        <v>Pendientes ídolo oro rosa</v>
      </c>
      <c r="C12" s="26" t="str">
        <f>IF(Productos!A12="","",Productos!C12)</f>
        <v>Pendientes</v>
      </c>
      <c r="D12" s="26" t="str">
        <f>IF(Productos!A12="","",Productos!D12)</f>
        <v>Proveedor C</v>
      </c>
      <c r="E12" s="27">
        <f>IF(Productos!A12="","",Productos!E12)</f>
        <v>4</v>
      </c>
      <c r="F12" s="27">
        <f>IF(Productos!A12="","",Productos!F12)</f>
        <v>0</v>
      </c>
      <c r="G12" s="27">
        <f>IF(A12="","",SUMIF('Compras Entradas'!$C$5:$C$504,A12,'Compras Entradas'!$E$5:$E$504))</f>
        <v>20</v>
      </c>
      <c r="H12" s="27">
        <f>IF(A12="","",SUMIF('Ventas Salidas'!$C$5:$C$504,A12,'Ventas Salidas'!$E$5:$E$504))</f>
        <v>2</v>
      </c>
      <c r="I12" s="27">
        <f t="shared" si="0"/>
        <v>18</v>
      </c>
      <c r="J12" s="26" t="str">
        <f t="shared" si="1"/>
        <v>OK</v>
      </c>
      <c r="K12" s="26" t="str">
        <f t="shared" si="2"/>
        <v>Stock suficiente</v>
      </c>
      <c r="L12" s="22"/>
      <c r="M12" s="22" t="str">
        <f>IF(A12="","",IF(OR(J12="Bajo stock",J12="Sin stock"),COUNTIFS($J$5:$J12,"Bajo stock")+COUNTIFS($J$5:$J12,"Sin stock"),""))</f>
        <v/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21.75" customHeight="1" x14ac:dyDescent="0.25">
      <c r="A13" s="26" t="str">
        <f>IF(Productos!A13="","",Productos!A13)</f>
        <v>AN004</v>
      </c>
      <c r="B13" s="26" t="str">
        <f>IF(Productos!A13="","",Productos!B13)</f>
        <v>Anillo tierra plata</v>
      </c>
      <c r="C13" s="26" t="str">
        <f>IF(Productos!A13="","",Productos!C13)</f>
        <v>Anillos</v>
      </c>
      <c r="D13" s="26" t="str">
        <f>IF(Productos!A13="","",Productos!D13)</f>
        <v>Proveedor A</v>
      </c>
      <c r="E13" s="27">
        <f>IF(Productos!A13="","",Productos!E13)</f>
        <v>5</v>
      </c>
      <c r="F13" s="27">
        <f>IF(Productos!A13="","",Productos!F13)</f>
        <v>14</v>
      </c>
      <c r="G13" s="27">
        <f>IF(A13="","",SUMIF('Compras Entradas'!$C$5:$C$504,A13,'Compras Entradas'!$E$5:$E$504))</f>
        <v>0</v>
      </c>
      <c r="H13" s="27">
        <f>IF(A13="","",SUMIF('Ventas Salidas'!$C$5:$C$504,A13,'Ventas Salidas'!$E$5:$E$504))</f>
        <v>0</v>
      </c>
      <c r="I13" s="27">
        <f t="shared" si="0"/>
        <v>14</v>
      </c>
      <c r="J13" s="26" t="str">
        <f t="shared" si="1"/>
        <v>OK</v>
      </c>
      <c r="K13" s="26" t="str">
        <f t="shared" si="2"/>
        <v>Stock suficiente</v>
      </c>
      <c r="L13" s="22"/>
      <c r="M13" s="22" t="str">
        <f>IF(A13="","",IF(OR(J13="Bajo stock",J13="Sin stock"),COUNTIFS($J$5:$J13,"Bajo stock")+COUNTIFS($J$5:$J13,"Sin stock"),""))</f>
        <v/>
      </c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21.75" customHeight="1" x14ac:dyDescent="0.25">
      <c r="A14" s="26" t="str">
        <f>IF(Productos!A14="","",Productos!A14)</f>
        <v>AN005</v>
      </c>
      <c r="B14" s="26" t="str">
        <f>IF(Productos!A14="","",Productos!B14)</f>
        <v>Anillo cielo plata</v>
      </c>
      <c r="C14" s="26" t="str">
        <f>IF(Productos!A14="","",Productos!C14)</f>
        <v>Anillos</v>
      </c>
      <c r="D14" s="26" t="str">
        <f>IF(Productos!A14="","",Productos!D14)</f>
        <v>Proveedor A</v>
      </c>
      <c r="E14" s="27">
        <f>IF(Productos!A14="","",Productos!E14)</f>
        <v>5</v>
      </c>
      <c r="F14" s="27">
        <f>IF(Productos!A14="","",Productos!F14)</f>
        <v>9</v>
      </c>
      <c r="G14" s="27">
        <f>IF(A14="","",SUMIF('Compras Entradas'!$C$5:$C$504,A14,'Compras Entradas'!$E$5:$E$504))</f>
        <v>8</v>
      </c>
      <c r="H14" s="27">
        <f>IF(A14="","",SUMIF('Ventas Salidas'!$C$5:$C$504,A14,'Ventas Salidas'!$E$5:$E$504))</f>
        <v>10</v>
      </c>
      <c r="I14" s="27">
        <f t="shared" si="0"/>
        <v>7</v>
      </c>
      <c r="J14" s="26" t="str">
        <f t="shared" si="1"/>
        <v>OK</v>
      </c>
      <c r="K14" s="26" t="str">
        <f t="shared" si="2"/>
        <v>Stock suficiente</v>
      </c>
      <c r="L14" s="22"/>
      <c r="M14" s="22" t="str">
        <f>IF(A14="","",IF(OR(J14="Bajo stock",J14="Sin stock"),COUNTIFS($J$5:$J14,"Bajo stock")+COUNTIFS($J$5:$J14,"Sin stock"),""))</f>
        <v/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21.75" customHeight="1" x14ac:dyDescent="0.25">
      <c r="A15" s="26" t="str">
        <f>IF(Productos!A15="","",Productos!A15)</f>
        <v/>
      </c>
      <c r="B15" s="26" t="str">
        <f>IF(Productos!A15="","",Productos!B15)</f>
        <v/>
      </c>
      <c r="C15" s="26" t="str">
        <f>IF(Productos!A15="","",Productos!C15)</f>
        <v/>
      </c>
      <c r="D15" s="26" t="str">
        <f>IF(Productos!A15="","",Productos!D15)</f>
        <v/>
      </c>
      <c r="E15" s="27" t="str">
        <f>IF(Productos!A15="","",Productos!E15)</f>
        <v/>
      </c>
      <c r="F15" s="27" t="str">
        <f>IF(Productos!A15="","",Productos!F15)</f>
        <v/>
      </c>
      <c r="G15" s="27" t="str">
        <f>IF(A15="","",SUMIF('Compras Entradas'!$C$5:$C$504,A15,'Compras Entradas'!$E$5:$E$504))</f>
        <v/>
      </c>
      <c r="H15" s="27" t="str">
        <f>IF(A15="","",SUMIF('Ventas Salidas'!$C$5:$C$504,A15,'Ventas Salidas'!$E$5:$E$504))</f>
        <v/>
      </c>
      <c r="I15" s="27" t="str">
        <f t="shared" si="0"/>
        <v/>
      </c>
      <c r="J15" s="26" t="str">
        <f t="shared" si="1"/>
        <v/>
      </c>
      <c r="K15" s="26" t="str">
        <f t="shared" si="2"/>
        <v/>
      </c>
      <c r="L15" s="22"/>
      <c r="M15" s="22" t="str">
        <f>IF(A15="","",IF(OR(J15="Bajo stock",J15="Sin stock"),COUNTIFS($J$5:$J15,"Bajo stock")+COUNTIFS($J$5:$J15,"Sin stock"),""))</f>
        <v/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21.75" customHeight="1" x14ac:dyDescent="0.25">
      <c r="A16" s="26" t="str">
        <f>IF(Productos!A16="","",Productos!A16)</f>
        <v/>
      </c>
      <c r="B16" s="26" t="str">
        <f>IF(Productos!A16="","",Productos!B16)</f>
        <v/>
      </c>
      <c r="C16" s="26" t="str">
        <f>IF(Productos!A16="","",Productos!C16)</f>
        <v/>
      </c>
      <c r="D16" s="26" t="str">
        <f>IF(Productos!A16="","",Productos!D16)</f>
        <v/>
      </c>
      <c r="E16" s="27" t="str">
        <f>IF(Productos!A16="","",Productos!E16)</f>
        <v/>
      </c>
      <c r="F16" s="27" t="str">
        <f>IF(Productos!A16="","",Productos!F16)</f>
        <v/>
      </c>
      <c r="G16" s="27" t="str">
        <f>IF(A16="","",SUMIF('Compras Entradas'!$C$5:$C$504,A16,'Compras Entradas'!$E$5:$E$504))</f>
        <v/>
      </c>
      <c r="H16" s="27" t="str">
        <f>IF(A16="","",SUMIF('Ventas Salidas'!$C$5:$C$504,A16,'Ventas Salidas'!$E$5:$E$504))</f>
        <v/>
      </c>
      <c r="I16" s="27" t="str">
        <f t="shared" si="0"/>
        <v/>
      </c>
      <c r="J16" s="26" t="str">
        <f t="shared" si="1"/>
        <v/>
      </c>
      <c r="K16" s="26" t="str">
        <f t="shared" si="2"/>
        <v/>
      </c>
      <c r="L16" s="22"/>
      <c r="M16" s="22" t="str">
        <f>IF(A16="","",IF(OR(J16="Bajo stock",J16="Sin stock"),COUNTIFS($J$5:$J16,"Bajo stock")+COUNTIFS($J$5:$J16,"Sin stock"),""))</f>
        <v/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21.75" customHeight="1" x14ac:dyDescent="0.25">
      <c r="A17" s="26" t="str">
        <f>IF(Productos!A17="","",Productos!A17)</f>
        <v/>
      </c>
      <c r="B17" s="26" t="str">
        <f>IF(Productos!A17="","",Productos!B17)</f>
        <v/>
      </c>
      <c r="C17" s="26" t="str">
        <f>IF(Productos!A17="","",Productos!C17)</f>
        <v/>
      </c>
      <c r="D17" s="26" t="str">
        <f>IF(Productos!A17="","",Productos!D17)</f>
        <v/>
      </c>
      <c r="E17" s="27" t="str">
        <f>IF(Productos!A17="","",Productos!E17)</f>
        <v/>
      </c>
      <c r="F17" s="27" t="str">
        <f>IF(Productos!A17="","",Productos!F17)</f>
        <v/>
      </c>
      <c r="G17" s="27" t="str">
        <f>IF(A17="","",SUMIF('Compras Entradas'!$C$5:$C$504,A17,'Compras Entradas'!$E$5:$E$504))</f>
        <v/>
      </c>
      <c r="H17" s="27" t="str">
        <f>IF(A17="","",SUMIF('Ventas Salidas'!$C$5:$C$504,A17,'Ventas Salidas'!$E$5:$E$504))</f>
        <v/>
      </c>
      <c r="I17" s="27" t="str">
        <f t="shared" si="0"/>
        <v/>
      </c>
      <c r="J17" s="26" t="str">
        <f t="shared" si="1"/>
        <v/>
      </c>
      <c r="K17" s="26" t="str">
        <f t="shared" si="2"/>
        <v/>
      </c>
      <c r="L17" s="22"/>
      <c r="M17" s="22" t="str">
        <f>IF(A17="","",IF(OR(J17="Bajo stock",J17="Sin stock"),COUNTIFS($J$5:$J17,"Bajo stock")+COUNTIFS($J$5:$J17,"Sin stock"),""))</f>
        <v/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21.75" customHeight="1" x14ac:dyDescent="0.25">
      <c r="A18" s="26" t="str">
        <f>IF(Productos!A18="","",Productos!A18)</f>
        <v/>
      </c>
      <c r="B18" s="26" t="str">
        <f>IF(Productos!A18="","",Productos!B18)</f>
        <v/>
      </c>
      <c r="C18" s="26" t="str">
        <f>IF(Productos!A18="","",Productos!C18)</f>
        <v/>
      </c>
      <c r="D18" s="26" t="str">
        <f>IF(Productos!A18="","",Productos!D18)</f>
        <v/>
      </c>
      <c r="E18" s="27" t="str">
        <f>IF(Productos!A18="","",Productos!E18)</f>
        <v/>
      </c>
      <c r="F18" s="27" t="str">
        <f>IF(Productos!A18="","",Productos!F18)</f>
        <v/>
      </c>
      <c r="G18" s="27" t="str">
        <f>IF(A18="","",SUMIF('Compras Entradas'!$C$5:$C$504,A18,'Compras Entradas'!$E$5:$E$504))</f>
        <v/>
      </c>
      <c r="H18" s="27" t="str">
        <f>IF(A18="","",SUMIF('Ventas Salidas'!$C$5:$C$504,A18,'Ventas Salidas'!$E$5:$E$504))</f>
        <v/>
      </c>
      <c r="I18" s="27" t="str">
        <f t="shared" si="0"/>
        <v/>
      </c>
      <c r="J18" s="26" t="str">
        <f t="shared" si="1"/>
        <v/>
      </c>
      <c r="K18" s="26" t="str">
        <f t="shared" si="2"/>
        <v/>
      </c>
      <c r="L18" s="22"/>
      <c r="M18" s="22" t="str">
        <f>IF(A18="","",IF(OR(J18="Bajo stock",J18="Sin stock"),COUNTIFS($J$5:$J18,"Bajo stock")+COUNTIFS($J$5:$J18,"Sin stock"),""))</f>
        <v/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21.75" customHeight="1" x14ac:dyDescent="0.25">
      <c r="A19" s="26" t="str">
        <f>IF(Productos!A19="","",Productos!A19)</f>
        <v/>
      </c>
      <c r="B19" s="26" t="str">
        <f>IF(Productos!A19="","",Productos!B19)</f>
        <v/>
      </c>
      <c r="C19" s="26" t="str">
        <f>IF(Productos!A19="","",Productos!C19)</f>
        <v/>
      </c>
      <c r="D19" s="26" t="str">
        <f>IF(Productos!A19="","",Productos!D19)</f>
        <v/>
      </c>
      <c r="E19" s="27" t="str">
        <f>IF(Productos!A19="","",Productos!E19)</f>
        <v/>
      </c>
      <c r="F19" s="27" t="str">
        <f>IF(Productos!A19="","",Productos!F19)</f>
        <v/>
      </c>
      <c r="G19" s="27" t="str">
        <f>IF(A19="","",SUMIF('Compras Entradas'!$C$5:$C$504,A19,'Compras Entradas'!$E$5:$E$504))</f>
        <v/>
      </c>
      <c r="H19" s="27" t="str">
        <f>IF(A19="","",SUMIF('Ventas Salidas'!$C$5:$C$504,A19,'Ventas Salidas'!$E$5:$E$504))</f>
        <v/>
      </c>
      <c r="I19" s="27" t="str">
        <f t="shared" si="0"/>
        <v/>
      </c>
      <c r="J19" s="26" t="str">
        <f t="shared" si="1"/>
        <v/>
      </c>
      <c r="K19" s="26" t="str">
        <f t="shared" si="2"/>
        <v/>
      </c>
      <c r="L19" s="22"/>
      <c r="M19" s="22" t="str">
        <f>IF(A19="","",IF(OR(J19="Bajo stock",J19="Sin stock"),COUNTIFS($J$5:$J19,"Bajo stock")+COUNTIFS($J$5:$J19,"Sin stock"),""))</f>
        <v/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21.75" customHeight="1" x14ac:dyDescent="0.25">
      <c r="A20" s="26" t="str">
        <f>IF(Productos!A20="","",Productos!A20)</f>
        <v/>
      </c>
      <c r="B20" s="26" t="str">
        <f>IF(Productos!A20="","",Productos!B20)</f>
        <v/>
      </c>
      <c r="C20" s="26" t="str">
        <f>IF(Productos!A20="","",Productos!C20)</f>
        <v/>
      </c>
      <c r="D20" s="26" t="str">
        <f>IF(Productos!A20="","",Productos!D20)</f>
        <v/>
      </c>
      <c r="E20" s="27" t="str">
        <f>IF(Productos!A20="","",Productos!E20)</f>
        <v/>
      </c>
      <c r="F20" s="27" t="str">
        <f>IF(Productos!A20="","",Productos!F20)</f>
        <v/>
      </c>
      <c r="G20" s="27" t="str">
        <f>IF(A20="","",SUMIF('Compras Entradas'!$C$5:$C$504,A20,'Compras Entradas'!$E$5:$E$504))</f>
        <v/>
      </c>
      <c r="H20" s="27" t="str">
        <f>IF(A20="","",SUMIF('Ventas Salidas'!$C$5:$C$504,A20,'Ventas Salidas'!$E$5:$E$504))</f>
        <v/>
      </c>
      <c r="I20" s="27" t="str">
        <f t="shared" si="0"/>
        <v/>
      </c>
      <c r="J20" s="26" t="str">
        <f t="shared" si="1"/>
        <v/>
      </c>
      <c r="K20" s="26" t="str">
        <f t="shared" si="2"/>
        <v/>
      </c>
      <c r="L20" s="22"/>
      <c r="M20" s="22" t="str">
        <f>IF(A20="","",IF(OR(J20="Bajo stock",J20="Sin stock"),COUNTIFS($J$5:$J20,"Bajo stock")+COUNTIFS($J$5:$J20,"Sin stock"),""))</f>
        <v/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21.75" customHeight="1" x14ac:dyDescent="0.25">
      <c r="A21" s="26" t="str">
        <f>IF(Productos!A21="","",Productos!A21)</f>
        <v/>
      </c>
      <c r="B21" s="26" t="str">
        <f>IF(Productos!A21="","",Productos!B21)</f>
        <v/>
      </c>
      <c r="C21" s="26" t="str">
        <f>IF(Productos!A21="","",Productos!C21)</f>
        <v/>
      </c>
      <c r="D21" s="26" t="str">
        <f>IF(Productos!A21="","",Productos!D21)</f>
        <v/>
      </c>
      <c r="E21" s="27" t="str">
        <f>IF(Productos!A21="","",Productos!E21)</f>
        <v/>
      </c>
      <c r="F21" s="27" t="str">
        <f>IF(Productos!A21="","",Productos!F21)</f>
        <v/>
      </c>
      <c r="G21" s="27" t="str">
        <f>IF(A21="","",SUMIF('Compras Entradas'!$C$5:$C$504,A21,'Compras Entradas'!$E$5:$E$504))</f>
        <v/>
      </c>
      <c r="H21" s="27" t="str">
        <f>IF(A21="","",SUMIF('Ventas Salidas'!$C$5:$C$504,A21,'Ventas Salidas'!$E$5:$E$504))</f>
        <v/>
      </c>
      <c r="I21" s="27" t="str">
        <f t="shared" si="0"/>
        <v/>
      </c>
      <c r="J21" s="26" t="str">
        <f t="shared" si="1"/>
        <v/>
      </c>
      <c r="K21" s="26" t="str">
        <f t="shared" si="2"/>
        <v/>
      </c>
      <c r="L21" s="22"/>
      <c r="M21" s="22" t="str">
        <f>IF(A21="","",IF(OR(J21="Bajo stock",J21="Sin stock"),COUNTIFS($J$5:$J21,"Bajo stock")+COUNTIFS($J$5:$J21,"Sin stock"),""))</f>
        <v/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21.75" customHeight="1" x14ac:dyDescent="0.25">
      <c r="A22" s="26" t="str">
        <f>IF(Productos!A22="","",Productos!A22)</f>
        <v/>
      </c>
      <c r="B22" s="26" t="str">
        <f>IF(Productos!A22="","",Productos!B22)</f>
        <v/>
      </c>
      <c r="C22" s="26" t="str">
        <f>IF(Productos!A22="","",Productos!C22)</f>
        <v/>
      </c>
      <c r="D22" s="26" t="str">
        <f>IF(Productos!A22="","",Productos!D22)</f>
        <v/>
      </c>
      <c r="E22" s="27" t="str">
        <f>IF(Productos!A22="","",Productos!E22)</f>
        <v/>
      </c>
      <c r="F22" s="27" t="str">
        <f>IF(Productos!A22="","",Productos!F22)</f>
        <v/>
      </c>
      <c r="G22" s="27" t="str">
        <f>IF(A22="","",SUMIF('Compras Entradas'!$C$5:$C$504,A22,'Compras Entradas'!$E$5:$E$504))</f>
        <v/>
      </c>
      <c r="H22" s="27" t="str">
        <f>IF(A22="","",SUMIF('Ventas Salidas'!$C$5:$C$504,A22,'Ventas Salidas'!$E$5:$E$504))</f>
        <v/>
      </c>
      <c r="I22" s="27" t="str">
        <f t="shared" si="0"/>
        <v/>
      </c>
      <c r="J22" s="26" t="str">
        <f t="shared" si="1"/>
        <v/>
      </c>
      <c r="K22" s="26" t="str">
        <f t="shared" si="2"/>
        <v/>
      </c>
      <c r="L22" s="22"/>
      <c r="M22" s="22" t="str">
        <f>IF(A22="","",IF(OR(J22="Bajo stock",J22="Sin stock"),COUNTIFS($J$5:$J22,"Bajo stock")+COUNTIFS($J$5:$J22,"Sin stock"),""))</f>
        <v/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21.75" customHeight="1" x14ac:dyDescent="0.25">
      <c r="A23" s="26" t="str">
        <f>IF(Productos!A23="","",Productos!A23)</f>
        <v/>
      </c>
      <c r="B23" s="26" t="str">
        <f>IF(Productos!A23="","",Productos!B23)</f>
        <v/>
      </c>
      <c r="C23" s="26" t="str">
        <f>IF(Productos!A23="","",Productos!C23)</f>
        <v/>
      </c>
      <c r="D23" s="26" t="str">
        <f>IF(Productos!A23="","",Productos!D23)</f>
        <v/>
      </c>
      <c r="E23" s="27" t="str">
        <f>IF(Productos!A23="","",Productos!E23)</f>
        <v/>
      </c>
      <c r="F23" s="27" t="str">
        <f>IF(Productos!A23="","",Productos!F23)</f>
        <v/>
      </c>
      <c r="G23" s="27" t="str">
        <f>IF(A23="","",SUMIF('Compras Entradas'!$C$5:$C$504,A23,'Compras Entradas'!$E$5:$E$504))</f>
        <v/>
      </c>
      <c r="H23" s="27" t="str">
        <f>IF(A23="","",SUMIF('Ventas Salidas'!$C$5:$C$504,A23,'Ventas Salidas'!$E$5:$E$504))</f>
        <v/>
      </c>
      <c r="I23" s="27" t="str">
        <f t="shared" si="0"/>
        <v/>
      </c>
      <c r="J23" s="26" t="str">
        <f t="shared" si="1"/>
        <v/>
      </c>
      <c r="K23" s="26" t="str">
        <f t="shared" si="2"/>
        <v/>
      </c>
      <c r="L23" s="22"/>
      <c r="M23" s="22" t="str">
        <f>IF(A23="","",IF(OR(J23="Bajo stock",J23="Sin stock"),COUNTIFS($J$5:$J23,"Bajo stock")+COUNTIFS($J$5:$J23,"Sin stock"),""))</f>
        <v/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21.75" customHeight="1" x14ac:dyDescent="0.25">
      <c r="A24" s="26" t="str">
        <f>IF(Productos!A24="","",Productos!A24)</f>
        <v/>
      </c>
      <c r="B24" s="26" t="str">
        <f>IF(Productos!A24="","",Productos!B24)</f>
        <v/>
      </c>
      <c r="C24" s="26" t="str">
        <f>IF(Productos!A24="","",Productos!C24)</f>
        <v/>
      </c>
      <c r="D24" s="26" t="str">
        <f>IF(Productos!A24="","",Productos!D24)</f>
        <v/>
      </c>
      <c r="E24" s="27" t="str">
        <f>IF(Productos!A24="","",Productos!E24)</f>
        <v/>
      </c>
      <c r="F24" s="27" t="str">
        <f>IF(Productos!A24="","",Productos!F24)</f>
        <v/>
      </c>
      <c r="G24" s="27" t="str">
        <f>IF(A24="","",SUMIF('Compras Entradas'!$C$5:$C$504,A24,'Compras Entradas'!$E$5:$E$504))</f>
        <v/>
      </c>
      <c r="H24" s="27" t="str">
        <f>IF(A24="","",SUMIF('Ventas Salidas'!$C$5:$C$504,A24,'Ventas Salidas'!$E$5:$E$504))</f>
        <v/>
      </c>
      <c r="I24" s="27" t="str">
        <f t="shared" si="0"/>
        <v/>
      </c>
      <c r="J24" s="26" t="str">
        <f t="shared" si="1"/>
        <v/>
      </c>
      <c r="K24" s="26" t="str">
        <f t="shared" si="2"/>
        <v/>
      </c>
      <c r="L24" s="22"/>
      <c r="M24" s="22" t="str">
        <f>IF(A24="","",IF(OR(J24="Bajo stock",J24="Sin stock"),COUNTIFS($J$5:$J24,"Bajo stock")+COUNTIFS($J$5:$J24,"Sin stock"),""))</f>
        <v/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21.75" customHeight="1" x14ac:dyDescent="0.25">
      <c r="A25" s="26" t="str">
        <f>IF(Productos!A25="","",Productos!A25)</f>
        <v/>
      </c>
      <c r="B25" s="26" t="str">
        <f>IF(Productos!A25="","",Productos!B25)</f>
        <v/>
      </c>
      <c r="C25" s="26" t="str">
        <f>IF(Productos!A25="","",Productos!C25)</f>
        <v/>
      </c>
      <c r="D25" s="26" t="str">
        <f>IF(Productos!A25="","",Productos!D25)</f>
        <v/>
      </c>
      <c r="E25" s="27" t="str">
        <f>IF(Productos!A25="","",Productos!E25)</f>
        <v/>
      </c>
      <c r="F25" s="27" t="str">
        <f>IF(Productos!A25="","",Productos!F25)</f>
        <v/>
      </c>
      <c r="G25" s="27" t="str">
        <f>IF(A25="","",SUMIF('Compras Entradas'!$C$5:$C$504,A25,'Compras Entradas'!$E$5:$E$504))</f>
        <v/>
      </c>
      <c r="H25" s="27" t="str">
        <f>IF(A25="","",SUMIF('Ventas Salidas'!$C$5:$C$504,A25,'Ventas Salidas'!$E$5:$E$504))</f>
        <v/>
      </c>
      <c r="I25" s="27" t="str">
        <f t="shared" si="0"/>
        <v/>
      </c>
      <c r="J25" s="26" t="str">
        <f t="shared" si="1"/>
        <v/>
      </c>
      <c r="K25" s="26" t="str">
        <f t="shared" si="2"/>
        <v/>
      </c>
      <c r="L25" s="22"/>
      <c r="M25" s="22" t="str">
        <f>IF(A25="","",IF(OR(J25="Bajo stock",J25="Sin stock"),COUNTIFS($J$5:$J25,"Bajo stock")+COUNTIFS($J$5:$J25,"Sin stock"),""))</f>
        <v/>
      </c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21.75" customHeight="1" x14ac:dyDescent="0.25">
      <c r="A26" s="26" t="str">
        <f>IF(Productos!A26="","",Productos!A26)</f>
        <v/>
      </c>
      <c r="B26" s="26" t="str">
        <f>IF(Productos!A26="","",Productos!B26)</f>
        <v/>
      </c>
      <c r="C26" s="26" t="str">
        <f>IF(Productos!A26="","",Productos!C26)</f>
        <v/>
      </c>
      <c r="D26" s="26" t="str">
        <f>IF(Productos!A26="","",Productos!D26)</f>
        <v/>
      </c>
      <c r="E26" s="27" t="str">
        <f>IF(Productos!A26="","",Productos!E26)</f>
        <v/>
      </c>
      <c r="F26" s="27" t="str">
        <f>IF(Productos!A26="","",Productos!F26)</f>
        <v/>
      </c>
      <c r="G26" s="27" t="str">
        <f>IF(A26="","",SUMIF('Compras Entradas'!$C$5:$C$504,A26,'Compras Entradas'!$E$5:$E$504))</f>
        <v/>
      </c>
      <c r="H26" s="27" t="str">
        <f>IF(A26="","",SUMIF('Ventas Salidas'!$C$5:$C$504,A26,'Ventas Salidas'!$E$5:$E$504))</f>
        <v/>
      </c>
      <c r="I26" s="27" t="str">
        <f t="shared" si="0"/>
        <v/>
      </c>
      <c r="J26" s="26" t="str">
        <f t="shared" si="1"/>
        <v/>
      </c>
      <c r="K26" s="26" t="str">
        <f t="shared" si="2"/>
        <v/>
      </c>
      <c r="L26" s="22"/>
      <c r="M26" s="22" t="str">
        <f>IF(A26="","",IF(OR(J26="Bajo stock",J26="Sin stock"),COUNTIFS($J$5:$J26,"Bajo stock")+COUNTIFS($J$5:$J26,"Sin stock"),""))</f>
        <v/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21.75" customHeight="1" x14ac:dyDescent="0.25">
      <c r="A27" s="26" t="str">
        <f>IF(Productos!A27="","",Productos!A27)</f>
        <v/>
      </c>
      <c r="B27" s="26" t="str">
        <f>IF(Productos!A27="","",Productos!B27)</f>
        <v/>
      </c>
      <c r="C27" s="26" t="str">
        <f>IF(Productos!A27="","",Productos!C27)</f>
        <v/>
      </c>
      <c r="D27" s="26" t="str">
        <f>IF(Productos!A27="","",Productos!D27)</f>
        <v/>
      </c>
      <c r="E27" s="27" t="str">
        <f>IF(Productos!A27="","",Productos!E27)</f>
        <v/>
      </c>
      <c r="F27" s="27" t="str">
        <f>IF(Productos!A27="","",Productos!F27)</f>
        <v/>
      </c>
      <c r="G27" s="27" t="str">
        <f>IF(A27="","",SUMIF('Compras Entradas'!$C$5:$C$504,A27,'Compras Entradas'!$E$5:$E$504))</f>
        <v/>
      </c>
      <c r="H27" s="27" t="str">
        <f>IF(A27="","",SUMIF('Ventas Salidas'!$C$5:$C$504,A27,'Ventas Salidas'!$E$5:$E$504))</f>
        <v/>
      </c>
      <c r="I27" s="27" t="str">
        <f t="shared" si="0"/>
        <v/>
      </c>
      <c r="J27" s="26" t="str">
        <f t="shared" si="1"/>
        <v/>
      </c>
      <c r="K27" s="26" t="str">
        <f t="shared" si="2"/>
        <v/>
      </c>
      <c r="L27" s="22"/>
      <c r="M27" s="22" t="str">
        <f>IF(A27="","",IF(OR(J27="Bajo stock",J27="Sin stock"),COUNTIFS($J$5:$J27,"Bajo stock")+COUNTIFS($J$5:$J27,"Sin stock"),""))</f>
        <v/>
      </c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21.75" customHeight="1" x14ac:dyDescent="0.25">
      <c r="A28" s="26" t="str">
        <f>IF(Productos!A28="","",Productos!A28)</f>
        <v/>
      </c>
      <c r="B28" s="26" t="str">
        <f>IF(Productos!A28="","",Productos!B28)</f>
        <v/>
      </c>
      <c r="C28" s="26" t="str">
        <f>IF(Productos!A28="","",Productos!C28)</f>
        <v/>
      </c>
      <c r="D28" s="26" t="str">
        <f>IF(Productos!A28="","",Productos!D28)</f>
        <v/>
      </c>
      <c r="E28" s="27" t="str">
        <f>IF(Productos!A28="","",Productos!E28)</f>
        <v/>
      </c>
      <c r="F28" s="27" t="str">
        <f>IF(Productos!A28="","",Productos!F28)</f>
        <v/>
      </c>
      <c r="G28" s="27" t="str">
        <f>IF(A28="","",SUMIF('Compras Entradas'!$C$5:$C$504,A28,'Compras Entradas'!$E$5:$E$504))</f>
        <v/>
      </c>
      <c r="H28" s="27" t="str">
        <f>IF(A28="","",SUMIF('Ventas Salidas'!$C$5:$C$504,A28,'Ventas Salidas'!$E$5:$E$504))</f>
        <v/>
      </c>
      <c r="I28" s="27" t="str">
        <f t="shared" si="0"/>
        <v/>
      </c>
      <c r="J28" s="26" t="str">
        <f t="shared" si="1"/>
        <v/>
      </c>
      <c r="K28" s="26" t="str">
        <f t="shared" si="2"/>
        <v/>
      </c>
      <c r="L28" s="22"/>
      <c r="M28" s="22" t="str">
        <f>IF(A28="","",IF(OR(J28="Bajo stock",J28="Sin stock"),COUNTIFS($J$5:$J28,"Bajo stock")+COUNTIFS($J$5:$J28,"Sin stock"),""))</f>
        <v/>
      </c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21.75" customHeight="1" x14ac:dyDescent="0.25">
      <c r="A29" s="26" t="str">
        <f>IF(Productos!A29="","",Productos!A29)</f>
        <v/>
      </c>
      <c r="B29" s="26" t="str">
        <f>IF(Productos!A29="","",Productos!B29)</f>
        <v/>
      </c>
      <c r="C29" s="26" t="str">
        <f>IF(Productos!A29="","",Productos!C29)</f>
        <v/>
      </c>
      <c r="D29" s="26" t="str">
        <f>IF(Productos!A29="","",Productos!D29)</f>
        <v/>
      </c>
      <c r="E29" s="27" t="str">
        <f>IF(Productos!A29="","",Productos!E29)</f>
        <v/>
      </c>
      <c r="F29" s="27" t="str">
        <f>IF(Productos!A29="","",Productos!F29)</f>
        <v/>
      </c>
      <c r="G29" s="27" t="str">
        <f>IF(A29="","",SUMIF('Compras Entradas'!$C$5:$C$504,A29,'Compras Entradas'!$E$5:$E$504))</f>
        <v/>
      </c>
      <c r="H29" s="27" t="str">
        <f>IF(A29="","",SUMIF('Ventas Salidas'!$C$5:$C$504,A29,'Ventas Salidas'!$E$5:$E$504))</f>
        <v/>
      </c>
      <c r="I29" s="27" t="str">
        <f t="shared" si="0"/>
        <v/>
      </c>
      <c r="J29" s="26" t="str">
        <f t="shared" si="1"/>
        <v/>
      </c>
      <c r="K29" s="26" t="str">
        <f t="shared" si="2"/>
        <v/>
      </c>
      <c r="L29" s="22"/>
      <c r="M29" s="22" t="str">
        <f>IF(A29="","",IF(OR(J29="Bajo stock",J29="Sin stock"),COUNTIFS($J$5:$J29,"Bajo stock")+COUNTIFS($J$5:$J29,"Sin stock"),""))</f>
        <v/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21.75" customHeight="1" x14ac:dyDescent="0.25">
      <c r="A30" s="26" t="str">
        <f>IF(Productos!A30="","",Productos!A30)</f>
        <v/>
      </c>
      <c r="B30" s="26" t="str">
        <f>IF(Productos!A30="","",Productos!B30)</f>
        <v/>
      </c>
      <c r="C30" s="26" t="str">
        <f>IF(Productos!A30="","",Productos!C30)</f>
        <v/>
      </c>
      <c r="D30" s="26" t="str">
        <f>IF(Productos!A30="","",Productos!D30)</f>
        <v/>
      </c>
      <c r="E30" s="27" t="str">
        <f>IF(Productos!A30="","",Productos!E30)</f>
        <v/>
      </c>
      <c r="F30" s="27" t="str">
        <f>IF(Productos!A30="","",Productos!F30)</f>
        <v/>
      </c>
      <c r="G30" s="27" t="str">
        <f>IF(A30="","",SUMIF('Compras Entradas'!$C$5:$C$504,A30,'Compras Entradas'!$E$5:$E$504))</f>
        <v/>
      </c>
      <c r="H30" s="27" t="str">
        <f>IF(A30="","",SUMIF('Ventas Salidas'!$C$5:$C$504,A30,'Ventas Salidas'!$E$5:$E$504))</f>
        <v/>
      </c>
      <c r="I30" s="27" t="str">
        <f t="shared" si="0"/>
        <v/>
      </c>
      <c r="J30" s="26" t="str">
        <f t="shared" si="1"/>
        <v/>
      </c>
      <c r="K30" s="26" t="str">
        <f t="shared" si="2"/>
        <v/>
      </c>
      <c r="L30" s="22"/>
      <c r="M30" s="22" t="str">
        <f>IF(A30="","",IF(OR(J30="Bajo stock",J30="Sin stock"),COUNTIFS($J$5:$J30,"Bajo stock")+COUNTIFS($J$5:$J30,"Sin stock"),""))</f>
        <v/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21.75" customHeight="1" x14ac:dyDescent="0.25">
      <c r="A31" s="26" t="str">
        <f>IF(Productos!A31="","",Productos!A31)</f>
        <v/>
      </c>
      <c r="B31" s="26" t="str">
        <f>IF(Productos!A31="","",Productos!B31)</f>
        <v/>
      </c>
      <c r="C31" s="26" t="str">
        <f>IF(Productos!A31="","",Productos!C31)</f>
        <v/>
      </c>
      <c r="D31" s="26" t="str">
        <f>IF(Productos!A31="","",Productos!D31)</f>
        <v/>
      </c>
      <c r="E31" s="27" t="str">
        <f>IF(Productos!A31="","",Productos!E31)</f>
        <v/>
      </c>
      <c r="F31" s="27" t="str">
        <f>IF(Productos!A31="","",Productos!F31)</f>
        <v/>
      </c>
      <c r="G31" s="27" t="str">
        <f>IF(A31="","",SUMIF('Compras Entradas'!$C$5:$C$504,A31,'Compras Entradas'!$E$5:$E$504))</f>
        <v/>
      </c>
      <c r="H31" s="27" t="str">
        <f>IF(A31="","",SUMIF('Ventas Salidas'!$C$5:$C$504,A31,'Ventas Salidas'!$E$5:$E$504))</f>
        <v/>
      </c>
      <c r="I31" s="27" t="str">
        <f t="shared" si="0"/>
        <v/>
      </c>
      <c r="J31" s="26" t="str">
        <f t="shared" si="1"/>
        <v/>
      </c>
      <c r="K31" s="26" t="str">
        <f t="shared" si="2"/>
        <v/>
      </c>
      <c r="L31" s="22"/>
      <c r="M31" s="22" t="str">
        <f>IF(A31="","",IF(OR(J31="Bajo stock",J31="Sin stock"),COUNTIFS($J$5:$J31,"Bajo stock")+COUNTIFS($J$5:$J31,"Sin stock"),""))</f>
        <v/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21.75" customHeight="1" x14ac:dyDescent="0.25">
      <c r="A32" s="26" t="str">
        <f>IF(Productos!A32="","",Productos!A32)</f>
        <v/>
      </c>
      <c r="B32" s="26" t="str">
        <f>IF(Productos!A32="","",Productos!B32)</f>
        <v/>
      </c>
      <c r="C32" s="26" t="str">
        <f>IF(Productos!A32="","",Productos!C32)</f>
        <v/>
      </c>
      <c r="D32" s="26" t="str">
        <f>IF(Productos!A32="","",Productos!D32)</f>
        <v/>
      </c>
      <c r="E32" s="27" t="str">
        <f>IF(Productos!A32="","",Productos!E32)</f>
        <v/>
      </c>
      <c r="F32" s="27" t="str">
        <f>IF(Productos!A32="","",Productos!F32)</f>
        <v/>
      </c>
      <c r="G32" s="27" t="str">
        <f>IF(A32="","",SUMIF('Compras Entradas'!$C$5:$C$504,A32,'Compras Entradas'!$E$5:$E$504))</f>
        <v/>
      </c>
      <c r="H32" s="27" t="str">
        <f>IF(A32="","",SUMIF('Ventas Salidas'!$C$5:$C$504,A32,'Ventas Salidas'!$E$5:$E$504))</f>
        <v/>
      </c>
      <c r="I32" s="27" t="str">
        <f t="shared" si="0"/>
        <v/>
      </c>
      <c r="J32" s="26" t="str">
        <f t="shared" si="1"/>
        <v/>
      </c>
      <c r="K32" s="26" t="str">
        <f t="shared" si="2"/>
        <v/>
      </c>
      <c r="L32" s="22"/>
      <c r="M32" s="22" t="str">
        <f>IF(A32="","",IF(OR(J32="Bajo stock",J32="Sin stock"),COUNTIFS($J$5:$J32,"Bajo stock")+COUNTIFS($J$5:$J32,"Sin stock"),""))</f>
        <v/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21.75" customHeight="1" x14ac:dyDescent="0.25">
      <c r="A33" s="26" t="str">
        <f>IF(Productos!A33="","",Productos!A33)</f>
        <v/>
      </c>
      <c r="B33" s="26" t="str">
        <f>IF(Productos!A33="","",Productos!B33)</f>
        <v/>
      </c>
      <c r="C33" s="26" t="str">
        <f>IF(Productos!A33="","",Productos!C33)</f>
        <v/>
      </c>
      <c r="D33" s="26" t="str">
        <f>IF(Productos!A33="","",Productos!D33)</f>
        <v/>
      </c>
      <c r="E33" s="27" t="str">
        <f>IF(Productos!A33="","",Productos!E33)</f>
        <v/>
      </c>
      <c r="F33" s="27" t="str">
        <f>IF(Productos!A33="","",Productos!F33)</f>
        <v/>
      </c>
      <c r="G33" s="27" t="str">
        <f>IF(A33="","",SUMIF('Compras Entradas'!$C$5:$C$504,A33,'Compras Entradas'!$E$5:$E$504))</f>
        <v/>
      </c>
      <c r="H33" s="27" t="str">
        <f>IF(A33="","",SUMIF('Ventas Salidas'!$C$5:$C$504,A33,'Ventas Salidas'!$E$5:$E$504))</f>
        <v/>
      </c>
      <c r="I33" s="27" t="str">
        <f t="shared" si="0"/>
        <v/>
      </c>
      <c r="J33" s="26" t="str">
        <f t="shared" si="1"/>
        <v/>
      </c>
      <c r="K33" s="26" t="str">
        <f t="shared" si="2"/>
        <v/>
      </c>
      <c r="L33" s="22"/>
      <c r="M33" s="22" t="str">
        <f>IF(A33="","",IF(OR(J33="Bajo stock",J33="Sin stock"),COUNTIFS($J$5:$J33,"Bajo stock")+COUNTIFS($J$5:$J33,"Sin stock"),""))</f>
        <v/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21.75" customHeight="1" x14ac:dyDescent="0.25">
      <c r="A34" s="26" t="str">
        <f>IF(Productos!A34="","",Productos!A34)</f>
        <v/>
      </c>
      <c r="B34" s="26" t="str">
        <f>IF(Productos!A34="","",Productos!B34)</f>
        <v/>
      </c>
      <c r="C34" s="26" t="str">
        <f>IF(Productos!A34="","",Productos!C34)</f>
        <v/>
      </c>
      <c r="D34" s="26" t="str">
        <f>IF(Productos!A34="","",Productos!D34)</f>
        <v/>
      </c>
      <c r="E34" s="27" t="str">
        <f>IF(Productos!A34="","",Productos!E34)</f>
        <v/>
      </c>
      <c r="F34" s="27" t="str">
        <f>IF(Productos!A34="","",Productos!F34)</f>
        <v/>
      </c>
      <c r="G34" s="27" t="str">
        <f>IF(A34="","",SUMIF('Compras Entradas'!$C$5:$C$504,A34,'Compras Entradas'!$E$5:$E$504))</f>
        <v/>
      </c>
      <c r="H34" s="27" t="str">
        <f>IF(A34="","",SUMIF('Ventas Salidas'!$C$5:$C$504,A34,'Ventas Salidas'!$E$5:$E$504))</f>
        <v/>
      </c>
      <c r="I34" s="27" t="str">
        <f t="shared" si="0"/>
        <v/>
      </c>
      <c r="J34" s="26" t="str">
        <f t="shared" si="1"/>
        <v/>
      </c>
      <c r="K34" s="26" t="str">
        <f t="shared" si="2"/>
        <v/>
      </c>
      <c r="L34" s="22"/>
      <c r="M34" s="22" t="str">
        <f>IF(A34="","",IF(OR(J34="Bajo stock",J34="Sin stock"),COUNTIFS($J$5:$J34,"Bajo stock")+COUNTIFS($J$5:$J34,"Sin stock"),""))</f>
        <v/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21.75" customHeight="1" x14ac:dyDescent="0.25">
      <c r="A35" s="26" t="str">
        <f>IF(Productos!A35="","",Productos!A35)</f>
        <v/>
      </c>
      <c r="B35" s="26" t="str">
        <f>IF(Productos!A35="","",Productos!B35)</f>
        <v/>
      </c>
      <c r="C35" s="26" t="str">
        <f>IF(Productos!A35="","",Productos!C35)</f>
        <v/>
      </c>
      <c r="D35" s="26" t="str">
        <f>IF(Productos!A35="","",Productos!D35)</f>
        <v/>
      </c>
      <c r="E35" s="27" t="str">
        <f>IF(Productos!A35="","",Productos!E35)</f>
        <v/>
      </c>
      <c r="F35" s="27" t="str">
        <f>IF(Productos!A35="","",Productos!F35)</f>
        <v/>
      </c>
      <c r="G35" s="27" t="str">
        <f>IF(A35="","",SUMIF('Compras Entradas'!$C$5:$C$504,A35,'Compras Entradas'!$E$5:$E$504))</f>
        <v/>
      </c>
      <c r="H35" s="27" t="str">
        <f>IF(A35="","",SUMIF('Ventas Salidas'!$C$5:$C$504,A35,'Ventas Salidas'!$E$5:$E$504))</f>
        <v/>
      </c>
      <c r="I35" s="27" t="str">
        <f t="shared" si="0"/>
        <v/>
      </c>
      <c r="J35" s="26" t="str">
        <f t="shared" si="1"/>
        <v/>
      </c>
      <c r="K35" s="26" t="str">
        <f t="shared" si="2"/>
        <v/>
      </c>
      <c r="L35" s="22"/>
      <c r="M35" s="22" t="str">
        <f>IF(A35="","",IF(OR(J35="Bajo stock",J35="Sin stock"),COUNTIFS($J$5:$J35,"Bajo stock")+COUNTIFS($J$5:$J35,"Sin stock"),""))</f>
        <v/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21.75" customHeight="1" x14ac:dyDescent="0.25">
      <c r="A36" s="26" t="str">
        <f>IF(Productos!A36="","",Productos!A36)</f>
        <v/>
      </c>
      <c r="B36" s="26" t="str">
        <f>IF(Productos!A36="","",Productos!B36)</f>
        <v/>
      </c>
      <c r="C36" s="26" t="str">
        <f>IF(Productos!A36="","",Productos!C36)</f>
        <v/>
      </c>
      <c r="D36" s="26" t="str">
        <f>IF(Productos!A36="","",Productos!D36)</f>
        <v/>
      </c>
      <c r="E36" s="27" t="str">
        <f>IF(Productos!A36="","",Productos!E36)</f>
        <v/>
      </c>
      <c r="F36" s="27" t="str">
        <f>IF(Productos!A36="","",Productos!F36)</f>
        <v/>
      </c>
      <c r="G36" s="27" t="str">
        <f>IF(A36="","",SUMIF('Compras Entradas'!$C$5:$C$504,A36,'Compras Entradas'!$E$5:$E$504))</f>
        <v/>
      </c>
      <c r="H36" s="27" t="str">
        <f>IF(A36="","",SUMIF('Ventas Salidas'!$C$5:$C$504,A36,'Ventas Salidas'!$E$5:$E$504))</f>
        <v/>
      </c>
      <c r="I36" s="27" t="str">
        <f t="shared" si="0"/>
        <v/>
      </c>
      <c r="J36" s="26" t="str">
        <f t="shared" si="1"/>
        <v/>
      </c>
      <c r="K36" s="26" t="str">
        <f t="shared" si="2"/>
        <v/>
      </c>
      <c r="L36" s="22"/>
      <c r="M36" s="22" t="str">
        <f>IF(A36="","",IF(OR(J36="Bajo stock",J36="Sin stock"),COUNTIFS($J$5:$J36,"Bajo stock")+COUNTIFS($J$5:$J36,"Sin stock"),""))</f>
        <v/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21.75" customHeight="1" x14ac:dyDescent="0.25">
      <c r="A37" s="26" t="str">
        <f>IF(Productos!A37="","",Productos!A37)</f>
        <v/>
      </c>
      <c r="B37" s="26" t="str">
        <f>IF(Productos!A37="","",Productos!B37)</f>
        <v/>
      </c>
      <c r="C37" s="26" t="str">
        <f>IF(Productos!A37="","",Productos!C37)</f>
        <v/>
      </c>
      <c r="D37" s="26" t="str">
        <f>IF(Productos!A37="","",Productos!D37)</f>
        <v/>
      </c>
      <c r="E37" s="27" t="str">
        <f>IF(Productos!A37="","",Productos!E37)</f>
        <v/>
      </c>
      <c r="F37" s="27" t="str">
        <f>IF(Productos!A37="","",Productos!F37)</f>
        <v/>
      </c>
      <c r="G37" s="27" t="str">
        <f>IF(A37="","",SUMIF('Compras Entradas'!$C$5:$C$504,A37,'Compras Entradas'!$E$5:$E$504))</f>
        <v/>
      </c>
      <c r="H37" s="27" t="str">
        <f>IF(A37="","",SUMIF('Ventas Salidas'!$C$5:$C$504,A37,'Ventas Salidas'!$E$5:$E$504))</f>
        <v/>
      </c>
      <c r="I37" s="27" t="str">
        <f t="shared" si="0"/>
        <v/>
      </c>
      <c r="J37" s="26" t="str">
        <f t="shared" si="1"/>
        <v/>
      </c>
      <c r="K37" s="26" t="str">
        <f t="shared" si="2"/>
        <v/>
      </c>
      <c r="L37" s="22"/>
      <c r="M37" s="22" t="str">
        <f>IF(A37="","",IF(OR(J37="Bajo stock",J37="Sin stock"),COUNTIFS($J$5:$J37,"Bajo stock")+COUNTIFS($J$5:$J37,"Sin stock"),""))</f>
        <v/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21.75" customHeight="1" x14ac:dyDescent="0.25">
      <c r="A38" s="26" t="str">
        <f>IF(Productos!A38="","",Productos!A38)</f>
        <v/>
      </c>
      <c r="B38" s="26" t="str">
        <f>IF(Productos!A38="","",Productos!B38)</f>
        <v/>
      </c>
      <c r="C38" s="26" t="str">
        <f>IF(Productos!A38="","",Productos!C38)</f>
        <v/>
      </c>
      <c r="D38" s="26" t="str">
        <f>IF(Productos!A38="","",Productos!D38)</f>
        <v/>
      </c>
      <c r="E38" s="27" t="str">
        <f>IF(Productos!A38="","",Productos!E38)</f>
        <v/>
      </c>
      <c r="F38" s="27" t="str">
        <f>IF(Productos!A38="","",Productos!F38)</f>
        <v/>
      </c>
      <c r="G38" s="27" t="str">
        <f>IF(A38="","",SUMIF('Compras Entradas'!$C$5:$C$504,A38,'Compras Entradas'!$E$5:$E$504))</f>
        <v/>
      </c>
      <c r="H38" s="27" t="str">
        <f>IF(A38="","",SUMIF('Ventas Salidas'!$C$5:$C$504,A38,'Ventas Salidas'!$E$5:$E$504))</f>
        <v/>
      </c>
      <c r="I38" s="27" t="str">
        <f t="shared" si="0"/>
        <v/>
      </c>
      <c r="J38" s="26" t="str">
        <f t="shared" si="1"/>
        <v/>
      </c>
      <c r="K38" s="26" t="str">
        <f t="shared" si="2"/>
        <v/>
      </c>
      <c r="L38" s="22"/>
      <c r="M38" s="22" t="str">
        <f>IF(A38="","",IF(OR(J38="Bajo stock",J38="Sin stock"),COUNTIFS($J$5:$J38,"Bajo stock")+COUNTIFS($J$5:$J38,"Sin stock"),""))</f>
        <v/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21.75" customHeight="1" x14ac:dyDescent="0.25">
      <c r="A39" s="26" t="str">
        <f>IF(Productos!A39="","",Productos!A39)</f>
        <v/>
      </c>
      <c r="B39" s="26" t="str">
        <f>IF(Productos!A39="","",Productos!B39)</f>
        <v/>
      </c>
      <c r="C39" s="26" t="str">
        <f>IF(Productos!A39="","",Productos!C39)</f>
        <v/>
      </c>
      <c r="D39" s="26" t="str">
        <f>IF(Productos!A39="","",Productos!D39)</f>
        <v/>
      </c>
      <c r="E39" s="27" t="str">
        <f>IF(Productos!A39="","",Productos!E39)</f>
        <v/>
      </c>
      <c r="F39" s="27" t="str">
        <f>IF(Productos!A39="","",Productos!F39)</f>
        <v/>
      </c>
      <c r="G39" s="27" t="str">
        <f>IF(A39="","",SUMIF('Compras Entradas'!$C$5:$C$504,A39,'Compras Entradas'!$E$5:$E$504))</f>
        <v/>
      </c>
      <c r="H39" s="27" t="str">
        <f>IF(A39="","",SUMIF('Ventas Salidas'!$C$5:$C$504,A39,'Ventas Salidas'!$E$5:$E$504))</f>
        <v/>
      </c>
      <c r="I39" s="27" t="str">
        <f t="shared" si="0"/>
        <v/>
      </c>
      <c r="J39" s="26" t="str">
        <f t="shared" si="1"/>
        <v/>
      </c>
      <c r="K39" s="26" t="str">
        <f t="shared" si="2"/>
        <v/>
      </c>
      <c r="L39" s="22"/>
      <c r="M39" s="22" t="str">
        <f>IF(A39="","",IF(OR(J39="Bajo stock",J39="Sin stock"),COUNTIFS($J$5:$J39,"Bajo stock")+COUNTIFS($J$5:$J39,"Sin stock"),""))</f>
        <v/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21.75" customHeight="1" x14ac:dyDescent="0.25">
      <c r="A40" s="26" t="str">
        <f>IF(Productos!A40="","",Productos!A40)</f>
        <v/>
      </c>
      <c r="B40" s="26" t="str">
        <f>IF(Productos!A40="","",Productos!B40)</f>
        <v/>
      </c>
      <c r="C40" s="26" t="str">
        <f>IF(Productos!A40="","",Productos!C40)</f>
        <v/>
      </c>
      <c r="D40" s="26" t="str">
        <f>IF(Productos!A40="","",Productos!D40)</f>
        <v/>
      </c>
      <c r="E40" s="27" t="str">
        <f>IF(Productos!A40="","",Productos!E40)</f>
        <v/>
      </c>
      <c r="F40" s="27" t="str">
        <f>IF(Productos!A40="","",Productos!F40)</f>
        <v/>
      </c>
      <c r="G40" s="27" t="str">
        <f>IF(A40="","",SUMIF('Compras Entradas'!$C$5:$C$504,A40,'Compras Entradas'!$E$5:$E$504))</f>
        <v/>
      </c>
      <c r="H40" s="27" t="str">
        <f>IF(A40="","",SUMIF('Ventas Salidas'!$C$5:$C$504,A40,'Ventas Salidas'!$E$5:$E$504))</f>
        <v/>
      </c>
      <c r="I40" s="27" t="str">
        <f t="shared" si="0"/>
        <v/>
      </c>
      <c r="J40" s="26" t="str">
        <f t="shared" si="1"/>
        <v/>
      </c>
      <c r="K40" s="26" t="str">
        <f t="shared" si="2"/>
        <v/>
      </c>
      <c r="L40" s="22"/>
      <c r="M40" s="22" t="str">
        <f>IF(A40="","",IF(OR(J40="Bajo stock",J40="Sin stock"),COUNTIFS($J$5:$J40,"Bajo stock")+COUNTIFS($J$5:$J40,"Sin stock"),""))</f>
        <v/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21.75" customHeight="1" x14ac:dyDescent="0.25">
      <c r="A41" s="26" t="str">
        <f>IF(Productos!A41="","",Productos!A41)</f>
        <v/>
      </c>
      <c r="B41" s="26" t="str">
        <f>IF(Productos!A41="","",Productos!B41)</f>
        <v/>
      </c>
      <c r="C41" s="26" t="str">
        <f>IF(Productos!A41="","",Productos!C41)</f>
        <v/>
      </c>
      <c r="D41" s="26" t="str">
        <f>IF(Productos!A41="","",Productos!D41)</f>
        <v/>
      </c>
      <c r="E41" s="27" t="str">
        <f>IF(Productos!A41="","",Productos!E41)</f>
        <v/>
      </c>
      <c r="F41" s="27" t="str">
        <f>IF(Productos!A41="","",Productos!F41)</f>
        <v/>
      </c>
      <c r="G41" s="27" t="str">
        <f>IF(A41="","",SUMIF('Compras Entradas'!$C$5:$C$504,A41,'Compras Entradas'!$E$5:$E$504))</f>
        <v/>
      </c>
      <c r="H41" s="27" t="str">
        <f>IF(A41="","",SUMIF('Ventas Salidas'!$C$5:$C$504,A41,'Ventas Salidas'!$E$5:$E$504))</f>
        <v/>
      </c>
      <c r="I41" s="27" t="str">
        <f t="shared" si="0"/>
        <v/>
      </c>
      <c r="J41" s="26" t="str">
        <f t="shared" si="1"/>
        <v/>
      </c>
      <c r="K41" s="26" t="str">
        <f t="shared" si="2"/>
        <v/>
      </c>
      <c r="L41" s="22"/>
      <c r="M41" s="22" t="str">
        <f>IF(A41="","",IF(OR(J41="Bajo stock",J41="Sin stock"),COUNTIFS($J$5:$J41,"Bajo stock")+COUNTIFS($J$5:$J41,"Sin stock"),""))</f>
        <v/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21.75" customHeight="1" x14ac:dyDescent="0.25">
      <c r="A42" s="26" t="str">
        <f>IF(Productos!A42="","",Productos!A42)</f>
        <v/>
      </c>
      <c r="B42" s="26" t="str">
        <f>IF(Productos!A42="","",Productos!B42)</f>
        <v/>
      </c>
      <c r="C42" s="26" t="str">
        <f>IF(Productos!A42="","",Productos!C42)</f>
        <v/>
      </c>
      <c r="D42" s="26" t="str">
        <f>IF(Productos!A42="","",Productos!D42)</f>
        <v/>
      </c>
      <c r="E42" s="27" t="str">
        <f>IF(Productos!A42="","",Productos!E42)</f>
        <v/>
      </c>
      <c r="F42" s="27" t="str">
        <f>IF(Productos!A42="","",Productos!F42)</f>
        <v/>
      </c>
      <c r="G42" s="27" t="str">
        <f>IF(A42="","",SUMIF('Compras Entradas'!$C$5:$C$504,A42,'Compras Entradas'!$E$5:$E$504))</f>
        <v/>
      </c>
      <c r="H42" s="27" t="str">
        <f>IF(A42="","",SUMIF('Ventas Salidas'!$C$5:$C$504,A42,'Ventas Salidas'!$E$5:$E$504))</f>
        <v/>
      </c>
      <c r="I42" s="27" t="str">
        <f t="shared" si="0"/>
        <v/>
      </c>
      <c r="J42" s="26" t="str">
        <f t="shared" si="1"/>
        <v/>
      </c>
      <c r="K42" s="26" t="str">
        <f t="shared" si="2"/>
        <v/>
      </c>
      <c r="L42" s="22"/>
      <c r="M42" s="22" t="str">
        <f>IF(A42="","",IF(OR(J42="Bajo stock",J42="Sin stock"),COUNTIFS($J$5:$J42,"Bajo stock")+COUNTIFS($J$5:$J42,"Sin stock"),""))</f>
        <v/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21.75" customHeight="1" x14ac:dyDescent="0.25">
      <c r="A43" s="26" t="str">
        <f>IF(Productos!A43="","",Productos!A43)</f>
        <v/>
      </c>
      <c r="B43" s="26" t="str">
        <f>IF(Productos!A43="","",Productos!B43)</f>
        <v/>
      </c>
      <c r="C43" s="26" t="str">
        <f>IF(Productos!A43="","",Productos!C43)</f>
        <v/>
      </c>
      <c r="D43" s="26" t="str">
        <f>IF(Productos!A43="","",Productos!D43)</f>
        <v/>
      </c>
      <c r="E43" s="27" t="str">
        <f>IF(Productos!A43="","",Productos!E43)</f>
        <v/>
      </c>
      <c r="F43" s="27" t="str">
        <f>IF(Productos!A43="","",Productos!F43)</f>
        <v/>
      </c>
      <c r="G43" s="27" t="str">
        <f>IF(A43="","",SUMIF('Compras Entradas'!$C$5:$C$504,A43,'Compras Entradas'!$E$5:$E$504))</f>
        <v/>
      </c>
      <c r="H43" s="27" t="str">
        <f>IF(A43="","",SUMIF('Ventas Salidas'!$C$5:$C$504,A43,'Ventas Salidas'!$E$5:$E$504))</f>
        <v/>
      </c>
      <c r="I43" s="27" t="str">
        <f t="shared" si="0"/>
        <v/>
      </c>
      <c r="J43" s="26" t="str">
        <f t="shared" si="1"/>
        <v/>
      </c>
      <c r="K43" s="26" t="str">
        <f t="shared" si="2"/>
        <v/>
      </c>
      <c r="L43" s="22"/>
      <c r="M43" s="22" t="str">
        <f>IF(A43="","",IF(OR(J43="Bajo stock",J43="Sin stock"),COUNTIFS($J$5:$J43,"Bajo stock")+COUNTIFS($J$5:$J43,"Sin stock"),""))</f>
        <v/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21.75" customHeight="1" x14ac:dyDescent="0.25">
      <c r="A44" s="26" t="str">
        <f>IF(Productos!A44="","",Productos!A44)</f>
        <v/>
      </c>
      <c r="B44" s="26" t="str">
        <f>IF(Productos!A44="","",Productos!B44)</f>
        <v/>
      </c>
      <c r="C44" s="26" t="str">
        <f>IF(Productos!A44="","",Productos!C44)</f>
        <v/>
      </c>
      <c r="D44" s="26" t="str">
        <f>IF(Productos!A44="","",Productos!D44)</f>
        <v/>
      </c>
      <c r="E44" s="27" t="str">
        <f>IF(Productos!A44="","",Productos!E44)</f>
        <v/>
      </c>
      <c r="F44" s="27" t="str">
        <f>IF(Productos!A44="","",Productos!F44)</f>
        <v/>
      </c>
      <c r="G44" s="27" t="str">
        <f>IF(A44="","",SUMIF('Compras Entradas'!$C$5:$C$504,A44,'Compras Entradas'!$E$5:$E$504))</f>
        <v/>
      </c>
      <c r="H44" s="27" t="str">
        <f>IF(A44="","",SUMIF('Ventas Salidas'!$C$5:$C$504,A44,'Ventas Salidas'!$E$5:$E$504))</f>
        <v/>
      </c>
      <c r="I44" s="27" t="str">
        <f t="shared" si="0"/>
        <v/>
      </c>
      <c r="J44" s="26" t="str">
        <f t="shared" si="1"/>
        <v/>
      </c>
      <c r="K44" s="26" t="str">
        <f t="shared" si="2"/>
        <v/>
      </c>
      <c r="L44" s="22"/>
      <c r="M44" s="22" t="str">
        <f>IF(A44="","",IF(OR(J44="Bajo stock",J44="Sin stock"),COUNTIFS($J$5:$J44,"Bajo stock")+COUNTIFS($J$5:$J44,"Sin stock"),""))</f>
        <v/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21.75" customHeight="1" x14ac:dyDescent="0.25">
      <c r="A45" s="26" t="str">
        <f>IF(Productos!A45="","",Productos!A45)</f>
        <v/>
      </c>
      <c r="B45" s="26" t="str">
        <f>IF(Productos!A45="","",Productos!B45)</f>
        <v/>
      </c>
      <c r="C45" s="26" t="str">
        <f>IF(Productos!A45="","",Productos!C45)</f>
        <v/>
      </c>
      <c r="D45" s="26" t="str">
        <f>IF(Productos!A45="","",Productos!D45)</f>
        <v/>
      </c>
      <c r="E45" s="27" t="str">
        <f>IF(Productos!A45="","",Productos!E45)</f>
        <v/>
      </c>
      <c r="F45" s="27" t="str">
        <f>IF(Productos!A45="","",Productos!F45)</f>
        <v/>
      </c>
      <c r="G45" s="27" t="str">
        <f>IF(A45="","",SUMIF('Compras Entradas'!$C$5:$C$504,A45,'Compras Entradas'!$E$5:$E$504))</f>
        <v/>
      </c>
      <c r="H45" s="27" t="str">
        <f>IF(A45="","",SUMIF('Ventas Salidas'!$C$5:$C$504,A45,'Ventas Salidas'!$E$5:$E$504))</f>
        <v/>
      </c>
      <c r="I45" s="27" t="str">
        <f t="shared" si="0"/>
        <v/>
      </c>
      <c r="J45" s="26" t="str">
        <f t="shared" si="1"/>
        <v/>
      </c>
      <c r="K45" s="26" t="str">
        <f t="shared" si="2"/>
        <v/>
      </c>
      <c r="L45" s="22"/>
      <c r="M45" s="22" t="str">
        <f>IF(A45="","",IF(OR(J45="Bajo stock",J45="Sin stock"),COUNTIFS($J$5:$J45,"Bajo stock")+COUNTIFS($J$5:$J45,"Sin stock"),""))</f>
        <v/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21.75" customHeight="1" x14ac:dyDescent="0.25">
      <c r="A46" s="26" t="str">
        <f>IF(Productos!A46="","",Productos!A46)</f>
        <v/>
      </c>
      <c r="B46" s="26" t="str">
        <f>IF(Productos!A46="","",Productos!B46)</f>
        <v/>
      </c>
      <c r="C46" s="26" t="str">
        <f>IF(Productos!A46="","",Productos!C46)</f>
        <v/>
      </c>
      <c r="D46" s="26" t="str">
        <f>IF(Productos!A46="","",Productos!D46)</f>
        <v/>
      </c>
      <c r="E46" s="27" t="str">
        <f>IF(Productos!A46="","",Productos!E46)</f>
        <v/>
      </c>
      <c r="F46" s="27" t="str">
        <f>IF(Productos!A46="","",Productos!F46)</f>
        <v/>
      </c>
      <c r="G46" s="27" t="str">
        <f>IF(A46="","",SUMIF('Compras Entradas'!$C$5:$C$504,A46,'Compras Entradas'!$E$5:$E$504))</f>
        <v/>
      </c>
      <c r="H46" s="27" t="str">
        <f>IF(A46="","",SUMIF('Ventas Salidas'!$C$5:$C$504,A46,'Ventas Salidas'!$E$5:$E$504))</f>
        <v/>
      </c>
      <c r="I46" s="27" t="str">
        <f t="shared" si="0"/>
        <v/>
      </c>
      <c r="J46" s="26" t="str">
        <f t="shared" si="1"/>
        <v/>
      </c>
      <c r="K46" s="26" t="str">
        <f t="shared" si="2"/>
        <v/>
      </c>
      <c r="L46" s="22"/>
      <c r="M46" s="22" t="str">
        <f>IF(A46="","",IF(OR(J46="Bajo stock",J46="Sin stock"),COUNTIFS($J$5:$J46,"Bajo stock")+COUNTIFS($J$5:$J46,"Sin stock"),""))</f>
        <v/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21.75" customHeight="1" x14ac:dyDescent="0.25">
      <c r="A47" s="26" t="str">
        <f>IF(Productos!A47="","",Productos!A47)</f>
        <v/>
      </c>
      <c r="B47" s="26" t="str">
        <f>IF(Productos!A47="","",Productos!B47)</f>
        <v/>
      </c>
      <c r="C47" s="26" t="str">
        <f>IF(Productos!A47="","",Productos!C47)</f>
        <v/>
      </c>
      <c r="D47" s="26" t="str">
        <f>IF(Productos!A47="","",Productos!D47)</f>
        <v/>
      </c>
      <c r="E47" s="27" t="str">
        <f>IF(Productos!A47="","",Productos!E47)</f>
        <v/>
      </c>
      <c r="F47" s="27" t="str">
        <f>IF(Productos!A47="","",Productos!F47)</f>
        <v/>
      </c>
      <c r="G47" s="27" t="str">
        <f>IF(A47="","",SUMIF('Compras Entradas'!$C$5:$C$504,A47,'Compras Entradas'!$E$5:$E$504))</f>
        <v/>
      </c>
      <c r="H47" s="27" t="str">
        <f>IF(A47="","",SUMIF('Ventas Salidas'!$C$5:$C$504,A47,'Ventas Salidas'!$E$5:$E$504))</f>
        <v/>
      </c>
      <c r="I47" s="27" t="str">
        <f t="shared" si="0"/>
        <v/>
      </c>
      <c r="J47" s="26" t="str">
        <f t="shared" si="1"/>
        <v/>
      </c>
      <c r="K47" s="26" t="str">
        <f t="shared" si="2"/>
        <v/>
      </c>
      <c r="L47" s="22"/>
      <c r="M47" s="22" t="str">
        <f>IF(A47="","",IF(OR(J47="Bajo stock",J47="Sin stock"),COUNTIFS($J$5:$J47,"Bajo stock")+COUNTIFS($J$5:$J47,"Sin stock"),""))</f>
        <v/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21.75" customHeight="1" x14ac:dyDescent="0.25">
      <c r="A48" s="26" t="str">
        <f>IF(Productos!A48="","",Productos!A48)</f>
        <v/>
      </c>
      <c r="B48" s="26" t="str">
        <f>IF(Productos!A48="","",Productos!B48)</f>
        <v/>
      </c>
      <c r="C48" s="26" t="str">
        <f>IF(Productos!A48="","",Productos!C48)</f>
        <v/>
      </c>
      <c r="D48" s="26" t="str">
        <f>IF(Productos!A48="","",Productos!D48)</f>
        <v/>
      </c>
      <c r="E48" s="27" t="str">
        <f>IF(Productos!A48="","",Productos!E48)</f>
        <v/>
      </c>
      <c r="F48" s="27" t="str">
        <f>IF(Productos!A48="","",Productos!F48)</f>
        <v/>
      </c>
      <c r="G48" s="27" t="str">
        <f>IF(A48="","",SUMIF('Compras Entradas'!$C$5:$C$504,A48,'Compras Entradas'!$E$5:$E$504))</f>
        <v/>
      </c>
      <c r="H48" s="27" t="str">
        <f>IF(A48="","",SUMIF('Ventas Salidas'!$C$5:$C$504,A48,'Ventas Salidas'!$E$5:$E$504))</f>
        <v/>
      </c>
      <c r="I48" s="27" t="str">
        <f t="shared" si="0"/>
        <v/>
      </c>
      <c r="J48" s="26" t="str">
        <f t="shared" si="1"/>
        <v/>
      </c>
      <c r="K48" s="26" t="str">
        <f t="shared" si="2"/>
        <v/>
      </c>
      <c r="L48" s="22"/>
      <c r="M48" s="22" t="str">
        <f>IF(A48="","",IF(OR(J48="Bajo stock",J48="Sin stock"),COUNTIFS($J$5:$J48,"Bajo stock")+COUNTIFS($J$5:$J48,"Sin stock"),""))</f>
        <v/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21.75" customHeight="1" x14ac:dyDescent="0.25">
      <c r="A49" s="26" t="str">
        <f>IF(Productos!A49="","",Productos!A49)</f>
        <v/>
      </c>
      <c r="B49" s="26" t="str">
        <f>IF(Productos!A49="","",Productos!B49)</f>
        <v/>
      </c>
      <c r="C49" s="26" t="str">
        <f>IF(Productos!A49="","",Productos!C49)</f>
        <v/>
      </c>
      <c r="D49" s="26" t="str">
        <f>IF(Productos!A49="","",Productos!D49)</f>
        <v/>
      </c>
      <c r="E49" s="27" t="str">
        <f>IF(Productos!A49="","",Productos!E49)</f>
        <v/>
      </c>
      <c r="F49" s="27" t="str">
        <f>IF(Productos!A49="","",Productos!F49)</f>
        <v/>
      </c>
      <c r="G49" s="27" t="str">
        <f>IF(A49="","",SUMIF('Compras Entradas'!$C$5:$C$504,A49,'Compras Entradas'!$E$5:$E$504))</f>
        <v/>
      </c>
      <c r="H49" s="27" t="str">
        <f>IF(A49="","",SUMIF('Ventas Salidas'!$C$5:$C$504,A49,'Ventas Salidas'!$E$5:$E$504))</f>
        <v/>
      </c>
      <c r="I49" s="27" t="str">
        <f t="shared" si="0"/>
        <v/>
      </c>
      <c r="J49" s="26" t="str">
        <f t="shared" si="1"/>
        <v/>
      </c>
      <c r="K49" s="26" t="str">
        <f t="shared" si="2"/>
        <v/>
      </c>
      <c r="L49" s="22"/>
      <c r="M49" s="22" t="str">
        <f>IF(A49="","",IF(OR(J49="Bajo stock",J49="Sin stock"),COUNTIFS($J$5:$J49,"Bajo stock")+COUNTIFS($J$5:$J49,"Sin stock"),""))</f>
        <v/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21.75" customHeight="1" x14ac:dyDescent="0.25">
      <c r="A50" s="26" t="str">
        <f>IF(Productos!A50="","",Productos!A50)</f>
        <v/>
      </c>
      <c r="B50" s="26" t="str">
        <f>IF(Productos!A50="","",Productos!B50)</f>
        <v/>
      </c>
      <c r="C50" s="26" t="str">
        <f>IF(Productos!A50="","",Productos!C50)</f>
        <v/>
      </c>
      <c r="D50" s="26" t="str">
        <f>IF(Productos!A50="","",Productos!D50)</f>
        <v/>
      </c>
      <c r="E50" s="27" t="str">
        <f>IF(Productos!A50="","",Productos!E50)</f>
        <v/>
      </c>
      <c r="F50" s="27" t="str">
        <f>IF(Productos!A50="","",Productos!F50)</f>
        <v/>
      </c>
      <c r="G50" s="27" t="str">
        <f>IF(A50="","",SUMIF('Compras Entradas'!$C$5:$C$504,A50,'Compras Entradas'!$E$5:$E$504))</f>
        <v/>
      </c>
      <c r="H50" s="27" t="str">
        <f>IF(A50="","",SUMIF('Ventas Salidas'!$C$5:$C$504,A50,'Ventas Salidas'!$E$5:$E$504))</f>
        <v/>
      </c>
      <c r="I50" s="27" t="str">
        <f t="shared" si="0"/>
        <v/>
      </c>
      <c r="J50" s="26" t="str">
        <f t="shared" si="1"/>
        <v/>
      </c>
      <c r="K50" s="26" t="str">
        <f t="shared" si="2"/>
        <v/>
      </c>
      <c r="L50" s="22"/>
      <c r="M50" s="22" t="str">
        <f>IF(A50="","",IF(OR(J50="Bajo stock",J50="Sin stock"),COUNTIFS($J$5:$J50,"Bajo stock")+COUNTIFS($J$5:$J50,"Sin stock"),""))</f>
        <v/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21.75" customHeight="1" x14ac:dyDescent="0.25">
      <c r="A51" s="26" t="str">
        <f>IF(Productos!A51="","",Productos!A51)</f>
        <v/>
      </c>
      <c r="B51" s="26" t="str">
        <f>IF(Productos!A51="","",Productos!B51)</f>
        <v/>
      </c>
      <c r="C51" s="26" t="str">
        <f>IF(Productos!A51="","",Productos!C51)</f>
        <v/>
      </c>
      <c r="D51" s="26" t="str">
        <f>IF(Productos!A51="","",Productos!D51)</f>
        <v/>
      </c>
      <c r="E51" s="27" t="str">
        <f>IF(Productos!A51="","",Productos!E51)</f>
        <v/>
      </c>
      <c r="F51" s="27" t="str">
        <f>IF(Productos!A51="","",Productos!F51)</f>
        <v/>
      </c>
      <c r="G51" s="27" t="str">
        <f>IF(A51="","",SUMIF('Compras Entradas'!$C$5:$C$504,A51,'Compras Entradas'!$E$5:$E$504))</f>
        <v/>
      </c>
      <c r="H51" s="27" t="str">
        <f>IF(A51="","",SUMIF('Ventas Salidas'!$C$5:$C$504,A51,'Ventas Salidas'!$E$5:$E$504))</f>
        <v/>
      </c>
      <c r="I51" s="27" t="str">
        <f t="shared" si="0"/>
        <v/>
      </c>
      <c r="J51" s="26" t="str">
        <f t="shared" si="1"/>
        <v/>
      </c>
      <c r="K51" s="26" t="str">
        <f t="shared" si="2"/>
        <v/>
      </c>
      <c r="L51" s="22"/>
      <c r="M51" s="22" t="str">
        <f>IF(A51="","",IF(OR(J51="Bajo stock",J51="Sin stock"),COUNTIFS($J$5:$J51,"Bajo stock")+COUNTIFS($J$5:$J51,"Sin stock"),""))</f>
        <v/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21.75" customHeight="1" x14ac:dyDescent="0.25">
      <c r="A52" s="26" t="str">
        <f>IF(Productos!A52="","",Productos!A52)</f>
        <v/>
      </c>
      <c r="B52" s="26" t="str">
        <f>IF(Productos!A52="","",Productos!B52)</f>
        <v/>
      </c>
      <c r="C52" s="26" t="str">
        <f>IF(Productos!A52="","",Productos!C52)</f>
        <v/>
      </c>
      <c r="D52" s="26" t="str">
        <f>IF(Productos!A52="","",Productos!D52)</f>
        <v/>
      </c>
      <c r="E52" s="27" t="str">
        <f>IF(Productos!A52="","",Productos!E52)</f>
        <v/>
      </c>
      <c r="F52" s="27" t="str">
        <f>IF(Productos!A52="","",Productos!F52)</f>
        <v/>
      </c>
      <c r="G52" s="27" t="str">
        <f>IF(A52="","",SUMIF('Compras Entradas'!$C$5:$C$504,A52,'Compras Entradas'!$E$5:$E$504))</f>
        <v/>
      </c>
      <c r="H52" s="27" t="str">
        <f>IF(A52="","",SUMIF('Ventas Salidas'!$C$5:$C$504,A52,'Ventas Salidas'!$E$5:$E$504))</f>
        <v/>
      </c>
      <c r="I52" s="27" t="str">
        <f t="shared" si="0"/>
        <v/>
      </c>
      <c r="J52" s="26" t="str">
        <f t="shared" si="1"/>
        <v/>
      </c>
      <c r="K52" s="26" t="str">
        <f t="shared" si="2"/>
        <v/>
      </c>
      <c r="L52" s="22"/>
      <c r="M52" s="22" t="str">
        <f>IF(A52="","",IF(OR(J52="Bajo stock",J52="Sin stock"),COUNTIFS($J$5:$J52,"Bajo stock")+COUNTIFS($J$5:$J52,"Sin stock"),""))</f>
        <v/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21.75" customHeight="1" x14ac:dyDescent="0.25">
      <c r="A53" s="26" t="str">
        <f>IF(Productos!A53="","",Productos!A53)</f>
        <v/>
      </c>
      <c r="B53" s="26" t="str">
        <f>IF(Productos!A53="","",Productos!B53)</f>
        <v/>
      </c>
      <c r="C53" s="26" t="str">
        <f>IF(Productos!A53="","",Productos!C53)</f>
        <v/>
      </c>
      <c r="D53" s="26" t="str">
        <f>IF(Productos!A53="","",Productos!D53)</f>
        <v/>
      </c>
      <c r="E53" s="27" t="str">
        <f>IF(Productos!A53="","",Productos!E53)</f>
        <v/>
      </c>
      <c r="F53" s="27" t="str">
        <f>IF(Productos!A53="","",Productos!F53)</f>
        <v/>
      </c>
      <c r="G53" s="27" t="str">
        <f>IF(A53="","",SUMIF('Compras Entradas'!$C$5:$C$504,A53,'Compras Entradas'!$E$5:$E$504))</f>
        <v/>
      </c>
      <c r="H53" s="27" t="str">
        <f>IF(A53="","",SUMIF('Ventas Salidas'!$C$5:$C$504,A53,'Ventas Salidas'!$E$5:$E$504))</f>
        <v/>
      </c>
      <c r="I53" s="27" t="str">
        <f t="shared" si="0"/>
        <v/>
      </c>
      <c r="J53" s="26" t="str">
        <f t="shared" si="1"/>
        <v/>
      </c>
      <c r="K53" s="26" t="str">
        <f t="shared" si="2"/>
        <v/>
      </c>
      <c r="L53" s="22"/>
      <c r="M53" s="22" t="str">
        <f>IF(A53="","",IF(OR(J53="Bajo stock",J53="Sin stock"),COUNTIFS($J$5:$J53,"Bajo stock")+COUNTIFS($J$5:$J53,"Sin stock"),""))</f>
        <v/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21.75" customHeight="1" x14ac:dyDescent="0.25">
      <c r="A54" s="26" t="str">
        <f>IF(Productos!A54="","",Productos!A54)</f>
        <v/>
      </c>
      <c r="B54" s="26" t="str">
        <f>IF(Productos!A54="","",Productos!B54)</f>
        <v/>
      </c>
      <c r="C54" s="26" t="str">
        <f>IF(Productos!A54="","",Productos!C54)</f>
        <v/>
      </c>
      <c r="D54" s="26" t="str">
        <f>IF(Productos!A54="","",Productos!D54)</f>
        <v/>
      </c>
      <c r="E54" s="27" t="str">
        <f>IF(Productos!A54="","",Productos!E54)</f>
        <v/>
      </c>
      <c r="F54" s="27" t="str">
        <f>IF(Productos!A54="","",Productos!F54)</f>
        <v/>
      </c>
      <c r="G54" s="27" t="str">
        <f>IF(A54="","",SUMIF('Compras Entradas'!$C$5:$C$504,A54,'Compras Entradas'!$E$5:$E$504))</f>
        <v/>
      </c>
      <c r="H54" s="27" t="str">
        <f>IF(A54="","",SUMIF('Ventas Salidas'!$C$5:$C$504,A54,'Ventas Salidas'!$E$5:$E$504))</f>
        <v/>
      </c>
      <c r="I54" s="27" t="str">
        <f t="shared" si="0"/>
        <v/>
      </c>
      <c r="J54" s="26" t="str">
        <f t="shared" si="1"/>
        <v/>
      </c>
      <c r="K54" s="26" t="str">
        <f t="shared" si="2"/>
        <v/>
      </c>
      <c r="L54" s="22"/>
      <c r="M54" s="22" t="str">
        <f>IF(A54="","",IF(OR(J54="Bajo stock",J54="Sin stock"),COUNTIFS($J$5:$J54,"Bajo stock")+COUNTIFS($J$5:$J54,"Sin stock"),""))</f>
        <v/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21.75" customHeight="1" x14ac:dyDescent="0.25">
      <c r="A55" s="26" t="str">
        <f>IF(Productos!A55="","",Productos!A55)</f>
        <v/>
      </c>
      <c r="B55" s="26" t="str">
        <f>IF(Productos!A55="","",Productos!B55)</f>
        <v/>
      </c>
      <c r="C55" s="26" t="str">
        <f>IF(Productos!A55="","",Productos!C55)</f>
        <v/>
      </c>
      <c r="D55" s="26" t="str">
        <f>IF(Productos!A55="","",Productos!D55)</f>
        <v/>
      </c>
      <c r="E55" s="27" t="str">
        <f>IF(Productos!A55="","",Productos!E55)</f>
        <v/>
      </c>
      <c r="F55" s="27" t="str">
        <f>IF(Productos!A55="","",Productos!F55)</f>
        <v/>
      </c>
      <c r="G55" s="27" t="str">
        <f>IF(A55="","",SUMIF('Compras Entradas'!$C$5:$C$504,A55,'Compras Entradas'!$E$5:$E$504))</f>
        <v/>
      </c>
      <c r="H55" s="27" t="str">
        <f>IF(A55="","",SUMIF('Ventas Salidas'!$C$5:$C$504,A55,'Ventas Salidas'!$E$5:$E$504))</f>
        <v/>
      </c>
      <c r="I55" s="27" t="str">
        <f t="shared" si="0"/>
        <v/>
      </c>
      <c r="J55" s="26" t="str">
        <f t="shared" si="1"/>
        <v/>
      </c>
      <c r="K55" s="26" t="str">
        <f t="shared" si="2"/>
        <v/>
      </c>
      <c r="L55" s="22"/>
      <c r="M55" s="22" t="str">
        <f>IF(A55="","",IF(OR(J55="Bajo stock",J55="Sin stock"),COUNTIFS($J$5:$J55,"Bajo stock")+COUNTIFS($J$5:$J55,"Sin stock"),""))</f>
        <v/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21.75" customHeight="1" x14ac:dyDescent="0.25">
      <c r="A56" s="26" t="str">
        <f>IF(Productos!A56="","",Productos!A56)</f>
        <v/>
      </c>
      <c r="B56" s="26" t="str">
        <f>IF(Productos!A56="","",Productos!B56)</f>
        <v/>
      </c>
      <c r="C56" s="26" t="str">
        <f>IF(Productos!A56="","",Productos!C56)</f>
        <v/>
      </c>
      <c r="D56" s="26" t="str">
        <f>IF(Productos!A56="","",Productos!D56)</f>
        <v/>
      </c>
      <c r="E56" s="27" t="str">
        <f>IF(Productos!A56="","",Productos!E56)</f>
        <v/>
      </c>
      <c r="F56" s="27" t="str">
        <f>IF(Productos!A56="","",Productos!F56)</f>
        <v/>
      </c>
      <c r="G56" s="27" t="str">
        <f>IF(A56="","",SUMIF('Compras Entradas'!$C$5:$C$504,A56,'Compras Entradas'!$E$5:$E$504))</f>
        <v/>
      </c>
      <c r="H56" s="27" t="str">
        <f>IF(A56="","",SUMIF('Ventas Salidas'!$C$5:$C$504,A56,'Ventas Salidas'!$E$5:$E$504))</f>
        <v/>
      </c>
      <c r="I56" s="27" t="str">
        <f t="shared" si="0"/>
        <v/>
      </c>
      <c r="J56" s="26" t="str">
        <f t="shared" si="1"/>
        <v/>
      </c>
      <c r="K56" s="26" t="str">
        <f t="shared" si="2"/>
        <v/>
      </c>
      <c r="L56" s="22"/>
      <c r="M56" s="22" t="str">
        <f>IF(A56="","",IF(OR(J56="Bajo stock",J56="Sin stock"),COUNTIFS($J$5:$J56,"Bajo stock")+COUNTIFS($J$5:$J56,"Sin stock"),""))</f>
        <v/>
      </c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21.75" customHeight="1" x14ac:dyDescent="0.25">
      <c r="A57" s="26" t="str">
        <f>IF(Productos!A57="","",Productos!A57)</f>
        <v/>
      </c>
      <c r="B57" s="26" t="str">
        <f>IF(Productos!A57="","",Productos!B57)</f>
        <v/>
      </c>
      <c r="C57" s="26" t="str">
        <f>IF(Productos!A57="","",Productos!C57)</f>
        <v/>
      </c>
      <c r="D57" s="26" t="str">
        <f>IF(Productos!A57="","",Productos!D57)</f>
        <v/>
      </c>
      <c r="E57" s="27" t="str">
        <f>IF(Productos!A57="","",Productos!E57)</f>
        <v/>
      </c>
      <c r="F57" s="27" t="str">
        <f>IF(Productos!A57="","",Productos!F57)</f>
        <v/>
      </c>
      <c r="G57" s="27" t="str">
        <f>IF(A57="","",SUMIF('Compras Entradas'!$C$5:$C$504,A57,'Compras Entradas'!$E$5:$E$504))</f>
        <v/>
      </c>
      <c r="H57" s="27" t="str">
        <f>IF(A57="","",SUMIF('Ventas Salidas'!$C$5:$C$504,A57,'Ventas Salidas'!$E$5:$E$504))</f>
        <v/>
      </c>
      <c r="I57" s="27" t="str">
        <f t="shared" si="0"/>
        <v/>
      </c>
      <c r="J57" s="26" t="str">
        <f t="shared" si="1"/>
        <v/>
      </c>
      <c r="K57" s="26" t="str">
        <f t="shared" si="2"/>
        <v/>
      </c>
      <c r="L57" s="22"/>
      <c r="M57" s="22" t="str">
        <f>IF(A57="","",IF(OR(J57="Bajo stock",J57="Sin stock"),COUNTIFS($J$5:$J57,"Bajo stock")+COUNTIFS($J$5:$J57,"Sin stock"),""))</f>
        <v/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21.75" customHeight="1" x14ac:dyDescent="0.25">
      <c r="A58" s="26" t="str">
        <f>IF(Productos!A58="","",Productos!A58)</f>
        <v/>
      </c>
      <c r="B58" s="26" t="str">
        <f>IF(Productos!A58="","",Productos!B58)</f>
        <v/>
      </c>
      <c r="C58" s="26" t="str">
        <f>IF(Productos!A58="","",Productos!C58)</f>
        <v/>
      </c>
      <c r="D58" s="26" t="str">
        <f>IF(Productos!A58="","",Productos!D58)</f>
        <v/>
      </c>
      <c r="E58" s="27" t="str">
        <f>IF(Productos!A58="","",Productos!E58)</f>
        <v/>
      </c>
      <c r="F58" s="27" t="str">
        <f>IF(Productos!A58="","",Productos!F58)</f>
        <v/>
      </c>
      <c r="G58" s="27" t="str">
        <f>IF(A58="","",SUMIF('Compras Entradas'!$C$5:$C$504,A58,'Compras Entradas'!$E$5:$E$504))</f>
        <v/>
      </c>
      <c r="H58" s="27" t="str">
        <f>IF(A58="","",SUMIF('Ventas Salidas'!$C$5:$C$504,A58,'Ventas Salidas'!$E$5:$E$504))</f>
        <v/>
      </c>
      <c r="I58" s="27" t="str">
        <f t="shared" si="0"/>
        <v/>
      </c>
      <c r="J58" s="26" t="str">
        <f t="shared" si="1"/>
        <v/>
      </c>
      <c r="K58" s="26" t="str">
        <f t="shared" si="2"/>
        <v/>
      </c>
      <c r="L58" s="22"/>
      <c r="M58" s="22" t="str">
        <f>IF(A58="","",IF(OR(J58="Bajo stock",J58="Sin stock"),COUNTIFS($J$5:$J58,"Bajo stock")+COUNTIFS($J$5:$J58,"Sin stock"),""))</f>
        <v/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21.75" customHeight="1" x14ac:dyDescent="0.25">
      <c r="A59" s="26" t="str">
        <f>IF(Productos!A59="","",Productos!A59)</f>
        <v/>
      </c>
      <c r="B59" s="26" t="str">
        <f>IF(Productos!A59="","",Productos!B59)</f>
        <v/>
      </c>
      <c r="C59" s="26" t="str">
        <f>IF(Productos!A59="","",Productos!C59)</f>
        <v/>
      </c>
      <c r="D59" s="26" t="str">
        <f>IF(Productos!A59="","",Productos!D59)</f>
        <v/>
      </c>
      <c r="E59" s="27" t="str">
        <f>IF(Productos!A59="","",Productos!E59)</f>
        <v/>
      </c>
      <c r="F59" s="27" t="str">
        <f>IF(Productos!A59="","",Productos!F59)</f>
        <v/>
      </c>
      <c r="G59" s="27" t="str">
        <f>IF(A59="","",SUMIF('Compras Entradas'!$C$5:$C$504,A59,'Compras Entradas'!$E$5:$E$504))</f>
        <v/>
      </c>
      <c r="H59" s="27" t="str">
        <f>IF(A59="","",SUMIF('Ventas Salidas'!$C$5:$C$504,A59,'Ventas Salidas'!$E$5:$E$504))</f>
        <v/>
      </c>
      <c r="I59" s="27" t="str">
        <f t="shared" si="0"/>
        <v/>
      </c>
      <c r="J59" s="26" t="str">
        <f t="shared" si="1"/>
        <v/>
      </c>
      <c r="K59" s="26" t="str">
        <f t="shared" si="2"/>
        <v/>
      </c>
      <c r="L59" s="22"/>
      <c r="M59" s="22" t="str">
        <f>IF(A59="","",IF(OR(J59="Bajo stock",J59="Sin stock"),COUNTIFS($J$5:$J59,"Bajo stock")+COUNTIFS($J$5:$J59,"Sin stock"),""))</f>
        <v/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21.75" customHeight="1" x14ac:dyDescent="0.25">
      <c r="A60" s="26" t="str">
        <f>IF(Productos!A60="","",Productos!A60)</f>
        <v/>
      </c>
      <c r="B60" s="26" t="str">
        <f>IF(Productos!A60="","",Productos!B60)</f>
        <v/>
      </c>
      <c r="C60" s="26" t="str">
        <f>IF(Productos!A60="","",Productos!C60)</f>
        <v/>
      </c>
      <c r="D60" s="26" t="str">
        <f>IF(Productos!A60="","",Productos!D60)</f>
        <v/>
      </c>
      <c r="E60" s="27" t="str">
        <f>IF(Productos!A60="","",Productos!E60)</f>
        <v/>
      </c>
      <c r="F60" s="27" t="str">
        <f>IF(Productos!A60="","",Productos!F60)</f>
        <v/>
      </c>
      <c r="G60" s="27" t="str">
        <f>IF(A60="","",SUMIF('Compras Entradas'!$C$5:$C$504,A60,'Compras Entradas'!$E$5:$E$504))</f>
        <v/>
      </c>
      <c r="H60" s="27" t="str">
        <f>IF(A60="","",SUMIF('Ventas Salidas'!$C$5:$C$504,A60,'Ventas Salidas'!$E$5:$E$504))</f>
        <v/>
      </c>
      <c r="I60" s="27" t="str">
        <f t="shared" si="0"/>
        <v/>
      </c>
      <c r="J60" s="26" t="str">
        <f t="shared" si="1"/>
        <v/>
      </c>
      <c r="K60" s="26" t="str">
        <f t="shared" si="2"/>
        <v/>
      </c>
      <c r="L60" s="22"/>
      <c r="M60" s="22" t="str">
        <f>IF(A60="","",IF(OR(J60="Bajo stock",J60="Sin stock"),COUNTIFS($J$5:$J60,"Bajo stock")+COUNTIFS($J$5:$J60,"Sin stock"),""))</f>
        <v/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21.75" customHeight="1" x14ac:dyDescent="0.25">
      <c r="A61" s="26" t="str">
        <f>IF(Productos!A61="","",Productos!A61)</f>
        <v/>
      </c>
      <c r="B61" s="26" t="str">
        <f>IF(Productos!A61="","",Productos!B61)</f>
        <v/>
      </c>
      <c r="C61" s="26" t="str">
        <f>IF(Productos!A61="","",Productos!C61)</f>
        <v/>
      </c>
      <c r="D61" s="26" t="str">
        <f>IF(Productos!A61="","",Productos!D61)</f>
        <v/>
      </c>
      <c r="E61" s="27" t="str">
        <f>IF(Productos!A61="","",Productos!E61)</f>
        <v/>
      </c>
      <c r="F61" s="27" t="str">
        <f>IF(Productos!A61="","",Productos!F61)</f>
        <v/>
      </c>
      <c r="G61" s="27" t="str">
        <f>IF(A61="","",SUMIF('Compras Entradas'!$C$5:$C$504,A61,'Compras Entradas'!$E$5:$E$504))</f>
        <v/>
      </c>
      <c r="H61" s="27" t="str">
        <f>IF(A61="","",SUMIF('Ventas Salidas'!$C$5:$C$504,A61,'Ventas Salidas'!$E$5:$E$504))</f>
        <v/>
      </c>
      <c r="I61" s="27" t="str">
        <f t="shared" si="0"/>
        <v/>
      </c>
      <c r="J61" s="26" t="str">
        <f t="shared" si="1"/>
        <v/>
      </c>
      <c r="K61" s="26" t="str">
        <f t="shared" si="2"/>
        <v/>
      </c>
      <c r="L61" s="22"/>
      <c r="M61" s="22" t="str">
        <f>IF(A61="","",IF(OR(J61="Bajo stock",J61="Sin stock"),COUNTIFS($J$5:$J61,"Bajo stock")+COUNTIFS($J$5:$J61,"Sin stock"),""))</f>
        <v/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21.75" customHeight="1" x14ac:dyDescent="0.25">
      <c r="A62" s="26" t="str">
        <f>IF(Productos!A62="","",Productos!A62)</f>
        <v/>
      </c>
      <c r="B62" s="26" t="str">
        <f>IF(Productos!A62="","",Productos!B62)</f>
        <v/>
      </c>
      <c r="C62" s="26" t="str">
        <f>IF(Productos!A62="","",Productos!C62)</f>
        <v/>
      </c>
      <c r="D62" s="26" t="str">
        <f>IF(Productos!A62="","",Productos!D62)</f>
        <v/>
      </c>
      <c r="E62" s="27" t="str">
        <f>IF(Productos!A62="","",Productos!E62)</f>
        <v/>
      </c>
      <c r="F62" s="27" t="str">
        <f>IF(Productos!A62="","",Productos!F62)</f>
        <v/>
      </c>
      <c r="G62" s="27" t="str">
        <f>IF(A62="","",SUMIF('Compras Entradas'!$C$5:$C$504,A62,'Compras Entradas'!$E$5:$E$504))</f>
        <v/>
      </c>
      <c r="H62" s="27" t="str">
        <f>IF(A62="","",SUMIF('Ventas Salidas'!$C$5:$C$504,A62,'Ventas Salidas'!$E$5:$E$504))</f>
        <v/>
      </c>
      <c r="I62" s="27" t="str">
        <f t="shared" si="0"/>
        <v/>
      </c>
      <c r="J62" s="26" t="str">
        <f t="shared" si="1"/>
        <v/>
      </c>
      <c r="K62" s="26" t="str">
        <f t="shared" si="2"/>
        <v/>
      </c>
      <c r="L62" s="22"/>
      <c r="M62" s="22" t="str">
        <f>IF(A62="","",IF(OR(J62="Bajo stock",J62="Sin stock"),COUNTIFS($J$5:$J62,"Bajo stock")+COUNTIFS($J$5:$J62,"Sin stock"),""))</f>
        <v/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21.75" customHeight="1" x14ac:dyDescent="0.25">
      <c r="A63" s="26" t="str">
        <f>IF(Productos!A63="","",Productos!A63)</f>
        <v/>
      </c>
      <c r="B63" s="26" t="str">
        <f>IF(Productos!A63="","",Productos!B63)</f>
        <v/>
      </c>
      <c r="C63" s="26" t="str">
        <f>IF(Productos!A63="","",Productos!C63)</f>
        <v/>
      </c>
      <c r="D63" s="26" t="str">
        <f>IF(Productos!A63="","",Productos!D63)</f>
        <v/>
      </c>
      <c r="E63" s="27" t="str">
        <f>IF(Productos!A63="","",Productos!E63)</f>
        <v/>
      </c>
      <c r="F63" s="27" t="str">
        <f>IF(Productos!A63="","",Productos!F63)</f>
        <v/>
      </c>
      <c r="G63" s="27" t="str">
        <f>IF(A63="","",SUMIF('Compras Entradas'!$C$5:$C$504,A63,'Compras Entradas'!$E$5:$E$504))</f>
        <v/>
      </c>
      <c r="H63" s="27" t="str">
        <f>IF(A63="","",SUMIF('Ventas Salidas'!$C$5:$C$504,A63,'Ventas Salidas'!$E$5:$E$504))</f>
        <v/>
      </c>
      <c r="I63" s="27" t="str">
        <f t="shared" si="0"/>
        <v/>
      </c>
      <c r="J63" s="26" t="str">
        <f t="shared" si="1"/>
        <v/>
      </c>
      <c r="K63" s="26" t="str">
        <f t="shared" si="2"/>
        <v/>
      </c>
      <c r="L63" s="22"/>
      <c r="M63" s="22" t="str">
        <f>IF(A63="","",IF(OR(J63="Bajo stock",J63="Sin stock"),COUNTIFS($J$5:$J63,"Bajo stock")+COUNTIFS($J$5:$J63,"Sin stock"),""))</f>
        <v/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21.75" customHeight="1" x14ac:dyDescent="0.25">
      <c r="A64" s="26" t="str">
        <f>IF(Productos!A64="","",Productos!A64)</f>
        <v/>
      </c>
      <c r="B64" s="26" t="str">
        <f>IF(Productos!A64="","",Productos!B64)</f>
        <v/>
      </c>
      <c r="C64" s="26" t="str">
        <f>IF(Productos!A64="","",Productos!C64)</f>
        <v/>
      </c>
      <c r="D64" s="26" t="str">
        <f>IF(Productos!A64="","",Productos!D64)</f>
        <v/>
      </c>
      <c r="E64" s="27" t="str">
        <f>IF(Productos!A64="","",Productos!E64)</f>
        <v/>
      </c>
      <c r="F64" s="27" t="str">
        <f>IF(Productos!A64="","",Productos!F64)</f>
        <v/>
      </c>
      <c r="G64" s="27" t="str">
        <f>IF(A64="","",SUMIF('Compras Entradas'!$C$5:$C$504,A64,'Compras Entradas'!$E$5:$E$504))</f>
        <v/>
      </c>
      <c r="H64" s="27" t="str">
        <f>IF(A64="","",SUMIF('Ventas Salidas'!$C$5:$C$504,A64,'Ventas Salidas'!$E$5:$E$504))</f>
        <v/>
      </c>
      <c r="I64" s="27" t="str">
        <f t="shared" si="0"/>
        <v/>
      </c>
      <c r="J64" s="26" t="str">
        <f t="shared" si="1"/>
        <v/>
      </c>
      <c r="K64" s="26" t="str">
        <f t="shared" si="2"/>
        <v/>
      </c>
      <c r="L64" s="22"/>
      <c r="M64" s="22" t="str">
        <f>IF(A64="","",IF(OR(J64="Bajo stock",J64="Sin stock"),COUNTIFS($J$5:$J64,"Bajo stock")+COUNTIFS($J$5:$J64,"Sin stock"),""))</f>
        <v/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21.75" customHeight="1" x14ac:dyDescent="0.25">
      <c r="A65" s="26" t="str">
        <f>IF(Productos!A65="","",Productos!A65)</f>
        <v/>
      </c>
      <c r="B65" s="26" t="str">
        <f>IF(Productos!A65="","",Productos!B65)</f>
        <v/>
      </c>
      <c r="C65" s="26" t="str">
        <f>IF(Productos!A65="","",Productos!C65)</f>
        <v/>
      </c>
      <c r="D65" s="26" t="str">
        <f>IF(Productos!A65="","",Productos!D65)</f>
        <v/>
      </c>
      <c r="E65" s="27" t="str">
        <f>IF(Productos!A65="","",Productos!E65)</f>
        <v/>
      </c>
      <c r="F65" s="27" t="str">
        <f>IF(Productos!A65="","",Productos!F65)</f>
        <v/>
      </c>
      <c r="G65" s="27" t="str">
        <f>IF(A65="","",SUMIF('Compras Entradas'!$C$5:$C$504,A65,'Compras Entradas'!$E$5:$E$504))</f>
        <v/>
      </c>
      <c r="H65" s="27" t="str">
        <f>IF(A65="","",SUMIF('Ventas Salidas'!$C$5:$C$504,A65,'Ventas Salidas'!$E$5:$E$504))</f>
        <v/>
      </c>
      <c r="I65" s="27" t="str">
        <f t="shared" si="0"/>
        <v/>
      </c>
      <c r="J65" s="26" t="str">
        <f t="shared" si="1"/>
        <v/>
      </c>
      <c r="K65" s="26" t="str">
        <f t="shared" si="2"/>
        <v/>
      </c>
      <c r="L65" s="22"/>
      <c r="M65" s="22" t="str">
        <f>IF(A65="","",IF(OR(J65="Bajo stock",J65="Sin stock"),COUNTIFS($J$5:$J65,"Bajo stock")+COUNTIFS($J$5:$J65,"Sin stock"),""))</f>
        <v/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21.75" customHeight="1" x14ac:dyDescent="0.25">
      <c r="A66" s="26" t="str">
        <f>IF(Productos!A66="","",Productos!A66)</f>
        <v/>
      </c>
      <c r="B66" s="26" t="str">
        <f>IF(Productos!A66="","",Productos!B66)</f>
        <v/>
      </c>
      <c r="C66" s="26" t="str">
        <f>IF(Productos!A66="","",Productos!C66)</f>
        <v/>
      </c>
      <c r="D66" s="26" t="str">
        <f>IF(Productos!A66="","",Productos!D66)</f>
        <v/>
      </c>
      <c r="E66" s="27" t="str">
        <f>IF(Productos!A66="","",Productos!E66)</f>
        <v/>
      </c>
      <c r="F66" s="27" t="str">
        <f>IF(Productos!A66="","",Productos!F66)</f>
        <v/>
      </c>
      <c r="G66" s="27" t="str">
        <f>IF(A66="","",SUMIF('Compras Entradas'!$C$5:$C$504,A66,'Compras Entradas'!$E$5:$E$504))</f>
        <v/>
      </c>
      <c r="H66" s="27" t="str">
        <f>IF(A66="","",SUMIF('Ventas Salidas'!$C$5:$C$504,A66,'Ventas Salidas'!$E$5:$E$504))</f>
        <v/>
      </c>
      <c r="I66" s="27" t="str">
        <f t="shared" si="0"/>
        <v/>
      </c>
      <c r="J66" s="26" t="str">
        <f t="shared" si="1"/>
        <v/>
      </c>
      <c r="K66" s="26" t="str">
        <f t="shared" si="2"/>
        <v/>
      </c>
      <c r="L66" s="22"/>
      <c r="M66" s="22" t="str">
        <f>IF(A66="","",IF(OR(J66="Bajo stock",J66="Sin stock"),COUNTIFS($J$5:$J66,"Bajo stock")+COUNTIFS($J$5:$J66,"Sin stock"),""))</f>
        <v/>
      </c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21.75" customHeight="1" x14ac:dyDescent="0.25">
      <c r="A67" s="26" t="str">
        <f>IF(Productos!A67="","",Productos!A67)</f>
        <v/>
      </c>
      <c r="B67" s="26" t="str">
        <f>IF(Productos!A67="","",Productos!B67)</f>
        <v/>
      </c>
      <c r="C67" s="26" t="str">
        <f>IF(Productos!A67="","",Productos!C67)</f>
        <v/>
      </c>
      <c r="D67" s="26" t="str">
        <f>IF(Productos!A67="","",Productos!D67)</f>
        <v/>
      </c>
      <c r="E67" s="27" t="str">
        <f>IF(Productos!A67="","",Productos!E67)</f>
        <v/>
      </c>
      <c r="F67" s="27" t="str">
        <f>IF(Productos!A67="","",Productos!F67)</f>
        <v/>
      </c>
      <c r="G67" s="27" t="str">
        <f>IF(A67="","",SUMIF('Compras Entradas'!$C$5:$C$504,A67,'Compras Entradas'!$E$5:$E$504))</f>
        <v/>
      </c>
      <c r="H67" s="27" t="str">
        <f>IF(A67="","",SUMIF('Ventas Salidas'!$C$5:$C$504,A67,'Ventas Salidas'!$E$5:$E$504))</f>
        <v/>
      </c>
      <c r="I67" s="27" t="str">
        <f t="shared" si="0"/>
        <v/>
      </c>
      <c r="J67" s="26" t="str">
        <f t="shared" si="1"/>
        <v/>
      </c>
      <c r="K67" s="26" t="str">
        <f t="shared" si="2"/>
        <v/>
      </c>
      <c r="L67" s="22"/>
      <c r="M67" s="22" t="str">
        <f>IF(A67="","",IF(OR(J67="Bajo stock",J67="Sin stock"),COUNTIFS($J$5:$J67,"Bajo stock")+COUNTIFS($J$5:$J67,"Sin stock"),""))</f>
        <v/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21.75" customHeight="1" x14ac:dyDescent="0.25">
      <c r="A68" s="26" t="str">
        <f>IF(Productos!A68="","",Productos!A68)</f>
        <v/>
      </c>
      <c r="B68" s="26" t="str">
        <f>IF(Productos!A68="","",Productos!B68)</f>
        <v/>
      </c>
      <c r="C68" s="26" t="str">
        <f>IF(Productos!A68="","",Productos!C68)</f>
        <v/>
      </c>
      <c r="D68" s="26" t="str">
        <f>IF(Productos!A68="","",Productos!D68)</f>
        <v/>
      </c>
      <c r="E68" s="27" t="str">
        <f>IF(Productos!A68="","",Productos!E68)</f>
        <v/>
      </c>
      <c r="F68" s="27" t="str">
        <f>IF(Productos!A68="","",Productos!F68)</f>
        <v/>
      </c>
      <c r="G68" s="27" t="str">
        <f>IF(A68="","",SUMIF('Compras Entradas'!$C$5:$C$504,A68,'Compras Entradas'!$E$5:$E$504))</f>
        <v/>
      </c>
      <c r="H68" s="27" t="str">
        <f>IF(A68="","",SUMIF('Ventas Salidas'!$C$5:$C$504,A68,'Ventas Salidas'!$E$5:$E$504))</f>
        <v/>
      </c>
      <c r="I68" s="27" t="str">
        <f t="shared" si="0"/>
        <v/>
      </c>
      <c r="J68" s="26" t="str">
        <f t="shared" si="1"/>
        <v/>
      </c>
      <c r="K68" s="26" t="str">
        <f t="shared" si="2"/>
        <v/>
      </c>
      <c r="L68" s="22"/>
      <c r="M68" s="22" t="str">
        <f>IF(A68="","",IF(OR(J68="Bajo stock",J68="Sin stock"),COUNTIFS($J$5:$J68,"Bajo stock")+COUNTIFS($J$5:$J68,"Sin stock"),""))</f>
        <v/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21.75" customHeight="1" x14ac:dyDescent="0.25">
      <c r="A69" s="26" t="str">
        <f>IF(Productos!A69="","",Productos!A69)</f>
        <v/>
      </c>
      <c r="B69" s="26" t="str">
        <f>IF(Productos!A69="","",Productos!B69)</f>
        <v/>
      </c>
      <c r="C69" s="26" t="str">
        <f>IF(Productos!A69="","",Productos!C69)</f>
        <v/>
      </c>
      <c r="D69" s="26" t="str">
        <f>IF(Productos!A69="","",Productos!D69)</f>
        <v/>
      </c>
      <c r="E69" s="27" t="str">
        <f>IF(Productos!A69="","",Productos!E69)</f>
        <v/>
      </c>
      <c r="F69" s="27" t="str">
        <f>IF(Productos!A69="","",Productos!F69)</f>
        <v/>
      </c>
      <c r="G69" s="27" t="str">
        <f>IF(A69="","",SUMIF('Compras Entradas'!$C$5:$C$504,A69,'Compras Entradas'!$E$5:$E$504))</f>
        <v/>
      </c>
      <c r="H69" s="27" t="str">
        <f>IF(A69="","",SUMIF('Ventas Salidas'!$C$5:$C$504,A69,'Ventas Salidas'!$E$5:$E$504))</f>
        <v/>
      </c>
      <c r="I69" s="27" t="str">
        <f t="shared" ref="I69:I132" si="3">IF(A69="","",F69+G69-H69)</f>
        <v/>
      </c>
      <c r="J69" s="26" t="str">
        <f t="shared" ref="J69:J132" si="4">IF(A69="","",IF(I69&lt;=0,"Sin stock",IF(I69&lt;E69,"Bajo stock","OK")))</f>
        <v/>
      </c>
      <c r="K69" s="26" t="str">
        <f t="shared" ref="K69:K132" si="5">IF(A69="","",IF(I69&lt;=0,"Comprar urgente",IF(I69&lt;E69,"Reponer pronto","Stock suficiente")))</f>
        <v/>
      </c>
      <c r="L69" s="22"/>
      <c r="M69" s="22" t="str">
        <f>IF(A69="","",IF(OR(J69="Bajo stock",J69="Sin stock"),COUNTIFS($J$5:$J69,"Bajo stock")+COUNTIFS($J$5:$J69,"Sin stock"),""))</f>
        <v/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21.75" customHeight="1" x14ac:dyDescent="0.25">
      <c r="A70" s="26" t="str">
        <f>IF(Productos!A70="","",Productos!A70)</f>
        <v/>
      </c>
      <c r="B70" s="26" t="str">
        <f>IF(Productos!A70="","",Productos!B70)</f>
        <v/>
      </c>
      <c r="C70" s="26" t="str">
        <f>IF(Productos!A70="","",Productos!C70)</f>
        <v/>
      </c>
      <c r="D70" s="26" t="str">
        <f>IF(Productos!A70="","",Productos!D70)</f>
        <v/>
      </c>
      <c r="E70" s="27" t="str">
        <f>IF(Productos!A70="","",Productos!E70)</f>
        <v/>
      </c>
      <c r="F70" s="27" t="str">
        <f>IF(Productos!A70="","",Productos!F70)</f>
        <v/>
      </c>
      <c r="G70" s="27" t="str">
        <f>IF(A70="","",SUMIF('Compras Entradas'!$C$5:$C$504,A70,'Compras Entradas'!$E$5:$E$504))</f>
        <v/>
      </c>
      <c r="H70" s="27" t="str">
        <f>IF(A70="","",SUMIF('Ventas Salidas'!$C$5:$C$504,A70,'Ventas Salidas'!$E$5:$E$504))</f>
        <v/>
      </c>
      <c r="I70" s="27" t="str">
        <f t="shared" si="3"/>
        <v/>
      </c>
      <c r="J70" s="26" t="str">
        <f t="shared" si="4"/>
        <v/>
      </c>
      <c r="K70" s="26" t="str">
        <f t="shared" si="5"/>
        <v/>
      </c>
      <c r="L70" s="22"/>
      <c r="M70" s="22" t="str">
        <f>IF(A70="","",IF(OR(J70="Bajo stock",J70="Sin stock"),COUNTIFS($J$5:$J70,"Bajo stock")+COUNTIFS($J$5:$J70,"Sin stock"),""))</f>
        <v/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21.75" customHeight="1" x14ac:dyDescent="0.25">
      <c r="A71" s="26" t="str">
        <f>IF(Productos!A71="","",Productos!A71)</f>
        <v/>
      </c>
      <c r="B71" s="26" t="str">
        <f>IF(Productos!A71="","",Productos!B71)</f>
        <v/>
      </c>
      <c r="C71" s="26" t="str">
        <f>IF(Productos!A71="","",Productos!C71)</f>
        <v/>
      </c>
      <c r="D71" s="26" t="str">
        <f>IF(Productos!A71="","",Productos!D71)</f>
        <v/>
      </c>
      <c r="E71" s="27" t="str">
        <f>IF(Productos!A71="","",Productos!E71)</f>
        <v/>
      </c>
      <c r="F71" s="27" t="str">
        <f>IF(Productos!A71="","",Productos!F71)</f>
        <v/>
      </c>
      <c r="G71" s="27" t="str">
        <f>IF(A71="","",SUMIF('Compras Entradas'!$C$5:$C$504,A71,'Compras Entradas'!$E$5:$E$504))</f>
        <v/>
      </c>
      <c r="H71" s="27" t="str">
        <f>IF(A71="","",SUMIF('Ventas Salidas'!$C$5:$C$504,A71,'Ventas Salidas'!$E$5:$E$504))</f>
        <v/>
      </c>
      <c r="I71" s="27" t="str">
        <f t="shared" si="3"/>
        <v/>
      </c>
      <c r="J71" s="26" t="str">
        <f t="shared" si="4"/>
        <v/>
      </c>
      <c r="K71" s="26" t="str">
        <f t="shared" si="5"/>
        <v/>
      </c>
      <c r="L71" s="22"/>
      <c r="M71" s="22" t="str">
        <f>IF(A71="","",IF(OR(J71="Bajo stock",J71="Sin stock"),COUNTIFS($J$5:$J71,"Bajo stock")+COUNTIFS($J$5:$J71,"Sin stock"),""))</f>
        <v/>
      </c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21.75" customHeight="1" x14ac:dyDescent="0.25">
      <c r="A72" s="26" t="str">
        <f>IF(Productos!A72="","",Productos!A72)</f>
        <v/>
      </c>
      <c r="B72" s="26" t="str">
        <f>IF(Productos!A72="","",Productos!B72)</f>
        <v/>
      </c>
      <c r="C72" s="26" t="str">
        <f>IF(Productos!A72="","",Productos!C72)</f>
        <v/>
      </c>
      <c r="D72" s="26" t="str">
        <f>IF(Productos!A72="","",Productos!D72)</f>
        <v/>
      </c>
      <c r="E72" s="27" t="str">
        <f>IF(Productos!A72="","",Productos!E72)</f>
        <v/>
      </c>
      <c r="F72" s="27" t="str">
        <f>IF(Productos!A72="","",Productos!F72)</f>
        <v/>
      </c>
      <c r="G72" s="27" t="str">
        <f>IF(A72="","",SUMIF('Compras Entradas'!$C$5:$C$504,A72,'Compras Entradas'!$E$5:$E$504))</f>
        <v/>
      </c>
      <c r="H72" s="27" t="str">
        <f>IF(A72="","",SUMIF('Ventas Salidas'!$C$5:$C$504,A72,'Ventas Salidas'!$E$5:$E$504))</f>
        <v/>
      </c>
      <c r="I72" s="27" t="str">
        <f t="shared" si="3"/>
        <v/>
      </c>
      <c r="J72" s="26" t="str">
        <f t="shared" si="4"/>
        <v/>
      </c>
      <c r="K72" s="26" t="str">
        <f t="shared" si="5"/>
        <v/>
      </c>
      <c r="L72" s="22"/>
      <c r="M72" s="22" t="str">
        <f>IF(A72="","",IF(OR(J72="Bajo stock",J72="Sin stock"),COUNTIFS($J$5:$J72,"Bajo stock")+COUNTIFS($J$5:$J72,"Sin stock"),""))</f>
        <v/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21.75" customHeight="1" x14ac:dyDescent="0.25">
      <c r="A73" s="26" t="str">
        <f>IF(Productos!A73="","",Productos!A73)</f>
        <v/>
      </c>
      <c r="B73" s="26" t="str">
        <f>IF(Productos!A73="","",Productos!B73)</f>
        <v/>
      </c>
      <c r="C73" s="26" t="str">
        <f>IF(Productos!A73="","",Productos!C73)</f>
        <v/>
      </c>
      <c r="D73" s="26" t="str">
        <f>IF(Productos!A73="","",Productos!D73)</f>
        <v/>
      </c>
      <c r="E73" s="27" t="str">
        <f>IF(Productos!A73="","",Productos!E73)</f>
        <v/>
      </c>
      <c r="F73" s="27" t="str">
        <f>IF(Productos!A73="","",Productos!F73)</f>
        <v/>
      </c>
      <c r="G73" s="27" t="str">
        <f>IF(A73="","",SUMIF('Compras Entradas'!$C$5:$C$504,A73,'Compras Entradas'!$E$5:$E$504))</f>
        <v/>
      </c>
      <c r="H73" s="27" t="str">
        <f>IF(A73="","",SUMIF('Ventas Salidas'!$C$5:$C$504,A73,'Ventas Salidas'!$E$5:$E$504))</f>
        <v/>
      </c>
      <c r="I73" s="27" t="str">
        <f t="shared" si="3"/>
        <v/>
      </c>
      <c r="J73" s="26" t="str">
        <f t="shared" si="4"/>
        <v/>
      </c>
      <c r="K73" s="26" t="str">
        <f t="shared" si="5"/>
        <v/>
      </c>
      <c r="L73" s="22"/>
      <c r="M73" s="22" t="str">
        <f>IF(A73="","",IF(OR(J73="Bajo stock",J73="Sin stock"),COUNTIFS($J$5:$J73,"Bajo stock")+COUNTIFS($J$5:$J73,"Sin stock"),""))</f>
        <v/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21.75" customHeight="1" x14ac:dyDescent="0.25">
      <c r="A74" s="26" t="str">
        <f>IF(Productos!A74="","",Productos!A74)</f>
        <v/>
      </c>
      <c r="B74" s="26" t="str">
        <f>IF(Productos!A74="","",Productos!B74)</f>
        <v/>
      </c>
      <c r="C74" s="26" t="str">
        <f>IF(Productos!A74="","",Productos!C74)</f>
        <v/>
      </c>
      <c r="D74" s="26" t="str">
        <f>IF(Productos!A74="","",Productos!D74)</f>
        <v/>
      </c>
      <c r="E74" s="27" t="str">
        <f>IF(Productos!A74="","",Productos!E74)</f>
        <v/>
      </c>
      <c r="F74" s="27" t="str">
        <f>IF(Productos!A74="","",Productos!F74)</f>
        <v/>
      </c>
      <c r="G74" s="27" t="str">
        <f>IF(A74="","",SUMIF('Compras Entradas'!$C$5:$C$504,A74,'Compras Entradas'!$E$5:$E$504))</f>
        <v/>
      </c>
      <c r="H74" s="27" t="str">
        <f>IF(A74="","",SUMIF('Ventas Salidas'!$C$5:$C$504,A74,'Ventas Salidas'!$E$5:$E$504))</f>
        <v/>
      </c>
      <c r="I74" s="27" t="str">
        <f t="shared" si="3"/>
        <v/>
      </c>
      <c r="J74" s="26" t="str">
        <f t="shared" si="4"/>
        <v/>
      </c>
      <c r="K74" s="26" t="str">
        <f t="shared" si="5"/>
        <v/>
      </c>
      <c r="L74" s="22"/>
      <c r="M74" s="22" t="str">
        <f>IF(A74="","",IF(OR(J74="Bajo stock",J74="Sin stock"),COUNTIFS($J$5:$J74,"Bajo stock")+COUNTIFS($J$5:$J74,"Sin stock"),""))</f>
        <v/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21.75" customHeight="1" x14ac:dyDescent="0.25">
      <c r="A75" s="26" t="str">
        <f>IF(Productos!A75="","",Productos!A75)</f>
        <v/>
      </c>
      <c r="B75" s="26" t="str">
        <f>IF(Productos!A75="","",Productos!B75)</f>
        <v/>
      </c>
      <c r="C75" s="26" t="str">
        <f>IF(Productos!A75="","",Productos!C75)</f>
        <v/>
      </c>
      <c r="D75" s="26" t="str">
        <f>IF(Productos!A75="","",Productos!D75)</f>
        <v/>
      </c>
      <c r="E75" s="27" t="str">
        <f>IF(Productos!A75="","",Productos!E75)</f>
        <v/>
      </c>
      <c r="F75" s="27" t="str">
        <f>IF(Productos!A75="","",Productos!F75)</f>
        <v/>
      </c>
      <c r="G75" s="27" t="str">
        <f>IF(A75="","",SUMIF('Compras Entradas'!$C$5:$C$504,A75,'Compras Entradas'!$E$5:$E$504))</f>
        <v/>
      </c>
      <c r="H75" s="27" t="str">
        <f>IF(A75="","",SUMIF('Ventas Salidas'!$C$5:$C$504,A75,'Ventas Salidas'!$E$5:$E$504))</f>
        <v/>
      </c>
      <c r="I75" s="27" t="str">
        <f t="shared" si="3"/>
        <v/>
      </c>
      <c r="J75" s="26" t="str">
        <f t="shared" si="4"/>
        <v/>
      </c>
      <c r="K75" s="26" t="str">
        <f t="shared" si="5"/>
        <v/>
      </c>
      <c r="L75" s="22"/>
      <c r="M75" s="22" t="str">
        <f>IF(A75="","",IF(OR(J75="Bajo stock",J75="Sin stock"),COUNTIFS($J$5:$J75,"Bajo stock")+COUNTIFS($J$5:$J75,"Sin stock"),""))</f>
        <v/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21.75" customHeight="1" x14ac:dyDescent="0.25">
      <c r="A76" s="26" t="str">
        <f>IF(Productos!A76="","",Productos!A76)</f>
        <v/>
      </c>
      <c r="B76" s="26" t="str">
        <f>IF(Productos!A76="","",Productos!B76)</f>
        <v/>
      </c>
      <c r="C76" s="26" t="str">
        <f>IF(Productos!A76="","",Productos!C76)</f>
        <v/>
      </c>
      <c r="D76" s="26" t="str">
        <f>IF(Productos!A76="","",Productos!D76)</f>
        <v/>
      </c>
      <c r="E76" s="27" t="str">
        <f>IF(Productos!A76="","",Productos!E76)</f>
        <v/>
      </c>
      <c r="F76" s="27" t="str">
        <f>IF(Productos!A76="","",Productos!F76)</f>
        <v/>
      </c>
      <c r="G76" s="27" t="str">
        <f>IF(A76="","",SUMIF('Compras Entradas'!$C$5:$C$504,A76,'Compras Entradas'!$E$5:$E$504))</f>
        <v/>
      </c>
      <c r="H76" s="27" t="str">
        <f>IF(A76="","",SUMIF('Ventas Salidas'!$C$5:$C$504,A76,'Ventas Salidas'!$E$5:$E$504))</f>
        <v/>
      </c>
      <c r="I76" s="27" t="str">
        <f t="shared" si="3"/>
        <v/>
      </c>
      <c r="J76" s="26" t="str">
        <f t="shared" si="4"/>
        <v/>
      </c>
      <c r="K76" s="26" t="str">
        <f t="shared" si="5"/>
        <v/>
      </c>
      <c r="L76" s="22"/>
      <c r="M76" s="22" t="str">
        <f>IF(A76="","",IF(OR(J76="Bajo stock",J76="Sin stock"),COUNTIFS($J$5:$J76,"Bajo stock")+COUNTIFS($J$5:$J76,"Sin stock"),""))</f>
        <v/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21.75" customHeight="1" x14ac:dyDescent="0.25">
      <c r="A77" s="26" t="str">
        <f>IF(Productos!A77="","",Productos!A77)</f>
        <v/>
      </c>
      <c r="B77" s="26" t="str">
        <f>IF(Productos!A77="","",Productos!B77)</f>
        <v/>
      </c>
      <c r="C77" s="26" t="str">
        <f>IF(Productos!A77="","",Productos!C77)</f>
        <v/>
      </c>
      <c r="D77" s="26" t="str">
        <f>IF(Productos!A77="","",Productos!D77)</f>
        <v/>
      </c>
      <c r="E77" s="27" t="str">
        <f>IF(Productos!A77="","",Productos!E77)</f>
        <v/>
      </c>
      <c r="F77" s="27" t="str">
        <f>IF(Productos!A77="","",Productos!F77)</f>
        <v/>
      </c>
      <c r="G77" s="27" t="str">
        <f>IF(A77="","",SUMIF('Compras Entradas'!$C$5:$C$504,A77,'Compras Entradas'!$E$5:$E$504))</f>
        <v/>
      </c>
      <c r="H77" s="27" t="str">
        <f>IF(A77="","",SUMIF('Ventas Salidas'!$C$5:$C$504,A77,'Ventas Salidas'!$E$5:$E$504))</f>
        <v/>
      </c>
      <c r="I77" s="27" t="str">
        <f t="shared" si="3"/>
        <v/>
      </c>
      <c r="J77" s="26" t="str">
        <f t="shared" si="4"/>
        <v/>
      </c>
      <c r="K77" s="26" t="str">
        <f t="shared" si="5"/>
        <v/>
      </c>
      <c r="L77" s="22"/>
      <c r="M77" s="22" t="str">
        <f>IF(A77="","",IF(OR(J77="Bajo stock",J77="Sin stock"),COUNTIFS($J$5:$J77,"Bajo stock")+COUNTIFS($J$5:$J77,"Sin stock"),""))</f>
        <v/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21.75" customHeight="1" x14ac:dyDescent="0.25">
      <c r="A78" s="26" t="str">
        <f>IF(Productos!A78="","",Productos!A78)</f>
        <v/>
      </c>
      <c r="B78" s="26" t="str">
        <f>IF(Productos!A78="","",Productos!B78)</f>
        <v/>
      </c>
      <c r="C78" s="26" t="str">
        <f>IF(Productos!A78="","",Productos!C78)</f>
        <v/>
      </c>
      <c r="D78" s="26" t="str">
        <f>IF(Productos!A78="","",Productos!D78)</f>
        <v/>
      </c>
      <c r="E78" s="27" t="str">
        <f>IF(Productos!A78="","",Productos!E78)</f>
        <v/>
      </c>
      <c r="F78" s="27" t="str">
        <f>IF(Productos!A78="","",Productos!F78)</f>
        <v/>
      </c>
      <c r="G78" s="27" t="str">
        <f>IF(A78="","",SUMIF('Compras Entradas'!$C$5:$C$504,A78,'Compras Entradas'!$E$5:$E$504))</f>
        <v/>
      </c>
      <c r="H78" s="27" t="str">
        <f>IF(A78="","",SUMIF('Ventas Salidas'!$C$5:$C$504,A78,'Ventas Salidas'!$E$5:$E$504))</f>
        <v/>
      </c>
      <c r="I78" s="27" t="str">
        <f t="shared" si="3"/>
        <v/>
      </c>
      <c r="J78" s="26" t="str">
        <f t="shared" si="4"/>
        <v/>
      </c>
      <c r="K78" s="26" t="str">
        <f t="shared" si="5"/>
        <v/>
      </c>
      <c r="L78" s="22"/>
      <c r="M78" s="22" t="str">
        <f>IF(A78="","",IF(OR(J78="Bajo stock",J78="Sin stock"),COUNTIFS($J$5:$J78,"Bajo stock")+COUNTIFS($J$5:$J78,"Sin stock"),""))</f>
        <v/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21.75" customHeight="1" x14ac:dyDescent="0.25">
      <c r="A79" s="26" t="str">
        <f>IF(Productos!A79="","",Productos!A79)</f>
        <v/>
      </c>
      <c r="B79" s="26" t="str">
        <f>IF(Productos!A79="","",Productos!B79)</f>
        <v/>
      </c>
      <c r="C79" s="26" t="str">
        <f>IF(Productos!A79="","",Productos!C79)</f>
        <v/>
      </c>
      <c r="D79" s="26" t="str">
        <f>IF(Productos!A79="","",Productos!D79)</f>
        <v/>
      </c>
      <c r="E79" s="27" t="str">
        <f>IF(Productos!A79="","",Productos!E79)</f>
        <v/>
      </c>
      <c r="F79" s="27" t="str">
        <f>IF(Productos!A79="","",Productos!F79)</f>
        <v/>
      </c>
      <c r="G79" s="27" t="str">
        <f>IF(A79="","",SUMIF('Compras Entradas'!$C$5:$C$504,A79,'Compras Entradas'!$E$5:$E$504))</f>
        <v/>
      </c>
      <c r="H79" s="27" t="str">
        <f>IF(A79="","",SUMIF('Ventas Salidas'!$C$5:$C$504,A79,'Ventas Salidas'!$E$5:$E$504))</f>
        <v/>
      </c>
      <c r="I79" s="27" t="str">
        <f t="shared" si="3"/>
        <v/>
      </c>
      <c r="J79" s="26" t="str">
        <f t="shared" si="4"/>
        <v/>
      </c>
      <c r="K79" s="26" t="str">
        <f t="shared" si="5"/>
        <v/>
      </c>
      <c r="L79" s="22"/>
      <c r="M79" s="22" t="str">
        <f>IF(A79="","",IF(OR(J79="Bajo stock",J79="Sin stock"),COUNTIFS($J$5:$J79,"Bajo stock")+COUNTIFS($J$5:$J79,"Sin stock"),""))</f>
        <v/>
      </c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21.75" customHeight="1" x14ac:dyDescent="0.25">
      <c r="A80" s="26" t="str">
        <f>IF(Productos!A80="","",Productos!A80)</f>
        <v/>
      </c>
      <c r="B80" s="26" t="str">
        <f>IF(Productos!A80="","",Productos!B80)</f>
        <v/>
      </c>
      <c r="C80" s="26" t="str">
        <f>IF(Productos!A80="","",Productos!C80)</f>
        <v/>
      </c>
      <c r="D80" s="26" t="str">
        <f>IF(Productos!A80="","",Productos!D80)</f>
        <v/>
      </c>
      <c r="E80" s="27" t="str">
        <f>IF(Productos!A80="","",Productos!E80)</f>
        <v/>
      </c>
      <c r="F80" s="27" t="str">
        <f>IF(Productos!A80="","",Productos!F80)</f>
        <v/>
      </c>
      <c r="G80" s="27" t="str">
        <f>IF(A80="","",SUMIF('Compras Entradas'!$C$5:$C$504,A80,'Compras Entradas'!$E$5:$E$504))</f>
        <v/>
      </c>
      <c r="H80" s="27" t="str">
        <f>IF(A80="","",SUMIF('Ventas Salidas'!$C$5:$C$504,A80,'Ventas Salidas'!$E$5:$E$504))</f>
        <v/>
      </c>
      <c r="I80" s="27" t="str">
        <f t="shared" si="3"/>
        <v/>
      </c>
      <c r="J80" s="26" t="str">
        <f t="shared" si="4"/>
        <v/>
      </c>
      <c r="K80" s="26" t="str">
        <f t="shared" si="5"/>
        <v/>
      </c>
      <c r="L80" s="22"/>
      <c r="M80" s="22" t="str">
        <f>IF(A80="","",IF(OR(J80="Bajo stock",J80="Sin stock"),COUNTIFS($J$5:$J80,"Bajo stock")+COUNTIFS($J$5:$J80,"Sin stock"),""))</f>
        <v/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21.75" customHeight="1" x14ac:dyDescent="0.25">
      <c r="A81" s="26" t="str">
        <f>IF(Productos!A81="","",Productos!A81)</f>
        <v/>
      </c>
      <c r="B81" s="26" t="str">
        <f>IF(Productos!A81="","",Productos!B81)</f>
        <v/>
      </c>
      <c r="C81" s="26" t="str">
        <f>IF(Productos!A81="","",Productos!C81)</f>
        <v/>
      </c>
      <c r="D81" s="26" t="str">
        <f>IF(Productos!A81="","",Productos!D81)</f>
        <v/>
      </c>
      <c r="E81" s="27" t="str">
        <f>IF(Productos!A81="","",Productos!E81)</f>
        <v/>
      </c>
      <c r="F81" s="27" t="str">
        <f>IF(Productos!A81="","",Productos!F81)</f>
        <v/>
      </c>
      <c r="G81" s="27" t="str">
        <f>IF(A81="","",SUMIF('Compras Entradas'!$C$5:$C$504,A81,'Compras Entradas'!$E$5:$E$504))</f>
        <v/>
      </c>
      <c r="H81" s="27" t="str">
        <f>IF(A81="","",SUMIF('Ventas Salidas'!$C$5:$C$504,A81,'Ventas Salidas'!$E$5:$E$504))</f>
        <v/>
      </c>
      <c r="I81" s="27" t="str">
        <f t="shared" si="3"/>
        <v/>
      </c>
      <c r="J81" s="26" t="str">
        <f t="shared" si="4"/>
        <v/>
      </c>
      <c r="K81" s="26" t="str">
        <f t="shared" si="5"/>
        <v/>
      </c>
      <c r="L81" s="22"/>
      <c r="M81" s="22" t="str">
        <f>IF(A81="","",IF(OR(J81="Bajo stock",J81="Sin stock"),COUNTIFS($J$5:$J81,"Bajo stock")+COUNTIFS($J$5:$J81,"Sin stock"),""))</f>
        <v/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21.75" customHeight="1" x14ac:dyDescent="0.25">
      <c r="A82" s="26" t="str">
        <f>IF(Productos!A82="","",Productos!A82)</f>
        <v/>
      </c>
      <c r="B82" s="26" t="str">
        <f>IF(Productos!A82="","",Productos!B82)</f>
        <v/>
      </c>
      <c r="C82" s="26" t="str">
        <f>IF(Productos!A82="","",Productos!C82)</f>
        <v/>
      </c>
      <c r="D82" s="26" t="str">
        <f>IF(Productos!A82="","",Productos!D82)</f>
        <v/>
      </c>
      <c r="E82" s="27" t="str">
        <f>IF(Productos!A82="","",Productos!E82)</f>
        <v/>
      </c>
      <c r="F82" s="27" t="str">
        <f>IF(Productos!A82="","",Productos!F82)</f>
        <v/>
      </c>
      <c r="G82" s="27" t="str">
        <f>IF(A82="","",SUMIF('Compras Entradas'!$C$5:$C$504,A82,'Compras Entradas'!$E$5:$E$504))</f>
        <v/>
      </c>
      <c r="H82" s="27" t="str">
        <f>IF(A82="","",SUMIF('Ventas Salidas'!$C$5:$C$504,A82,'Ventas Salidas'!$E$5:$E$504))</f>
        <v/>
      </c>
      <c r="I82" s="27" t="str">
        <f t="shared" si="3"/>
        <v/>
      </c>
      <c r="J82" s="26" t="str">
        <f t="shared" si="4"/>
        <v/>
      </c>
      <c r="K82" s="26" t="str">
        <f t="shared" si="5"/>
        <v/>
      </c>
      <c r="L82" s="22"/>
      <c r="M82" s="22" t="str">
        <f>IF(A82="","",IF(OR(J82="Bajo stock",J82="Sin stock"),COUNTIFS($J$5:$J82,"Bajo stock")+COUNTIFS($J$5:$J82,"Sin stock"),""))</f>
        <v/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21.75" customHeight="1" x14ac:dyDescent="0.25">
      <c r="A83" s="26" t="str">
        <f>IF(Productos!A83="","",Productos!A83)</f>
        <v/>
      </c>
      <c r="B83" s="26" t="str">
        <f>IF(Productos!A83="","",Productos!B83)</f>
        <v/>
      </c>
      <c r="C83" s="26" t="str">
        <f>IF(Productos!A83="","",Productos!C83)</f>
        <v/>
      </c>
      <c r="D83" s="26" t="str">
        <f>IF(Productos!A83="","",Productos!D83)</f>
        <v/>
      </c>
      <c r="E83" s="27" t="str">
        <f>IF(Productos!A83="","",Productos!E83)</f>
        <v/>
      </c>
      <c r="F83" s="27" t="str">
        <f>IF(Productos!A83="","",Productos!F83)</f>
        <v/>
      </c>
      <c r="G83" s="27" t="str">
        <f>IF(A83="","",SUMIF('Compras Entradas'!$C$5:$C$504,A83,'Compras Entradas'!$E$5:$E$504))</f>
        <v/>
      </c>
      <c r="H83" s="27" t="str">
        <f>IF(A83="","",SUMIF('Ventas Salidas'!$C$5:$C$504,A83,'Ventas Salidas'!$E$5:$E$504))</f>
        <v/>
      </c>
      <c r="I83" s="27" t="str">
        <f t="shared" si="3"/>
        <v/>
      </c>
      <c r="J83" s="26" t="str">
        <f t="shared" si="4"/>
        <v/>
      </c>
      <c r="K83" s="26" t="str">
        <f t="shared" si="5"/>
        <v/>
      </c>
      <c r="L83" s="22"/>
      <c r="M83" s="22" t="str">
        <f>IF(A83="","",IF(OR(J83="Bajo stock",J83="Sin stock"),COUNTIFS($J$5:$J83,"Bajo stock")+COUNTIFS($J$5:$J83,"Sin stock"),""))</f>
        <v/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21.75" customHeight="1" x14ac:dyDescent="0.25">
      <c r="A84" s="26" t="str">
        <f>IF(Productos!A84="","",Productos!A84)</f>
        <v/>
      </c>
      <c r="B84" s="26" t="str">
        <f>IF(Productos!A84="","",Productos!B84)</f>
        <v/>
      </c>
      <c r="C84" s="26" t="str">
        <f>IF(Productos!A84="","",Productos!C84)</f>
        <v/>
      </c>
      <c r="D84" s="26" t="str">
        <f>IF(Productos!A84="","",Productos!D84)</f>
        <v/>
      </c>
      <c r="E84" s="27" t="str">
        <f>IF(Productos!A84="","",Productos!E84)</f>
        <v/>
      </c>
      <c r="F84" s="27" t="str">
        <f>IF(Productos!A84="","",Productos!F84)</f>
        <v/>
      </c>
      <c r="G84" s="27" t="str">
        <f>IF(A84="","",SUMIF('Compras Entradas'!$C$5:$C$504,A84,'Compras Entradas'!$E$5:$E$504))</f>
        <v/>
      </c>
      <c r="H84" s="27" t="str">
        <f>IF(A84="","",SUMIF('Ventas Salidas'!$C$5:$C$504,A84,'Ventas Salidas'!$E$5:$E$504))</f>
        <v/>
      </c>
      <c r="I84" s="27" t="str">
        <f t="shared" si="3"/>
        <v/>
      </c>
      <c r="J84" s="26" t="str">
        <f t="shared" si="4"/>
        <v/>
      </c>
      <c r="K84" s="26" t="str">
        <f t="shared" si="5"/>
        <v/>
      </c>
      <c r="L84" s="22"/>
      <c r="M84" s="22" t="str">
        <f>IF(A84="","",IF(OR(J84="Bajo stock",J84="Sin stock"),COUNTIFS($J$5:$J84,"Bajo stock")+COUNTIFS($J$5:$J84,"Sin stock"),""))</f>
        <v/>
      </c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21.75" customHeight="1" x14ac:dyDescent="0.25">
      <c r="A85" s="26" t="str">
        <f>IF(Productos!A85="","",Productos!A85)</f>
        <v/>
      </c>
      <c r="B85" s="26" t="str">
        <f>IF(Productos!A85="","",Productos!B85)</f>
        <v/>
      </c>
      <c r="C85" s="26" t="str">
        <f>IF(Productos!A85="","",Productos!C85)</f>
        <v/>
      </c>
      <c r="D85" s="26" t="str">
        <f>IF(Productos!A85="","",Productos!D85)</f>
        <v/>
      </c>
      <c r="E85" s="27" t="str">
        <f>IF(Productos!A85="","",Productos!E85)</f>
        <v/>
      </c>
      <c r="F85" s="27" t="str">
        <f>IF(Productos!A85="","",Productos!F85)</f>
        <v/>
      </c>
      <c r="G85" s="27" t="str">
        <f>IF(A85="","",SUMIF('Compras Entradas'!$C$5:$C$504,A85,'Compras Entradas'!$E$5:$E$504))</f>
        <v/>
      </c>
      <c r="H85" s="27" t="str">
        <f>IF(A85="","",SUMIF('Ventas Salidas'!$C$5:$C$504,A85,'Ventas Salidas'!$E$5:$E$504))</f>
        <v/>
      </c>
      <c r="I85" s="27" t="str">
        <f t="shared" si="3"/>
        <v/>
      </c>
      <c r="J85" s="26" t="str">
        <f t="shared" si="4"/>
        <v/>
      </c>
      <c r="K85" s="26" t="str">
        <f t="shared" si="5"/>
        <v/>
      </c>
      <c r="L85" s="22"/>
      <c r="M85" s="22" t="str">
        <f>IF(A85="","",IF(OR(J85="Bajo stock",J85="Sin stock"),COUNTIFS($J$5:$J85,"Bajo stock")+COUNTIFS($J$5:$J85,"Sin stock"),""))</f>
        <v/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21.75" customHeight="1" x14ac:dyDescent="0.25">
      <c r="A86" s="26" t="str">
        <f>IF(Productos!A86="","",Productos!A86)</f>
        <v/>
      </c>
      <c r="B86" s="26" t="str">
        <f>IF(Productos!A86="","",Productos!B86)</f>
        <v/>
      </c>
      <c r="C86" s="26" t="str">
        <f>IF(Productos!A86="","",Productos!C86)</f>
        <v/>
      </c>
      <c r="D86" s="26" t="str">
        <f>IF(Productos!A86="","",Productos!D86)</f>
        <v/>
      </c>
      <c r="E86" s="27" t="str">
        <f>IF(Productos!A86="","",Productos!E86)</f>
        <v/>
      </c>
      <c r="F86" s="27" t="str">
        <f>IF(Productos!A86="","",Productos!F86)</f>
        <v/>
      </c>
      <c r="G86" s="27" t="str">
        <f>IF(A86="","",SUMIF('Compras Entradas'!$C$5:$C$504,A86,'Compras Entradas'!$E$5:$E$504))</f>
        <v/>
      </c>
      <c r="H86" s="27" t="str">
        <f>IF(A86="","",SUMIF('Ventas Salidas'!$C$5:$C$504,A86,'Ventas Salidas'!$E$5:$E$504))</f>
        <v/>
      </c>
      <c r="I86" s="27" t="str">
        <f t="shared" si="3"/>
        <v/>
      </c>
      <c r="J86" s="26" t="str">
        <f t="shared" si="4"/>
        <v/>
      </c>
      <c r="K86" s="26" t="str">
        <f t="shared" si="5"/>
        <v/>
      </c>
      <c r="L86" s="22"/>
      <c r="M86" s="22" t="str">
        <f>IF(A86="","",IF(OR(J86="Bajo stock",J86="Sin stock"),COUNTIFS($J$5:$J86,"Bajo stock")+COUNTIFS($J$5:$J86,"Sin stock"),""))</f>
        <v/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21.75" customHeight="1" x14ac:dyDescent="0.25">
      <c r="A87" s="26" t="str">
        <f>IF(Productos!A87="","",Productos!A87)</f>
        <v/>
      </c>
      <c r="B87" s="26" t="str">
        <f>IF(Productos!A87="","",Productos!B87)</f>
        <v/>
      </c>
      <c r="C87" s="26" t="str">
        <f>IF(Productos!A87="","",Productos!C87)</f>
        <v/>
      </c>
      <c r="D87" s="26" t="str">
        <f>IF(Productos!A87="","",Productos!D87)</f>
        <v/>
      </c>
      <c r="E87" s="27" t="str">
        <f>IF(Productos!A87="","",Productos!E87)</f>
        <v/>
      </c>
      <c r="F87" s="27" t="str">
        <f>IF(Productos!A87="","",Productos!F87)</f>
        <v/>
      </c>
      <c r="G87" s="27" t="str">
        <f>IF(A87="","",SUMIF('Compras Entradas'!$C$5:$C$504,A87,'Compras Entradas'!$E$5:$E$504))</f>
        <v/>
      </c>
      <c r="H87" s="27" t="str">
        <f>IF(A87="","",SUMIF('Ventas Salidas'!$C$5:$C$504,A87,'Ventas Salidas'!$E$5:$E$504))</f>
        <v/>
      </c>
      <c r="I87" s="27" t="str">
        <f t="shared" si="3"/>
        <v/>
      </c>
      <c r="J87" s="26" t="str">
        <f t="shared" si="4"/>
        <v/>
      </c>
      <c r="K87" s="26" t="str">
        <f t="shared" si="5"/>
        <v/>
      </c>
      <c r="L87" s="22"/>
      <c r="M87" s="22" t="str">
        <f>IF(A87="","",IF(OR(J87="Bajo stock",J87="Sin stock"),COUNTIFS($J$5:$J87,"Bajo stock")+COUNTIFS($J$5:$J87,"Sin stock"),""))</f>
        <v/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21.75" customHeight="1" x14ac:dyDescent="0.25">
      <c r="A88" s="26" t="str">
        <f>IF(Productos!A88="","",Productos!A88)</f>
        <v/>
      </c>
      <c r="B88" s="26" t="str">
        <f>IF(Productos!A88="","",Productos!B88)</f>
        <v/>
      </c>
      <c r="C88" s="26" t="str">
        <f>IF(Productos!A88="","",Productos!C88)</f>
        <v/>
      </c>
      <c r="D88" s="26" t="str">
        <f>IF(Productos!A88="","",Productos!D88)</f>
        <v/>
      </c>
      <c r="E88" s="27" t="str">
        <f>IF(Productos!A88="","",Productos!E88)</f>
        <v/>
      </c>
      <c r="F88" s="27" t="str">
        <f>IF(Productos!A88="","",Productos!F88)</f>
        <v/>
      </c>
      <c r="G88" s="27" t="str">
        <f>IF(A88="","",SUMIF('Compras Entradas'!$C$5:$C$504,A88,'Compras Entradas'!$E$5:$E$504))</f>
        <v/>
      </c>
      <c r="H88" s="27" t="str">
        <f>IF(A88="","",SUMIF('Ventas Salidas'!$C$5:$C$504,A88,'Ventas Salidas'!$E$5:$E$504))</f>
        <v/>
      </c>
      <c r="I88" s="27" t="str">
        <f t="shared" si="3"/>
        <v/>
      </c>
      <c r="J88" s="26" t="str">
        <f t="shared" si="4"/>
        <v/>
      </c>
      <c r="K88" s="26" t="str">
        <f t="shared" si="5"/>
        <v/>
      </c>
      <c r="L88" s="22"/>
      <c r="M88" s="22" t="str">
        <f>IF(A88="","",IF(OR(J88="Bajo stock",J88="Sin stock"),COUNTIFS($J$5:$J88,"Bajo stock")+COUNTIFS($J$5:$J88,"Sin stock"),""))</f>
        <v/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21.75" customHeight="1" x14ac:dyDescent="0.25">
      <c r="A89" s="26" t="str">
        <f>IF(Productos!A89="","",Productos!A89)</f>
        <v/>
      </c>
      <c r="B89" s="26" t="str">
        <f>IF(Productos!A89="","",Productos!B89)</f>
        <v/>
      </c>
      <c r="C89" s="26" t="str">
        <f>IF(Productos!A89="","",Productos!C89)</f>
        <v/>
      </c>
      <c r="D89" s="26" t="str">
        <f>IF(Productos!A89="","",Productos!D89)</f>
        <v/>
      </c>
      <c r="E89" s="27" t="str">
        <f>IF(Productos!A89="","",Productos!E89)</f>
        <v/>
      </c>
      <c r="F89" s="27" t="str">
        <f>IF(Productos!A89="","",Productos!F89)</f>
        <v/>
      </c>
      <c r="G89" s="27" t="str">
        <f>IF(A89="","",SUMIF('Compras Entradas'!$C$5:$C$504,A89,'Compras Entradas'!$E$5:$E$504))</f>
        <v/>
      </c>
      <c r="H89" s="27" t="str">
        <f>IF(A89="","",SUMIF('Ventas Salidas'!$C$5:$C$504,A89,'Ventas Salidas'!$E$5:$E$504))</f>
        <v/>
      </c>
      <c r="I89" s="27" t="str">
        <f t="shared" si="3"/>
        <v/>
      </c>
      <c r="J89" s="26" t="str">
        <f t="shared" si="4"/>
        <v/>
      </c>
      <c r="K89" s="26" t="str">
        <f t="shared" si="5"/>
        <v/>
      </c>
      <c r="L89" s="22"/>
      <c r="M89" s="22" t="str">
        <f>IF(A89="","",IF(OR(J89="Bajo stock",J89="Sin stock"),COUNTIFS($J$5:$J89,"Bajo stock")+COUNTIFS($J$5:$J89,"Sin stock"),""))</f>
        <v/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21.75" customHeight="1" x14ac:dyDescent="0.25">
      <c r="A90" s="26" t="str">
        <f>IF(Productos!A90="","",Productos!A90)</f>
        <v/>
      </c>
      <c r="B90" s="26" t="str">
        <f>IF(Productos!A90="","",Productos!B90)</f>
        <v/>
      </c>
      <c r="C90" s="26" t="str">
        <f>IF(Productos!A90="","",Productos!C90)</f>
        <v/>
      </c>
      <c r="D90" s="26" t="str">
        <f>IF(Productos!A90="","",Productos!D90)</f>
        <v/>
      </c>
      <c r="E90" s="27" t="str">
        <f>IF(Productos!A90="","",Productos!E90)</f>
        <v/>
      </c>
      <c r="F90" s="27" t="str">
        <f>IF(Productos!A90="","",Productos!F90)</f>
        <v/>
      </c>
      <c r="G90" s="27" t="str">
        <f>IF(A90="","",SUMIF('Compras Entradas'!$C$5:$C$504,A90,'Compras Entradas'!$E$5:$E$504))</f>
        <v/>
      </c>
      <c r="H90" s="27" t="str">
        <f>IF(A90="","",SUMIF('Ventas Salidas'!$C$5:$C$504,A90,'Ventas Salidas'!$E$5:$E$504))</f>
        <v/>
      </c>
      <c r="I90" s="27" t="str">
        <f t="shared" si="3"/>
        <v/>
      </c>
      <c r="J90" s="26" t="str">
        <f t="shared" si="4"/>
        <v/>
      </c>
      <c r="K90" s="26" t="str">
        <f t="shared" si="5"/>
        <v/>
      </c>
      <c r="L90" s="22"/>
      <c r="M90" s="22" t="str">
        <f>IF(A90="","",IF(OR(J90="Bajo stock",J90="Sin stock"),COUNTIFS($J$5:$J90,"Bajo stock")+COUNTIFS($J$5:$J90,"Sin stock"),""))</f>
        <v/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21.75" customHeight="1" x14ac:dyDescent="0.25">
      <c r="A91" s="26" t="str">
        <f>IF(Productos!A91="","",Productos!A91)</f>
        <v/>
      </c>
      <c r="B91" s="26" t="str">
        <f>IF(Productos!A91="","",Productos!B91)</f>
        <v/>
      </c>
      <c r="C91" s="26" t="str">
        <f>IF(Productos!A91="","",Productos!C91)</f>
        <v/>
      </c>
      <c r="D91" s="26" t="str">
        <f>IF(Productos!A91="","",Productos!D91)</f>
        <v/>
      </c>
      <c r="E91" s="27" t="str">
        <f>IF(Productos!A91="","",Productos!E91)</f>
        <v/>
      </c>
      <c r="F91" s="27" t="str">
        <f>IF(Productos!A91="","",Productos!F91)</f>
        <v/>
      </c>
      <c r="G91" s="27" t="str">
        <f>IF(A91="","",SUMIF('Compras Entradas'!$C$5:$C$504,A91,'Compras Entradas'!$E$5:$E$504))</f>
        <v/>
      </c>
      <c r="H91" s="27" t="str">
        <f>IF(A91="","",SUMIF('Ventas Salidas'!$C$5:$C$504,A91,'Ventas Salidas'!$E$5:$E$504))</f>
        <v/>
      </c>
      <c r="I91" s="27" t="str">
        <f t="shared" si="3"/>
        <v/>
      </c>
      <c r="J91" s="26" t="str">
        <f t="shared" si="4"/>
        <v/>
      </c>
      <c r="K91" s="26" t="str">
        <f t="shared" si="5"/>
        <v/>
      </c>
      <c r="L91" s="22"/>
      <c r="M91" s="22" t="str">
        <f>IF(A91="","",IF(OR(J91="Bajo stock",J91="Sin stock"),COUNTIFS($J$5:$J91,"Bajo stock")+COUNTIFS($J$5:$J91,"Sin stock"),""))</f>
        <v/>
      </c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21.75" customHeight="1" x14ac:dyDescent="0.25">
      <c r="A92" s="26" t="str">
        <f>IF(Productos!A92="","",Productos!A92)</f>
        <v/>
      </c>
      <c r="B92" s="26" t="str">
        <f>IF(Productos!A92="","",Productos!B92)</f>
        <v/>
      </c>
      <c r="C92" s="26" t="str">
        <f>IF(Productos!A92="","",Productos!C92)</f>
        <v/>
      </c>
      <c r="D92" s="26" t="str">
        <f>IF(Productos!A92="","",Productos!D92)</f>
        <v/>
      </c>
      <c r="E92" s="27" t="str">
        <f>IF(Productos!A92="","",Productos!E92)</f>
        <v/>
      </c>
      <c r="F92" s="27" t="str">
        <f>IF(Productos!A92="","",Productos!F92)</f>
        <v/>
      </c>
      <c r="G92" s="27" t="str">
        <f>IF(A92="","",SUMIF('Compras Entradas'!$C$5:$C$504,A92,'Compras Entradas'!$E$5:$E$504))</f>
        <v/>
      </c>
      <c r="H92" s="27" t="str">
        <f>IF(A92="","",SUMIF('Ventas Salidas'!$C$5:$C$504,A92,'Ventas Salidas'!$E$5:$E$504))</f>
        <v/>
      </c>
      <c r="I92" s="27" t="str">
        <f t="shared" si="3"/>
        <v/>
      </c>
      <c r="J92" s="26" t="str">
        <f t="shared" si="4"/>
        <v/>
      </c>
      <c r="K92" s="26" t="str">
        <f t="shared" si="5"/>
        <v/>
      </c>
      <c r="L92" s="22"/>
      <c r="M92" s="22" t="str">
        <f>IF(A92="","",IF(OR(J92="Bajo stock",J92="Sin stock"),COUNTIFS($J$5:$J92,"Bajo stock")+COUNTIFS($J$5:$J92,"Sin stock"),""))</f>
        <v/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21.75" customHeight="1" x14ac:dyDescent="0.25">
      <c r="A93" s="26" t="str">
        <f>IF(Productos!A93="","",Productos!A93)</f>
        <v/>
      </c>
      <c r="B93" s="26" t="str">
        <f>IF(Productos!A93="","",Productos!B93)</f>
        <v/>
      </c>
      <c r="C93" s="26" t="str">
        <f>IF(Productos!A93="","",Productos!C93)</f>
        <v/>
      </c>
      <c r="D93" s="26" t="str">
        <f>IF(Productos!A93="","",Productos!D93)</f>
        <v/>
      </c>
      <c r="E93" s="27" t="str">
        <f>IF(Productos!A93="","",Productos!E93)</f>
        <v/>
      </c>
      <c r="F93" s="27" t="str">
        <f>IF(Productos!A93="","",Productos!F93)</f>
        <v/>
      </c>
      <c r="G93" s="27" t="str">
        <f>IF(A93="","",SUMIF('Compras Entradas'!$C$5:$C$504,A93,'Compras Entradas'!$E$5:$E$504))</f>
        <v/>
      </c>
      <c r="H93" s="27" t="str">
        <f>IF(A93="","",SUMIF('Ventas Salidas'!$C$5:$C$504,A93,'Ventas Salidas'!$E$5:$E$504))</f>
        <v/>
      </c>
      <c r="I93" s="27" t="str">
        <f t="shared" si="3"/>
        <v/>
      </c>
      <c r="J93" s="26" t="str">
        <f t="shared" si="4"/>
        <v/>
      </c>
      <c r="K93" s="26" t="str">
        <f t="shared" si="5"/>
        <v/>
      </c>
      <c r="L93" s="22"/>
      <c r="M93" s="22" t="str">
        <f>IF(A93="","",IF(OR(J93="Bajo stock",J93="Sin stock"),COUNTIFS($J$5:$J93,"Bajo stock")+COUNTIFS($J$5:$J93,"Sin stock"),""))</f>
        <v/>
      </c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21.75" customHeight="1" x14ac:dyDescent="0.25">
      <c r="A94" s="26" t="str">
        <f>IF(Productos!A94="","",Productos!A94)</f>
        <v/>
      </c>
      <c r="B94" s="26" t="str">
        <f>IF(Productos!A94="","",Productos!B94)</f>
        <v/>
      </c>
      <c r="C94" s="26" t="str">
        <f>IF(Productos!A94="","",Productos!C94)</f>
        <v/>
      </c>
      <c r="D94" s="26" t="str">
        <f>IF(Productos!A94="","",Productos!D94)</f>
        <v/>
      </c>
      <c r="E94" s="27" t="str">
        <f>IF(Productos!A94="","",Productos!E94)</f>
        <v/>
      </c>
      <c r="F94" s="27" t="str">
        <f>IF(Productos!A94="","",Productos!F94)</f>
        <v/>
      </c>
      <c r="G94" s="27" t="str">
        <f>IF(A94="","",SUMIF('Compras Entradas'!$C$5:$C$504,A94,'Compras Entradas'!$E$5:$E$504))</f>
        <v/>
      </c>
      <c r="H94" s="27" t="str">
        <f>IF(A94="","",SUMIF('Ventas Salidas'!$C$5:$C$504,A94,'Ventas Salidas'!$E$5:$E$504))</f>
        <v/>
      </c>
      <c r="I94" s="27" t="str">
        <f t="shared" si="3"/>
        <v/>
      </c>
      <c r="J94" s="26" t="str">
        <f t="shared" si="4"/>
        <v/>
      </c>
      <c r="K94" s="26" t="str">
        <f t="shared" si="5"/>
        <v/>
      </c>
      <c r="L94" s="22"/>
      <c r="M94" s="22" t="str">
        <f>IF(A94="","",IF(OR(J94="Bajo stock",J94="Sin stock"),COUNTIFS($J$5:$J94,"Bajo stock")+COUNTIFS($J$5:$J94,"Sin stock"),""))</f>
        <v/>
      </c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21.75" customHeight="1" x14ac:dyDescent="0.25">
      <c r="A95" s="26" t="str">
        <f>IF(Productos!A95="","",Productos!A95)</f>
        <v/>
      </c>
      <c r="B95" s="26" t="str">
        <f>IF(Productos!A95="","",Productos!B95)</f>
        <v/>
      </c>
      <c r="C95" s="26" t="str">
        <f>IF(Productos!A95="","",Productos!C95)</f>
        <v/>
      </c>
      <c r="D95" s="26" t="str">
        <f>IF(Productos!A95="","",Productos!D95)</f>
        <v/>
      </c>
      <c r="E95" s="27" t="str">
        <f>IF(Productos!A95="","",Productos!E95)</f>
        <v/>
      </c>
      <c r="F95" s="27" t="str">
        <f>IF(Productos!A95="","",Productos!F95)</f>
        <v/>
      </c>
      <c r="G95" s="27" t="str">
        <f>IF(A95="","",SUMIF('Compras Entradas'!$C$5:$C$504,A95,'Compras Entradas'!$E$5:$E$504))</f>
        <v/>
      </c>
      <c r="H95" s="27" t="str">
        <f>IF(A95="","",SUMIF('Ventas Salidas'!$C$5:$C$504,A95,'Ventas Salidas'!$E$5:$E$504))</f>
        <v/>
      </c>
      <c r="I95" s="27" t="str">
        <f t="shared" si="3"/>
        <v/>
      </c>
      <c r="J95" s="26" t="str">
        <f t="shared" si="4"/>
        <v/>
      </c>
      <c r="K95" s="26" t="str">
        <f t="shared" si="5"/>
        <v/>
      </c>
      <c r="L95" s="22"/>
      <c r="M95" s="22" t="str">
        <f>IF(A95="","",IF(OR(J95="Bajo stock",J95="Sin stock"),COUNTIFS($J$5:$J95,"Bajo stock")+COUNTIFS($J$5:$J95,"Sin stock"),""))</f>
        <v/>
      </c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21.75" customHeight="1" x14ac:dyDescent="0.25">
      <c r="A96" s="26" t="str">
        <f>IF(Productos!A96="","",Productos!A96)</f>
        <v/>
      </c>
      <c r="B96" s="26" t="str">
        <f>IF(Productos!A96="","",Productos!B96)</f>
        <v/>
      </c>
      <c r="C96" s="26" t="str">
        <f>IF(Productos!A96="","",Productos!C96)</f>
        <v/>
      </c>
      <c r="D96" s="26" t="str">
        <f>IF(Productos!A96="","",Productos!D96)</f>
        <v/>
      </c>
      <c r="E96" s="27" t="str">
        <f>IF(Productos!A96="","",Productos!E96)</f>
        <v/>
      </c>
      <c r="F96" s="27" t="str">
        <f>IF(Productos!A96="","",Productos!F96)</f>
        <v/>
      </c>
      <c r="G96" s="27" t="str">
        <f>IF(A96="","",SUMIF('Compras Entradas'!$C$5:$C$504,A96,'Compras Entradas'!$E$5:$E$504))</f>
        <v/>
      </c>
      <c r="H96" s="27" t="str">
        <f>IF(A96="","",SUMIF('Ventas Salidas'!$C$5:$C$504,A96,'Ventas Salidas'!$E$5:$E$504))</f>
        <v/>
      </c>
      <c r="I96" s="27" t="str">
        <f t="shared" si="3"/>
        <v/>
      </c>
      <c r="J96" s="26" t="str">
        <f t="shared" si="4"/>
        <v/>
      </c>
      <c r="K96" s="26" t="str">
        <f t="shared" si="5"/>
        <v/>
      </c>
      <c r="L96" s="22"/>
      <c r="M96" s="22" t="str">
        <f>IF(A96="","",IF(OR(J96="Bajo stock",J96="Sin stock"),COUNTIFS($J$5:$J96,"Bajo stock")+COUNTIFS($J$5:$J96,"Sin stock"),""))</f>
        <v/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21.75" customHeight="1" x14ac:dyDescent="0.25">
      <c r="A97" s="26" t="str">
        <f>IF(Productos!A97="","",Productos!A97)</f>
        <v/>
      </c>
      <c r="B97" s="26" t="str">
        <f>IF(Productos!A97="","",Productos!B97)</f>
        <v/>
      </c>
      <c r="C97" s="26" t="str">
        <f>IF(Productos!A97="","",Productos!C97)</f>
        <v/>
      </c>
      <c r="D97" s="26" t="str">
        <f>IF(Productos!A97="","",Productos!D97)</f>
        <v/>
      </c>
      <c r="E97" s="27" t="str">
        <f>IF(Productos!A97="","",Productos!E97)</f>
        <v/>
      </c>
      <c r="F97" s="27" t="str">
        <f>IF(Productos!A97="","",Productos!F97)</f>
        <v/>
      </c>
      <c r="G97" s="27" t="str">
        <f>IF(A97="","",SUMIF('Compras Entradas'!$C$5:$C$504,A97,'Compras Entradas'!$E$5:$E$504))</f>
        <v/>
      </c>
      <c r="H97" s="27" t="str">
        <f>IF(A97="","",SUMIF('Ventas Salidas'!$C$5:$C$504,A97,'Ventas Salidas'!$E$5:$E$504))</f>
        <v/>
      </c>
      <c r="I97" s="27" t="str">
        <f t="shared" si="3"/>
        <v/>
      </c>
      <c r="J97" s="26" t="str">
        <f t="shared" si="4"/>
        <v/>
      </c>
      <c r="K97" s="26" t="str">
        <f t="shared" si="5"/>
        <v/>
      </c>
      <c r="L97" s="22"/>
      <c r="M97" s="22" t="str">
        <f>IF(A97="","",IF(OR(J97="Bajo stock",J97="Sin stock"),COUNTIFS($J$5:$J97,"Bajo stock")+COUNTIFS($J$5:$J97,"Sin stock"),""))</f>
        <v/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21.75" customHeight="1" x14ac:dyDescent="0.25">
      <c r="A98" s="26" t="str">
        <f>IF(Productos!A98="","",Productos!A98)</f>
        <v/>
      </c>
      <c r="B98" s="26" t="str">
        <f>IF(Productos!A98="","",Productos!B98)</f>
        <v/>
      </c>
      <c r="C98" s="26" t="str">
        <f>IF(Productos!A98="","",Productos!C98)</f>
        <v/>
      </c>
      <c r="D98" s="26" t="str">
        <f>IF(Productos!A98="","",Productos!D98)</f>
        <v/>
      </c>
      <c r="E98" s="27" t="str">
        <f>IF(Productos!A98="","",Productos!E98)</f>
        <v/>
      </c>
      <c r="F98" s="27" t="str">
        <f>IF(Productos!A98="","",Productos!F98)</f>
        <v/>
      </c>
      <c r="G98" s="27" t="str">
        <f>IF(A98="","",SUMIF('Compras Entradas'!$C$5:$C$504,A98,'Compras Entradas'!$E$5:$E$504))</f>
        <v/>
      </c>
      <c r="H98" s="27" t="str">
        <f>IF(A98="","",SUMIF('Ventas Salidas'!$C$5:$C$504,A98,'Ventas Salidas'!$E$5:$E$504))</f>
        <v/>
      </c>
      <c r="I98" s="27" t="str">
        <f t="shared" si="3"/>
        <v/>
      </c>
      <c r="J98" s="26" t="str">
        <f t="shared" si="4"/>
        <v/>
      </c>
      <c r="K98" s="26" t="str">
        <f t="shared" si="5"/>
        <v/>
      </c>
      <c r="L98" s="22"/>
      <c r="M98" s="22" t="str">
        <f>IF(A98="","",IF(OR(J98="Bajo stock",J98="Sin stock"),COUNTIFS($J$5:$J98,"Bajo stock")+COUNTIFS($J$5:$J98,"Sin stock"),""))</f>
        <v/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21.75" customHeight="1" x14ac:dyDescent="0.25">
      <c r="A99" s="26" t="str">
        <f>IF(Productos!A99="","",Productos!A99)</f>
        <v/>
      </c>
      <c r="B99" s="26" t="str">
        <f>IF(Productos!A99="","",Productos!B99)</f>
        <v/>
      </c>
      <c r="C99" s="26" t="str">
        <f>IF(Productos!A99="","",Productos!C99)</f>
        <v/>
      </c>
      <c r="D99" s="26" t="str">
        <f>IF(Productos!A99="","",Productos!D99)</f>
        <v/>
      </c>
      <c r="E99" s="27" t="str">
        <f>IF(Productos!A99="","",Productos!E99)</f>
        <v/>
      </c>
      <c r="F99" s="27" t="str">
        <f>IF(Productos!A99="","",Productos!F99)</f>
        <v/>
      </c>
      <c r="G99" s="27" t="str">
        <f>IF(A99="","",SUMIF('Compras Entradas'!$C$5:$C$504,A99,'Compras Entradas'!$E$5:$E$504))</f>
        <v/>
      </c>
      <c r="H99" s="27" t="str">
        <f>IF(A99="","",SUMIF('Ventas Salidas'!$C$5:$C$504,A99,'Ventas Salidas'!$E$5:$E$504))</f>
        <v/>
      </c>
      <c r="I99" s="27" t="str">
        <f t="shared" si="3"/>
        <v/>
      </c>
      <c r="J99" s="26" t="str">
        <f t="shared" si="4"/>
        <v/>
      </c>
      <c r="K99" s="26" t="str">
        <f t="shared" si="5"/>
        <v/>
      </c>
      <c r="L99" s="22"/>
      <c r="M99" s="22" t="str">
        <f>IF(A99="","",IF(OR(J99="Bajo stock",J99="Sin stock"),COUNTIFS($J$5:$J99,"Bajo stock")+COUNTIFS($J$5:$J99,"Sin stock"),""))</f>
        <v/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21.75" customHeight="1" x14ac:dyDescent="0.25">
      <c r="A100" s="26" t="str">
        <f>IF(Productos!A100="","",Productos!A100)</f>
        <v/>
      </c>
      <c r="B100" s="26" t="str">
        <f>IF(Productos!A100="","",Productos!B100)</f>
        <v/>
      </c>
      <c r="C100" s="26" t="str">
        <f>IF(Productos!A100="","",Productos!C100)</f>
        <v/>
      </c>
      <c r="D100" s="26" t="str">
        <f>IF(Productos!A100="","",Productos!D100)</f>
        <v/>
      </c>
      <c r="E100" s="27" t="str">
        <f>IF(Productos!A100="","",Productos!E100)</f>
        <v/>
      </c>
      <c r="F100" s="27" t="str">
        <f>IF(Productos!A100="","",Productos!F100)</f>
        <v/>
      </c>
      <c r="G100" s="27" t="str">
        <f>IF(A100="","",SUMIF('Compras Entradas'!$C$5:$C$504,A100,'Compras Entradas'!$E$5:$E$504))</f>
        <v/>
      </c>
      <c r="H100" s="27" t="str">
        <f>IF(A100="","",SUMIF('Ventas Salidas'!$C$5:$C$504,A100,'Ventas Salidas'!$E$5:$E$504))</f>
        <v/>
      </c>
      <c r="I100" s="27" t="str">
        <f t="shared" si="3"/>
        <v/>
      </c>
      <c r="J100" s="26" t="str">
        <f t="shared" si="4"/>
        <v/>
      </c>
      <c r="K100" s="26" t="str">
        <f t="shared" si="5"/>
        <v/>
      </c>
      <c r="L100" s="22"/>
      <c r="M100" s="22" t="str">
        <f>IF(A100="","",IF(OR(J100="Bajo stock",J100="Sin stock"),COUNTIFS($J$5:$J100,"Bajo stock")+COUNTIFS($J$5:$J100,"Sin stock"),""))</f>
        <v/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21.75" customHeight="1" x14ac:dyDescent="0.25">
      <c r="A101" s="26" t="str">
        <f>IF(Productos!A101="","",Productos!A101)</f>
        <v/>
      </c>
      <c r="B101" s="26" t="str">
        <f>IF(Productos!A101="","",Productos!B101)</f>
        <v/>
      </c>
      <c r="C101" s="26" t="str">
        <f>IF(Productos!A101="","",Productos!C101)</f>
        <v/>
      </c>
      <c r="D101" s="26" t="str">
        <f>IF(Productos!A101="","",Productos!D101)</f>
        <v/>
      </c>
      <c r="E101" s="27" t="str">
        <f>IF(Productos!A101="","",Productos!E101)</f>
        <v/>
      </c>
      <c r="F101" s="27" t="str">
        <f>IF(Productos!A101="","",Productos!F101)</f>
        <v/>
      </c>
      <c r="G101" s="27" t="str">
        <f>IF(A101="","",SUMIF('Compras Entradas'!$C$5:$C$504,A101,'Compras Entradas'!$E$5:$E$504))</f>
        <v/>
      </c>
      <c r="H101" s="27" t="str">
        <f>IF(A101="","",SUMIF('Ventas Salidas'!$C$5:$C$504,A101,'Ventas Salidas'!$E$5:$E$504))</f>
        <v/>
      </c>
      <c r="I101" s="27" t="str">
        <f t="shared" si="3"/>
        <v/>
      </c>
      <c r="J101" s="26" t="str">
        <f t="shared" si="4"/>
        <v/>
      </c>
      <c r="K101" s="26" t="str">
        <f t="shared" si="5"/>
        <v/>
      </c>
      <c r="L101" s="22"/>
      <c r="M101" s="22" t="str">
        <f>IF(A101="","",IF(OR(J101="Bajo stock",J101="Sin stock"),COUNTIFS($J$5:$J101,"Bajo stock")+COUNTIFS($J$5:$J101,"Sin stock"),""))</f>
        <v/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21.75" customHeight="1" x14ac:dyDescent="0.25">
      <c r="A102" s="26" t="str">
        <f>IF(Productos!A102="","",Productos!A102)</f>
        <v/>
      </c>
      <c r="B102" s="26" t="str">
        <f>IF(Productos!A102="","",Productos!B102)</f>
        <v/>
      </c>
      <c r="C102" s="26" t="str">
        <f>IF(Productos!A102="","",Productos!C102)</f>
        <v/>
      </c>
      <c r="D102" s="26" t="str">
        <f>IF(Productos!A102="","",Productos!D102)</f>
        <v/>
      </c>
      <c r="E102" s="27" t="str">
        <f>IF(Productos!A102="","",Productos!E102)</f>
        <v/>
      </c>
      <c r="F102" s="27" t="str">
        <f>IF(Productos!A102="","",Productos!F102)</f>
        <v/>
      </c>
      <c r="G102" s="27" t="str">
        <f>IF(A102="","",SUMIF('Compras Entradas'!$C$5:$C$504,A102,'Compras Entradas'!$E$5:$E$504))</f>
        <v/>
      </c>
      <c r="H102" s="27" t="str">
        <f>IF(A102="","",SUMIF('Ventas Salidas'!$C$5:$C$504,A102,'Ventas Salidas'!$E$5:$E$504))</f>
        <v/>
      </c>
      <c r="I102" s="27" t="str">
        <f t="shared" si="3"/>
        <v/>
      </c>
      <c r="J102" s="26" t="str">
        <f t="shared" si="4"/>
        <v/>
      </c>
      <c r="K102" s="26" t="str">
        <f t="shared" si="5"/>
        <v/>
      </c>
      <c r="L102" s="22"/>
      <c r="M102" s="22" t="str">
        <f>IF(A102="","",IF(OR(J102="Bajo stock",J102="Sin stock"),COUNTIFS($J$5:$J102,"Bajo stock")+COUNTIFS($J$5:$J102,"Sin stock"),""))</f>
        <v/>
      </c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21.75" customHeight="1" x14ac:dyDescent="0.25">
      <c r="A103" s="26" t="str">
        <f>IF(Productos!A103="","",Productos!A103)</f>
        <v/>
      </c>
      <c r="B103" s="26" t="str">
        <f>IF(Productos!A103="","",Productos!B103)</f>
        <v/>
      </c>
      <c r="C103" s="26" t="str">
        <f>IF(Productos!A103="","",Productos!C103)</f>
        <v/>
      </c>
      <c r="D103" s="26" t="str">
        <f>IF(Productos!A103="","",Productos!D103)</f>
        <v/>
      </c>
      <c r="E103" s="27" t="str">
        <f>IF(Productos!A103="","",Productos!E103)</f>
        <v/>
      </c>
      <c r="F103" s="27" t="str">
        <f>IF(Productos!A103="","",Productos!F103)</f>
        <v/>
      </c>
      <c r="G103" s="27" t="str">
        <f>IF(A103="","",SUMIF('Compras Entradas'!$C$5:$C$504,A103,'Compras Entradas'!$E$5:$E$504))</f>
        <v/>
      </c>
      <c r="H103" s="27" t="str">
        <f>IF(A103="","",SUMIF('Ventas Salidas'!$C$5:$C$504,A103,'Ventas Salidas'!$E$5:$E$504))</f>
        <v/>
      </c>
      <c r="I103" s="27" t="str">
        <f t="shared" si="3"/>
        <v/>
      </c>
      <c r="J103" s="26" t="str">
        <f t="shared" si="4"/>
        <v/>
      </c>
      <c r="K103" s="26" t="str">
        <f t="shared" si="5"/>
        <v/>
      </c>
      <c r="L103" s="22"/>
      <c r="M103" s="22" t="str">
        <f>IF(A103="","",IF(OR(J103="Bajo stock",J103="Sin stock"),COUNTIFS($J$5:$J103,"Bajo stock")+COUNTIFS($J$5:$J103,"Sin stock"),""))</f>
        <v/>
      </c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21.75" customHeight="1" x14ac:dyDescent="0.25">
      <c r="A104" s="26" t="str">
        <f>IF(Productos!A104="","",Productos!A104)</f>
        <v/>
      </c>
      <c r="B104" s="26" t="str">
        <f>IF(Productos!A104="","",Productos!B104)</f>
        <v/>
      </c>
      <c r="C104" s="26" t="str">
        <f>IF(Productos!A104="","",Productos!C104)</f>
        <v/>
      </c>
      <c r="D104" s="26" t="str">
        <f>IF(Productos!A104="","",Productos!D104)</f>
        <v/>
      </c>
      <c r="E104" s="27" t="str">
        <f>IF(Productos!A104="","",Productos!E104)</f>
        <v/>
      </c>
      <c r="F104" s="27" t="str">
        <f>IF(Productos!A104="","",Productos!F104)</f>
        <v/>
      </c>
      <c r="G104" s="27" t="str">
        <f>IF(A104="","",SUMIF('Compras Entradas'!$C$5:$C$504,A104,'Compras Entradas'!$E$5:$E$504))</f>
        <v/>
      </c>
      <c r="H104" s="27" t="str">
        <f>IF(A104="","",SUMIF('Ventas Salidas'!$C$5:$C$504,A104,'Ventas Salidas'!$E$5:$E$504))</f>
        <v/>
      </c>
      <c r="I104" s="27" t="str">
        <f t="shared" si="3"/>
        <v/>
      </c>
      <c r="J104" s="26" t="str">
        <f t="shared" si="4"/>
        <v/>
      </c>
      <c r="K104" s="26" t="str">
        <f t="shared" si="5"/>
        <v/>
      </c>
      <c r="L104" s="22"/>
      <c r="M104" s="22" t="str">
        <f>IF(A104="","",IF(OR(J104="Bajo stock",J104="Sin stock"),COUNTIFS($J$5:$J104,"Bajo stock")+COUNTIFS($J$5:$J104,"Sin stock"),""))</f>
        <v/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21.75" customHeight="1" x14ac:dyDescent="0.25">
      <c r="A105" s="26" t="str">
        <f>IF(Productos!A105="","",Productos!A105)</f>
        <v/>
      </c>
      <c r="B105" s="26" t="str">
        <f>IF(Productos!A105="","",Productos!B105)</f>
        <v/>
      </c>
      <c r="C105" s="26" t="str">
        <f>IF(Productos!A105="","",Productos!C105)</f>
        <v/>
      </c>
      <c r="D105" s="26" t="str">
        <f>IF(Productos!A105="","",Productos!D105)</f>
        <v/>
      </c>
      <c r="E105" s="27" t="str">
        <f>IF(Productos!A105="","",Productos!E105)</f>
        <v/>
      </c>
      <c r="F105" s="27" t="str">
        <f>IF(Productos!A105="","",Productos!F105)</f>
        <v/>
      </c>
      <c r="G105" s="27" t="str">
        <f>IF(A105="","",SUMIF('Compras Entradas'!$C$5:$C$504,A105,'Compras Entradas'!$E$5:$E$504))</f>
        <v/>
      </c>
      <c r="H105" s="27" t="str">
        <f>IF(A105="","",SUMIF('Ventas Salidas'!$C$5:$C$504,A105,'Ventas Salidas'!$E$5:$E$504))</f>
        <v/>
      </c>
      <c r="I105" s="27" t="str">
        <f t="shared" si="3"/>
        <v/>
      </c>
      <c r="J105" s="26" t="str">
        <f t="shared" si="4"/>
        <v/>
      </c>
      <c r="K105" s="26" t="str">
        <f t="shared" si="5"/>
        <v/>
      </c>
      <c r="L105" s="22"/>
      <c r="M105" s="22" t="str">
        <f>IF(A105="","",IF(OR(J105="Bajo stock",J105="Sin stock"),COUNTIFS($J$5:$J105,"Bajo stock")+COUNTIFS($J$5:$J105,"Sin stock"),""))</f>
        <v/>
      </c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21.75" customHeight="1" x14ac:dyDescent="0.25">
      <c r="A106" s="26" t="str">
        <f>IF(Productos!A106="","",Productos!A106)</f>
        <v/>
      </c>
      <c r="B106" s="26" t="str">
        <f>IF(Productos!A106="","",Productos!B106)</f>
        <v/>
      </c>
      <c r="C106" s="26" t="str">
        <f>IF(Productos!A106="","",Productos!C106)</f>
        <v/>
      </c>
      <c r="D106" s="26" t="str">
        <f>IF(Productos!A106="","",Productos!D106)</f>
        <v/>
      </c>
      <c r="E106" s="27" t="str">
        <f>IF(Productos!A106="","",Productos!E106)</f>
        <v/>
      </c>
      <c r="F106" s="27" t="str">
        <f>IF(Productos!A106="","",Productos!F106)</f>
        <v/>
      </c>
      <c r="G106" s="27" t="str">
        <f>IF(A106="","",SUMIF('Compras Entradas'!$C$5:$C$504,A106,'Compras Entradas'!$E$5:$E$504))</f>
        <v/>
      </c>
      <c r="H106" s="27" t="str">
        <f>IF(A106="","",SUMIF('Ventas Salidas'!$C$5:$C$504,A106,'Ventas Salidas'!$E$5:$E$504))</f>
        <v/>
      </c>
      <c r="I106" s="27" t="str">
        <f t="shared" si="3"/>
        <v/>
      </c>
      <c r="J106" s="26" t="str">
        <f t="shared" si="4"/>
        <v/>
      </c>
      <c r="K106" s="26" t="str">
        <f t="shared" si="5"/>
        <v/>
      </c>
      <c r="L106" s="22"/>
      <c r="M106" s="22" t="str">
        <f>IF(A106="","",IF(OR(J106="Bajo stock",J106="Sin stock"),COUNTIFS($J$5:$J106,"Bajo stock")+COUNTIFS($J$5:$J106,"Sin stock"),""))</f>
        <v/>
      </c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21.75" customHeight="1" x14ac:dyDescent="0.25">
      <c r="A107" s="26" t="str">
        <f>IF(Productos!A107="","",Productos!A107)</f>
        <v/>
      </c>
      <c r="B107" s="26" t="str">
        <f>IF(Productos!A107="","",Productos!B107)</f>
        <v/>
      </c>
      <c r="C107" s="26" t="str">
        <f>IF(Productos!A107="","",Productos!C107)</f>
        <v/>
      </c>
      <c r="D107" s="26" t="str">
        <f>IF(Productos!A107="","",Productos!D107)</f>
        <v/>
      </c>
      <c r="E107" s="27" t="str">
        <f>IF(Productos!A107="","",Productos!E107)</f>
        <v/>
      </c>
      <c r="F107" s="27" t="str">
        <f>IF(Productos!A107="","",Productos!F107)</f>
        <v/>
      </c>
      <c r="G107" s="27" t="str">
        <f>IF(A107="","",SUMIF('Compras Entradas'!$C$5:$C$504,A107,'Compras Entradas'!$E$5:$E$504))</f>
        <v/>
      </c>
      <c r="H107" s="27" t="str">
        <f>IF(A107="","",SUMIF('Ventas Salidas'!$C$5:$C$504,A107,'Ventas Salidas'!$E$5:$E$504))</f>
        <v/>
      </c>
      <c r="I107" s="27" t="str">
        <f t="shared" si="3"/>
        <v/>
      </c>
      <c r="J107" s="26" t="str">
        <f t="shared" si="4"/>
        <v/>
      </c>
      <c r="K107" s="26" t="str">
        <f t="shared" si="5"/>
        <v/>
      </c>
      <c r="L107" s="22"/>
      <c r="M107" s="22" t="str">
        <f>IF(A107="","",IF(OR(J107="Bajo stock",J107="Sin stock"),COUNTIFS($J$5:$J107,"Bajo stock")+COUNTIFS($J$5:$J107,"Sin stock"),""))</f>
        <v/>
      </c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21.75" customHeight="1" x14ac:dyDescent="0.25">
      <c r="A108" s="26" t="str">
        <f>IF(Productos!A108="","",Productos!A108)</f>
        <v/>
      </c>
      <c r="B108" s="26" t="str">
        <f>IF(Productos!A108="","",Productos!B108)</f>
        <v/>
      </c>
      <c r="C108" s="26" t="str">
        <f>IF(Productos!A108="","",Productos!C108)</f>
        <v/>
      </c>
      <c r="D108" s="26" t="str">
        <f>IF(Productos!A108="","",Productos!D108)</f>
        <v/>
      </c>
      <c r="E108" s="27" t="str">
        <f>IF(Productos!A108="","",Productos!E108)</f>
        <v/>
      </c>
      <c r="F108" s="27" t="str">
        <f>IF(Productos!A108="","",Productos!F108)</f>
        <v/>
      </c>
      <c r="G108" s="27" t="str">
        <f>IF(A108="","",SUMIF('Compras Entradas'!$C$5:$C$504,A108,'Compras Entradas'!$E$5:$E$504))</f>
        <v/>
      </c>
      <c r="H108" s="27" t="str">
        <f>IF(A108="","",SUMIF('Ventas Salidas'!$C$5:$C$504,A108,'Ventas Salidas'!$E$5:$E$504))</f>
        <v/>
      </c>
      <c r="I108" s="27" t="str">
        <f t="shared" si="3"/>
        <v/>
      </c>
      <c r="J108" s="26" t="str">
        <f t="shared" si="4"/>
        <v/>
      </c>
      <c r="K108" s="26" t="str">
        <f t="shared" si="5"/>
        <v/>
      </c>
      <c r="L108" s="22"/>
      <c r="M108" s="22" t="str">
        <f>IF(A108="","",IF(OR(J108="Bajo stock",J108="Sin stock"),COUNTIFS($J$5:$J108,"Bajo stock")+COUNTIFS($J$5:$J108,"Sin stock"),""))</f>
        <v/>
      </c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21.75" customHeight="1" x14ac:dyDescent="0.25">
      <c r="A109" s="26" t="str">
        <f>IF(Productos!A109="","",Productos!A109)</f>
        <v/>
      </c>
      <c r="B109" s="26" t="str">
        <f>IF(Productos!A109="","",Productos!B109)</f>
        <v/>
      </c>
      <c r="C109" s="26" t="str">
        <f>IF(Productos!A109="","",Productos!C109)</f>
        <v/>
      </c>
      <c r="D109" s="26" t="str">
        <f>IF(Productos!A109="","",Productos!D109)</f>
        <v/>
      </c>
      <c r="E109" s="27" t="str">
        <f>IF(Productos!A109="","",Productos!E109)</f>
        <v/>
      </c>
      <c r="F109" s="27" t="str">
        <f>IF(Productos!A109="","",Productos!F109)</f>
        <v/>
      </c>
      <c r="G109" s="27" t="str">
        <f>IF(A109="","",SUMIF('Compras Entradas'!$C$5:$C$504,A109,'Compras Entradas'!$E$5:$E$504))</f>
        <v/>
      </c>
      <c r="H109" s="27" t="str">
        <f>IF(A109="","",SUMIF('Ventas Salidas'!$C$5:$C$504,A109,'Ventas Salidas'!$E$5:$E$504))</f>
        <v/>
      </c>
      <c r="I109" s="27" t="str">
        <f t="shared" si="3"/>
        <v/>
      </c>
      <c r="J109" s="26" t="str">
        <f t="shared" si="4"/>
        <v/>
      </c>
      <c r="K109" s="26" t="str">
        <f t="shared" si="5"/>
        <v/>
      </c>
      <c r="L109" s="22"/>
      <c r="M109" s="22" t="str">
        <f>IF(A109="","",IF(OR(J109="Bajo stock",J109="Sin stock"),COUNTIFS($J$5:$J109,"Bajo stock")+COUNTIFS($J$5:$J109,"Sin stock"),""))</f>
        <v/>
      </c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21.75" customHeight="1" x14ac:dyDescent="0.25">
      <c r="A110" s="26" t="str">
        <f>IF(Productos!A110="","",Productos!A110)</f>
        <v/>
      </c>
      <c r="B110" s="26" t="str">
        <f>IF(Productos!A110="","",Productos!B110)</f>
        <v/>
      </c>
      <c r="C110" s="26" t="str">
        <f>IF(Productos!A110="","",Productos!C110)</f>
        <v/>
      </c>
      <c r="D110" s="26" t="str">
        <f>IF(Productos!A110="","",Productos!D110)</f>
        <v/>
      </c>
      <c r="E110" s="27" t="str">
        <f>IF(Productos!A110="","",Productos!E110)</f>
        <v/>
      </c>
      <c r="F110" s="27" t="str">
        <f>IF(Productos!A110="","",Productos!F110)</f>
        <v/>
      </c>
      <c r="G110" s="27" t="str">
        <f>IF(A110="","",SUMIF('Compras Entradas'!$C$5:$C$504,A110,'Compras Entradas'!$E$5:$E$504))</f>
        <v/>
      </c>
      <c r="H110" s="27" t="str">
        <f>IF(A110="","",SUMIF('Ventas Salidas'!$C$5:$C$504,A110,'Ventas Salidas'!$E$5:$E$504))</f>
        <v/>
      </c>
      <c r="I110" s="27" t="str">
        <f t="shared" si="3"/>
        <v/>
      </c>
      <c r="J110" s="26" t="str">
        <f t="shared" si="4"/>
        <v/>
      </c>
      <c r="K110" s="26" t="str">
        <f t="shared" si="5"/>
        <v/>
      </c>
      <c r="L110" s="22"/>
      <c r="M110" s="22" t="str">
        <f>IF(A110="","",IF(OR(J110="Bajo stock",J110="Sin stock"),COUNTIFS($J$5:$J110,"Bajo stock")+COUNTIFS($J$5:$J110,"Sin stock"),""))</f>
        <v/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21.75" customHeight="1" x14ac:dyDescent="0.25">
      <c r="A111" s="26" t="str">
        <f>IF(Productos!A111="","",Productos!A111)</f>
        <v/>
      </c>
      <c r="B111" s="26" t="str">
        <f>IF(Productos!A111="","",Productos!B111)</f>
        <v/>
      </c>
      <c r="C111" s="26" t="str">
        <f>IF(Productos!A111="","",Productos!C111)</f>
        <v/>
      </c>
      <c r="D111" s="26" t="str">
        <f>IF(Productos!A111="","",Productos!D111)</f>
        <v/>
      </c>
      <c r="E111" s="27" t="str">
        <f>IF(Productos!A111="","",Productos!E111)</f>
        <v/>
      </c>
      <c r="F111" s="27" t="str">
        <f>IF(Productos!A111="","",Productos!F111)</f>
        <v/>
      </c>
      <c r="G111" s="27" t="str">
        <f>IF(A111="","",SUMIF('Compras Entradas'!$C$5:$C$504,A111,'Compras Entradas'!$E$5:$E$504))</f>
        <v/>
      </c>
      <c r="H111" s="27" t="str">
        <f>IF(A111="","",SUMIF('Ventas Salidas'!$C$5:$C$504,A111,'Ventas Salidas'!$E$5:$E$504))</f>
        <v/>
      </c>
      <c r="I111" s="27" t="str">
        <f t="shared" si="3"/>
        <v/>
      </c>
      <c r="J111" s="26" t="str">
        <f t="shared" si="4"/>
        <v/>
      </c>
      <c r="K111" s="26" t="str">
        <f t="shared" si="5"/>
        <v/>
      </c>
      <c r="L111" s="22"/>
      <c r="M111" s="22" t="str">
        <f>IF(A111="","",IF(OR(J111="Bajo stock",J111="Sin stock"),COUNTIFS($J$5:$J111,"Bajo stock")+COUNTIFS($J$5:$J111,"Sin stock"),""))</f>
        <v/>
      </c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21.75" customHeight="1" x14ac:dyDescent="0.25">
      <c r="A112" s="26" t="str">
        <f>IF(Productos!A112="","",Productos!A112)</f>
        <v/>
      </c>
      <c r="B112" s="26" t="str">
        <f>IF(Productos!A112="","",Productos!B112)</f>
        <v/>
      </c>
      <c r="C112" s="26" t="str">
        <f>IF(Productos!A112="","",Productos!C112)</f>
        <v/>
      </c>
      <c r="D112" s="26" t="str">
        <f>IF(Productos!A112="","",Productos!D112)</f>
        <v/>
      </c>
      <c r="E112" s="27" t="str">
        <f>IF(Productos!A112="","",Productos!E112)</f>
        <v/>
      </c>
      <c r="F112" s="27" t="str">
        <f>IF(Productos!A112="","",Productos!F112)</f>
        <v/>
      </c>
      <c r="G112" s="27" t="str">
        <f>IF(A112="","",SUMIF('Compras Entradas'!$C$5:$C$504,A112,'Compras Entradas'!$E$5:$E$504))</f>
        <v/>
      </c>
      <c r="H112" s="27" t="str">
        <f>IF(A112="","",SUMIF('Ventas Salidas'!$C$5:$C$504,A112,'Ventas Salidas'!$E$5:$E$504))</f>
        <v/>
      </c>
      <c r="I112" s="27" t="str">
        <f t="shared" si="3"/>
        <v/>
      </c>
      <c r="J112" s="26" t="str">
        <f t="shared" si="4"/>
        <v/>
      </c>
      <c r="K112" s="26" t="str">
        <f t="shared" si="5"/>
        <v/>
      </c>
      <c r="L112" s="22"/>
      <c r="M112" s="22" t="str">
        <f>IF(A112="","",IF(OR(J112="Bajo stock",J112="Sin stock"),COUNTIFS($J$5:$J112,"Bajo stock")+COUNTIFS($J$5:$J112,"Sin stock"),""))</f>
        <v/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21.75" customHeight="1" x14ac:dyDescent="0.25">
      <c r="A113" s="26" t="str">
        <f>IF(Productos!A113="","",Productos!A113)</f>
        <v/>
      </c>
      <c r="B113" s="26" t="str">
        <f>IF(Productos!A113="","",Productos!B113)</f>
        <v/>
      </c>
      <c r="C113" s="26" t="str">
        <f>IF(Productos!A113="","",Productos!C113)</f>
        <v/>
      </c>
      <c r="D113" s="26" t="str">
        <f>IF(Productos!A113="","",Productos!D113)</f>
        <v/>
      </c>
      <c r="E113" s="27" t="str">
        <f>IF(Productos!A113="","",Productos!E113)</f>
        <v/>
      </c>
      <c r="F113" s="27" t="str">
        <f>IF(Productos!A113="","",Productos!F113)</f>
        <v/>
      </c>
      <c r="G113" s="27" t="str">
        <f>IF(A113="","",SUMIF('Compras Entradas'!$C$5:$C$504,A113,'Compras Entradas'!$E$5:$E$504))</f>
        <v/>
      </c>
      <c r="H113" s="27" t="str">
        <f>IF(A113="","",SUMIF('Ventas Salidas'!$C$5:$C$504,A113,'Ventas Salidas'!$E$5:$E$504))</f>
        <v/>
      </c>
      <c r="I113" s="27" t="str">
        <f t="shared" si="3"/>
        <v/>
      </c>
      <c r="J113" s="26" t="str">
        <f t="shared" si="4"/>
        <v/>
      </c>
      <c r="K113" s="26" t="str">
        <f t="shared" si="5"/>
        <v/>
      </c>
      <c r="L113" s="22"/>
      <c r="M113" s="22" t="str">
        <f>IF(A113="","",IF(OR(J113="Bajo stock",J113="Sin stock"),COUNTIFS($J$5:$J113,"Bajo stock")+COUNTIFS($J$5:$J113,"Sin stock"),""))</f>
        <v/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21.75" customHeight="1" x14ac:dyDescent="0.25">
      <c r="A114" s="26" t="str">
        <f>IF(Productos!A114="","",Productos!A114)</f>
        <v/>
      </c>
      <c r="B114" s="26" t="str">
        <f>IF(Productos!A114="","",Productos!B114)</f>
        <v/>
      </c>
      <c r="C114" s="26" t="str">
        <f>IF(Productos!A114="","",Productos!C114)</f>
        <v/>
      </c>
      <c r="D114" s="26" t="str">
        <f>IF(Productos!A114="","",Productos!D114)</f>
        <v/>
      </c>
      <c r="E114" s="27" t="str">
        <f>IF(Productos!A114="","",Productos!E114)</f>
        <v/>
      </c>
      <c r="F114" s="27" t="str">
        <f>IF(Productos!A114="","",Productos!F114)</f>
        <v/>
      </c>
      <c r="G114" s="27" t="str">
        <f>IF(A114="","",SUMIF('Compras Entradas'!$C$5:$C$504,A114,'Compras Entradas'!$E$5:$E$504))</f>
        <v/>
      </c>
      <c r="H114" s="27" t="str">
        <f>IF(A114="","",SUMIF('Ventas Salidas'!$C$5:$C$504,A114,'Ventas Salidas'!$E$5:$E$504))</f>
        <v/>
      </c>
      <c r="I114" s="27" t="str">
        <f t="shared" si="3"/>
        <v/>
      </c>
      <c r="J114" s="26" t="str">
        <f t="shared" si="4"/>
        <v/>
      </c>
      <c r="K114" s="26" t="str">
        <f t="shared" si="5"/>
        <v/>
      </c>
      <c r="L114" s="22"/>
      <c r="M114" s="22" t="str">
        <f>IF(A114="","",IF(OR(J114="Bajo stock",J114="Sin stock"),COUNTIFS($J$5:$J114,"Bajo stock")+COUNTIFS($J$5:$J114,"Sin stock"),""))</f>
        <v/>
      </c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21.75" customHeight="1" x14ac:dyDescent="0.25">
      <c r="A115" s="26" t="str">
        <f>IF(Productos!A115="","",Productos!A115)</f>
        <v/>
      </c>
      <c r="B115" s="26" t="str">
        <f>IF(Productos!A115="","",Productos!B115)</f>
        <v/>
      </c>
      <c r="C115" s="26" t="str">
        <f>IF(Productos!A115="","",Productos!C115)</f>
        <v/>
      </c>
      <c r="D115" s="26" t="str">
        <f>IF(Productos!A115="","",Productos!D115)</f>
        <v/>
      </c>
      <c r="E115" s="27" t="str">
        <f>IF(Productos!A115="","",Productos!E115)</f>
        <v/>
      </c>
      <c r="F115" s="27" t="str">
        <f>IF(Productos!A115="","",Productos!F115)</f>
        <v/>
      </c>
      <c r="G115" s="27" t="str">
        <f>IF(A115="","",SUMIF('Compras Entradas'!$C$5:$C$504,A115,'Compras Entradas'!$E$5:$E$504))</f>
        <v/>
      </c>
      <c r="H115" s="27" t="str">
        <f>IF(A115="","",SUMIF('Ventas Salidas'!$C$5:$C$504,A115,'Ventas Salidas'!$E$5:$E$504))</f>
        <v/>
      </c>
      <c r="I115" s="27" t="str">
        <f t="shared" si="3"/>
        <v/>
      </c>
      <c r="J115" s="26" t="str">
        <f t="shared" si="4"/>
        <v/>
      </c>
      <c r="K115" s="26" t="str">
        <f t="shared" si="5"/>
        <v/>
      </c>
      <c r="L115" s="22"/>
      <c r="M115" s="22" t="str">
        <f>IF(A115="","",IF(OR(J115="Bajo stock",J115="Sin stock"),COUNTIFS($J$5:$J115,"Bajo stock")+COUNTIFS($J$5:$J115,"Sin stock"),""))</f>
        <v/>
      </c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21.75" customHeight="1" x14ac:dyDescent="0.25">
      <c r="A116" s="26" t="str">
        <f>IF(Productos!A116="","",Productos!A116)</f>
        <v/>
      </c>
      <c r="B116" s="26" t="str">
        <f>IF(Productos!A116="","",Productos!B116)</f>
        <v/>
      </c>
      <c r="C116" s="26" t="str">
        <f>IF(Productos!A116="","",Productos!C116)</f>
        <v/>
      </c>
      <c r="D116" s="26" t="str">
        <f>IF(Productos!A116="","",Productos!D116)</f>
        <v/>
      </c>
      <c r="E116" s="27" t="str">
        <f>IF(Productos!A116="","",Productos!E116)</f>
        <v/>
      </c>
      <c r="F116" s="27" t="str">
        <f>IF(Productos!A116="","",Productos!F116)</f>
        <v/>
      </c>
      <c r="G116" s="27" t="str">
        <f>IF(A116="","",SUMIF('Compras Entradas'!$C$5:$C$504,A116,'Compras Entradas'!$E$5:$E$504))</f>
        <v/>
      </c>
      <c r="H116" s="27" t="str">
        <f>IF(A116="","",SUMIF('Ventas Salidas'!$C$5:$C$504,A116,'Ventas Salidas'!$E$5:$E$504))</f>
        <v/>
      </c>
      <c r="I116" s="27" t="str">
        <f t="shared" si="3"/>
        <v/>
      </c>
      <c r="J116" s="26" t="str">
        <f t="shared" si="4"/>
        <v/>
      </c>
      <c r="K116" s="26" t="str">
        <f t="shared" si="5"/>
        <v/>
      </c>
      <c r="L116" s="22"/>
      <c r="M116" s="22" t="str">
        <f>IF(A116="","",IF(OR(J116="Bajo stock",J116="Sin stock"),COUNTIFS($J$5:$J116,"Bajo stock")+COUNTIFS($J$5:$J116,"Sin stock"),""))</f>
        <v/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21.75" customHeight="1" x14ac:dyDescent="0.25">
      <c r="A117" s="26" t="str">
        <f>IF(Productos!A117="","",Productos!A117)</f>
        <v/>
      </c>
      <c r="B117" s="26" t="str">
        <f>IF(Productos!A117="","",Productos!B117)</f>
        <v/>
      </c>
      <c r="C117" s="26" t="str">
        <f>IF(Productos!A117="","",Productos!C117)</f>
        <v/>
      </c>
      <c r="D117" s="26" t="str">
        <f>IF(Productos!A117="","",Productos!D117)</f>
        <v/>
      </c>
      <c r="E117" s="27" t="str">
        <f>IF(Productos!A117="","",Productos!E117)</f>
        <v/>
      </c>
      <c r="F117" s="27" t="str">
        <f>IF(Productos!A117="","",Productos!F117)</f>
        <v/>
      </c>
      <c r="G117" s="27" t="str">
        <f>IF(A117="","",SUMIF('Compras Entradas'!$C$5:$C$504,A117,'Compras Entradas'!$E$5:$E$504))</f>
        <v/>
      </c>
      <c r="H117" s="27" t="str">
        <f>IF(A117="","",SUMIF('Ventas Salidas'!$C$5:$C$504,A117,'Ventas Salidas'!$E$5:$E$504))</f>
        <v/>
      </c>
      <c r="I117" s="27" t="str">
        <f t="shared" si="3"/>
        <v/>
      </c>
      <c r="J117" s="26" t="str">
        <f t="shared" si="4"/>
        <v/>
      </c>
      <c r="K117" s="26" t="str">
        <f t="shared" si="5"/>
        <v/>
      </c>
      <c r="L117" s="22"/>
      <c r="M117" s="22" t="str">
        <f>IF(A117="","",IF(OR(J117="Bajo stock",J117="Sin stock"),COUNTIFS($J$5:$J117,"Bajo stock")+COUNTIFS($J$5:$J117,"Sin stock"),""))</f>
        <v/>
      </c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21.75" customHeight="1" x14ac:dyDescent="0.25">
      <c r="A118" s="26" t="str">
        <f>IF(Productos!A118="","",Productos!A118)</f>
        <v/>
      </c>
      <c r="B118" s="26" t="str">
        <f>IF(Productos!A118="","",Productos!B118)</f>
        <v/>
      </c>
      <c r="C118" s="26" t="str">
        <f>IF(Productos!A118="","",Productos!C118)</f>
        <v/>
      </c>
      <c r="D118" s="26" t="str">
        <f>IF(Productos!A118="","",Productos!D118)</f>
        <v/>
      </c>
      <c r="E118" s="27" t="str">
        <f>IF(Productos!A118="","",Productos!E118)</f>
        <v/>
      </c>
      <c r="F118" s="27" t="str">
        <f>IF(Productos!A118="","",Productos!F118)</f>
        <v/>
      </c>
      <c r="G118" s="27" t="str">
        <f>IF(A118="","",SUMIF('Compras Entradas'!$C$5:$C$504,A118,'Compras Entradas'!$E$5:$E$504))</f>
        <v/>
      </c>
      <c r="H118" s="27" t="str">
        <f>IF(A118="","",SUMIF('Ventas Salidas'!$C$5:$C$504,A118,'Ventas Salidas'!$E$5:$E$504))</f>
        <v/>
      </c>
      <c r="I118" s="27" t="str">
        <f t="shared" si="3"/>
        <v/>
      </c>
      <c r="J118" s="26" t="str">
        <f t="shared" si="4"/>
        <v/>
      </c>
      <c r="K118" s="26" t="str">
        <f t="shared" si="5"/>
        <v/>
      </c>
      <c r="L118" s="22"/>
      <c r="M118" s="22" t="str">
        <f>IF(A118="","",IF(OR(J118="Bajo stock",J118="Sin stock"),COUNTIFS($J$5:$J118,"Bajo stock")+COUNTIFS($J$5:$J118,"Sin stock"),""))</f>
        <v/>
      </c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21.75" customHeight="1" x14ac:dyDescent="0.25">
      <c r="A119" s="26" t="str">
        <f>IF(Productos!A119="","",Productos!A119)</f>
        <v/>
      </c>
      <c r="B119" s="26" t="str">
        <f>IF(Productos!A119="","",Productos!B119)</f>
        <v/>
      </c>
      <c r="C119" s="26" t="str">
        <f>IF(Productos!A119="","",Productos!C119)</f>
        <v/>
      </c>
      <c r="D119" s="26" t="str">
        <f>IF(Productos!A119="","",Productos!D119)</f>
        <v/>
      </c>
      <c r="E119" s="27" t="str">
        <f>IF(Productos!A119="","",Productos!E119)</f>
        <v/>
      </c>
      <c r="F119" s="27" t="str">
        <f>IF(Productos!A119="","",Productos!F119)</f>
        <v/>
      </c>
      <c r="G119" s="27" t="str">
        <f>IF(A119="","",SUMIF('Compras Entradas'!$C$5:$C$504,A119,'Compras Entradas'!$E$5:$E$504))</f>
        <v/>
      </c>
      <c r="H119" s="27" t="str">
        <f>IF(A119="","",SUMIF('Ventas Salidas'!$C$5:$C$504,A119,'Ventas Salidas'!$E$5:$E$504))</f>
        <v/>
      </c>
      <c r="I119" s="27" t="str">
        <f t="shared" si="3"/>
        <v/>
      </c>
      <c r="J119" s="26" t="str">
        <f t="shared" si="4"/>
        <v/>
      </c>
      <c r="K119" s="26" t="str">
        <f t="shared" si="5"/>
        <v/>
      </c>
      <c r="L119" s="22"/>
      <c r="M119" s="22" t="str">
        <f>IF(A119="","",IF(OR(J119="Bajo stock",J119="Sin stock"),COUNTIFS($J$5:$J119,"Bajo stock")+COUNTIFS($J$5:$J119,"Sin stock"),""))</f>
        <v/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21.75" customHeight="1" x14ac:dyDescent="0.25">
      <c r="A120" s="26" t="str">
        <f>IF(Productos!A120="","",Productos!A120)</f>
        <v/>
      </c>
      <c r="B120" s="26" t="str">
        <f>IF(Productos!A120="","",Productos!B120)</f>
        <v/>
      </c>
      <c r="C120" s="26" t="str">
        <f>IF(Productos!A120="","",Productos!C120)</f>
        <v/>
      </c>
      <c r="D120" s="26" t="str">
        <f>IF(Productos!A120="","",Productos!D120)</f>
        <v/>
      </c>
      <c r="E120" s="27" t="str">
        <f>IF(Productos!A120="","",Productos!E120)</f>
        <v/>
      </c>
      <c r="F120" s="27" t="str">
        <f>IF(Productos!A120="","",Productos!F120)</f>
        <v/>
      </c>
      <c r="G120" s="27" t="str">
        <f>IF(A120="","",SUMIF('Compras Entradas'!$C$5:$C$504,A120,'Compras Entradas'!$E$5:$E$504))</f>
        <v/>
      </c>
      <c r="H120" s="27" t="str">
        <f>IF(A120="","",SUMIF('Ventas Salidas'!$C$5:$C$504,A120,'Ventas Salidas'!$E$5:$E$504))</f>
        <v/>
      </c>
      <c r="I120" s="27" t="str">
        <f t="shared" si="3"/>
        <v/>
      </c>
      <c r="J120" s="26" t="str">
        <f t="shared" si="4"/>
        <v/>
      </c>
      <c r="K120" s="26" t="str">
        <f t="shared" si="5"/>
        <v/>
      </c>
      <c r="L120" s="22"/>
      <c r="M120" s="22" t="str">
        <f>IF(A120="","",IF(OR(J120="Bajo stock",J120="Sin stock"),COUNTIFS($J$5:$J120,"Bajo stock")+COUNTIFS($J$5:$J120,"Sin stock"),""))</f>
        <v/>
      </c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21.75" customHeight="1" x14ac:dyDescent="0.25">
      <c r="A121" s="26" t="str">
        <f>IF(Productos!A121="","",Productos!A121)</f>
        <v/>
      </c>
      <c r="B121" s="26" t="str">
        <f>IF(Productos!A121="","",Productos!B121)</f>
        <v/>
      </c>
      <c r="C121" s="26" t="str">
        <f>IF(Productos!A121="","",Productos!C121)</f>
        <v/>
      </c>
      <c r="D121" s="26" t="str">
        <f>IF(Productos!A121="","",Productos!D121)</f>
        <v/>
      </c>
      <c r="E121" s="27" t="str">
        <f>IF(Productos!A121="","",Productos!E121)</f>
        <v/>
      </c>
      <c r="F121" s="27" t="str">
        <f>IF(Productos!A121="","",Productos!F121)</f>
        <v/>
      </c>
      <c r="G121" s="27" t="str">
        <f>IF(A121="","",SUMIF('Compras Entradas'!$C$5:$C$504,A121,'Compras Entradas'!$E$5:$E$504))</f>
        <v/>
      </c>
      <c r="H121" s="27" t="str">
        <f>IF(A121="","",SUMIF('Ventas Salidas'!$C$5:$C$504,A121,'Ventas Salidas'!$E$5:$E$504))</f>
        <v/>
      </c>
      <c r="I121" s="27" t="str">
        <f t="shared" si="3"/>
        <v/>
      </c>
      <c r="J121" s="26" t="str">
        <f t="shared" si="4"/>
        <v/>
      </c>
      <c r="K121" s="26" t="str">
        <f t="shared" si="5"/>
        <v/>
      </c>
      <c r="L121" s="22"/>
      <c r="M121" s="22" t="str">
        <f>IF(A121="","",IF(OR(J121="Bajo stock",J121="Sin stock"),COUNTIFS($J$5:$J121,"Bajo stock")+COUNTIFS($J$5:$J121,"Sin stock"),""))</f>
        <v/>
      </c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21.75" customHeight="1" x14ac:dyDescent="0.25">
      <c r="A122" s="26" t="str">
        <f>IF(Productos!A122="","",Productos!A122)</f>
        <v/>
      </c>
      <c r="B122" s="26" t="str">
        <f>IF(Productos!A122="","",Productos!B122)</f>
        <v/>
      </c>
      <c r="C122" s="26" t="str">
        <f>IF(Productos!A122="","",Productos!C122)</f>
        <v/>
      </c>
      <c r="D122" s="26" t="str">
        <f>IF(Productos!A122="","",Productos!D122)</f>
        <v/>
      </c>
      <c r="E122" s="27" t="str">
        <f>IF(Productos!A122="","",Productos!E122)</f>
        <v/>
      </c>
      <c r="F122" s="27" t="str">
        <f>IF(Productos!A122="","",Productos!F122)</f>
        <v/>
      </c>
      <c r="G122" s="27" t="str">
        <f>IF(A122="","",SUMIF('Compras Entradas'!$C$5:$C$504,A122,'Compras Entradas'!$E$5:$E$504))</f>
        <v/>
      </c>
      <c r="H122" s="27" t="str">
        <f>IF(A122="","",SUMIF('Ventas Salidas'!$C$5:$C$504,A122,'Ventas Salidas'!$E$5:$E$504))</f>
        <v/>
      </c>
      <c r="I122" s="27" t="str">
        <f t="shared" si="3"/>
        <v/>
      </c>
      <c r="J122" s="26" t="str">
        <f t="shared" si="4"/>
        <v/>
      </c>
      <c r="K122" s="26" t="str">
        <f t="shared" si="5"/>
        <v/>
      </c>
      <c r="L122" s="22"/>
      <c r="M122" s="22" t="str">
        <f>IF(A122="","",IF(OR(J122="Bajo stock",J122="Sin stock"),COUNTIFS($J$5:$J122,"Bajo stock")+COUNTIFS($J$5:$J122,"Sin stock"),""))</f>
        <v/>
      </c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21.75" customHeight="1" x14ac:dyDescent="0.25">
      <c r="A123" s="26" t="str">
        <f>IF(Productos!A123="","",Productos!A123)</f>
        <v/>
      </c>
      <c r="B123" s="26" t="str">
        <f>IF(Productos!A123="","",Productos!B123)</f>
        <v/>
      </c>
      <c r="C123" s="26" t="str">
        <f>IF(Productos!A123="","",Productos!C123)</f>
        <v/>
      </c>
      <c r="D123" s="26" t="str">
        <f>IF(Productos!A123="","",Productos!D123)</f>
        <v/>
      </c>
      <c r="E123" s="27" t="str">
        <f>IF(Productos!A123="","",Productos!E123)</f>
        <v/>
      </c>
      <c r="F123" s="27" t="str">
        <f>IF(Productos!A123="","",Productos!F123)</f>
        <v/>
      </c>
      <c r="G123" s="27" t="str">
        <f>IF(A123="","",SUMIF('Compras Entradas'!$C$5:$C$504,A123,'Compras Entradas'!$E$5:$E$504))</f>
        <v/>
      </c>
      <c r="H123" s="27" t="str">
        <f>IF(A123="","",SUMIF('Ventas Salidas'!$C$5:$C$504,A123,'Ventas Salidas'!$E$5:$E$504))</f>
        <v/>
      </c>
      <c r="I123" s="27" t="str">
        <f t="shared" si="3"/>
        <v/>
      </c>
      <c r="J123" s="26" t="str">
        <f t="shared" si="4"/>
        <v/>
      </c>
      <c r="K123" s="26" t="str">
        <f t="shared" si="5"/>
        <v/>
      </c>
      <c r="L123" s="22"/>
      <c r="M123" s="22" t="str">
        <f>IF(A123="","",IF(OR(J123="Bajo stock",J123="Sin stock"),COUNTIFS($J$5:$J123,"Bajo stock")+COUNTIFS($J$5:$J123,"Sin stock"),""))</f>
        <v/>
      </c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21.75" customHeight="1" x14ac:dyDescent="0.25">
      <c r="A124" s="26" t="str">
        <f>IF(Productos!A124="","",Productos!A124)</f>
        <v/>
      </c>
      <c r="B124" s="26" t="str">
        <f>IF(Productos!A124="","",Productos!B124)</f>
        <v/>
      </c>
      <c r="C124" s="26" t="str">
        <f>IF(Productos!A124="","",Productos!C124)</f>
        <v/>
      </c>
      <c r="D124" s="26" t="str">
        <f>IF(Productos!A124="","",Productos!D124)</f>
        <v/>
      </c>
      <c r="E124" s="27" t="str">
        <f>IF(Productos!A124="","",Productos!E124)</f>
        <v/>
      </c>
      <c r="F124" s="27" t="str">
        <f>IF(Productos!A124="","",Productos!F124)</f>
        <v/>
      </c>
      <c r="G124" s="27" t="str">
        <f>IF(A124="","",SUMIF('Compras Entradas'!$C$5:$C$504,A124,'Compras Entradas'!$E$5:$E$504))</f>
        <v/>
      </c>
      <c r="H124" s="27" t="str">
        <f>IF(A124="","",SUMIF('Ventas Salidas'!$C$5:$C$504,A124,'Ventas Salidas'!$E$5:$E$504))</f>
        <v/>
      </c>
      <c r="I124" s="27" t="str">
        <f t="shared" si="3"/>
        <v/>
      </c>
      <c r="J124" s="26" t="str">
        <f t="shared" si="4"/>
        <v/>
      </c>
      <c r="K124" s="26" t="str">
        <f t="shared" si="5"/>
        <v/>
      </c>
      <c r="L124" s="22"/>
      <c r="M124" s="22" t="str">
        <f>IF(A124="","",IF(OR(J124="Bajo stock",J124="Sin stock"),COUNTIFS($J$5:$J124,"Bajo stock")+COUNTIFS($J$5:$J124,"Sin stock"),""))</f>
        <v/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21.75" customHeight="1" x14ac:dyDescent="0.25">
      <c r="A125" s="26" t="str">
        <f>IF(Productos!A125="","",Productos!A125)</f>
        <v/>
      </c>
      <c r="B125" s="26" t="str">
        <f>IF(Productos!A125="","",Productos!B125)</f>
        <v/>
      </c>
      <c r="C125" s="26" t="str">
        <f>IF(Productos!A125="","",Productos!C125)</f>
        <v/>
      </c>
      <c r="D125" s="26" t="str">
        <f>IF(Productos!A125="","",Productos!D125)</f>
        <v/>
      </c>
      <c r="E125" s="27" t="str">
        <f>IF(Productos!A125="","",Productos!E125)</f>
        <v/>
      </c>
      <c r="F125" s="27" t="str">
        <f>IF(Productos!A125="","",Productos!F125)</f>
        <v/>
      </c>
      <c r="G125" s="27" t="str">
        <f>IF(A125="","",SUMIF('Compras Entradas'!$C$5:$C$504,A125,'Compras Entradas'!$E$5:$E$504))</f>
        <v/>
      </c>
      <c r="H125" s="27" t="str">
        <f>IF(A125="","",SUMIF('Ventas Salidas'!$C$5:$C$504,A125,'Ventas Salidas'!$E$5:$E$504))</f>
        <v/>
      </c>
      <c r="I125" s="27" t="str">
        <f t="shared" si="3"/>
        <v/>
      </c>
      <c r="J125" s="26" t="str">
        <f t="shared" si="4"/>
        <v/>
      </c>
      <c r="K125" s="26" t="str">
        <f t="shared" si="5"/>
        <v/>
      </c>
      <c r="L125" s="22"/>
      <c r="M125" s="22" t="str">
        <f>IF(A125="","",IF(OR(J125="Bajo stock",J125="Sin stock"),COUNTIFS($J$5:$J125,"Bajo stock")+COUNTIFS($J$5:$J125,"Sin stock"),""))</f>
        <v/>
      </c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21.75" customHeight="1" x14ac:dyDescent="0.25">
      <c r="A126" s="26" t="str">
        <f>IF(Productos!A126="","",Productos!A126)</f>
        <v/>
      </c>
      <c r="B126" s="26" t="str">
        <f>IF(Productos!A126="","",Productos!B126)</f>
        <v/>
      </c>
      <c r="C126" s="26" t="str">
        <f>IF(Productos!A126="","",Productos!C126)</f>
        <v/>
      </c>
      <c r="D126" s="26" t="str">
        <f>IF(Productos!A126="","",Productos!D126)</f>
        <v/>
      </c>
      <c r="E126" s="27" t="str">
        <f>IF(Productos!A126="","",Productos!E126)</f>
        <v/>
      </c>
      <c r="F126" s="27" t="str">
        <f>IF(Productos!A126="","",Productos!F126)</f>
        <v/>
      </c>
      <c r="G126" s="27" t="str">
        <f>IF(A126="","",SUMIF('Compras Entradas'!$C$5:$C$504,A126,'Compras Entradas'!$E$5:$E$504))</f>
        <v/>
      </c>
      <c r="H126" s="27" t="str">
        <f>IF(A126="","",SUMIF('Ventas Salidas'!$C$5:$C$504,A126,'Ventas Salidas'!$E$5:$E$504))</f>
        <v/>
      </c>
      <c r="I126" s="27" t="str">
        <f t="shared" si="3"/>
        <v/>
      </c>
      <c r="J126" s="26" t="str">
        <f t="shared" si="4"/>
        <v/>
      </c>
      <c r="K126" s="26" t="str">
        <f t="shared" si="5"/>
        <v/>
      </c>
      <c r="L126" s="22"/>
      <c r="M126" s="22" t="str">
        <f>IF(A126="","",IF(OR(J126="Bajo stock",J126="Sin stock"),COUNTIFS($J$5:$J126,"Bajo stock")+COUNTIFS($J$5:$J126,"Sin stock"),""))</f>
        <v/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21.75" customHeight="1" x14ac:dyDescent="0.25">
      <c r="A127" s="26" t="str">
        <f>IF(Productos!A127="","",Productos!A127)</f>
        <v/>
      </c>
      <c r="B127" s="26" t="str">
        <f>IF(Productos!A127="","",Productos!B127)</f>
        <v/>
      </c>
      <c r="C127" s="26" t="str">
        <f>IF(Productos!A127="","",Productos!C127)</f>
        <v/>
      </c>
      <c r="D127" s="26" t="str">
        <f>IF(Productos!A127="","",Productos!D127)</f>
        <v/>
      </c>
      <c r="E127" s="27" t="str">
        <f>IF(Productos!A127="","",Productos!E127)</f>
        <v/>
      </c>
      <c r="F127" s="27" t="str">
        <f>IF(Productos!A127="","",Productos!F127)</f>
        <v/>
      </c>
      <c r="G127" s="27" t="str">
        <f>IF(A127="","",SUMIF('Compras Entradas'!$C$5:$C$504,A127,'Compras Entradas'!$E$5:$E$504))</f>
        <v/>
      </c>
      <c r="H127" s="27" t="str">
        <f>IF(A127="","",SUMIF('Ventas Salidas'!$C$5:$C$504,A127,'Ventas Salidas'!$E$5:$E$504))</f>
        <v/>
      </c>
      <c r="I127" s="27" t="str">
        <f t="shared" si="3"/>
        <v/>
      </c>
      <c r="J127" s="26" t="str">
        <f t="shared" si="4"/>
        <v/>
      </c>
      <c r="K127" s="26" t="str">
        <f t="shared" si="5"/>
        <v/>
      </c>
      <c r="L127" s="22"/>
      <c r="M127" s="22" t="str">
        <f>IF(A127="","",IF(OR(J127="Bajo stock",J127="Sin stock"),COUNTIFS($J$5:$J127,"Bajo stock")+COUNTIFS($J$5:$J127,"Sin stock"),""))</f>
        <v/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21.75" customHeight="1" x14ac:dyDescent="0.25">
      <c r="A128" s="26" t="str">
        <f>IF(Productos!A128="","",Productos!A128)</f>
        <v/>
      </c>
      <c r="B128" s="26" t="str">
        <f>IF(Productos!A128="","",Productos!B128)</f>
        <v/>
      </c>
      <c r="C128" s="26" t="str">
        <f>IF(Productos!A128="","",Productos!C128)</f>
        <v/>
      </c>
      <c r="D128" s="26" t="str">
        <f>IF(Productos!A128="","",Productos!D128)</f>
        <v/>
      </c>
      <c r="E128" s="27" t="str">
        <f>IF(Productos!A128="","",Productos!E128)</f>
        <v/>
      </c>
      <c r="F128" s="27" t="str">
        <f>IF(Productos!A128="","",Productos!F128)</f>
        <v/>
      </c>
      <c r="G128" s="27" t="str">
        <f>IF(A128="","",SUMIF('Compras Entradas'!$C$5:$C$504,A128,'Compras Entradas'!$E$5:$E$504))</f>
        <v/>
      </c>
      <c r="H128" s="27" t="str">
        <f>IF(A128="","",SUMIF('Ventas Salidas'!$C$5:$C$504,A128,'Ventas Salidas'!$E$5:$E$504))</f>
        <v/>
      </c>
      <c r="I128" s="27" t="str">
        <f t="shared" si="3"/>
        <v/>
      </c>
      <c r="J128" s="26" t="str">
        <f t="shared" si="4"/>
        <v/>
      </c>
      <c r="K128" s="26" t="str">
        <f t="shared" si="5"/>
        <v/>
      </c>
      <c r="L128" s="22"/>
      <c r="M128" s="22" t="str">
        <f>IF(A128="","",IF(OR(J128="Bajo stock",J128="Sin stock"),COUNTIFS($J$5:$J128,"Bajo stock")+COUNTIFS($J$5:$J128,"Sin stock"),""))</f>
        <v/>
      </c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21.75" customHeight="1" x14ac:dyDescent="0.25">
      <c r="A129" s="26" t="str">
        <f>IF(Productos!A129="","",Productos!A129)</f>
        <v/>
      </c>
      <c r="B129" s="26" t="str">
        <f>IF(Productos!A129="","",Productos!B129)</f>
        <v/>
      </c>
      <c r="C129" s="26" t="str">
        <f>IF(Productos!A129="","",Productos!C129)</f>
        <v/>
      </c>
      <c r="D129" s="26" t="str">
        <f>IF(Productos!A129="","",Productos!D129)</f>
        <v/>
      </c>
      <c r="E129" s="27" t="str">
        <f>IF(Productos!A129="","",Productos!E129)</f>
        <v/>
      </c>
      <c r="F129" s="27" t="str">
        <f>IF(Productos!A129="","",Productos!F129)</f>
        <v/>
      </c>
      <c r="G129" s="27" t="str">
        <f>IF(A129="","",SUMIF('Compras Entradas'!$C$5:$C$504,A129,'Compras Entradas'!$E$5:$E$504))</f>
        <v/>
      </c>
      <c r="H129" s="27" t="str">
        <f>IF(A129="","",SUMIF('Ventas Salidas'!$C$5:$C$504,A129,'Ventas Salidas'!$E$5:$E$504))</f>
        <v/>
      </c>
      <c r="I129" s="27" t="str">
        <f t="shared" si="3"/>
        <v/>
      </c>
      <c r="J129" s="26" t="str">
        <f t="shared" si="4"/>
        <v/>
      </c>
      <c r="K129" s="26" t="str">
        <f t="shared" si="5"/>
        <v/>
      </c>
      <c r="L129" s="22"/>
      <c r="M129" s="22" t="str">
        <f>IF(A129="","",IF(OR(J129="Bajo stock",J129="Sin stock"),COUNTIFS($J$5:$J129,"Bajo stock")+COUNTIFS($J$5:$J129,"Sin stock"),""))</f>
        <v/>
      </c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21.75" customHeight="1" x14ac:dyDescent="0.25">
      <c r="A130" s="26" t="str">
        <f>IF(Productos!A130="","",Productos!A130)</f>
        <v/>
      </c>
      <c r="B130" s="26" t="str">
        <f>IF(Productos!A130="","",Productos!B130)</f>
        <v/>
      </c>
      <c r="C130" s="26" t="str">
        <f>IF(Productos!A130="","",Productos!C130)</f>
        <v/>
      </c>
      <c r="D130" s="26" t="str">
        <f>IF(Productos!A130="","",Productos!D130)</f>
        <v/>
      </c>
      <c r="E130" s="27" t="str">
        <f>IF(Productos!A130="","",Productos!E130)</f>
        <v/>
      </c>
      <c r="F130" s="27" t="str">
        <f>IF(Productos!A130="","",Productos!F130)</f>
        <v/>
      </c>
      <c r="G130" s="27" t="str">
        <f>IF(A130="","",SUMIF('Compras Entradas'!$C$5:$C$504,A130,'Compras Entradas'!$E$5:$E$504))</f>
        <v/>
      </c>
      <c r="H130" s="27" t="str">
        <f>IF(A130="","",SUMIF('Ventas Salidas'!$C$5:$C$504,A130,'Ventas Salidas'!$E$5:$E$504))</f>
        <v/>
      </c>
      <c r="I130" s="27" t="str">
        <f t="shared" si="3"/>
        <v/>
      </c>
      <c r="J130" s="26" t="str">
        <f t="shared" si="4"/>
        <v/>
      </c>
      <c r="K130" s="26" t="str">
        <f t="shared" si="5"/>
        <v/>
      </c>
      <c r="L130" s="22"/>
      <c r="M130" s="22" t="str">
        <f>IF(A130="","",IF(OR(J130="Bajo stock",J130="Sin stock"),COUNTIFS($J$5:$J130,"Bajo stock")+COUNTIFS($J$5:$J130,"Sin stock"),""))</f>
        <v/>
      </c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21.75" customHeight="1" x14ac:dyDescent="0.25">
      <c r="A131" s="26" t="str">
        <f>IF(Productos!A131="","",Productos!A131)</f>
        <v/>
      </c>
      <c r="B131" s="26" t="str">
        <f>IF(Productos!A131="","",Productos!B131)</f>
        <v/>
      </c>
      <c r="C131" s="26" t="str">
        <f>IF(Productos!A131="","",Productos!C131)</f>
        <v/>
      </c>
      <c r="D131" s="26" t="str">
        <f>IF(Productos!A131="","",Productos!D131)</f>
        <v/>
      </c>
      <c r="E131" s="27" t="str">
        <f>IF(Productos!A131="","",Productos!E131)</f>
        <v/>
      </c>
      <c r="F131" s="27" t="str">
        <f>IF(Productos!A131="","",Productos!F131)</f>
        <v/>
      </c>
      <c r="G131" s="27" t="str">
        <f>IF(A131="","",SUMIF('Compras Entradas'!$C$5:$C$504,A131,'Compras Entradas'!$E$5:$E$504))</f>
        <v/>
      </c>
      <c r="H131" s="27" t="str">
        <f>IF(A131="","",SUMIF('Ventas Salidas'!$C$5:$C$504,A131,'Ventas Salidas'!$E$5:$E$504))</f>
        <v/>
      </c>
      <c r="I131" s="27" t="str">
        <f t="shared" si="3"/>
        <v/>
      </c>
      <c r="J131" s="26" t="str">
        <f t="shared" si="4"/>
        <v/>
      </c>
      <c r="K131" s="26" t="str">
        <f t="shared" si="5"/>
        <v/>
      </c>
      <c r="L131" s="22"/>
      <c r="M131" s="22" t="str">
        <f>IF(A131="","",IF(OR(J131="Bajo stock",J131="Sin stock"),COUNTIFS($J$5:$J131,"Bajo stock")+COUNTIFS($J$5:$J131,"Sin stock"),""))</f>
        <v/>
      </c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21.75" customHeight="1" x14ac:dyDescent="0.25">
      <c r="A132" s="26" t="str">
        <f>IF(Productos!A132="","",Productos!A132)</f>
        <v/>
      </c>
      <c r="B132" s="26" t="str">
        <f>IF(Productos!A132="","",Productos!B132)</f>
        <v/>
      </c>
      <c r="C132" s="26" t="str">
        <f>IF(Productos!A132="","",Productos!C132)</f>
        <v/>
      </c>
      <c r="D132" s="26" t="str">
        <f>IF(Productos!A132="","",Productos!D132)</f>
        <v/>
      </c>
      <c r="E132" s="27" t="str">
        <f>IF(Productos!A132="","",Productos!E132)</f>
        <v/>
      </c>
      <c r="F132" s="27" t="str">
        <f>IF(Productos!A132="","",Productos!F132)</f>
        <v/>
      </c>
      <c r="G132" s="27" t="str">
        <f>IF(A132="","",SUMIF('Compras Entradas'!$C$5:$C$504,A132,'Compras Entradas'!$E$5:$E$504))</f>
        <v/>
      </c>
      <c r="H132" s="27" t="str">
        <f>IF(A132="","",SUMIF('Ventas Salidas'!$C$5:$C$504,A132,'Ventas Salidas'!$E$5:$E$504))</f>
        <v/>
      </c>
      <c r="I132" s="27" t="str">
        <f t="shared" si="3"/>
        <v/>
      </c>
      <c r="J132" s="26" t="str">
        <f t="shared" si="4"/>
        <v/>
      </c>
      <c r="K132" s="26" t="str">
        <f t="shared" si="5"/>
        <v/>
      </c>
      <c r="L132" s="22"/>
      <c r="M132" s="22" t="str">
        <f>IF(A132="","",IF(OR(J132="Bajo stock",J132="Sin stock"),COUNTIFS($J$5:$J132,"Bajo stock")+COUNTIFS($J$5:$J132,"Sin stock"),""))</f>
        <v/>
      </c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21.75" customHeight="1" x14ac:dyDescent="0.25">
      <c r="A133" s="26" t="str">
        <f>IF(Productos!A133="","",Productos!A133)</f>
        <v/>
      </c>
      <c r="B133" s="26" t="str">
        <f>IF(Productos!A133="","",Productos!B133)</f>
        <v/>
      </c>
      <c r="C133" s="26" t="str">
        <f>IF(Productos!A133="","",Productos!C133)</f>
        <v/>
      </c>
      <c r="D133" s="26" t="str">
        <f>IF(Productos!A133="","",Productos!D133)</f>
        <v/>
      </c>
      <c r="E133" s="27" t="str">
        <f>IF(Productos!A133="","",Productos!E133)</f>
        <v/>
      </c>
      <c r="F133" s="27" t="str">
        <f>IF(Productos!A133="","",Productos!F133)</f>
        <v/>
      </c>
      <c r="G133" s="27" t="str">
        <f>IF(A133="","",SUMIF('Compras Entradas'!$C$5:$C$504,A133,'Compras Entradas'!$E$5:$E$504))</f>
        <v/>
      </c>
      <c r="H133" s="27" t="str">
        <f>IF(A133="","",SUMIF('Ventas Salidas'!$C$5:$C$504,A133,'Ventas Salidas'!$E$5:$E$504))</f>
        <v/>
      </c>
      <c r="I133" s="27" t="str">
        <f t="shared" ref="I133:I196" si="6">IF(A133="","",F133+G133-H133)</f>
        <v/>
      </c>
      <c r="J133" s="26" t="str">
        <f t="shared" ref="J133:J196" si="7">IF(A133="","",IF(I133&lt;=0,"Sin stock",IF(I133&lt;E133,"Bajo stock","OK")))</f>
        <v/>
      </c>
      <c r="K133" s="26" t="str">
        <f t="shared" ref="K133:K196" si="8">IF(A133="","",IF(I133&lt;=0,"Comprar urgente",IF(I133&lt;E133,"Reponer pronto","Stock suficiente")))</f>
        <v/>
      </c>
      <c r="L133" s="22"/>
      <c r="M133" s="22" t="str">
        <f>IF(A133="","",IF(OR(J133="Bajo stock",J133="Sin stock"),COUNTIFS($J$5:$J133,"Bajo stock")+COUNTIFS($J$5:$J133,"Sin stock"),""))</f>
        <v/>
      </c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21.75" customHeight="1" x14ac:dyDescent="0.25">
      <c r="A134" s="26" t="str">
        <f>IF(Productos!A134="","",Productos!A134)</f>
        <v/>
      </c>
      <c r="B134" s="26" t="str">
        <f>IF(Productos!A134="","",Productos!B134)</f>
        <v/>
      </c>
      <c r="C134" s="26" t="str">
        <f>IF(Productos!A134="","",Productos!C134)</f>
        <v/>
      </c>
      <c r="D134" s="26" t="str">
        <f>IF(Productos!A134="","",Productos!D134)</f>
        <v/>
      </c>
      <c r="E134" s="27" t="str">
        <f>IF(Productos!A134="","",Productos!E134)</f>
        <v/>
      </c>
      <c r="F134" s="27" t="str">
        <f>IF(Productos!A134="","",Productos!F134)</f>
        <v/>
      </c>
      <c r="G134" s="27" t="str">
        <f>IF(A134="","",SUMIF('Compras Entradas'!$C$5:$C$504,A134,'Compras Entradas'!$E$5:$E$504))</f>
        <v/>
      </c>
      <c r="H134" s="27" t="str">
        <f>IF(A134="","",SUMIF('Ventas Salidas'!$C$5:$C$504,A134,'Ventas Salidas'!$E$5:$E$504))</f>
        <v/>
      </c>
      <c r="I134" s="27" t="str">
        <f t="shared" si="6"/>
        <v/>
      </c>
      <c r="J134" s="26" t="str">
        <f t="shared" si="7"/>
        <v/>
      </c>
      <c r="K134" s="26" t="str">
        <f t="shared" si="8"/>
        <v/>
      </c>
      <c r="L134" s="22"/>
      <c r="M134" s="22" t="str">
        <f>IF(A134="","",IF(OR(J134="Bajo stock",J134="Sin stock"),COUNTIFS($J$5:$J134,"Bajo stock")+COUNTIFS($J$5:$J134,"Sin stock"),""))</f>
        <v/>
      </c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21.75" customHeight="1" x14ac:dyDescent="0.25">
      <c r="A135" s="26" t="str">
        <f>IF(Productos!A135="","",Productos!A135)</f>
        <v/>
      </c>
      <c r="B135" s="26" t="str">
        <f>IF(Productos!A135="","",Productos!B135)</f>
        <v/>
      </c>
      <c r="C135" s="26" t="str">
        <f>IF(Productos!A135="","",Productos!C135)</f>
        <v/>
      </c>
      <c r="D135" s="26" t="str">
        <f>IF(Productos!A135="","",Productos!D135)</f>
        <v/>
      </c>
      <c r="E135" s="27" t="str">
        <f>IF(Productos!A135="","",Productos!E135)</f>
        <v/>
      </c>
      <c r="F135" s="27" t="str">
        <f>IF(Productos!A135="","",Productos!F135)</f>
        <v/>
      </c>
      <c r="G135" s="27" t="str">
        <f>IF(A135="","",SUMIF('Compras Entradas'!$C$5:$C$504,A135,'Compras Entradas'!$E$5:$E$504))</f>
        <v/>
      </c>
      <c r="H135" s="27" t="str">
        <f>IF(A135="","",SUMIF('Ventas Salidas'!$C$5:$C$504,A135,'Ventas Salidas'!$E$5:$E$504))</f>
        <v/>
      </c>
      <c r="I135" s="27" t="str">
        <f t="shared" si="6"/>
        <v/>
      </c>
      <c r="J135" s="26" t="str">
        <f t="shared" si="7"/>
        <v/>
      </c>
      <c r="K135" s="26" t="str">
        <f t="shared" si="8"/>
        <v/>
      </c>
      <c r="L135" s="22"/>
      <c r="M135" s="22" t="str">
        <f>IF(A135="","",IF(OR(J135="Bajo stock",J135="Sin stock"),COUNTIFS($J$5:$J135,"Bajo stock")+COUNTIFS($J$5:$J135,"Sin stock"),""))</f>
        <v/>
      </c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21.75" customHeight="1" x14ac:dyDescent="0.25">
      <c r="A136" s="26" t="str">
        <f>IF(Productos!A136="","",Productos!A136)</f>
        <v/>
      </c>
      <c r="B136" s="26" t="str">
        <f>IF(Productos!A136="","",Productos!B136)</f>
        <v/>
      </c>
      <c r="C136" s="26" t="str">
        <f>IF(Productos!A136="","",Productos!C136)</f>
        <v/>
      </c>
      <c r="D136" s="26" t="str">
        <f>IF(Productos!A136="","",Productos!D136)</f>
        <v/>
      </c>
      <c r="E136" s="27" t="str">
        <f>IF(Productos!A136="","",Productos!E136)</f>
        <v/>
      </c>
      <c r="F136" s="27" t="str">
        <f>IF(Productos!A136="","",Productos!F136)</f>
        <v/>
      </c>
      <c r="G136" s="27" t="str">
        <f>IF(A136="","",SUMIF('Compras Entradas'!$C$5:$C$504,A136,'Compras Entradas'!$E$5:$E$504))</f>
        <v/>
      </c>
      <c r="H136" s="27" t="str">
        <f>IF(A136="","",SUMIF('Ventas Salidas'!$C$5:$C$504,A136,'Ventas Salidas'!$E$5:$E$504))</f>
        <v/>
      </c>
      <c r="I136" s="27" t="str">
        <f t="shared" si="6"/>
        <v/>
      </c>
      <c r="J136" s="26" t="str">
        <f t="shared" si="7"/>
        <v/>
      </c>
      <c r="K136" s="26" t="str">
        <f t="shared" si="8"/>
        <v/>
      </c>
      <c r="L136" s="22"/>
      <c r="M136" s="22" t="str">
        <f>IF(A136="","",IF(OR(J136="Bajo stock",J136="Sin stock"),COUNTIFS($J$5:$J136,"Bajo stock")+COUNTIFS($J$5:$J136,"Sin stock"),""))</f>
        <v/>
      </c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21.75" customHeight="1" x14ac:dyDescent="0.25">
      <c r="A137" s="26" t="str">
        <f>IF(Productos!A137="","",Productos!A137)</f>
        <v/>
      </c>
      <c r="B137" s="26" t="str">
        <f>IF(Productos!A137="","",Productos!B137)</f>
        <v/>
      </c>
      <c r="C137" s="26" t="str">
        <f>IF(Productos!A137="","",Productos!C137)</f>
        <v/>
      </c>
      <c r="D137" s="26" t="str">
        <f>IF(Productos!A137="","",Productos!D137)</f>
        <v/>
      </c>
      <c r="E137" s="27" t="str">
        <f>IF(Productos!A137="","",Productos!E137)</f>
        <v/>
      </c>
      <c r="F137" s="27" t="str">
        <f>IF(Productos!A137="","",Productos!F137)</f>
        <v/>
      </c>
      <c r="G137" s="27" t="str">
        <f>IF(A137="","",SUMIF('Compras Entradas'!$C$5:$C$504,A137,'Compras Entradas'!$E$5:$E$504))</f>
        <v/>
      </c>
      <c r="H137" s="27" t="str">
        <f>IF(A137="","",SUMIF('Ventas Salidas'!$C$5:$C$504,A137,'Ventas Salidas'!$E$5:$E$504))</f>
        <v/>
      </c>
      <c r="I137" s="27" t="str">
        <f t="shared" si="6"/>
        <v/>
      </c>
      <c r="J137" s="26" t="str">
        <f t="shared" si="7"/>
        <v/>
      </c>
      <c r="K137" s="26" t="str">
        <f t="shared" si="8"/>
        <v/>
      </c>
      <c r="L137" s="22"/>
      <c r="M137" s="22" t="str">
        <f>IF(A137="","",IF(OR(J137="Bajo stock",J137="Sin stock"),COUNTIFS($J$5:$J137,"Bajo stock")+COUNTIFS($J$5:$J137,"Sin stock"),""))</f>
        <v/>
      </c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21.75" customHeight="1" x14ac:dyDescent="0.25">
      <c r="A138" s="26" t="str">
        <f>IF(Productos!A138="","",Productos!A138)</f>
        <v/>
      </c>
      <c r="B138" s="26" t="str">
        <f>IF(Productos!A138="","",Productos!B138)</f>
        <v/>
      </c>
      <c r="C138" s="26" t="str">
        <f>IF(Productos!A138="","",Productos!C138)</f>
        <v/>
      </c>
      <c r="D138" s="26" t="str">
        <f>IF(Productos!A138="","",Productos!D138)</f>
        <v/>
      </c>
      <c r="E138" s="27" t="str">
        <f>IF(Productos!A138="","",Productos!E138)</f>
        <v/>
      </c>
      <c r="F138" s="27" t="str">
        <f>IF(Productos!A138="","",Productos!F138)</f>
        <v/>
      </c>
      <c r="G138" s="27" t="str">
        <f>IF(A138="","",SUMIF('Compras Entradas'!$C$5:$C$504,A138,'Compras Entradas'!$E$5:$E$504))</f>
        <v/>
      </c>
      <c r="H138" s="27" t="str">
        <f>IF(A138="","",SUMIF('Ventas Salidas'!$C$5:$C$504,A138,'Ventas Salidas'!$E$5:$E$504))</f>
        <v/>
      </c>
      <c r="I138" s="27" t="str">
        <f t="shared" si="6"/>
        <v/>
      </c>
      <c r="J138" s="26" t="str">
        <f t="shared" si="7"/>
        <v/>
      </c>
      <c r="K138" s="26" t="str">
        <f t="shared" si="8"/>
        <v/>
      </c>
      <c r="L138" s="22"/>
      <c r="M138" s="22" t="str">
        <f>IF(A138="","",IF(OR(J138="Bajo stock",J138="Sin stock"),COUNTIFS($J$5:$J138,"Bajo stock")+COUNTIFS($J$5:$J138,"Sin stock"),""))</f>
        <v/>
      </c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21.75" customHeight="1" x14ac:dyDescent="0.25">
      <c r="A139" s="26" t="str">
        <f>IF(Productos!A139="","",Productos!A139)</f>
        <v/>
      </c>
      <c r="B139" s="26" t="str">
        <f>IF(Productos!A139="","",Productos!B139)</f>
        <v/>
      </c>
      <c r="C139" s="26" t="str">
        <f>IF(Productos!A139="","",Productos!C139)</f>
        <v/>
      </c>
      <c r="D139" s="26" t="str">
        <f>IF(Productos!A139="","",Productos!D139)</f>
        <v/>
      </c>
      <c r="E139" s="27" t="str">
        <f>IF(Productos!A139="","",Productos!E139)</f>
        <v/>
      </c>
      <c r="F139" s="27" t="str">
        <f>IF(Productos!A139="","",Productos!F139)</f>
        <v/>
      </c>
      <c r="G139" s="27" t="str">
        <f>IF(A139="","",SUMIF('Compras Entradas'!$C$5:$C$504,A139,'Compras Entradas'!$E$5:$E$504))</f>
        <v/>
      </c>
      <c r="H139" s="27" t="str">
        <f>IF(A139="","",SUMIF('Ventas Salidas'!$C$5:$C$504,A139,'Ventas Salidas'!$E$5:$E$504))</f>
        <v/>
      </c>
      <c r="I139" s="27" t="str">
        <f t="shared" si="6"/>
        <v/>
      </c>
      <c r="J139" s="26" t="str">
        <f t="shared" si="7"/>
        <v/>
      </c>
      <c r="K139" s="26" t="str">
        <f t="shared" si="8"/>
        <v/>
      </c>
      <c r="L139" s="22"/>
      <c r="M139" s="22" t="str">
        <f>IF(A139="","",IF(OR(J139="Bajo stock",J139="Sin stock"),COUNTIFS($J$5:$J139,"Bajo stock")+COUNTIFS($J$5:$J139,"Sin stock"),""))</f>
        <v/>
      </c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21.75" customHeight="1" x14ac:dyDescent="0.25">
      <c r="A140" s="26" t="str">
        <f>IF(Productos!A140="","",Productos!A140)</f>
        <v/>
      </c>
      <c r="B140" s="26" t="str">
        <f>IF(Productos!A140="","",Productos!B140)</f>
        <v/>
      </c>
      <c r="C140" s="26" t="str">
        <f>IF(Productos!A140="","",Productos!C140)</f>
        <v/>
      </c>
      <c r="D140" s="26" t="str">
        <f>IF(Productos!A140="","",Productos!D140)</f>
        <v/>
      </c>
      <c r="E140" s="27" t="str">
        <f>IF(Productos!A140="","",Productos!E140)</f>
        <v/>
      </c>
      <c r="F140" s="27" t="str">
        <f>IF(Productos!A140="","",Productos!F140)</f>
        <v/>
      </c>
      <c r="G140" s="27" t="str">
        <f>IF(A140="","",SUMIF('Compras Entradas'!$C$5:$C$504,A140,'Compras Entradas'!$E$5:$E$504))</f>
        <v/>
      </c>
      <c r="H140" s="27" t="str">
        <f>IF(A140="","",SUMIF('Ventas Salidas'!$C$5:$C$504,A140,'Ventas Salidas'!$E$5:$E$504))</f>
        <v/>
      </c>
      <c r="I140" s="27" t="str">
        <f t="shared" si="6"/>
        <v/>
      </c>
      <c r="J140" s="26" t="str">
        <f t="shared" si="7"/>
        <v/>
      </c>
      <c r="K140" s="26" t="str">
        <f t="shared" si="8"/>
        <v/>
      </c>
      <c r="L140" s="22"/>
      <c r="M140" s="22" t="str">
        <f>IF(A140="","",IF(OR(J140="Bajo stock",J140="Sin stock"),COUNTIFS($J$5:$J140,"Bajo stock")+COUNTIFS($J$5:$J140,"Sin stock"),""))</f>
        <v/>
      </c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21.75" customHeight="1" x14ac:dyDescent="0.25">
      <c r="A141" s="26" t="str">
        <f>IF(Productos!A141="","",Productos!A141)</f>
        <v/>
      </c>
      <c r="B141" s="26" t="str">
        <f>IF(Productos!A141="","",Productos!B141)</f>
        <v/>
      </c>
      <c r="C141" s="26" t="str">
        <f>IF(Productos!A141="","",Productos!C141)</f>
        <v/>
      </c>
      <c r="D141" s="26" t="str">
        <f>IF(Productos!A141="","",Productos!D141)</f>
        <v/>
      </c>
      <c r="E141" s="27" t="str">
        <f>IF(Productos!A141="","",Productos!E141)</f>
        <v/>
      </c>
      <c r="F141" s="27" t="str">
        <f>IF(Productos!A141="","",Productos!F141)</f>
        <v/>
      </c>
      <c r="G141" s="27" t="str">
        <f>IF(A141="","",SUMIF('Compras Entradas'!$C$5:$C$504,A141,'Compras Entradas'!$E$5:$E$504))</f>
        <v/>
      </c>
      <c r="H141" s="27" t="str">
        <f>IF(A141="","",SUMIF('Ventas Salidas'!$C$5:$C$504,A141,'Ventas Salidas'!$E$5:$E$504))</f>
        <v/>
      </c>
      <c r="I141" s="27" t="str">
        <f t="shared" si="6"/>
        <v/>
      </c>
      <c r="J141" s="26" t="str">
        <f t="shared" si="7"/>
        <v/>
      </c>
      <c r="K141" s="26" t="str">
        <f t="shared" si="8"/>
        <v/>
      </c>
      <c r="L141" s="22"/>
      <c r="M141" s="22" t="str">
        <f>IF(A141="","",IF(OR(J141="Bajo stock",J141="Sin stock"),COUNTIFS($J$5:$J141,"Bajo stock")+COUNTIFS($J$5:$J141,"Sin stock"),""))</f>
        <v/>
      </c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21.75" customHeight="1" x14ac:dyDescent="0.25">
      <c r="A142" s="26" t="str">
        <f>IF(Productos!A142="","",Productos!A142)</f>
        <v/>
      </c>
      <c r="B142" s="26" t="str">
        <f>IF(Productos!A142="","",Productos!B142)</f>
        <v/>
      </c>
      <c r="C142" s="26" t="str">
        <f>IF(Productos!A142="","",Productos!C142)</f>
        <v/>
      </c>
      <c r="D142" s="26" t="str">
        <f>IF(Productos!A142="","",Productos!D142)</f>
        <v/>
      </c>
      <c r="E142" s="27" t="str">
        <f>IF(Productos!A142="","",Productos!E142)</f>
        <v/>
      </c>
      <c r="F142" s="27" t="str">
        <f>IF(Productos!A142="","",Productos!F142)</f>
        <v/>
      </c>
      <c r="G142" s="27" t="str">
        <f>IF(A142="","",SUMIF('Compras Entradas'!$C$5:$C$504,A142,'Compras Entradas'!$E$5:$E$504))</f>
        <v/>
      </c>
      <c r="H142" s="27" t="str">
        <f>IF(A142="","",SUMIF('Ventas Salidas'!$C$5:$C$504,A142,'Ventas Salidas'!$E$5:$E$504))</f>
        <v/>
      </c>
      <c r="I142" s="27" t="str">
        <f t="shared" si="6"/>
        <v/>
      </c>
      <c r="J142" s="26" t="str">
        <f t="shared" si="7"/>
        <v/>
      </c>
      <c r="K142" s="26" t="str">
        <f t="shared" si="8"/>
        <v/>
      </c>
      <c r="L142" s="22"/>
      <c r="M142" s="22" t="str">
        <f>IF(A142="","",IF(OR(J142="Bajo stock",J142="Sin stock"),COUNTIFS($J$5:$J142,"Bajo stock")+COUNTIFS($J$5:$J142,"Sin stock"),""))</f>
        <v/>
      </c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21.75" customHeight="1" x14ac:dyDescent="0.25">
      <c r="A143" s="26" t="str">
        <f>IF(Productos!A143="","",Productos!A143)</f>
        <v/>
      </c>
      <c r="B143" s="26" t="str">
        <f>IF(Productos!A143="","",Productos!B143)</f>
        <v/>
      </c>
      <c r="C143" s="26" t="str">
        <f>IF(Productos!A143="","",Productos!C143)</f>
        <v/>
      </c>
      <c r="D143" s="26" t="str">
        <f>IF(Productos!A143="","",Productos!D143)</f>
        <v/>
      </c>
      <c r="E143" s="27" t="str">
        <f>IF(Productos!A143="","",Productos!E143)</f>
        <v/>
      </c>
      <c r="F143" s="27" t="str">
        <f>IF(Productos!A143="","",Productos!F143)</f>
        <v/>
      </c>
      <c r="G143" s="27" t="str">
        <f>IF(A143="","",SUMIF('Compras Entradas'!$C$5:$C$504,A143,'Compras Entradas'!$E$5:$E$504))</f>
        <v/>
      </c>
      <c r="H143" s="27" t="str">
        <f>IF(A143="","",SUMIF('Ventas Salidas'!$C$5:$C$504,A143,'Ventas Salidas'!$E$5:$E$504))</f>
        <v/>
      </c>
      <c r="I143" s="27" t="str">
        <f t="shared" si="6"/>
        <v/>
      </c>
      <c r="J143" s="26" t="str">
        <f t="shared" si="7"/>
        <v/>
      </c>
      <c r="K143" s="26" t="str">
        <f t="shared" si="8"/>
        <v/>
      </c>
      <c r="L143" s="22"/>
      <c r="M143" s="22" t="str">
        <f>IF(A143="","",IF(OR(J143="Bajo stock",J143="Sin stock"),COUNTIFS($J$5:$J143,"Bajo stock")+COUNTIFS($J$5:$J143,"Sin stock"),""))</f>
        <v/>
      </c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21.75" customHeight="1" x14ac:dyDescent="0.25">
      <c r="A144" s="26" t="str">
        <f>IF(Productos!A144="","",Productos!A144)</f>
        <v/>
      </c>
      <c r="B144" s="26" t="str">
        <f>IF(Productos!A144="","",Productos!B144)</f>
        <v/>
      </c>
      <c r="C144" s="26" t="str">
        <f>IF(Productos!A144="","",Productos!C144)</f>
        <v/>
      </c>
      <c r="D144" s="26" t="str">
        <f>IF(Productos!A144="","",Productos!D144)</f>
        <v/>
      </c>
      <c r="E144" s="27" t="str">
        <f>IF(Productos!A144="","",Productos!E144)</f>
        <v/>
      </c>
      <c r="F144" s="27" t="str">
        <f>IF(Productos!A144="","",Productos!F144)</f>
        <v/>
      </c>
      <c r="G144" s="27" t="str">
        <f>IF(A144="","",SUMIF('Compras Entradas'!$C$5:$C$504,A144,'Compras Entradas'!$E$5:$E$504))</f>
        <v/>
      </c>
      <c r="H144" s="27" t="str">
        <f>IF(A144="","",SUMIF('Ventas Salidas'!$C$5:$C$504,A144,'Ventas Salidas'!$E$5:$E$504))</f>
        <v/>
      </c>
      <c r="I144" s="27" t="str">
        <f t="shared" si="6"/>
        <v/>
      </c>
      <c r="J144" s="26" t="str">
        <f t="shared" si="7"/>
        <v/>
      </c>
      <c r="K144" s="26" t="str">
        <f t="shared" si="8"/>
        <v/>
      </c>
      <c r="L144" s="22"/>
      <c r="M144" s="22" t="str">
        <f>IF(A144="","",IF(OR(J144="Bajo stock",J144="Sin stock"),COUNTIFS($J$5:$J144,"Bajo stock")+COUNTIFS($J$5:$J144,"Sin stock"),""))</f>
        <v/>
      </c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21.75" customHeight="1" x14ac:dyDescent="0.25">
      <c r="A145" s="26" t="str">
        <f>IF(Productos!A145="","",Productos!A145)</f>
        <v/>
      </c>
      <c r="B145" s="26" t="str">
        <f>IF(Productos!A145="","",Productos!B145)</f>
        <v/>
      </c>
      <c r="C145" s="26" t="str">
        <f>IF(Productos!A145="","",Productos!C145)</f>
        <v/>
      </c>
      <c r="D145" s="26" t="str">
        <f>IF(Productos!A145="","",Productos!D145)</f>
        <v/>
      </c>
      <c r="E145" s="27" t="str">
        <f>IF(Productos!A145="","",Productos!E145)</f>
        <v/>
      </c>
      <c r="F145" s="27" t="str">
        <f>IF(Productos!A145="","",Productos!F145)</f>
        <v/>
      </c>
      <c r="G145" s="27" t="str">
        <f>IF(A145="","",SUMIF('Compras Entradas'!$C$5:$C$504,A145,'Compras Entradas'!$E$5:$E$504))</f>
        <v/>
      </c>
      <c r="H145" s="27" t="str">
        <f>IF(A145="","",SUMIF('Ventas Salidas'!$C$5:$C$504,A145,'Ventas Salidas'!$E$5:$E$504))</f>
        <v/>
      </c>
      <c r="I145" s="27" t="str">
        <f t="shared" si="6"/>
        <v/>
      </c>
      <c r="J145" s="26" t="str">
        <f t="shared" si="7"/>
        <v/>
      </c>
      <c r="K145" s="26" t="str">
        <f t="shared" si="8"/>
        <v/>
      </c>
      <c r="L145" s="22"/>
      <c r="M145" s="22" t="str">
        <f>IF(A145="","",IF(OR(J145="Bajo stock",J145="Sin stock"),COUNTIFS($J$5:$J145,"Bajo stock")+COUNTIFS($J$5:$J145,"Sin stock"),""))</f>
        <v/>
      </c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21.75" customHeight="1" x14ac:dyDescent="0.25">
      <c r="A146" s="26" t="str">
        <f>IF(Productos!A146="","",Productos!A146)</f>
        <v/>
      </c>
      <c r="B146" s="26" t="str">
        <f>IF(Productos!A146="","",Productos!B146)</f>
        <v/>
      </c>
      <c r="C146" s="26" t="str">
        <f>IF(Productos!A146="","",Productos!C146)</f>
        <v/>
      </c>
      <c r="D146" s="26" t="str">
        <f>IF(Productos!A146="","",Productos!D146)</f>
        <v/>
      </c>
      <c r="E146" s="27" t="str">
        <f>IF(Productos!A146="","",Productos!E146)</f>
        <v/>
      </c>
      <c r="F146" s="27" t="str">
        <f>IF(Productos!A146="","",Productos!F146)</f>
        <v/>
      </c>
      <c r="G146" s="27" t="str">
        <f>IF(A146="","",SUMIF('Compras Entradas'!$C$5:$C$504,A146,'Compras Entradas'!$E$5:$E$504))</f>
        <v/>
      </c>
      <c r="H146" s="27" t="str">
        <f>IF(A146="","",SUMIF('Ventas Salidas'!$C$5:$C$504,A146,'Ventas Salidas'!$E$5:$E$504))</f>
        <v/>
      </c>
      <c r="I146" s="27" t="str">
        <f t="shared" si="6"/>
        <v/>
      </c>
      <c r="J146" s="26" t="str">
        <f t="shared" si="7"/>
        <v/>
      </c>
      <c r="K146" s="26" t="str">
        <f t="shared" si="8"/>
        <v/>
      </c>
      <c r="L146" s="22"/>
      <c r="M146" s="22" t="str">
        <f>IF(A146="","",IF(OR(J146="Bajo stock",J146="Sin stock"),COUNTIFS($J$5:$J146,"Bajo stock")+COUNTIFS($J$5:$J146,"Sin stock"),""))</f>
        <v/>
      </c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21.75" customHeight="1" x14ac:dyDescent="0.25">
      <c r="A147" s="26" t="str">
        <f>IF(Productos!A147="","",Productos!A147)</f>
        <v/>
      </c>
      <c r="B147" s="26" t="str">
        <f>IF(Productos!A147="","",Productos!B147)</f>
        <v/>
      </c>
      <c r="C147" s="26" t="str">
        <f>IF(Productos!A147="","",Productos!C147)</f>
        <v/>
      </c>
      <c r="D147" s="26" t="str">
        <f>IF(Productos!A147="","",Productos!D147)</f>
        <v/>
      </c>
      <c r="E147" s="27" t="str">
        <f>IF(Productos!A147="","",Productos!E147)</f>
        <v/>
      </c>
      <c r="F147" s="27" t="str">
        <f>IF(Productos!A147="","",Productos!F147)</f>
        <v/>
      </c>
      <c r="G147" s="27" t="str">
        <f>IF(A147="","",SUMIF('Compras Entradas'!$C$5:$C$504,A147,'Compras Entradas'!$E$5:$E$504))</f>
        <v/>
      </c>
      <c r="H147" s="27" t="str">
        <f>IF(A147="","",SUMIF('Ventas Salidas'!$C$5:$C$504,A147,'Ventas Salidas'!$E$5:$E$504))</f>
        <v/>
      </c>
      <c r="I147" s="27" t="str">
        <f t="shared" si="6"/>
        <v/>
      </c>
      <c r="J147" s="26" t="str">
        <f t="shared" si="7"/>
        <v/>
      </c>
      <c r="K147" s="26" t="str">
        <f t="shared" si="8"/>
        <v/>
      </c>
      <c r="L147" s="22"/>
      <c r="M147" s="22" t="str">
        <f>IF(A147="","",IF(OR(J147="Bajo stock",J147="Sin stock"),COUNTIFS($J$5:$J147,"Bajo stock")+COUNTIFS($J$5:$J147,"Sin stock"),""))</f>
        <v/>
      </c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21.75" customHeight="1" x14ac:dyDescent="0.25">
      <c r="A148" s="26" t="str">
        <f>IF(Productos!A148="","",Productos!A148)</f>
        <v/>
      </c>
      <c r="B148" s="26" t="str">
        <f>IF(Productos!A148="","",Productos!B148)</f>
        <v/>
      </c>
      <c r="C148" s="26" t="str">
        <f>IF(Productos!A148="","",Productos!C148)</f>
        <v/>
      </c>
      <c r="D148" s="26" t="str">
        <f>IF(Productos!A148="","",Productos!D148)</f>
        <v/>
      </c>
      <c r="E148" s="27" t="str">
        <f>IF(Productos!A148="","",Productos!E148)</f>
        <v/>
      </c>
      <c r="F148" s="27" t="str">
        <f>IF(Productos!A148="","",Productos!F148)</f>
        <v/>
      </c>
      <c r="G148" s="27" t="str">
        <f>IF(A148="","",SUMIF('Compras Entradas'!$C$5:$C$504,A148,'Compras Entradas'!$E$5:$E$504))</f>
        <v/>
      </c>
      <c r="H148" s="27" t="str">
        <f>IF(A148="","",SUMIF('Ventas Salidas'!$C$5:$C$504,A148,'Ventas Salidas'!$E$5:$E$504))</f>
        <v/>
      </c>
      <c r="I148" s="27" t="str">
        <f t="shared" si="6"/>
        <v/>
      </c>
      <c r="J148" s="26" t="str">
        <f t="shared" si="7"/>
        <v/>
      </c>
      <c r="K148" s="26" t="str">
        <f t="shared" si="8"/>
        <v/>
      </c>
      <c r="L148" s="22"/>
      <c r="M148" s="22" t="str">
        <f>IF(A148="","",IF(OR(J148="Bajo stock",J148="Sin stock"),COUNTIFS($J$5:$J148,"Bajo stock")+COUNTIFS($J$5:$J148,"Sin stock"),""))</f>
        <v/>
      </c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21.75" customHeight="1" x14ac:dyDescent="0.25">
      <c r="A149" s="26" t="str">
        <f>IF(Productos!A149="","",Productos!A149)</f>
        <v/>
      </c>
      <c r="B149" s="26" t="str">
        <f>IF(Productos!A149="","",Productos!B149)</f>
        <v/>
      </c>
      <c r="C149" s="26" t="str">
        <f>IF(Productos!A149="","",Productos!C149)</f>
        <v/>
      </c>
      <c r="D149" s="26" t="str">
        <f>IF(Productos!A149="","",Productos!D149)</f>
        <v/>
      </c>
      <c r="E149" s="27" t="str">
        <f>IF(Productos!A149="","",Productos!E149)</f>
        <v/>
      </c>
      <c r="F149" s="27" t="str">
        <f>IF(Productos!A149="","",Productos!F149)</f>
        <v/>
      </c>
      <c r="G149" s="27" t="str">
        <f>IF(A149="","",SUMIF('Compras Entradas'!$C$5:$C$504,A149,'Compras Entradas'!$E$5:$E$504))</f>
        <v/>
      </c>
      <c r="H149" s="27" t="str">
        <f>IF(A149="","",SUMIF('Ventas Salidas'!$C$5:$C$504,A149,'Ventas Salidas'!$E$5:$E$504))</f>
        <v/>
      </c>
      <c r="I149" s="27" t="str">
        <f t="shared" si="6"/>
        <v/>
      </c>
      <c r="J149" s="26" t="str">
        <f t="shared" si="7"/>
        <v/>
      </c>
      <c r="K149" s="26" t="str">
        <f t="shared" si="8"/>
        <v/>
      </c>
      <c r="L149" s="22"/>
      <c r="M149" s="22" t="str">
        <f>IF(A149="","",IF(OR(J149="Bajo stock",J149="Sin stock"),COUNTIFS($J$5:$J149,"Bajo stock")+COUNTIFS($J$5:$J149,"Sin stock"),""))</f>
        <v/>
      </c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21.75" customHeight="1" x14ac:dyDescent="0.25">
      <c r="A150" s="26" t="str">
        <f>IF(Productos!A150="","",Productos!A150)</f>
        <v/>
      </c>
      <c r="B150" s="26" t="str">
        <f>IF(Productos!A150="","",Productos!B150)</f>
        <v/>
      </c>
      <c r="C150" s="26" t="str">
        <f>IF(Productos!A150="","",Productos!C150)</f>
        <v/>
      </c>
      <c r="D150" s="26" t="str">
        <f>IF(Productos!A150="","",Productos!D150)</f>
        <v/>
      </c>
      <c r="E150" s="27" t="str">
        <f>IF(Productos!A150="","",Productos!E150)</f>
        <v/>
      </c>
      <c r="F150" s="27" t="str">
        <f>IF(Productos!A150="","",Productos!F150)</f>
        <v/>
      </c>
      <c r="G150" s="27" t="str">
        <f>IF(A150="","",SUMIF('Compras Entradas'!$C$5:$C$504,A150,'Compras Entradas'!$E$5:$E$504))</f>
        <v/>
      </c>
      <c r="H150" s="27" t="str">
        <f>IF(A150="","",SUMIF('Ventas Salidas'!$C$5:$C$504,A150,'Ventas Salidas'!$E$5:$E$504))</f>
        <v/>
      </c>
      <c r="I150" s="27" t="str">
        <f t="shared" si="6"/>
        <v/>
      </c>
      <c r="J150" s="26" t="str">
        <f t="shared" si="7"/>
        <v/>
      </c>
      <c r="K150" s="26" t="str">
        <f t="shared" si="8"/>
        <v/>
      </c>
      <c r="L150" s="22"/>
      <c r="M150" s="22" t="str">
        <f>IF(A150="","",IF(OR(J150="Bajo stock",J150="Sin stock"),COUNTIFS($J$5:$J150,"Bajo stock")+COUNTIFS($J$5:$J150,"Sin stock"),""))</f>
        <v/>
      </c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21.75" customHeight="1" x14ac:dyDescent="0.25">
      <c r="A151" s="26" t="str">
        <f>IF(Productos!A151="","",Productos!A151)</f>
        <v/>
      </c>
      <c r="B151" s="26" t="str">
        <f>IF(Productos!A151="","",Productos!B151)</f>
        <v/>
      </c>
      <c r="C151" s="26" t="str">
        <f>IF(Productos!A151="","",Productos!C151)</f>
        <v/>
      </c>
      <c r="D151" s="26" t="str">
        <f>IF(Productos!A151="","",Productos!D151)</f>
        <v/>
      </c>
      <c r="E151" s="27" t="str">
        <f>IF(Productos!A151="","",Productos!E151)</f>
        <v/>
      </c>
      <c r="F151" s="27" t="str">
        <f>IF(Productos!A151="","",Productos!F151)</f>
        <v/>
      </c>
      <c r="G151" s="27" t="str">
        <f>IF(A151="","",SUMIF('Compras Entradas'!$C$5:$C$504,A151,'Compras Entradas'!$E$5:$E$504))</f>
        <v/>
      </c>
      <c r="H151" s="27" t="str">
        <f>IF(A151="","",SUMIF('Ventas Salidas'!$C$5:$C$504,A151,'Ventas Salidas'!$E$5:$E$504))</f>
        <v/>
      </c>
      <c r="I151" s="27" t="str">
        <f t="shared" si="6"/>
        <v/>
      </c>
      <c r="J151" s="26" t="str">
        <f t="shared" si="7"/>
        <v/>
      </c>
      <c r="K151" s="26" t="str">
        <f t="shared" si="8"/>
        <v/>
      </c>
      <c r="L151" s="22"/>
      <c r="M151" s="22" t="str">
        <f>IF(A151="","",IF(OR(J151="Bajo stock",J151="Sin stock"),COUNTIFS($J$5:$J151,"Bajo stock")+COUNTIFS($J$5:$J151,"Sin stock"),""))</f>
        <v/>
      </c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21.75" customHeight="1" x14ac:dyDescent="0.25">
      <c r="A152" s="26" t="str">
        <f>IF(Productos!A152="","",Productos!A152)</f>
        <v/>
      </c>
      <c r="B152" s="26" t="str">
        <f>IF(Productos!A152="","",Productos!B152)</f>
        <v/>
      </c>
      <c r="C152" s="26" t="str">
        <f>IF(Productos!A152="","",Productos!C152)</f>
        <v/>
      </c>
      <c r="D152" s="26" t="str">
        <f>IF(Productos!A152="","",Productos!D152)</f>
        <v/>
      </c>
      <c r="E152" s="27" t="str">
        <f>IF(Productos!A152="","",Productos!E152)</f>
        <v/>
      </c>
      <c r="F152" s="27" t="str">
        <f>IF(Productos!A152="","",Productos!F152)</f>
        <v/>
      </c>
      <c r="G152" s="27" t="str">
        <f>IF(A152="","",SUMIF('Compras Entradas'!$C$5:$C$504,A152,'Compras Entradas'!$E$5:$E$504))</f>
        <v/>
      </c>
      <c r="H152" s="27" t="str">
        <f>IF(A152="","",SUMIF('Ventas Salidas'!$C$5:$C$504,A152,'Ventas Salidas'!$E$5:$E$504))</f>
        <v/>
      </c>
      <c r="I152" s="27" t="str">
        <f t="shared" si="6"/>
        <v/>
      </c>
      <c r="J152" s="26" t="str">
        <f t="shared" si="7"/>
        <v/>
      </c>
      <c r="K152" s="26" t="str">
        <f t="shared" si="8"/>
        <v/>
      </c>
      <c r="L152" s="22"/>
      <c r="M152" s="22" t="str">
        <f>IF(A152="","",IF(OR(J152="Bajo stock",J152="Sin stock"),COUNTIFS($J$5:$J152,"Bajo stock")+COUNTIFS($J$5:$J152,"Sin stock"),""))</f>
        <v/>
      </c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21.75" customHeight="1" x14ac:dyDescent="0.25">
      <c r="A153" s="26" t="str">
        <f>IF(Productos!A153="","",Productos!A153)</f>
        <v/>
      </c>
      <c r="B153" s="26" t="str">
        <f>IF(Productos!A153="","",Productos!B153)</f>
        <v/>
      </c>
      <c r="C153" s="26" t="str">
        <f>IF(Productos!A153="","",Productos!C153)</f>
        <v/>
      </c>
      <c r="D153" s="26" t="str">
        <f>IF(Productos!A153="","",Productos!D153)</f>
        <v/>
      </c>
      <c r="E153" s="27" t="str">
        <f>IF(Productos!A153="","",Productos!E153)</f>
        <v/>
      </c>
      <c r="F153" s="27" t="str">
        <f>IF(Productos!A153="","",Productos!F153)</f>
        <v/>
      </c>
      <c r="G153" s="27" t="str">
        <f>IF(A153="","",SUMIF('Compras Entradas'!$C$5:$C$504,A153,'Compras Entradas'!$E$5:$E$504))</f>
        <v/>
      </c>
      <c r="H153" s="27" t="str">
        <f>IF(A153="","",SUMIF('Ventas Salidas'!$C$5:$C$504,A153,'Ventas Salidas'!$E$5:$E$504))</f>
        <v/>
      </c>
      <c r="I153" s="27" t="str">
        <f t="shared" si="6"/>
        <v/>
      </c>
      <c r="J153" s="26" t="str">
        <f t="shared" si="7"/>
        <v/>
      </c>
      <c r="K153" s="26" t="str">
        <f t="shared" si="8"/>
        <v/>
      </c>
      <c r="L153" s="22"/>
      <c r="M153" s="22" t="str">
        <f>IF(A153="","",IF(OR(J153="Bajo stock",J153="Sin stock"),COUNTIFS($J$5:$J153,"Bajo stock")+COUNTIFS($J$5:$J153,"Sin stock"),""))</f>
        <v/>
      </c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21.75" customHeight="1" x14ac:dyDescent="0.25">
      <c r="A154" s="26" t="str">
        <f>IF(Productos!A154="","",Productos!A154)</f>
        <v/>
      </c>
      <c r="B154" s="26" t="str">
        <f>IF(Productos!A154="","",Productos!B154)</f>
        <v/>
      </c>
      <c r="C154" s="26" t="str">
        <f>IF(Productos!A154="","",Productos!C154)</f>
        <v/>
      </c>
      <c r="D154" s="26" t="str">
        <f>IF(Productos!A154="","",Productos!D154)</f>
        <v/>
      </c>
      <c r="E154" s="27" t="str">
        <f>IF(Productos!A154="","",Productos!E154)</f>
        <v/>
      </c>
      <c r="F154" s="27" t="str">
        <f>IF(Productos!A154="","",Productos!F154)</f>
        <v/>
      </c>
      <c r="G154" s="27" t="str">
        <f>IF(A154="","",SUMIF('Compras Entradas'!$C$5:$C$504,A154,'Compras Entradas'!$E$5:$E$504))</f>
        <v/>
      </c>
      <c r="H154" s="27" t="str">
        <f>IF(A154="","",SUMIF('Ventas Salidas'!$C$5:$C$504,A154,'Ventas Salidas'!$E$5:$E$504))</f>
        <v/>
      </c>
      <c r="I154" s="27" t="str">
        <f t="shared" si="6"/>
        <v/>
      </c>
      <c r="J154" s="26" t="str">
        <f t="shared" si="7"/>
        <v/>
      </c>
      <c r="K154" s="26" t="str">
        <f t="shared" si="8"/>
        <v/>
      </c>
      <c r="L154" s="22"/>
      <c r="M154" s="22" t="str">
        <f>IF(A154="","",IF(OR(J154="Bajo stock",J154="Sin stock"),COUNTIFS($J$5:$J154,"Bajo stock")+COUNTIFS($J$5:$J154,"Sin stock"),""))</f>
        <v/>
      </c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21.75" customHeight="1" x14ac:dyDescent="0.25">
      <c r="A155" s="26" t="str">
        <f>IF(Productos!A155="","",Productos!A155)</f>
        <v/>
      </c>
      <c r="B155" s="26" t="str">
        <f>IF(Productos!A155="","",Productos!B155)</f>
        <v/>
      </c>
      <c r="C155" s="26" t="str">
        <f>IF(Productos!A155="","",Productos!C155)</f>
        <v/>
      </c>
      <c r="D155" s="26" t="str">
        <f>IF(Productos!A155="","",Productos!D155)</f>
        <v/>
      </c>
      <c r="E155" s="27" t="str">
        <f>IF(Productos!A155="","",Productos!E155)</f>
        <v/>
      </c>
      <c r="F155" s="27" t="str">
        <f>IF(Productos!A155="","",Productos!F155)</f>
        <v/>
      </c>
      <c r="G155" s="27" t="str">
        <f>IF(A155="","",SUMIF('Compras Entradas'!$C$5:$C$504,A155,'Compras Entradas'!$E$5:$E$504))</f>
        <v/>
      </c>
      <c r="H155" s="27" t="str">
        <f>IF(A155="","",SUMIF('Ventas Salidas'!$C$5:$C$504,A155,'Ventas Salidas'!$E$5:$E$504))</f>
        <v/>
      </c>
      <c r="I155" s="27" t="str">
        <f t="shared" si="6"/>
        <v/>
      </c>
      <c r="J155" s="26" t="str">
        <f t="shared" si="7"/>
        <v/>
      </c>
      <c r="K155" s="26" t="str">
        <f t="shared" si="8"/>
        <v/>
      </c>
      <c r="L155" s="22"/>
      <c r="M155" s="22" t="str">
        <f>IF(A155="","",IF(OR(J155="Bajo stock",J155="Sin stock"),COUNTIFS($J$5:$J155,"Bajo stock")+COUNTIFS($J$5:$J155,"Sin stock"),""))</f>
        <v/>
      </c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21.75" customHeight="1" x14ac:dyDescent="0.25">
      <c r="A156" s="26" t="str">
        <f>IF(Productos!A156="","",Productos!A156)</f>
        <v/>
      </c>
      <c r="B156" s="26" t="str">
        <f>IF(Productos!A156="","",Productos!B156)</f>
        <v/>
      </c>
      <c r="C156" s="26" t="str">
        <f>IF(Productos!A156="","",Productos!C156)</f>
        <v/>
      </c>
      <c r="D156" s="26" t="str">
        <f>IF(Productos!A156="","",Productos!D156)</f>
        <v/>
      </c>
      <c r="E156" s="27" t="str">
        <f>IF(Productos!A156="","",Productos!E156)</f>
        <v/>
      </c>
      <c r="F156" s="27" t="str">
        <f>IF(Productos!A156="","",Productos!F156)</f>
        <v/>
      </c>
      <c r="G156" s="27" t="str">
        <f>IF(A156="","",SUMIF('Compras Entradas'!$C$5:$C$504,A156,'Compras Entradas'!$E$5:$E$504))</f>
        <v/>
      </c>
      <c r="H156" s="27" t="str">
        <f>IF(A156="","",SUMIF('Ventas Salidas'!$C$5:$C$504,A156,'Ventas Salidas'!$E$5:$E$504))</f>
        <v/>
      </c>
      <c r="I156" s="27" t="str">
        <f t="shared" si="6"/>
        <v/>
      </c>
      <c r="J156" s="26" t="str">
        <f t="shared" si="7"/>
        <v/>
      </c>
      <c r="K156" s="26" t="str">
        <f t="shared" si="8"/>
        <v/>
      </c>
      <c r="L156" s="22"/>
      <c r="M156" s="22" t="str">
        <f>IF(A156="","",IF(OR(J156="Bajo stock",J156="Sin stock"),COUNTIFS($J$5:$J156,"Bajo stock")+COUNTIFS($J$5:$J156,"Sin stock"),""))</f>
        <v/>
      </c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21.75" customHeight="1" x14ac:dyDescent="0.25">
      <c r="A157" s="26" t="str">
        <f>IF(Productos!A157="","",Productos!A157)</f>
        <v/>
      </c>
      <c r="B157" s="26" t="str">
        <f>IF(Productos!A157="","",Productos!B157)</f>
        <v/>
      </c>
      <c r="C157" s="26" t="str">
        <f>IF(Productos!A157="","",Productos!C157)</f>
        <v/>
      </c>
      <c r="D157" s="26" t="str">
        <f>IF(Productos!A157="","",Productos!D157)</f>
        <v/>
      </c>
      <c r="E157" s="27" t="str">
        <f>IF(Productos!A157="","",Productos!E157)</f>
        <v/>
      </c>
      <c r="F157" s="27" t="str">
        <f>IF(Productos!A157="","",Productos!F157)</f>
        <v/>
      </c>
      <c r="G157" s="27" t="str">
        <f>IF(A157="","",SUMIF('Compras Entradas'!$C$5:$C$504,A157,'Compras Entradas'!$E$5:$E$504))</f>
        <v/>
      </c>
      <c r="H157" s="27" t="str">
        <f>IF(A157="","",SUMIF('Ventas Salidas'!$C$5:$C$504,A157,'Ventas Salidas'!$E$5:$E$504))</f>
        <v/>
      </c>
      <c r="I157" s="27" t="str">
        <f t="shared" si="6"/>
        <v/>
      </c>
      <c r="J157" s="26" t="str">
        <f t="shared" si="7"/>
        <v/>
      </c>
      <c r="K157" s="26" t="str">
        <f t="shared" si="8"/>
        <v/>
      </c>
      <c r="L157" s="22"/>
      <c r="M157" s="22" t="str">
        <f>IF(A157="","",IF(OR(J157="Bajo stock",J157="Sin stock"),COUNTIFS($J$5:$J157,"Bajo stock")+COUNTIFS($J$5:$J157,"Sin stock"),""))</f>
        <v/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21.75" customHeight="1" x14ac:dyDescent="0.25">
      <c r="A158" s="26" t="str">
        <f>IF(Productos!A158="","",Productos!A158)</f>
        <v/>
      </c>
      <c r="B158" s="26" t="str">
        <f>IF(Productos!A158="","",Productos!B158)</f>
        <v/>
      </c>
      <c r="C158" s="26" t="str">
        <f>IF(Productos!A158="","",Productos!C158)</f>
        <v/>
      </c>
      <c r="D158" s="26" t="str">
        <f>IF(Productos!A158="","",Productos!D158)</f>
        <v/>
      </c>
      <c r="E158" s="27" t="str">
        <f>IF(Productos!A158="","",Productos!E158)</f>
        <v/>
      </c>
      <c r="F158" s="27" t="str">
        <f>IF(Productos!A158="","",Productos!F158)</f>
        <v/>
      </c>
      <c r="G158" s="27" t="str">
        <f>IF(A158="","",SUMIF('Compras Entradas'!$C$5:$C$504,A158,'Compras Entradas'!$E$5:$E$504))</f>
        <v/>
      </c>
      <c r="H158" s="27" t="str">
        <f>IF(A158="","",SUMIF('Ventas Salidas'!$C$5:$C$504,A158,'Ventas Salidas'!$E$5:$E$504))</f>
        <v/>
      </c>
      <c r="I158" s="27" t="str">
        <f t="shared" si="6"/>
        <v/>
      </c>
      <c r="J158" s="26" t="str">
        <f t="shared" si="7"/>
        <v/>
      </c>
      <c r="K158" s="26" t="str">
        <f t="shared" si="8"/>
        <v/>
      </c>
      <c r="L158" s="22"/>
      <c r="M158" s="22" t="str">
        <f>IF(A158="","",IF(OR(J158="Bajo stock",J158="Sin stock"),COUNTIFS($J$5:$J158,"Bajo stock")+COUNTIFS($J$5:$J158,"Sin stock"),""))</f>
        <v/>
      </c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21.75" customHeight="1" x14ac:dyDescent="0.25">
      <c r="A159" s="26" t="str">
        <f>IF(Productos!A159="","",Productos!A159)</f>
        <v/>
      </c>
      <c r="B159" s="26" t="str">
        <f>IF(Productos!A159="","",Productos!B159)</f>
        <v/>
      </c>
      <c r="C159" s="26" t="str">
        <f>IF(Productos!A159="","",Productos!C159)</f>
        <v/>
      </c>
      <c r="D159" s="26" t="str">
        <f>IF(Productos!A159="","",Productos!D159)</f>
        <v/>
      </c>
      <c r="E159" s="27" t="str">
        <f>IF(Productos!A159="","",Productos!E159)</f>
        <v/>
      </c>
      <c r="F159" s="27" t="str">
        <f>IF(Productos!A159="","",Productos!F159)</f>
        <v/>
      </c>
      <c r="G159" s="27" t="str">
        <f>IF(A159="","",SUMIF('Compras Entradas'!$C$5:$C$504,A159,'Compras Entradas'!$E$5:$E$504))</f>
        <v/>
      </c>
      <c r="H159" s="27" t="str">
        <f>IF(A159="","",SUMIF('Ventas Salidas'!$C$5:$C$504,A159,'Ventas Salidas'!$E$5:$E$504))</f>
        <v/>
      </c>
      <c r="I159" s="27" t="str">
        <f t="shared" si="6"/>
        <v/>
      </c>
      <c r="J159" s="26" t="str">
        <f t="shared" si="7"/>
        <v/>
      </c>
      <c r="K159" s="26" t="str">
        <f t="shared" si="8"/>
        <v/>
      </c>
      <c r="L159" s="22"/>
      <c r="M159" s="22" t="str">
        <f>IF(A159="","",IF(OR(J159="Bajo stock",J159="Sin stock"),COUNTIFS($J$5:$J159,"Bajo stock")+COUNTIFS($J$5:$J159,"Sin stock"),""))</f>
        <v/>
      </c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21.75" customHeight="1" x14ac:dyDescent="0.25">
      <c r="A160" s="26" t="str">
        <f>IF(Productos!A160="","",Productos!A160)</f>
        <v/>
      </c>
      <c r="B160" s="26" t="str">
        <f>IF(Productos!A160="","",Productos!B160)</f>
        <v/>
      </c>
      <c r="C160" s="26" t="str">
        <f>IF(Productos!A160="","",Productos!C160)</f>
        <v/>
      </c>
      <c r="D160" s="26" t="str">
        <f>IF(Productos!A160="","",Productos!D160)</f>
        <v/>
      </c>
      <c r="E160" s="27" t="str">
        <f>IF(Productos!A160="","",Productos!E160)</f>
        <v/>
      </c>
      <c r="F160" s="27" t="str">
        <f>IF(Productos!A160="","",Productos!F160)</f>
        <v/>
      </c>
      <c r="G160" s="27" t="str">
        <f>IF(A160="","",SUMIF('Compras Entradas'!$C$5:$C$504,A160,'Compras Entradas'!$E$5:$E$504))</f>
        <v/>
      </c>
      <c r="H160" s="27" t="str">
        <f>IF(A160="","",SUMIF('Ventas Salidas'!$C$5:$C$504,A160,'Ventas Salidas'!$E$5:$E$504))</f>
        <v/>
      </c>
      <c r="I160" s="27" t="str">
        <f t="shared" si="6"/>
        <v/>
      </c>
      <c r="J160" s="26" t="str">
        <f t="shared" si="7"/>
        <v/>
      </c>
      <c r="K160" s="26" t="str">
        <f t="shared" si="8"/>
        <v/>
      </c>
      <c r="L160" s="22"/>
      <c r="M160" s="22" t="str">
        <f>IF(A160="","",IF(OR(J160="Bajo stock",J160="Sin stock"),COUNTIFS($J$5:$J160,"Bajo stock")+COUNTIFS($J$5:$J160,"Sin stock"),""))</f>
        <v/>
      </c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21.75" customHeight="1" x14ac:dyDescent="0.25">
      <c r="A161" s="26" t="str">
        <f>IF(Productos!A161="","",Productos!A161)</f>
        <v/>
      </c>
      <c r="B161" s="26" t="str">
        <f>IF(Productos!A161="","",Productos!B161)</f>
        <v/>
      </c>
      <c r="C161" s="26" t="str">
        <f>IF(Productos!A161="","",Productos!C161)</f>
        <v/>
      </c>
      <c r="D161" s="26" t="str">
        <f>IF(Productos!A161="","",Productos!D161)</f>
        <v/>
      </c>
      <c r="E161" s="27" t="str">
        <f>IF(Productos!A161="","",Productos!E161)</f>
        <v/>
      </c>
      <c r="F161" s="27" t="str">
        <f>IF(Productos!A161="","",Productos!F161)</f>
        <v/>
      </c>
      <c r="G161" s="27" t="str">
        <f>IF(A161="","",SUMIF('Compras Entradas'!$C$5:$C$504,A161,'Compras Entradas'!$E$5:$E$504))</f>
        <v/>
      </c>
      <c r="H161" s="27" t="str">
        <f>IF(A161="","",SUMIF('Ventas Salidas'!$C$5:$C$504,A161,'Ventas Salidas'!$E$5:$E$504))</f>
        <v/>
      </c>
      <c r="I161" s="27" t="str">
        <f t="shared" si="6"/>
        <v/>
      </c>
      <c r="J161" s="26" t="str">
        <f t="shared" si="7"/>
        <v/>
      </c>
      <c r="K161" s="26" t="str">
        <f t="shared" si="8"/>
        <v/>
      </c>
      <c r="L161" s="22"/>
      <c r="M161" s="22" t="str">
        <f>IF(A161="","",IF(OR(J161="Bajo stock",J161="Sin stock"),COUNTIFS($J$5:$J161,"Bajo stock")+COUNTIFS($J$5:$J161,"Sin stock"),""))</f>
        <v/>
      </c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21.75" customHeight="1" x14ac:dyDescent="0.25">
      <c r="A162" s="26" t="str">
        <f>IF(Productos!A162="","",Productos!A162)</f>
        <v/>
      </c>
      <c r="B162" s="26" t="str">
        <f>IF(Productos!A162="","",Productos!B162)</f>
        <v/>
      </c>
      <c r="C162" s="26" t="str">
        <f>IF(Productos!A162="","",Productos!C162)</f>
        <v/>
      </c>
      <c r="D162" s="26" t="str">
        <f>IF(Productos!A162="","",Productos!D162)</f>
        <v/>
      </c>
      <c r="E162" s="27" t="str">
        <f>IF(Productos!A162="","",Productos!E162)</f>
        <v/>
      </c>
      <c r="F162" s="27" t="str">
        <f>IF(Productos!A162="","",Productos!F162)</f>
        <v/>
      </c>
      <c r="G162" s="27" t="str">
        <f>IF(A162="","",SUMIF('Compras Entradas'!$C$5:$C$504,A162,'Compras Entradas'!$E$5:$E$504))</f>
        <v/>
      </c>
      <c r="H162" s="27" t="str">
        <f>IF(A162="","",SUMIF('Ventas Salidas'!$C$5:$C$504,A162,'Ventas Salidas'!$E$5:$E$504))</f>
        <v/>
      </c>
      <c r="I162" s="27" t="str">
        <f t="shared" si="6"/>
        <v/>
      </c>
      <c r="J162" s="26" t="str">
        <f t="shared" si="7"/>
        <v/>
      </c>
      <c r="K162" s="26" t="str">
        <f t="shared" si="8"/>
        <v/>
      </c>
      <c r="L162" s="22"/>
      <c r="M162" s="22" t="str">
        <f>IF(A162="","",IF(OR(J162="Bajo stock",J162="Sin stock"),COUNTIFS($J$5:$J162,"Bajo stock")+COUNTIFS($J$5:$J162,"Sin stock"),""))</f>
        <v/>
      </c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21.75" customHeight="1" x14ac:dyDescent="0.25">
      <c r="A163" s="26" t="str">
        <f>IF(Productos!A163="","",Productos!A163)</f>
        <v/>
      </c>
      <c r="B163" s="26" t="str">
        <f>IF(Productos!A163="","",Productos!B163)</f>
        <v/>
      </c>
      <c r="C163" s="26" t="str">
        <f>IF(Productos!A163="","",Productos!C163)</f>
        <v/>
      </c>
      <c r="D163" s="26" t="str">
        <f>IF(Productos!A163="","",Productos!D163)</f>
        <v/>
      </c>
      <c r="E163" s="27" t="str">
        <f>IF(Productos!A163="","",Productos!E163)</f>
        <v/>
      </c>
      <c r="F163" s="27" t="str">
        <f>IF(Productos!A163="","",Productos!F163)</f>
        <v/>
      </c>
      <c r="G163" s="27" t="str">
        <f>IF(A163="","",SUMIF('Compras Entradas'!$C$5:$C$504,A163,'Compras Entradas'!$E$5:$E$504))</f>
        <v/>
      </c>
      <c r="H163" s="27" t="str">
        <f>IF(A163="","",SUMIF('Ventas Salidas'!$C$5:$C$504,A163,'Ventas Salidas'!$E$5:$E$504))</f>
        <v/>
      </c>
      <c r="I163" s="27" t="str">
        <f t="shared" si="6"/>
        <v/>
      </c>
      <c r="J163" s="26" t="str">
        <f t="shared" si="7"/>
        <v/>
      </c>
      <c r="K163" s="26" t="str">
        <f t="shared" si="8"/>
        <v/>
      </c>
      <c r="L163" s="22"/>
      <c r="M163" s="22" t="str">
        <f>IF(A163="","",IF(OR(J163="Bajo stock",J163="Sin stock"),COUNTIFS($J$5:$J163,"Bajo stock")+COUNTIFS($J$5:$J163,"Sin stock"),""))</f>
        <v/>
      </c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21.75" customHeight="1" x14ac:dyDescent="0.25">
      <c r="A164" s="26" t="str">
        <f>IF(Productos!A164="","",Productos!A164)</f>
        <v/>
      </c>
      <c r="B164" s="26" t="str">
        <f>IF(Productos!A164="","",Productos!B164)</f>
        <v/>
      </c>
      <c r="C164" s="26" t="str">
        <f>IF(Productos!A164="","",Productos!C164)</f>
        <v/>
      </c>
      <c r="D164" s="26" t="str">
        <f>IF(Productos!A164="","",Productos!D164)</f>
        <v/>
      </c>
      <c r="E164" s="27" t="str">
        <f>IF(Productos!A164="","",Productos!E164)</f>
        <v/>
      </c>
      <c r="F164" s="27" t="str">
        <f>IF(Productos!A164="","",Productos!F164)</f>
        <v/>
      </c>
      <c r="G164" s="27" t="str">
        <f>IF(A164="","",SUMIF('Compras Entradas'!$C$5:$C$504,A164,'Compras Entradas'!$E$5:$E$504))</f>
        <v/>
      </c>
      <c r="H164" s="27" t="str">
        <f>IF(A164="","",SUMIF('Ventas Salidas'!$C$5:$C$504,A164,'Ventas Salidas'!$E$5:$E$504))</f>
        <v/>
      </c>
      <c r="I164" s="27" t="str">
        <f t="shared" si="6"/>
        <v/>
      </c>
      <c r="J164" s="26" t="str">
        <f t="shared" si="7"/>
        <v/>
      </c>
      <c r="K164" s="26" t="str">
        <f t="shared" si="8"/>
        <v/>
      </c>
      <c r="L164" s="22"/>
      <c r="M164" s="22" t="str">
        <f>IF(A164="","",IF(OR(J164="Bajo stock",J164="Sin stock"),COUNTIFS($J$5:$J164,"Bajo stock")+COUNTIFS($J$5:$J164,"Sin stock"),""))</f>
        <v/>
      </c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21.75" customHeight="1" x14ac:dyDescent="0.25">
      <c r="A165" s="26" t="str">
        <f>IF(Productos!A165="","",Productos!A165)</f>
        <v/>
      </c>
      <c r="B165" s="26" t="str">
        <f>IF(Productos!A165="","",Productos!B165)</f>
        <v/>
      </c>
      <c r="C165" s="26" t="str">
        <f>IF(Productos!A165="","",Productos!C165)</f>
        <v/>
      </c>
      <c r="D165" s="26" t="str">
        <f>IF(Productos!A165="","",Productos!D165)</f>
        <v/>
      </c>
      <c r="E165" s="27" t="str">
        <f>IF(Productos!A165="","",Productos!E165)</f>
        <v/>
      </c>
      <c r="F165" s="27" t="str">
        <f>IF(Productos!A165="","",Productos!F165)</f>
        <v/>
      </c>
      <c r="G165" s="27" t="str">
        <f>IF(A165="","",SUMIF('Compras Entradas'!$C$5:$C$504,A165,'Compras Entradas'!$E$5:$E$504))</f>
        <v/>
      </c>
      <c r="H165" s="27" t="str">
        <f>IF(A165="","",SUMIF('Ventas Salidas'!$C$5:$C$504,A165,'Ventas Salidas'!$E$5:$E$504))</f>
        <v/>
      </c>
      <c r="I165" s="27" t="str">
        <f t="shared" si="6"/>
        <v/>
      </c>
      <c r="J165" s="26" t="str">
        <f t="shared" si="7"/>
        <v/>
      </c>
      <c r="K165" s="26" t="str">
        <f t="shared" si="8"/>
        <v/>
      </c>
      <c r="L165" s="22"/>
      <c r="M165" s="22" t="str">
        <f>IF(A165="","",IF(OR(J165="Bajo stock",J165="Sin stock"),COUNTIFS($J$5:$J165,"Bajo stock")+COUNTIFS($J$5:$J165,"Sin stock"),""))</f>
        <v/>
      </c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21.75" customHeight="1" x14ac:dyDescent="0.25">
      <c r="A166" s="26" t="str">
        <f>IF(Productos!A166="","",Productos!A166)</f>
        <v/>
      </c>
      <c r="B166" s="26" t="str">
        <f>IF(Productos!A166="","",Productos!B166)</f>
        <v/>
      </c>
      <c r="C166" s="26" t="str">
        <f>IF(Productos!A166="","",Productos!C166)</f>
        <v/>
      </c>
      <c r="D166" s="26" t="str">
        <f>IF(Productos!A166="","",Productos!D166)</f>
        <v/>
      </c>
      <c r="E166" s="27" t="str">
        <f>IF(Productos!A166="","",Productos!E166)</f>
        <v/>
      </c>
      <c r="F166" s="27" t="str">
        <f>IF(Productos!A166="","",Productos!F166)</f>
        <v/>
      </c>
      <c r="G166" s="27" t="str">
        <f>IF(A166="","",SUMIF('Compras Entradas'!$C$5:$C$504,A166,'Compras Entradas'!$E$5:$E$504))</f>
        <v/>
      </c>
      <c r="H166" s="27" t="str">
        <f>IF(A166="","",SUMIF('Ventas Salidas'!$C$5:$C$504,A166,'Ventas Salidas'!$E$5:$E$504))</f>
        <v/>
      </c>
      <c r="I166" s="27" t="str">
        <f t="shared" si="6"/>
        <v/>
      </c>
      <c r="J166" s="26" t="str">
        <f t="shared" si="7"/>
        <v/>
      </c>
      <c r="K166" s="26" t="str">
        <f t="shared" si="8"/>
        <v/>
      </c>
      <c r="L166" s="22"/>
      <c r="M166" s="22" t="str">
        <f>IF(A166="","",IF(OR(J166="Bajo stock",J166="Sin stock"),COUNTIFS($J$5:$J166,"Bajo stock")+COUNTIFS($J$5:$J166,"Sin stock"),""))</f>
        <v/>
      </c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21.75" customHeight="1" x14ac:dyDescent="0.25">
      <c r="A167" s="26" t="str">
        <f>IF(Productos!A167="","",Productos!A167)</f>
        <v/>
      </c>
      <c r="B167" s="26" t="str">
        <f>IF(Productos!A167="","",Productos!B167)</f>
        <v/>
      </c>
      <c r="C167" s="26" t="str">
        <f>IF(Productos!A167="","",Productos!C167)</f>
        <v/>
      </c>
      <c r="D167" s="26" t="str">
        <f>IF(Productos!A167="","",Productos!D167)</f>
        <v/>
      </c>
      <c r="E167" s="27" t="str">
        <f>IF(Productos!A167="","",Productos!E167)</f>
        <v/>
      </c>
      <c r="F167" s="27" t="str">
        <f>IF(Productos!A167="","",Productos!F167)</f>
        <v/>
      </c>
      <c r="G167" s="27" t="str">
        <f>IF(A167="","",SUMIF('Compras Entradas'!$C$5:$C$504,A167,'Compras Entradas'!$E$5:$E$504))</f>
        <v/>
      </c>
      <c r="H167" s="27" t="str">
        <f>IF(A167="","",SUMIF('Ventas Salidas'!$C$5:$C$504,A167,'Ventas Salidas'!$E$5:$E$504))</f>
        <v/>
      </c>
      <c r="I167" s="27" t="str">
        <f t="shared" si="6"/>
        <v/>
      </c>
      <c r="J167" s="26" t="str">
        <f t="shared" si="7"/>
        <v/>
      </c>
      <c r="K167" s="26" t="str">
        <f t="shared" si="8"/>
        <v/>
      </c>
      <c r="L167" s="22"/>
      <c r="M167" s="22" t="str">
        <f>IF(A167="","",IF(OR(J167="Bajo stock",J167="Sin stock"),COUNTIFS($J$5:$J167,"Bajo stock")+COUNTIFS($J$5:$J167,"Sin stock"),""))</f>
        <v/>
      </c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21.75" customHeight="1" x14ac:dyDescent="0.25">
      <c r="A168" s="26" t="str">
        <f>IF(Productos!A168="","",Productos!A168)</f>
        <v/>
      </c>
      <c r="B168" s="26" t="str">
        <f>IF(Productos!A168="","",Productos!B168)</f>
        <v/>
      </c>
      <c r="C168" s="26" t="str">
        <f>IF(Productos!A168="","",Productos!C168)</f>
        <v/>
      </c>
      <c r="D168" s="26" t="str">
        <f>IF(Productos!A168="","",Productos!D168)</f>
        <v/>
      </c>
      <c r="E168" s="27" t="str">
        <f>IF(Productos!A168="","",Productos!E168)</f>
        <v/>
      </c>
      <c r="F168" s="27" t="str">
        <f>IF(Productos!A168="","",Productos!F168)</f>
        <v/>
      </c>
      <c r="G168" s="27" t="str">
        <f>IF(A168="","",SUMIF('Compras Entradas'!$C$5:$C$504,A168,'Compras Entradas'!$E$5:$E$504))</f>
        <v/>
      </c>
      <c r="H168" s="27" t="str">
        <f>IF(A168="","",SUMIF('Ventas Salidas'!$C$5:$C$504,A168,'Ventas Salidas'!$E$5:$E$504))</f>
        <v/>
      </c>
      <c r="I168" s="27" t="str">
        <f t="shared" si="6"/>
        <v/>
      </c>
      <c r="J168" s="26" t="str">
        <f t="shared" si="7"/>
        <v/>
      </c>
      <c r="K168" s="26" t="str">
        <f t="shared" si="8"/>
        <v/>
      </c>
      <c r="L168" s="22"/>
      <c r="M168" s="22" t="str">
        <f>IF(A168="","",IF(OR(J168="Bajo stock",J168="Sin stock"),COUNTIFS($J$5:$J168,"Bajo stock")+COUNTIFS($J$5:$J168,"Sin stock"),""))</f>
        <v/>
      </c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21.75" customHeight="1" x14ac:dyDescent="0.25">
      <c r="A169" s="26" t="str">
        <f>IF(Productos!A169="","",Productos!A169)</f>
        <v/>
      </c>
      <c r="B169" s="26" t="str">
        <f>IF(Productos!A169="","",Productos!B169)</f>
        <v/>
      </c>
      <c r="C169" s="26" t="str">
        <f>IF(Productos!A169="","",Productos!C169)</f>
        <v/>
      </c>
      <c r="D169" s="26" t="str">
        <f>IF(Productos!A169="","",Productos!D169)</f>
        <v/>
      </c>
      <c r="E169" s="27" t="str">
        <f>IF(Productos!A169="","",Productos!E169)</f>
        <v/>
      </c>
      <c r="F169" s="27" t="str">
        <f>IF(Productos!A169="","",Productos!F169)</f>
        <v/>
      </c>
      <c r="G169" s="27" t="str">
        <f>IF(A169="","",SUMIF('Compras Entradas'!$C$5:$C$504,A169,'Compras Entradas'!$E$5:$E$504))</f>
        <v/>
      </c>
      <c r="H169" s="27" t="str">
        <f>IF(A169="","",SUMIF('Ventas Salidas'!$C$5:$C$504,A169,'Ventas Salidas'!$E$5:$E$504))</f>
        <v/>
      </c>
      <c r="I169" s="27" t="str">
        <f t="shared" si="6"/>
        <v/>
      </c>
      <c r="J169" s="26" t="str">
        <f t="shared" si="7"/>
        <v/>
      </c>
      <c r="K169" s="26" t="str">
        <f t="shared" si="8"/>
        <v/>
      </c>
      <c r="L169" s="22"/>
      <c r="M169" s="22" t="str">
        <f>IF(A169="","",IF(OR(J169="Bajo stock",J169="Sin stock"),COUNTIFS($J$5:$J169,"Bajo stock")+COUNTIFS($J$5:$J169,"Sin stock"),""))</f>
        <v/>
      </c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21.75" customHeight="1" x14ac:dyDescent="0.25">
      <c r="A170" s="26" t="str">
        <f>IF(Productos!A170="","",Productos!A170)</f>
        <v/>
      </c>
      <c r="B170" s="26" t="str">
        <f>IF(Productos!A170="","",Productos!B170)</f>
        <v/>
      </c>
      <c r="C170" s="26" t="str">
        <f>IF(Productos!A170="","",Productos!C170)</f>
        <v/>
      </c>
      <c r="D170" s="26" t="str">
        <f>IF(Productos!A170="","",Productos!D170)</f>
        <v/>
      </c>
      <c r="E170" s="27" t="str">
        <f>IF(Productos!A170="","",Productos!E170)</f>
        <v/>
      </c>
      <c r="F170" s="27" t="str">
        <f>IF(Productos!A170="","",Productos!F170)</f>
        <v/>
      </c>
      <c r="G170" s="27" t="str">
        <f>IF(A170="","",SUMIF('Compras Entradas'!$C$5:$C$504,A170,'Compras Entradas'!$E$5:$E$504))</f>
        <v/>
      </c>
      <c r="H170" s="27" t="str">
        <f>IF(A170="","",SUMIF('Ventas Salidas'!$C$5:$C$504,A170,'Ventas Salidas'!$E$5:$E$504))</f>
        <v/>
      </c>
      <c r="I170" s="27" t="str">
        <f t="shared" si="6"/>
        <v/>
      </c>
      <c r="J170" s="26" t="str">
        <f t="shared" si="7"/>
        <v/>
      </c>
      <c r="K170" s="26" t="str">
        <f t="shared" si="8"/>
        <v/>
      </c>
      <c r="L170" s="22"/>
      <c r="M170" s="22" t="str">
        <f>IF(A170="","",IF(OR(J170="Bajo stock",J170="Sin stock"),COUNTIFS($J$5:$J170,"Bajo stock")+COUNTIFS($J$5:$J170,"Sin stock"),""))</f>
        <v/>
      </c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21.75" customHeight="1" x14ac:dyDescent="0.25">
      <c r="A171" s="26" t="str">
        <f>IF(Productos!A171="","",Productos!A171)</f>
        <v/>
      </c>
      <c r="B171" s="26" t="str">
        <f>IF(Productos!A171="","",Productos!B171)</f>
        <v/>
      </c>
      <c r="C171" s="26" t="str">
        <f>IF(Productos!A171="","",Productos!C171)</f>
        <v/>
      </c>
      <c r="D171" s="26" t="str">
        <f>IF(Productos!A171="","",Productos!D171)</f>
        <v/>
      </c>
      <c r="E171" s="27" t="str">
        <f>IF(Productos!A171="","",Productos!E171)</f>
        <v/>
      </c>
      <c r="F171" s="27" t="str">
        <f>IF(Productos!A171="","",Productos!F171)</f>
        <v/>
      </c>
      <c r="G171" s="27" t="str">
        <f>IF(A171="","",SUMIF('Compras Entradas'!$C$5:$C$504,A171,'Compras Entradas'!$E$5:$E$504))</f>
        <v/>
      </c>
      <c r="H171" s="27" t="str">
        <f>IF(A171="","",SUMIF('Ventas Salidas'!$C$5:$C$504,A171,'Ventas Salidas'!$E$5:$E$504))</f>
        <v/>
      </c>
      <c r="I171" s="27" t="str">
        <f t="shared" si="6"/>
        <v/>
      </c>
      <c r="J171" s="26" t="str">
        <f t="shared" si="7"/>
        <v/>
      </c>
      <c r="K171" s="26" t="str">
        <f t="shared" si="8"/>
        <v/>
      </c>
      <c r="L171" s="22"/>
      <c r="M171" s="22" t="str">
        <f>IF(A171="","",IF(OR(J171="Bajo stock",J171="Sin stock"),COUNTIFS($J$5:$J171,"Bajo stock")+COUNTIFS($J$5:$J171,"Sin stock"),""))</f>
        <v/>
      </c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21.75" customHeight="1" x14ac:dyDescent="0.25">
      <c r="A172" s="26" t="str">
        <f>IF(Productos!A172="","",Productos!A172)</f>
        <v/>
      </c>
      <c r="B172" s="26" t="str">
        <f>IF(Productos!A172="","",Productos!B172)</f>
        <v/>
      </c>
      <c r="C172" s="26" t="str">
        <f>IF(Productos!A172="","",Productos!C172)</f>
        <v/>
      </c>
      <c r="D172" s="26" t="str">
        <f>IF(Productos!A172="","",Productos!D172)</f>
        <v/>
      </c>
      <c r="E172" s="27" t="str">
        <f>IF(Productos!A172="","",Productos!E172)</f>
        <v/>
      </c>
      <c r="F172" s="27" t="str">
        <f>IF(Productos!A172="","",Productos!F172)</f>
        <v/>
      </c>
      <c r="G172" s="27" t="str">
        <f>IF(A172="","",SUMIF('Compras Entradas'!$C$5:$C$504,A172,'Compras Entradas'!$E$5:$E$504))</f>
        <v/>
      </c>
      <c r="H172" s="27" t="str">
        <f>IF(A172="","",SUMIF('Ventas Salidas'!$C$5:$C$504,A172,'Ventas Salidas'!$E$5:$E$504))</f>
        <v/>
      </c>
      <c r="I172" s="27" t="str">
        <f t="shared" si="6"/>
        <v/>
      </c>
      <c r="J172" s="26" t="str">
        <f t="shared" si="7"/>
        <v/>
      </c>
      <c r="K172" s="26" t="str">
        <f t="shared" si="8"/>
        <v/>
      </c>
      <c r="L172" s="22"/>
      <c r="M172" s="22" t="str">
        <f>IF(A172="","",IF(OR(J172="Bajo stock",J172="Sin stock"),COUNTIFS($J$5:$J172,"Bajo stock")+COUNTIFS($J$5:$J172,"Sin stock"),""))</f>
        <v/>
      </c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21.75" customHeight="1" x14ac:dyDescent="0.25">
      <c r="A173" s="26" t="str">
        <f>IF(Productos!A173="","",Productos!A173)</f>
        <v/>
      </c>
      <c r="B173" s="26" t="str">
        <f>IF(Productos!A173="","",Productos!B173)</f>
        <v/>
      </c>
      <c r="C173" s="26" t="str">
        <f>IF(Productos!A173="","",Productos!C173)</f>
        <v/>
      </c>
      <c r="D173" s="26" t="str">
        <f>IF(Productos!A173="","",Productos!D173)</f>
        <v/>
      </c>
      <c r="E173" s="27" t="str">
        <f>IF(Productos!A173="","",Productos!E173)</f>
        <v/>
      </c>
      <c r="F173" s="27" t="str">
        <f>IF(Productos!A173="","",Productos!F173)</f>
        <v/>
      </c>
      <c r="G173" s="27" t="str">
        <f>IF(A173="","",SUMIF('Compras Entradas'!$C$5:$C$504,A173,'Compras Entradas'!$E$5:$E$504))</f>
        <v/>
      </c>
      <c r="H173" s="27" t="str">
        <f>IF(A173="","",SUMIF('Ventas Salidas'!$C$5:$C$504,A173,'Ventas Salidas'!$E$5:$E$504))</f>
        <v/>
      </c>
      <c r="I173" s="27" t="str">
        <f t="shared" si="6"/>
        <v/>
      </c>
      <c r="J173" s="26" t="str">
        <f t="shared" si="7"/>
        <v/>
      </c>
      <c r="K173" s="26" t="str">
        <f t="shared" si="8"/>
        <v/>
      </c>
      <c r="L173" s="22"/>
      <c r="M173" s="22" t="str">
        <f>IF(A173="","",IF(OR(J173="Bajo stock",J173="Sin stock"),COUNTIFS($J$5:$J173,"Bajo stock")+COUNTIFS($J$5:$J173,"Sin stock"),""))</f>
        <v/>
      </c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21.75" customHeight="1" x14ac:dyDescent="0.25">
      <c r="A174" s="26" t="str">
        <f>IF(Productos!A174="","",Productos!A174)</f>
        <v/>
      </c>
      <c r="B174" s="26" t="str">
        <f>IF(Productos!A174="","",Productos!B174)</f>
        <v/>
      </c>
      <c r="C174" s="26" t="str">
        <f>IF(Productos!A174="","",Productos!C174)</f>
        <v/>
      </c>
      <c r="D174" s="26" t="str">
        <f>IF(Productos!A174="","",Productos!D174)</f>
        <v/>
      </c>
      <c r="E174" s="27" t="str">
        <f>IF(Productos!A174="","",Productos!E174)</f>
        <v/>
      </c>
      <c r="F174" s="27" t="str">
        <f>IF(Productos!A174="","",Productos!F174)</f>
        <v/>
      </c>
      <c r="G174" s="27" t="str">
        <f>IF(A174="","",SUMIF('Compras Entradas'!$C$5:$C$504,A174,'Compras Entradas'!$E$5:$E$504))</f>
        <v/>
      </c>
      <c r="H174" s="27" t="str">
        <f>IF(A174="","",SUMIF('Ventas Salidas'!$C$5:$C$504,A174,'Ventas Salidas'!$E$5:$E$504))</f>
        <v/>
      </c>
      <c r="I174" s="27" t="str">
        <f t="shared" si="6"/>
        <v/>
      </c>
      <c r="J174" s="26" t="str">
        <f t="shared" si="7"/>
        <v/>
      </c>
      <c r="K174" s="26" t="str">
        <f t="shared" si="8"/>
        <v/>
      </c>
      <c r="L174" s="22"/>
      <c r="M174" s="22" t="str">
        <f>IF(A174="","",IF(OR(J174="Bajo stock",J174="Sin stock"),COUNTIFS($J$5:$J174,"Bajo stock")+COUNTIFS($J$5:$J174,"Sin stock"),""))</f>
        <v/>
      </c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21.75" customHeight="1" x14ac:dyDescent="0.25">
      <c r="A175" s="26" t="str">
        <f>IF(Productos!A175="","",Productos!A175)</f>
        <v/>
      </c>
      <c r="B175" s="26" t="str">
        <f>IF(Productos!A175="","",Productos!B175)</f>
        <v/>
      </c>
      <c r="C175" s="26" t="str">
        <f>IF(Productos!A175="","",Productos!C175)</f>
        <v/>
      </c>
      <c r="D175" s="26" t="str">
        <f>IF(Productos!A175="","",Productos!D175)</f>
        <v/>
      </c>
      <c r="E175" s="27" t="str">
        <f>IF(Productos!A175="","",Productos!E175)</f>
        <v/>
      </c>
      <c r="F175" s="27" t="str">
        <f>IF(Productos!A175="","",Productos!F175)</f>
        <v/>
      </c>
      <c r="G175" s="27" t="str">
        <f>IF(A175="","",SUMIF('Compras Entradas'!$C$5:$C$504,A175,'Compras Entradas'!$E$5:$E$504))</f>
        <v/>
      </c>
      <c r="H175" s="27" t="str">
        <f>IF(A175="","",SUMIF('Ventas Salidas'!$C$5:$C$504,A175,'Ventas Salidas'!$E$5:$E$504))</f>
        <v/>
      </c>
      <c r="I175" s="27" t="str">
        <f t="shared" si="6"/>
        <v/>
      </c>
      <c r="J175" s="26" t="str">
        <f t="shared" si="7"/>
        <v/>
      </c>
      <c r="K175" s="26" t="str">
        <f t="shared" si="8"/>
        <v/>
      </c>
      <c r="L175" s="22"/>
      <c r="M175" s="22" t="str">
        <f>IF(A175="","",IF(OR(J175="Bajo stock",J175="Sin stock"),COUNTIFS($J$5:$J175,"Bajo stock")+COUNTIFS($J$5:$J175,"Sin stock"),""))</f>
        <v/>
      </c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21.75" customHeight="1" x14ac:dyDescent="0.25">
      <c r="A176" s="26" t="str">
        <f>IF(Productos!A176="","",Productos!A176)</f>
        <v/>
      </c>
      <c r="B176" s="26" t="str">
        <f>IF(Productos!A176="","",Productos!B176)</f>
        <v/>
      </c>
      <c r="C176" s="26" t="str">
        <f>IF(Productos!A176="","",Productos!C176)</f>
        <v/>
      </c>
      <c r="D176" s="26" t="str">
        <f>IF(Productos!A176="","",Productos!D176)</f>
        <v/>
      </c>
      <c r="E176" s="27" t="str">
        <f>IF(Productos!A176="","",Productos!E176)</f>
        <v/>
      </c>
      <c r="F176" s="27" t="str">
        <f>IF(Productos!A176="","",Productos!F176)</f>
        <v/>
      </c>
      <c r="G176" s="27" t="str">
        <f>IF(A176="","",SUMIF('Compras Entradas'!$C$5:$C$504,A176,'Compras Entradas'!$E$5:$E$504))</f>
        <v/>
      </c>
      <c r="H176" s="27" t="str">
        <f>IF(A176="","",SUMIF('Ventas Salidas'!$C$5:$C$504,A176,'Ventas Salidas'!$E$5:$E$504))</f>
        <v/>
      </c>
      <c r="I176" s="27" t="str">
        <f t="shared" si="6"/>
        <v/>
      </c>
      <c r="J176" s="26" t="str">
        <f t="shared" si="7"/>
        <v/>
      </c>
      <c r="K176" s="26" t="str">
        <f t="shared" si="8"/>
        <v/>
      </c>
      <c r="L176" s="22"/>
      <c r="M176" s="22" t="str">
        <f>IF(A176="","",IF(OR(J176="Bajo stock",J176="Sin stock"),COUNTIFS($J$5:$J176,"Bajo stock")+COUNTIFS($J$5:$J176,"Sin stock"),""))</f>
        <v/>
      </c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21.75" customHeight="1" x14ac:dyDescent="0.25">
      <c r="A177" s="26" t="str">
        <f>IF(Productos!A177="","",Productos!A177)</f>
        <v/>
      </c>
      <c r="B177" s="26" t="str">
        <f>IF(Productos!A177="","",Productos!B177)</f>
        <v/>
      </c>
      <c r="C177" s="26" t="str">
        <f>IF(Productos!A177="","",Productos!C177)</f>
        <v/>
      </c>
      <c r="D177" s="26" t="str">
        <f>IF(Productos!A177="","",Productos!D177)</f>
        <v/>
      </c>
      <c r="E177" s="27" t="str">
        <f>IF(Productos!A177="","",Productos!E177)</f>
        <v/>
      </c>
      <c r="F177" s="27" t="str">
        <f>IF(Productos!A177="","",Productos!F177)</f>
        <v/>
      </c>
      <c r="G177" s="27" t="str">
        <f>IF(A177="","",SUMIF('Compras Entradas'!$C$5:$C$504,A177,'Compras Entradas'!$E$5:$E$504))</f>
        <v/>
      </c>
      <c r="H177" s="27" t="str">
        <f>IF(A177="","",SUMIF('Ventas Salidas'!$C$5:$C$504,A177,'Ventas Salidas'!$E$5:$E$504))</f>
        <v/>
      </c>
      <c r="I177" s="27" t="str">
        <f t="shared" si="6"/>
        <v/>
      </c>
      <c r="J177" s="26" t="str">
        <f t="shared" si="7"/>
        <v/>
      </c>
      <c r="K177" s="26" t="str">
        <f t="shared" si="8"/>
        <v/>
      </c>
      <c r="L177" s="22"/>
      <c r="M177" s="22" t="str">
        <f>IF(A177="","",IF(OR(J177="Bajo stock",J177="Sin stock"),COUNTIFS($J$5:$J177,"Bajo stock")+COUNTIFS($J$5:$J177,"Sin stock"),""))</f>
        <v/>
      </c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21.75" customHeight="1" x14ac:dyDescent="0.25">
      <c r="A178" s="26" t="str">
        <f>IF(Productos!A178="","",Productos!A178)</f>
        <v/>
      </c>
      <c r="B178" s="26" t="str">
        <f>IF(Productos!A178="","",Productos!B178)</f>
        <v/>
      </c>
      <c r="C178" s="26" t="str">
        <f>IF(Productos!A178="","",Productos!C178)</f>
        <v/>
      </c>
      <c r="D178" s="26" t="str">
        <f>IF(Productos!A178="","",Productos!D178)</f>
        <v/>
      </c>
      <c r="E178" s="27" t="str">
        <f>IF(Productos!A178="","",Productos!E178)</f>
        <v/>
      </c>
      <c r="F178" s="27" t="str">
        <f>IF(Productos!A178="","",Productos!F178)</f>
        <v/>
      </c>
      <c r="G178" s="27" t="str">
        <f>IF(A178="","",SUMIF('Compras Entradas'!$C$5:$C$504,A178,'Compras Entradas'!$E$5:$E$504))</f>
        <v/>
      </c>
      <c r="H178" s="27" t="str">
        <f>IF(A178="","",SUMIF('Ventas Salidas'!$C$5:$C$504,A178,'Ventas Salidas'!$E$5:$E$504))</f>
        <v/>
      </c>
      <c r="I178" s="27" t="str">
        <f t="shared" si="6"/>
        <v/>
      </c>
      <c r="J178" s="26" t="str">
        <f t="shared" si="7"/>
        <v/>
      </c>
      <c r="K178" s="26" t="str">
        <f t="shared" si="8"/>
        <v/>
      </c>
      <c r="L178" s="22"/>
      <c r="M178" s="22" t="str">
        <f>IF(A178="","",IF(OR(J178="Bajo stock",J178="Sin stock"),COUNTIFS($J$5:$J178,"Bajo stock")+COUNTIFS($J$5:$J178,"Sin stock"),""))</f>
        <v/>
      </c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21.75" customHeight="1" x14ac:dyDescent="0.25">
      <c r="A179" s="26" t="str">
        <f>IF(Productos!A179="","",Productos!A179)</f>
        <v/>
      </c>
      <c r="B179" s="26" t="str">
        <f>IF(Productos!A179="","",Productos!B179)</f>
        <v/>
      </c>
      <c r="C179" s="26" t="str">
        <f>IF(Productos!A179="","",Productos!C179)</f>
        <v/>
      </c>
      <c r="D179" s="26" t="str">
        <f>IF(Productos!A179="","",Productos!D179)</f>
        <v/>
      </c>
      <c r="E179" s="27" t="str">
        <f>IF(Productos!A179="","",Productos!E179)</f>
        <v/>
      </c>
      <c r="F179" s="27" t="str">
        <f>IF(Productos!A179="","",Productos!F179)</f>
        <v/>
      </c>
      <c r="G179" s="27" t="str">
        <f>IF(A179="","",SUMIF('Compras Entradas'!$C$5:$C$504,A179,'Compras Entradas'!$E$5:$E$504))</f>
        <v/>
      </c>
      <c r="H179" s="27" t="str">
        <f>IF(A179="","",SUMIF('Ventas Salidas'!$C$5:$C$504,A179,'Ventas Salidas'!$E$5:$E$504))</f>
        <v/>
      </c>
      <c r="I179" s="27" t="str">
        <f t="shared" si="6"/>
        <v/>
      </c>
      <c r="J179" s="26" t="str">
        <f t="shared" si="7"/>
        <v/>
      </c>
      <c r="K179" s="26" t="str">
        <f t="shared" si="8"/>
        <v/>
      </c>
      <c r="L179" s="22"/>
      <c r="M179" s="22" t="str">
        <f>IF(A179="","",IF(OR(J179="Bajo stock",J179="Sin stock"),COUNTIFS($J$5:$J179,"Bajo stock")+COUNTIFS($J$5:$J179,"Sin stock"),""))</f>
        <v/>
      </c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21.75" customHeight="1" x14ac:dyDescent="0.25">
      <c r="A180" s="26" t="str">
        <f>IF(Productos!A180="","",Productos!A180)</f>
        <v/>
      </c>
      <c r="B180" s="26" t="str">
        <f>IF(Productos!A180="","",Productos!B180)</f>
        <v/>
      </c>
      <c r="C180" s="26" t="str">
        <f>IF(Productos!A180="","",Productos!C180)</f>
        <v/>
      </c>
      <c r="D180" s="26" t="str">
        <f>IF(Productos!A180="","",Productos!D180)</f>
        <v/>
      </c>
      <c r="E180" s="27" t="str">
        <f>IF(Productos!A180="","",Productos!E180)</f>
        <v/>
      </c>
      <c r="F180" s="27" t="str">
        <f>IF(Productos!A180="","",Productos!F180)</f>
        <v/>
      </c>
      <c r="G180" s="27" t="str">
        <f>IF(A180="","",SUMIF('Compras Entradas'!$C$5:$C$504,A180,'Compras Entradas'!$E$5:$E$504))</f>
        <v/>
      </c>
      <c r="H180" s="27" t="str">
        <f>IF(A180="","",SUMIF('Ventas Salidas'!$C$5:$C$504,A180,'Ventas Salidas'!$E$5:$E$504))</f>
        <v/>
      </c>
      <c r="I180" s="27" t="str">
        <f t="shared" si="6"/>
        <v/>
      </c>
      <c r="J180" s="26" t="str">
        <f t="shared" si="7"/>
        <v/>
      </c>
      <c r="K180" s="26" t="str">
        <f t="shared" si="8"/>
        <v/>
      </c>
      <c r="L180" s="22"/>
      <c r="M180" s="22" t="str">
        <f>IF(A180="","",IF(OR(J180="Bajo stock",J180="Sin stock"),COUNTIFS($J$5:$J180,"Bajo stock")+COUNTIFS($J$5:$J180,"Sin stock"),""))</f>
        <v/>
      </c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21.75" customHeight="1" x14ac:dyDescent="0.25">
      <c r="A181" s="26" t="str">
        <f>IF(Productos!A181="","",Productos!A181)</f>
        <v/>
      </c>
      <c r="B181" s="26" t="str">
        <f>IF(Productos!A181="","",Productos!B181)</f>
        <v/>
      </c>
      <c r="C181" s="26" t="str">
        <f>IF(Productos!A181="","",Productos!C181)</f>
        <v/>
      </c>
      <c r="D181" s="26" t="str">
        <f>IF(Productos!A181="","",Productos!D181)</f>
        <v/>
      </c>
      <c r="E181" s="27" t="str">
        <f>IF(Productos!A181="","",Productos!E181)</f>
        <v/>
      </c>
      <c r="F181" s="27" t="str">
        <f>IF(Productos!A181="","",Productos!F181)</f>
        <v/>
      </c>
      <c r="G181" s="27" t="str">
        <f>IF(A181="","",SUMIF('Compras Entradas'!$C$5:$C$504,A181,'Compras Entradas'!$E$5:$E$504))</f>
        <v/>
      </c>
      <c r="H181" s="27" t="str">
        <f>IF(A181="","",SUMIF('Ventas Salidas'!$C$5:$C$504,A181,'Ventas Salidas'!$E$5:$E$504))</f>
        <v/>
      </c>
      <c r="I181" s="27" t="str">
        <f t="shared" si="6"/>
        <v/>
      </c>
      <c r="J181" s="26" t="str">
        <f t="shared" si="7"/>
        <v/>
      </c>
      <c r="K181" s="26" t="str">
        <f t="shared" si="8"/>
        <v/>
      </c>
      <c r="L181" s="22"/>
      <c r="M181" s="22" t="str">
        <f>IF(A181="","",IF(OR(J181="Bajo stock",J181="Sin stock"),COUNTIFS($J$5:$J181,"Bajo stock")+COUNTIFS($J$5:$J181,"Sin stock"),""))</f>
        <v/>
      </c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21.75" customHeight="1" x14ac:dyDescent="0.25">
      <c r="A182" s="26" t="str">
        <f>IF(Productos!A182="","",Productos!A182)</f>
        <v/>
      </c>
      <c r="B182" s="26" t="str">
        <f>IF(Productos!A182="","",Productos!B182)</f>
        <v/>
      </c>
      <c r="C182" s="26" t="str">
        <f>IF(Productos!A182="","",Productos!C182)</f>
        <v/>
      </c>
      <c r="D182" s="26" t="str">
        <f>IF(Productos!A182="","",Productos!D182)</f>
        <v/>
      </c>
      <c r="E182" s="27" t="str">
        <f>IF(Productos!A182="","",Productos!E182)</f>
        <v/>
      </c>
      <c r="F182" s="27" t="str">
        <f>IF(Productos!A182="","",Productos!F182)</f>
        <v/>
      </c>
      <c r="G182" s="27" t="str">
        <f>IF(A182="","",SUMIF('Compras Entradas'!$C$5:$C$504,A182,'Compras Entradas'!$E$5:$E$504))</f>
        <v/>
      </c>
      <c r="H182" s="27" t="str">
        <f>IF(A182="","",SUMIF('Ventas Salidas'!$C$5:$C$504,A182,'Ventas Salidas'!$E$5:$E$504))</f>
        <v/>
      </c>
      <c r="I182" s="27" t="str">
        <f t="shared" si="6"/>
        <v/>
      </c>
      <c r="J182" s="26" t="str">
        <f t="shared" si="7"/>
        <v/>
      </c>
      <c r="K182" s="26" t="str">
        <f t="shared" si="8"/>
        <v/>
      </c>
      <c r="L182" s="22"/>
      <c r="M182" s="22" t="str">
        <f>IF(A182="","",IF(OR(J182="Bajo stock",J182="Sin stock"),COUNTIFS($J$5:$J182,"Bajo stock")+COUNTIFS($J$5:$J182,"Sin stock"),""))</f>
        <v/>
      </c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21.75" customHeight="1" x14ac:dyDescent="0.25">
      <c r="A183" s="26" t="str">
        <f>IF(Productos!A183="","",Productos!A183)</f>
        <v/>
      </c>
      <c r="B183" s="26" t="str">
        <f>IF(Productos!A183="","",Productos!B183)</f>
        <v/>
      </c>
      <c r="C183" s="26" t="str">
        <f>IF(Productos!A183="","",Productos!C183)</f>
        <v/>
      </c>
      <c r="D183" s="26" t="str">
        <f>IF(Productos!A183="","",Productos!D183)</f>
        <v/>
      </c>
      <c r="E183" s="27" t="str">
        <f>IF(Productos!A183="","",Productos!E183)</f>
        <v/>
      </c>
      <c r="F183" s="27" t="str">
        <f>IF(Productos!A183="","",Productos!F183)</f>
        <v/>
      </c>
      <c r="G183" s="27" t="str">
        <f>IF(A183="","",SUMIF('Compras Entradas'!$C$5:$C$504,A183,'Compras Entradas'!$E$5:$E$504))</f>
        <v/>
      </c>
      <c r="H183" s="27" t="str">
        <f>IF(A183="","",SUMIF('Ventas Salidas'!$C$5:$C$504,A183,'Ventas Salidas'!$E$5:$E$504))</f>
        <v/>
      </c>
      <c r="I183" s="27" t="str">
        <f t="shared" si="6"/>
        <v/>
      </c>
      <c r="J183" s="26" t="str">
        <f t="shared" si="7"/>
        <v/>
      </c>
      <c r="K183" s="26" t="str">
        <f t="shared" si="8"/>
        <v/>
      </c>
      <c r="L183" s="22"/>
      <c r="M183" s="22" t="str">
        <f>IF(A183="","",IF(OR(J183="Bajo stock",J183="Sin stock"),COUNTIFS($J$5:$J183,"Bajo stock")+COUNTIFS($J$5:$J183,"Sin stock"),""))</f>
        <v/>
      </c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21.75" customHeight="1" x14ac:dyDescent="0.25">
      <c r="A184" s="26" t="str">
        <f>IF(Productos!A184="","",Productos!A184)</f>
        <v/>
      </c>
      <c r="B184" s="26" t="str">
        <f>IF(Productos!A184="","",Productos!B184)</f>
        <v/>
      </c>
      <c r="C184" s="26" t="str">
        <f>IF(Productos!A184="","",Productos!C184)</f>
        <v/>
      </c>
      <c r="D184" s="26" t="str">
        <f>IF(Productos!A184="","",Productos!D184)</f>
        <v/>
      </c>
      <c r="E184" s="27" t="str">
        <f>IF(Productos!A184="","",Productos!E184)</f>
        <v/>
      </c>
      <c r="F184" s="27" t="str">
        <f>IF(Productos!A184="","",Productos!F184)</f>
        <v/>
      </c>
      <c r="G184" s="27" t="str">
        <f>IF(A184="","",SUMIF('Compras Entradas'!$C$5:$C$504,A184,'Compras Entradas'!$E$5:$E$504))</f>
        <v/>
      </c>
      <c r="H184" s="27" t="str">
        <f>IF(A184="","",SUMIF('Ventas Salidas'!$C$5:$C$504,A184,'Ventas Salidas'!$E$5:$E$504))</f>
        <v/>
      </c>
      <c r="I184" s="27" t="str">
        <f t="shared" si="6"/>
        <v/>
      </c>
      <c r="J184" s="26" t="str">
        <f t="shared" si="7"/>
        <v/>
      </c>
      <c r="K184" s="26" t="str">
        <f t="shared" si="8"/>
        <v/>
      </c>
      <c r="L184" s="22"/>
      <c r="M184" s="22" t="str">
        <f>IF(A184="","",IF(OR(J184="Bajo stock",J184="Sin stock"),COUNTIFS($J$5:$J184,"Bajo stock")+COUNTIFS($J$5:$J184,"Sin stock"),""))</f>
        <v/>
      </c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21.75" customHeight="1" x14ac:dyDescent="0.25">
      <c r="A185" s="26" t="str">
        <f>IF(Productos!A185="","",Productos!A185)</f>
        <v/>
      </c>
      <c r="B185" s="26" t="str">
        <f>IF(Productos!A185="","",Productos!B185)</f>
        <v/>
      </c>
      <c r="C185" s="26" t="str">
        <f>IF(Productos!A185="","",Productos!C185)</f>
        <v/>
      </c>
      <c r="D185" s="26" t="str">
        <f>IF(Productos!A185="","",Productos!D185)</f>
        <v/>
      </c>
      <c r="E185" s="27" t="str">
        <f>IF(Productos!A185="","",Productos!E185)</f>
        <v/>
      </c>
      <c r="F185" s="27" t="str">
        <f>IF(Productos!A185="","",Productos!F185)</f>
        <v/>
      </c>
      <c r="G185" s="27" t="str">
        <f>IF(A185="","",SUMIF('Compras Entradas'!$C$5:$C$504,A185,'Compras Entradas'!$E$5:$E$504))</f>
        <v/>
      </c>
      <c r="H185" s="27" t="str">
        <f>IF(A185="","",SUMIF('Ventas Salidas'!$C$5:$C$504,A185,'Ventas Salidas'!$E$5:$E$504))</f>
        <v/>
      </c>
      <c r="I185" s="27" t="str">
        <f t="shared" si="6"/>
        <v/>
      </c>
      <c r="J185" s="26" t="str">
        <f t="shared" si="7"/>
        <v/>
      </c>
      <c r="K185" s="26" t="str">
        <f t="shared" si="8"/>
        <v/>
      </c>
      <c r="L185" s="22"/>
      <c r="M185" s="22" t="str">
        <f>IF(A185="","",IF(OR(J185="Bajo stock",J185="Sin stock"),COUNTIFS($J$5:$J185,"Bajo stock")+COUNTIFS($J$5:$J185,"Sin stock"),""))</f>
        <v/>
      </c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21.75" customHeight="1" x14ac:dyDescent="0.25">
      <c r="A186" s="26" t="str">
        <f>IF(Productos!A186="","",Productos!A186)</f>
        <v/>
      </c>
      <c r="B186" s="26" t="str">
        <f>IF(Productos!A186="","",Productos!B186)</f>
        <v/>
      </c>
      <c r="C186" s="26" t="str">
        <f>IF(Productos!A186="","",Productos!C186)</f>
        <v/>
      </c>
      <c r="D186" s="26" t="str">
        <f>IF(Productos!A186="","",Productos!D186)</f>
        <v/>
      </c>
      <c r="E186" s="27" t="str">
        <f>IF(Productos!A186="","",Productos!E186)</f>
        <v/>
      </c>
      <c r="F186" s="27" t="str">
        <f>IF(Productos!A186="","",Productos!F186)</f>
        <v/>
      </c>
      <c r="G186" s="27" t="str">
        <f>IF(A186="","",SUMIF('Compras Entradas'!$C$5:$C$504,A186,'Compras Entradas'!$E$5:$E$504))</f>
        <v/>
      </c>
      <c r="H186" s="27" t="str">
        <f>IF(A186="","",SUMIF('Ventas Salidas'!$C$5:$C$504,A186,'Ventas Salidas'!$E$5:$E$504))</f>
        <v/>
      </c>
      <c r="I186" s="27" t="str">
        <f t="shared" si="6"/>
        <v/>
      </c>
      <c r="J186" s="26" t="str">
        <f t="shared" si="7"/>
        <v/>
      </c>
      <c r="K186" s="26" t="str">
        <f t="shared" si="8"/>
        <v/>
      </c>
      <c r="L186" s="22"/>
      <c r="M186" s="22" t="str">
        <f>IF(A186="","",IF(OR(J186="Bajo stock",J186="Sin stock"),COUNTIFS($J$5:$J186,"Bajo stock")+COUNTIFS($J$5:$J186,"Sin stock"),""))</f>
        <v/>
      </c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21.75" customHeight="1" x14ac:dyDescent="0.25">
      <c r="A187" s="26" t="str">
        <f>IF(Productos!A187="","",Productos!A187)</f>
        <v/>
      </c>
      <c r="B187" s="26" t="str">
        <f>IF(Productos!A187="","",Productos!B187)</f>
        <v/>
      </c>
      <c r="C187" s="26" t="str">
        <f>IF(Productos!A187="","",Productos!C187)</f>
        <v/>
      </c>
      <c r="D187" s="26" t="str">
        <f>IF(Productos!A187="","",Productos!D187)</f>
        <v/>
      </c>
      <c r="E187" s="27" t="str">
        <f>IF(Productos!A187="","",Productos!E187)</f>
        <v/>
      </c>
      <c r="F187" s="27" t="str">
        <f>IF(Productos!A187="","",Productos!F187)</f>
        <v/>
      </c>
      <c r="G187" s="27" t="str">
        <f>IF(A187="","",SUMIF('Compras Entradas'!$C$5:$C$504,A187,'Compras Entradas'!$E$5:$E$504))</f>
        <v/>
      </c>
      <c r="H187" s="27" t="str">
        <f>IF(A187="","",SUMIF('Ventas Salidas'!$C$5:$C$504,A187,'Ventas Salidas'!$E$5:$E$504))</f>
        <v/>
      </c>
      <c r="I187" s="27" t="str">
        <f t="shared" si="6"/>
        <v/>
      </c>
      <c r="J187" s="26" t="str">
        <f t="shared" si="7"/>
        <v/>
      </c>
      <c r="K187" s="26" t="str">
        <f t="shared" si="8"/>
        <v/>
      </c>
      <c r="L187" s="22"/>
      <c r="M187" s="22" t="str">
        <f>IF(A187="","",IF(OR(J187="Bajo stock",J187="Sin stock"),COUNTIFS($J$5:$J187,"Bajo stock")+COUNTIFS($J$5:$J187,"Sin stock"),""))</f>
        <v/>
      </c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21.75" customHeight="1" x14ac:dyDescent="0.25">
      <c r="A188" s="26" t="str">
        <f>IF(Productos!A188="","",Productos!A188)</f>
        <v/>
      </c>
      <c r="B188" s="26" t="str">
        <f>IF(Productos!A188="","",Productos!B188)</f>
        <v/>
      </c>
      <c r="C188" s="26" t="str">
        <f>IF(Productos!A188="","",Productos!C188)</f>
        <v/>
      </c>
      <c r="D188" s="26" t="str">
        <f>IF(Productos!A188="","",Productos!D188)</f>
        <v/>
      </c>
      <c r="E188" s="27" t="str">
        <f>IF(Productos!A188="","",Productos!E188)</f>
        <v/>
      </c>
      <c r="F188" s="27" t="str">
        <f>IF(Productos!A188="","",Productos!F188)</f>
        <v/>
      </c>
      <c r="G188" s="27" t="str">
        <f>IF(A188="","",SUMIF('Compras Entradas'!$C$5:$C$504,A188,'Compras Entradas'!$E$5:$E$504))</f>
        <v/>
      </c>
      <c r="H188" s="27" t="str">
        <f>IF(A188="","",SUMIF('Ventas Salidas'!$C$5:$C$504,A188,'Ventas Salidas'!$E$5:$E$504))</f>
        <v/>
      </c>
      <c r="I188" s="27" t="str">
        <f t="shared" si="6"/>
        <v/>
      </c>
      <c r="J188" s="26" t="str">
        <f t="shared" si="7"/>
        <v/>
      </c>
      <c r="K188" s="26" t="str">
        <f t="shared" si="8"/>
        <v/>
      </c>
      <c r="L188" s="22"/>
      <c r="M188" s="22" t="str">
        <f>IF(A188="","",IF(OR(J188="Bajo stock",J188="Sin stock"),COUNTIFS($J$5:$J188,"Bajo stock")+COUNTIFS($J$5:$J188,"Sin stock"),""))</f>
        <v/>
      </c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21.75" customHeight="1" x14ac:dyDescent="0.25">
      <c r="A189" s="26" t="str">
        <f>IF(Productos!A189="","",Productos!A189)</f>
        <v/>
      </c>
      <c r="B189" s="26" t="str">
        <f>IF(Productos!A189="","",Productos!B189)</f>
        <v/>
      </c>
      <c r="C189" s="26" t="str">
        <f>IF(Productos!A189="","",Productos!C189)</f>
        <v/>
      </c>
      <c r="D189" s="26" t="str">
        <f>IF(Productos!A189="","",Productos!D189)</f>
        <v/>
      </c>
      <c r="E189" s="27" t="str">
        <f>IF(Productos!A189="","",Productos!E189)</f>
        <v/>
      </c>
      <c r="F189" s="27" t="str">
        <f>IF(Productos!A189="","",Productos!F189)</f>
        <v/>
      </c>
      <c r="G189" s="27" t="str">
        <f>IF(A189="","",SUMIF('Compras Entradas'!$C$5:$C$504,A189,'Compras Entradas'!$E$5:$E$504))</f>
        <v/>
      </c>
      <c r="H189" s="27" t="str">
        <f>IF(A189="","",SUMIF('Ventas Salidas'!$C$5:$C$504,A189,'Ventas Salidas'!$E$5:$E$504))</f>
        <v/>
      </c>
      <c r="I189" s="27" t="str">
        <f t="shared" si="6"/>
        <v/>
      </c>
      <c r="J189" s="26" t="str">
        <f t="shared" si="7"/>
        <v/>
      </c>
      <c r="K189" s="26" t="str">
        <f t="shared" si="8"/>
        <v/>
      </c>
      <c r="L189" s="22"/>
      <c r="M189" s="22" t="str">
        <f>IF(A189="","",IF(OR(J189="Bajo stock",J189="Sin stock"),COUNTIFS($J$5:$J189,"Bajo stock")+COUNTIFS($J$5:$J189,"Sin stock"),""))</f>
        <v/>
      </c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21.75" customHeight="1" x14ac:dyDescent="0.25">
      <c r="A190" s="26" t="str">
        <f>IF(Productos!A190="","",Productos!A190)</f>
        <v/>
      </c>
      <c r="B190" s="26" t="str">
        <f>IF(Productos!A190="","",Productos!B190)</f>
        <v/>
      </c>
      <c r="C190" s="26" t="str">
        <f>IF(Productos!A190="","",Productos!C190)</f>
        <v/>
      </c>
      <c r="D190" s="26" t="str">
        <f>IF(Productos!A190="","",Productos!D190)</f>
        <v/>
      </c>
      <c r="E190" s="27" t="str">
        <f>IF(Productos!A190="","",Productos!E190)</f>
        <v/>
      </c>
      <c r="F190" s="27" t="str">
        <f>IF(Productos!A190="","",Productos!F190)</f>
        <v/>
      </c>
      <c r="G190" s="27" t="str">
        <f>IF(A190="","",SUMIF('Compras Entradas'!$C$5:$C$504,A190,'Compras Entradas'!$E$5:$E$504))</f>
        <v/>
      </c>
      <c r="H190" s="27" t="str">
        <f>IF(A190="","",SUMIF('Ventas Salidas'!$C$5:$C$504,A190,'Ventas Salidas'!$E$5:$E$504))</f>
        <v/>
      </c>
      <c r="I190" s="27" t="str">
        <f t="shared" si="6"/>
        <v/>
      </c>
      <c r="J190" s="26" t="str">
        <f t="shared" si="7"/>
        <v/>
      </c>
      <c r="K190" s="26" t="str">
        <f t="shared" si="8"/>
        <v/>
      </c>
      <c r="L190" s="22"/>
      <c r="M190" s="22" t="str">
        <f>IF(A190="","",IF(OR(J190="Bajo stock",J190="Sin stock"),COUNTIFS($J$5:$J190,"Bajo stock")+COUNTIFS($J$5:$J190,"Sin stock"),""))</f>
        <v/>
      </c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21.75" customHeight="1" x14ac:dyDescent="0.25">
      <c r="A191" s="26" t="str">
        <f>IF(Productos!A191="","",Productos!A191)</f>
        <v/>
      </c>
      <c r="B191" s="26" t="str">
        <f>IF(Productos!A191="","",Productos!B191)</f>
        <v/>
      </c>
      <c r="C191" s="26" t="str">
        <f>IF(Productos!A191="","",Productos!C191)</f>
        <v/>
      </c>
      <c r="D191" s="26" t="str">
        <f>IF(Productos!A191="","",Productos!D191)</f>
        <v/>
      </c>
      <c r="E191" s="27" t="str">
        <f>IF(Productos!A191="","",Productos!E191)</f>
        <v/>
      </c>
      <c r="F191" s="27" t="str">
        <f>IF(Productos!A191="","",Productos!F191)</f>
        <v/>
      </c>
      <c r="G191" s="27" t="str">
        <f>IF(A191="","",SUMIF('Compras Entradas'!$C$5:$C$504,A191,'Compras Entradas'!$E$5:$E$504))</f>
        <v/>
      </c>
      <c r="H191" s="27" t="str">
        <f>IF(A191="","",SUMIF('Ventas Salidas'!$C$5:$C$504,A191,'Ventas Salidas'!$E$5:$E$504))</f>
        <v/>
      </c>
      <c r="I191" s="27" t="str">
        <f t="shared" si="6"/>
        <v/>
      </c>
      <c r="J191" s="26" t="str">
        <f t="shared" si="7"/>
        <v/>
      </c>
      <c r="K191" s="26" t="str">
        <f t="shared" si="8"/>
        <v/>
      </c>
      <c r="L191" s="22"/>
      <c r="M191" s="22" t="str">
        <f>IF(A191="","",IF(OR(J191="Bajo stock",J191="Sin stock"),COUNTIFS($J$5:$J191,"Bajo stock")+COUNTIFS($J$5:$J191,"Sin stock"),""))</f>
        <v/>
      </c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21.75" customHeight="1" x14ac:dyDescent="0.25">
      <c r="A192" s="26" t="str">
        <f>IF(Productos!A192="","",Productos!A192)</f>
        <v/>
      </c>
      <c r="B192" s="26" t="str">
        <f>IF(Productos!A192="","",Productos!B192)</f>
        <v/>
      </c>
      <c r="C192" s="26" t="str">
        <f>IF(Productos!A192="","",Productos!C192)</f>
        <v/>
      </c>
      <c r="D192" s="26" t="str">
        <f>IF(Productos!A192="","",Productos!D192)</f>
        <v/>
      </c>
      <c r="E192" s="27" t="str">
        <f>IF(Productos!A192="","",Productos!E192)</f>
        <v/>
      </c>
      <c r="F192" s="27" t="str">
        <f>IF(Productos!A192="","",Productos!F192)</f>
        <v/>
      </c>
      <c r="G192" s="27" t="str">
        <f>IF(A192="","",SUMIF('Compras Entradas'!$C$5:$C$504,A192,'Compras Entradas'!$E$5:$E$504))</f>
        <v/>
      </c>
      <c r="H192" s="27" t="str">
        <f>IF(A192="","",SUMIF('Ventas Salidas'!$C$5:$C$504,A192,'Ventas Salidas'!$E$5:$E$504))</f>
        <v/>
      </c>
      <c r="I192" s="27" t="str">
        <f t="shared" si="6"/>
        <v/>
      </c>
      <c r="J192" s="26" t="str">
        <f t="shared" si="7"/>
        <v/>
      </c>
      <c r="K192" s="26" t="str">
        <f t="shared" si="8"/>
        <v/>
      </c>
      <c r="L192" s="22"/>
      <c r="M192" s="22" t="str">
        <f>IF(A192="","",IF(OR(J192="Bajo stock",J192="Sin stock"),COUNTIFS($J$5:$J192,"Bajo stock")+COUNTIFS($J$5:$J192,"Sin stock"),""))</f>
        <v/>
      </c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21.75" customHeight="1" x14ac:dyDescent="0.25">
      <c r="A193" s="26" t="str">
        <f>IF(Productos!A193="","",Productos!A193)</f>
        <v/>
      </c>
      <c r="B193" s="26" t="str">
        <f>IF(Productos!A193="","",Productos!B193)</f>
        <v/>
      </c>
      <c r="C193" s="26" t="str">
        <f>IF(Productos!A193="","",Productos!C193)</f>
        <v/>
      </c>
      <c r="D193" s="26" t="str">
        <f>IF(Productos!A193="","",Productos!D193)</f>
        <v/>
      </c>
      <c r="E193" s="27" t="str">
        <f>IF(Productos!A193="","",Productos!E193)</f>
        <v/>
      </c>
      <c r="F193" s="27" t="str">
        <f>IF(Productos!A193="","",Productos!F193)</f>
        <v/>
      </c>
      <c r="G193" s="27" t="str">
        <f>IF(A193="","",SUMIF('Compras Entradas'!$C$5:$C$504,A193,'Compras Entradas'!$E$5:$E$504))</f>
        <v/>
      </c>
      <c r="H193" s="27" t="str">
        <f>IF(A193="","",SUMIF('Ventas Salidas'!$C$5:$C$504,A193,'Ventas Salidas'!$E$5:$E$504))</f>
        <v/>
      </c>
      <c r="I193" s="27" t="str">
        <f t="shared" si="6"/>
        <v/>
      </c>
      <c r="J193" s="26" t="str">
        <f t="shared" si="7"/>
        <v/>
      </c>
      <c r="K193" s="26" t="str">
        <f t="shared" si="8"/>
        <v/>
      </c>
      <c r="L193" s="22"/>
      <c r="M193" s="22" t="str">
        <f>IF(A193="","",IF(OR(J193="Bajo stock",J193="Sin stock"),COUNTIFS($J$5:$J193,"Bajo stock")+COUNTIFS($J$5:$J193,"Sin stock"),""))</f>
        <v/>
      </c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21.75" customHeight="1" x14ac:dyDescent="0.25">
      <c r="A194" s="26" t="str">
        <f>IF(Productos!A194="","",Productos!A194)</f>
        <v/>
      </c>
      <c r="B194" s="26" t="str">
        <f>IF(Productos!A194="","",Productos!B194)</f>
        <v/>
      </c>
      <c r="C194" s="26" t="str">
        <f>IF(Productos!A194="","",Productos!C194)</f>
        <v/>
      </c>
      <c r="D194" s="26" t="str">
        <f>IF(Productos!A194="","",Productos!D194)</f>
        <v/>
      </c>
      <c r="E194" s="27" t="str">
        <f>IF(Productos!A194="","",Productos!E194)</f>
        <v/>
      </c>
      <c r="F194" s="27" t="str">
        <f>IF(Productos!A194="","",Productos!F194)</f>
        <v/>
      </c>
      <c r="G194" s="27" t="str">
        <f>IF(A194="","",SUMIF('Compras Entradas'!$C$5:$C$504,A194,'Compras Entradas'!$E$5:$E$504))</f>
        <v/>
      </c>
      <c r="H194" s="27" t="str">
        <f>IF(A194="","",SUMIF('Ventas Salidas'!$C$5:$C$504,A194,'Ventas Salidas'!$E$5:$E$504))</f>
        <v/>
      </c>
      <c r="I194" s="27" t="str">
        <f t="shared" si="6"/>
        <v/>
      </c>
      <c r="J194" s="26" t="str">
        <f t="shared" si="7"/>
        <v/>
      </c>
      <c r="K194" s="26" t="str">
        <f t="shared" si="8"/>
        <v/>
      </c>
      <c r="L194" s="22"/>
      <c r="M194" s="22" t="str">
        <f>IF(A194="","",IF(OR(J194="Bajo stock",J194="Sin stock"),COUNTIFS($J$5:$J194,"Bajo stock")+COUNTIFS($J$5:$J194,"Sin stock"),""))</f>
        <v/>
      </c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21.75" customHeight="1" x14ac:dyDescent="0.25">
      <c r="A195" s="26" t="str">
        <f>IF(Productos!A195="","",Productos!A195)</f>
        <v/>
      </c>
      <c r="B195" s="26" t="str">
        <f>IF(Productos!A195="","",Productos!B195)</f>
        <v/>
      </c>
      <c r="C195" s="26" t="str">
        <f>IF(Productos!A195="","",Productos!C195)</f>
        <v/>
      </c>
      <c r="D195" s="26" t="str">
        <f>IF(Productos!A195="","",Productos!D195)</f>
        <v/>
      </c>
      <c r="E195" s="27" t="str">
        <f>IF(Productos!A195="","",Productos!E195)</f>
        <v/>
      </c>
      <c r="F195" s="27" t="str">
        <f>IF(Productos!A195="","",Productos!F195)</f>
        <v/>
      </c>
      <c r="G195" s="27" t="str">
        <f>IF(A195="","",SUMIF('Compras Entradas'!$C$5:$C$504,A195,'Compras Entradas'!$E$5:$E$504))</f>
        <v/>
      </c>
      <c r="H195" s="27" t="str">
        <f>IF(A195="","",SUMIF('Ventas Salidas'!$C$5:$C$504,A195,'Ventas Salidas'!$E$5:$E$504))</f>
        <v/>
      </c>
      <c r="I195" s="27" t="str">
        <f t="shared" si="6"/>
        <v/>
      </c>
      <c r="J195" s="26" t="str">
        <f t="shared" si="7"/>
        <v/>
      </c>
      <c r="K195" s="26" t="str">
        <f t="shared" si="8"/>
        <v/>
      </c>
      <c r="L195" s="22"/>
      <c r="M195" s="22" t="str">
        <f>IF(A195="","",IF(OR(J195="Bajo stock",J195="Sin stock"),COUNTIFS($J$5:$J195,"Bajo stock")+COUNTIFS($J$5:$J195,"Sin stock"),""))</f>
        <v/>
      </c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21.75" customHeight="1" x14ac:dyDescent="0.25">
      <c r="A196" s="26" t="str">
        <f>IF(Productos!A196="","",Productos!A196)</f>
        <v/>
      </c>
      <c r="B196" s="26" t="str">
        <f>IF(Productos!A196="","",Productos!B196)</f>
        <v/>
      </c>
      <c r="C196" s="26" t="str">
        <f>IF(Productos!A196="","",Productos!C196)</f>
        <v/>
      </c>
      <c r="D196" s="26" t="str">
        <f>IF(Productos!A196="","",Productos!D196)</f>
        <v/>
      </c>
      <c r="E196" s="27" t="str">
        <f>IF(Productos!A196="","",Productos!E196)</f>
        <v/>
      </c>
      <c r="F196" s="27" t="str">
        <f>IF(Productos!A196="","",Productos!F196)</f>
        <v/>
      </c>
      <c r="G196" s="27" t="str">
        <f>IF(A196="","",SUMIF('Compras Entradas'!$C$5:$C$504,A196,'Compras Entradas'!$E$5:$E$504))</f>
        <v/>
      </c>
      <c r="H196" s="27" t="str">
        <f>IF(A196="","",SUMIF('Ventas Salidas'!$C$5:$C$504,A196,'Ventas Salidas'!$E$5:$E$504))</f>
        <v/>
      </c>
      <c r="I196" s="27" t="str">
        <f t="shared" si="6"/>
        <v/>
      </c>
      <c r="J196" s="26" t="str">
        <f t="shared" si="7"/>
        <v/>
      </c>
      <c r="K196" s="26" t="str">
        <f t="shared" si="8"/>
        <v/>
      </c>
      <c r="L196" s="22"/>
      <c r="M196" s="22" t="str">
        <f>IF(A196="","",IF(OR(J196="Bajo stock",J196="Sin stock"),COUNTIFS($J$5:$J196,"Bajo stock")+COUNTIFS($J$5:$J196,"Sin stock"),""))</f>
        <v/>
      </c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21.75" customHeight="1" x14ac:dyDescent="0.25">
      <c r="A197" s="26" t="str">
        <f>IF(Productos!A197="","",Productos!A197)</f>
        <v/>
      </c>
      <c r="B197" s="26" t="str">
        <f>IF(Productos!A197="","",Productos!B197)</f>
        <v/>
      </c>
      <c r="C197" s="26" t="str">
        <f>IF(Productos!A197="","",Productos!C197)</f>
        <v/>
      </c>
      <c r="D197" s="26" t="str">
        <f>IF(Productos!A197="","",Productos!D197)</f>
        <v/>
      </c>
      <c r="E197" s="27" t="str">
        <f>IF(Productos!A197="","",Productos!E197)</f>
        <v/>
      </c>
      <c r="F197" s="27" t="str">
        <f>IF(Productos!A197="","",Productos!F197)</f>
        <v/>
      </c>
      <c r="G197" s="27" t="str">
        <f>IF(A197="","",SUMIF('Compras Entradas'!$C$5:$C$504,A197,'Compras Entradas'!$E$5:$E$504))</f>
        <v/>
      </c>
      <c r="H197" s="27" t="str">
        <f>IF(A197="","",SUMIF('Ventas Salidas'!$C$5:$C$504,A197,'Ventas Salidas'!$E$5:$E$504))</f>
        <v/>
      </c>
      <c r="I197" s="27" t="str">
        <f t="shared" ref="I197:I260" si="9">IF(A197="","",F197+G197-H197)</f>
        <v/>
      </c>
      <c r="J197" s="26" t="str">
        <f t="shared" ref="J197:J260" si="10">IF(A197="","",IF(I197&lt;=0,"Sin stock",IF(I197&lt;E197,"Bajo stock","OK")))</f>
        <v/>
      </c>
      <c r="K197" s="26" t="str">
        <f t="shared" ref="K197:K260" si="11">IF(A197="","",IF(I197&lt;=0,"Comprar urgente",IF(I197&lt;E197,"Reponer pronto","Stock suficiente")))</f>
        <v/>
      </c>
      <c r="L197" s="22"/>
      <c r="M197" s="22" t="str">
        <f>IF(A197="","",IF(OR(J197="Bajo stock",J197="Sin stock"),COUNTIFS($J$5:$J197,"Bajo stock")+COUNTIFS($J$5:$J197,"Sin stock"),""))</f>
        <v/>
      </c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21.75" customHeight="1" x14ac:dyDescent="0.25">
      <c r="A198" s="26" t="str">
        <f>IF(Productos!A198="","",Productos!A198)</f>
        <v/>
      </c>
      <c r="B198" s="26" t="str">
        <f>IF(Productos!A198="","",Productos!B198)</f>
        <v/>
      </c>
      <c r="C198" s="26" t="str">
        <f>IF(Productos!A198="","",Productos!C198)</f>
        <v/>
      </c>
      <c r="D198" s="26" t="str">
        <f>IF(Productos!A198="","",Productos!D198)</f>
        <v/>
      </c>
      <c r="E198" s="27" t="str">
        <f>IF(Productos!A198="","",Productos!E198)</f>
        <v/>
      </c>
      <c r="F198" s="27" t="str">
        <f>IF(Productos!A198="","",Productos!F198)</f>
        <v/>
      </c>
      <c r="G198" s="27" t="str">
        <f>IF(A198="","",SUMIF('Compras Entradas'!$C$5:$C$504,A198,'Compras Entradas'!$E$5:$E$504))</f>
        <v/>
      </c>
      <c r="H198" s="27" t="str">
        <f>IF(A198="","",SUMIF('Ventas Salidas'!$C$5:$C$504,A198,'Ventas Salidas'!$E$5:$E$504))</f>
        <v/>
      </c>
      <c r="I198" s="27" t="str">
        <f t="shared" si="9"/>
        <v/>
      </c>
      <c r="J198" s="26" t="str">
        <f t="shared" si="10"/>
        <v/>
      </c>
      <c r="K198" s="26" t="str">
        <f t="shared" si="11"/>
        <v/>
      </c>
      <c r="L198" s="22"/>
      <c r="M198" s="22" t="str">
        <f>IF(A198="","",IF(OR(J198="Bajo stock",J198="Sin stock"),COUNTIFS($J$5:$J198,"Bajo stock")+COUNTIFS($J$5:$J198,"Sin stock"),""))</f>
        <v/>
      </c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21.75" customHeight="1" x14ac:dyDescent="0.25">
      <c r="A199" s="26" t="str">
        <f>IF(Productos!A199="","",Productos!A199)</f>
        <v/>
      </c>
      <c r="B199" s="26" t="str">
        <f>IF(Productos!A199="","",Productos!B199)</f>
        <v/>
      </c>
      <c r="C199" s="26" t="str">
        <f>IF(Productos!A199="","",Productos!C199)</f>
        <v/>
      </c>
      <c r="D199" s="26" t="str">
        <f>IF(Productos!A199="","",Productos!D199)</f>
        <v/>
      </c>
      <c r="E199" s="27" t="str">
        <f>IF(Productos!A199="","",Productos!E199)</f>
        <v/>
      </c>
      <c r="F199" s="27" t="str">
        <f>IF(Productos!A199="","",Productos!F199)</f>
        <v/>
      </c>
      <c r="G199" s="27" t="str">
        <f>IF(A199="","",SUMIF('Compras Entradas'!$C$5:$C$504,A199,'Compras Entradas'!$E$5:$E$504))</f>
        <v/>
      </c>
      <c r="H199" s="27" t="str">
        <f>IF(A199="","",SUMIF('Ventas Salidas'!$C$5:$C$504,A199,'Ventas Salidas'!$E$5:$E$504))</f>
        <v/>
      </c>
      <c r="I199" s="27" t="str">
        <f t="shared" si="9"/>
        <v/>
      </c>
      <c r="J199" s="26" t="str">
        <f t="shared" si="10"/>
        <v/>
      </c>
      <c r="K199" s="26" t="str">
        <f t="shared" si="11"/>
        <v/>
      </c>
      <c r="L199" s="22"/>
      <c r="M199" s="22" t="str">
        <f>IF(A199="","",IF(OR(J199="Bajo stock",J199="Sin stock"),COUNTIFS($J$5:$J199,"Bajo stock")+COUNTIFS($J$5:$J199,"Sin stock"),""))</f>
        <v/>
      </c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21.75" customHeight="1" x14ac:dyDescent="0.25">
      <c r="A200" s="26" t="str">
        <f>IF(Productos!A200="","",Productos!A200)</f>
        <v/>
      </c>
      <c r="B200" s="26" t="str">
        <f>IF(Productos!A200="","",Productos!B200)</f>
        <v/>
      </c>
      <c r="C200" s="26" t="str">
        <f>IF(Productos!A200="","",Productos!C200)</f>
        <v/>
      </c>
      <c r="D200" s="26" t="str">
        <f>IF(Productos!A200="","",Productos!D200)</f>
        <v/>
      </c>
      <c r="E200" s="27" t="str">
        <f>IF(Productos!A200="","",Productos!E200)</f>
        <v/>
      </c>
      <c r="F200" s="27" t="str">
        <f>IF(Productos!A200="","",Productos!F200)</f>
        <v/>
      </c>
      <c r="G200" s="27" t="str">
        <f>IF(A200="","",SUMIF('Compras Entradas'!$C$5:$C$504,A200,'Compras Entradas'!$E$5:$E$504))</f>
        <v/>
      </c>
      <c r="H200" s="27" t="str">
        <f>IF(A200="","",SUMIF('Ventas Salidas'!$C$5:$C$504,A200,'Ventas Salidas'!$E$5:$E$504))</f>
        <v/>
      </c>
      <c r="I200" s="27" t="str">
        <f t="shared" si="9"/>
        <v/>
      </c>
      <c r="J200" s="26" t="str">
        <f t="shared" si="10"/>
        <v/>
      </c>
      <c r="K200" s="26" t="str">
        <f t="shared" si="11"/>
        <v/>
      </c>
      <c r="L200" s="22"/>
      <c r="M200" s="22" t="str">
        <f>IF(A200="","",IF(OR(J200="Bajo stock",J200="Sin stock"),COUNTIFS($J$5:$J200,"Bajo stock")+COUNTIFS($J$5:$J200,"Sin stock"),""))</f>
        <v/>
      </c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21.75" customHeight="1" x14ac:dyDescent="0.25">
      <c r="A201" s="26" t="str">
        <f>IF(Productos!A201="","",Productos!A201)</f>
        <v/>
      </c>
      <c r="B201" s="26" t="str">
        <f>IF(Productos!A201="","",Productos!B201)</f>
        <v/>
      </c>
      <c r="C201" s="26" t="str">
        <f>IF(Productos!A201="","",Productos!C201)</f>
        <v/>
      </c>
      <c r="D201" s="26" t="str">
        <f>IF(Productos!A201="","",Productos!D201)</f>
        <v/>
      </c>
      <c r="E201" s="27" t="str">
        <f>IF(Productos!A201="","",Productos!E201)</f>
        <v/>
      </c>
      <c r="F201" s="27" t="str">
        <f>IF(Productos!A201="","",Productos!F201)</f>
        <v/>
      </c>
      <c r="G201" s="27" t="str">
        <f>IF(A201="","",SUMIF('Compras Entradas'!$C$5:$C$504,A201,'Compras Entradas'!$E$5:$E$504))</f>
        <v/>
      </c>
      <c r="H201" s="27" t="str">
        <f>IF(A201="","",SUMIF('Ventas Salidas'!$C$5:$C$504,A201,'Ventas Salidas'!$E$5:$E$504))</f>
        <v/>
      </c>
      <c r="I201" s="27" t="str">
        <f t="shared" si="9"/>
        <v/>
      </c>
      <c r="J201" s="26" t="str">
        <f t="shared" si="10"/>
        <v/>
      </c>
      <c r="K201" s="26" t="str">
        <f t="shared" si="11"/>
        <v/>
      </c>
      <c r="L201" s="22"/>
      <c r="M201" s="22" t="str">
        <f>IF(A201="","",IF(OR(J201="Bajo stock",J201="Sin stock"),COUNTIFS($J$5:$J201,"Bajo stock")+COUNTIFS($J$5:$J201,"Sin stock"),""))</f>
        <v/>
      </c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21.75" customHeight="1" x14ac:dyDescent="0.25">
      <c r="A202" s="26" t="str">
        <f>IF(Productos!A202="","",Productos!A202)</f>
        <v/>
      </c>
      <c r="B202" s="26" t="str">
        <f>IF(Productos!A202="","",Productos!B202)</f>
        <v/>
      </c>
      <c r="C202" s="26" t="str">
        <f>IF(Productos!A202="","",Productos!C202)</f>
        <v/>
      </c>
      <c r="D202" s="26" t="str">
        <f>IF(Productos!A202="","",Productos!D202)</f>
        <v/>
      </c>
      <c r="E202" s="27" t="str">
        <f>IF(Productos!A202="","",Productos!E202)</f>
        <v/>
      </c>
      <c r="F202" s="27" t="str">
        <f>IF(Productos!A202="","",Productos!F202)</f>
        <v/>
      </c>
      <c r="G202" s="27" t="str">
        <f>IF(A202="","",SUMIF('Compras Entradas'!$C$5:$C$504,A202,'Compras Entradas'!$E$5:$E$504))</f>
        <v/>
      </c>
      <c r="H202" s="27" t="str">
        <f>IF(A202="","",SUMIF('Ventas Salidas'!$C$5:$C$504,A202,'Ventas Salidas'!$E$5:$E$504))</f>
        <v/>
      </c>
      <c r="I202" s="27" t="str">
        <f t="shared" si="9"/>
        <v/>
      </c>
      <c r="J202" s="26" t="str">
        <f t="shared" si="10"/>
        <v/>
      </c>
      <c r="K202" s="26" t="str">
        <f t="shared" si="11"/>
        <v/>
      </c>
      <c r="L202" s="22"/>
      <c r="M202" s="22" t="str">
        <f>IF(A202="","",IF(OR(J202="Bajo stock",J202="Sin stock"),COUNTIFS($J$5:$J202,"Bajo stock")+COUNTIFS($J$5:$J202,"Sin stock"),""))</f>
        <v/>
      </c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21.75" customHeight="1" x14ac:dyDescent="0.25">
      <c r="A203" s="26" t="str">
        <f>IF(Productos!A203="","",Productos!A203)</f>
        <v/>
      </c>
      <c r="B203" s="26" t="str">
        <f>IF(Productos!A203="","",Productos!B203)</f>
        <v/>
      </c>
      <c r="C203" s="26" t="str">
        <f>IF(Productos!A203="","",Productos!C203)</f>
        <v/>
      </c>
      <c r="D203" s="26" t="str">
        <f>IF(Productos!A203="","",Productos!D203)</f>
        <v/>
      </c>
      <c r="E203" s="27" t="str">
        <f>IF(Productos!A203="","",Productos!E203)</f>
        <v/>
      </c>
      <c r="F203" s="27" t="str">
        <f>IF(Productos!A203="","",Productos!F203)</f>
        <v/>
      </c>
      <c r="G203" s="27" t="str">
        <f>IF(A203="","",SUMIF('Compras Entradas'!$C$5:$C$504,A203,'Compras Entradas'!$E$5:$E$504))</f>
        <v/>
      </c>
      <c r="H203" s="27" t="str">
        <f>IF(A203="","",SUMIF('Ventas Salidas'!$C$5:$C$504,A203,'Ventas Salidas'!$E$5:$E$504))</f>
        <v/>
      </c>
      <c r="I203" s="27" t="str">
        <f t="shared" si="9"/>
        <v/>
      </c>
      <c r="J203" s="26" t="str">
        <f t="shared" si="10"/>
        <v/>
      </c>
      <c r="K203" s="26" t="str">
        <f t="shared" si="11"/>
        <v/>
      </c>
      <c r="L203" s="22"/>
      <c r="M203" s="22" t="str">
        <f>IF(A203="","",IF(OR(J203="Bajo stock",J203="Sin stock"),COUNTIFS($J$5:$J203,"Bajo stock")+COUNTIFS($J$5:$J203,"Sin stock"),""))</f>
        <v/>
      </c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21.75" customHeight="1" x14ac:dyDescent="0.25">
      <c r="A204" s="37" t="str">
        <f>IF(Productos!A204="","",Productos!A204)</f>
        <v/>
      </c>
      <c r="B204" s="37" t="str">
        <f>IF(Productos!A204="","",Productos!B204)</f>
        <v/>
      </c>
      <c r="C204" s="37" t="str">
        <f>IF(Productos!A204="","",Productos!C204)</f>
        <v/>
      </c>
      <c r="D204" s="37" t="str">
        <f>IF(Productos!A204="","",Productos!D204)</f>
        <v/>
      </c>
      <c r="E204" s="38" t="str">
        <f>IF(Productos!A204="","",Productos!E204)</f>
        <v/>
      </c>
      <c r="F204" s="38" t="str">
        <f>IF(Productos!A204="","",Productos!F204)</f>
        <v/>
      </c>
      <c r="G204" s="38" t="str">
        <f>IF(A204="","",SUMIF('Compras Entradas'!$C$5:$C$504,A204,'Compras Entradas'!$E$5:$E$504))</f>
        <v/>
      </c>
      <c r="H204" s="38" t="str">
        <f>IF(A204="","",SUMIF('Ventas Salidas'!$C$5:$C$504,A204,'Ventas Salidas'!$E$5:$E$504))</f>
        <v/>
      </c>
      <c r="I204" s="38" t="str">
        <f t="shared" si="9"/>
        <v/>
      </c>
      <c r="J204" s="37" t="str">
        <f t="shared" si="10"/>
        <v/>
      </c>
      <c r="K204" s="37" t="str">
        <f t="shared" si="11"/>
        <v/>
      </c>
      <c r="L204" s="22"/>
      <c r="M204" s="22" t="str">
        <f>IF(A204="","",IF(OR(J204="Bajo stock",J204="Sin stock"),COUNTIFS($J$5:$J204,"Bajo stock")+COUNTIFS($J$5:$J204,"Sin stock"),""))</f>
        <v/>
      </c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s="13" customFormat="1" ht="21.75" customHeight="1" x14ac:dyDescent="0.25">
      <c r="A205" s="39" t="str">
        <f>IF(Productos!A205="","",Productos!A205)</f>
        <v/>
      </c>
      <c r="B205" s="39" t="str">
        <f>IF(Productos!A205="","",Productos!B205)</f>
        <v/>
      </c>
      <c r="C205" s="39" t="str">
        <f>IF(Productos!A205="","",Productos!C205)</f>
        <v/>
      </c>
      <c r="D205" s="39" t="str">
        <f>IF(Productos!A205="","",Productos!D205)</f>
        <v/>
      </c>
      <c r="E205" s="39" t="str">
        <f>IF(Productos!A205="","",Productos!E205)</f>
        <v/>
      </c>
      <c r="F205" s="39" t="str">
        <f>IF(Productos!A205="","",Productos!F205)</f>
        <v/>
      </c>
      <c r="G205" s="39" t="str">
        <f>IF(A205="","",SUMIF('Compras Entradas'!$C$5:$C$504,A205,'Compras Entradas'!$E$5:$E$504))</f>
        <v/>
      </c>
      <c r="H205" s="39" t="str">
        <f>IF(A205="","",SUMIF('Ventas Salidas'!$C$5:$C$504,A205,'Ventas Salidas'!$E$5:$E$504))</f>
        <v/>
      </c>
      <c r="I205" s="39" t="str">
        <f t="shared" si="9"/>
        <v/>
      </c>
      <c r="J205" s="39" t="str">
        <f t="shared" si="10"/>
        <v/>
      </c>
      <c r="K205" s="39" t="str">
        <f t="shared" si="11"/>
        <v/>
      </c>
      <c r="L205" s="22"/>
      <c r="M205" s="22" t="str">
        <f>IF(A205="","",IF(OR(J205="Bajo stock",J205="Sin stock"),COUNTIFS($J$5:$J205,"Bajo stock")+COUNTIFS($J$5:$J205,"Sin stock"),""))</f>
        <v/>
      </c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s="13" customFormat="1" ht="21.75" customHeight="1" x14ac:dyDescent="0.25">
      <c r="A206" s="39" t="str">
        <f>IF(Productos!A206="","",Productos!A206)</f>
        <v/>
      </c>
      <c r="B206" s="39" t="str">
        <f>IF(Productos!A206="","",Productos!B206)</f>
        <v/>
      </c>
      <c r="C206" s="39" t="str">
        <f>IF(Productos!A206="","",Productos!C206)</f>
        <v/>
      </c>
      <c r="D206" s="39" t="str">
        <f>IF(Productos!A206="","",Productos!D206)</f>
        <v/>
      </c>
      <c r="E206" s="39" t="str">
        <f>IF(Productos!A206="","",Productos!E206)</f>
        <v/>
      </c>
      <c r="F206" s="39" t="str">
        <f>IF(Productos!A206="","",Productos!F206)</f>
        <v/>
      </c>
      <c r="G206" s="39" t="str">
        <f>IF(A206="","",SUMIF('Compras Entradas'!$C$5:$C$504,A206,'Compras Entradas'!$E$5:$E$504))</f>
        <v/>
      </c>
      <c r="H206" s="39" t="str">
        <f>IF(A206="","",SUMIF('Ventas Salidas'!$C$5:$C$504,A206,'Ventas Salidas'!$E$5:$E$504))</f>
        <v/>
      </c>
      <c r="I206" s="39" t="str">
        <f t="shared" si="9"/>
        <v/>
      </c>
      <c r="J206" s="39" t="str">
        <f t="shared" si="10"/>
        <v/>
      </c>
      <c r="K206" s="39" t="str">
        <f t="shared" si="11"/>
        <v/>
      </c>
      <c r="L206" s="22"/>
      <c r="M206" s="22" t="str">
        <f>IF(A206="","",IF(OR(J206="Bajo stock",J206="Sin stock"),COUNTIFS($J$5:$J206,"Bajo stock")+COUNTIFS($J$5:$J206,"Sin stock"),""))</f>
        <v/>
      </c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s="13" customFormat="1" ht="21.75" customHeight="1" x14ac:dyDescent="0.25">
      <c r="A207" s="39" t="str">
        <f>IF(Productos!A207="","",Productos!A207)</f>
        <v/>
      </c>
      <c r="B207" s="39" t="str">
        <f>IF(Productos!A207="","",Productos!B207)</f>
        <v/>
      </c>
      <c r="C207" s="39" t="str">
        <f>IF(Productos!A207="","",Productos!C207)</f>
        <v/>
      </c>
      <c r="D207" s="39" t="str">
        <f>IF(Productos!A207="","",Productos!D207)</f>
        <v/>
      </c>
      <c r="E207" s="39" t="str">
        <f>IF(Productos!A207="","",Productos!E207)</f>
        <v/>
      </c>
      <c r="F207" s="39" t="str">
        <f>IF(Productos!A207="","",Productos!F207)</f>
        <v/>
      </c>
      <c r="G207" s="39" t="str">
        <f>IF(A207="","",SUMIF('Compras Entradas'!$C$5:$C$504,A207,'Compras Entradas'!$E$5:$E$504))</f>
        <v/>
      </c>
      <c r="H207" s="39" t="str">
        <f>IF(A207="","",SUMIF('Ventas Salidas'!$C$5:$C$504,A207,'Ventas Salidas'!$E$5:$E$504))</f>
        <v/>
      </c>
      <c r="I207" s="39" t="str">
        <f t="shared" si="9"/>
        <v/>
      </c>
      <c r="J207" s="39" t="str">
        <f t="shared" si="10"/>
        <v/>
      </c>
      <c r="K207" s="39" t="str">
        <f t="shared" si="11"/>
        <v/>
      </c>
      <c r="L207" s="22"/>
      <c r="M207" s="22" t="str">
        <f>IF(A207="","",IF(OR(J207="Bajo stock",J207="Sin stock"),COUNTIFS($J$5:$J207,"Bajo stock")+COUNTIFS($J$5:$J207,"Sin stock"),""))</f>
        <v/>
      </c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s="13" customFormat="1" ht="21.75" customHeight="1" x14ac:dyDescent="0.25">
      <c r="A208" s="39" t="str">
        <f>IF(Productos!A208="","",Productos!A208)</f>
        <v/>
      </c>
      <c r="B208" s="39" t="str">
        <f>IF(Productos!A208="","",Productos!B208)</f>
        <v/>
      </c>
      <c r="C208" s="39" t="str">
        <f>IF(Productos!A208="","",Productos!C208)</f>
        <v/>
      </c>
      <c r="D208" s="39" t="str">
        <f>IF(Productos!A208="","",Productos!D208)</f>
        <v/>
      </c>
      <c r="E208" s="39" t="str">
        <f>IF(Productos!A208="","",Productos!E208)</f>
        <v/>
      </c>
      <c r="F208" s="39" t="str">
        <f>IF(Productos!A208="","",Productos!F208)</f>
        <v/>
      </c>
      <c r="G208" s="39" t="str">
        <f>IF(A208="","",SUMIF('Compras Entradas'!$C$5:$C$504,A208,'Compras Entradas'!$E$5:$E$504))</f>
        <v/>
      </c>
      <c r="H208" s="39" t="str">
        <f>IF(A208="","",SUMIF('Ventas Salidas'!$C$5:$C$504,A208,'Ventas Salidas'!$E$5:$E$504))</f>
        <v/>
      </c>
      <c r="I208" s="39" t="str">
        <f t="shared" si="9"/>
        <v/>
      </c>
      <c r="J208" s="39" t="str">
        <f t="shared" si="10"/>
        <v/>
      </c>
      <c r="K208" s="39" t="str">
        <f t="shared" si="11"/>
        <v/>
      </c>
      <c r="L208" s="22"/>
      <c r="M208" s="22" t="str">
        <f>IF(A208="","",IF(OR(J208="Bajo stock",J208="Sin stock"),COUNTIFS($J$5:$J208,"Bajo stock")+COUNTIFS($J$5:$J208,"Sin stock"),""))</f>
        <v/>
      </c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s="13" customFormat="1" ht="21.75" customHeight="1" x14ac:dyDescent="0.25">
      <c r="A209" s="39" t="str">
        <f>IF(Productos!A209="","",Productos!A209)</f>
        <v/>
      </c>
      <c r="B209" s="39" t="str">
        <f>IF(Productos!A209="","",Productos!B209)</f>
        <v/>
      </c>
      <c r="C209" s="39" t="str">
        <f>IF(Productos!A209="","",Productos!C209)</f>
        <v/>
      </c>
      <c r="D209" s="39" t="str">
        <f>IF(Productos!A209="","",Productos!D209)</f>
        <v/>
      </c>
      <c r="E209" s="39" t="str">
        <f>IF(Productos!A209="","",Productos!E209)</f>
        <v/>
      </c>
      <c r="F209" s="39" t="str">
        <f>IF(Productos!A209="","",Productos!F209)</f>
        <v/>
      </c>
      <c r="G209" s="39" t="str">
        <f>IF(A209="","",SUMIF('Compras Entradas'!$C$5:$C$504,A209,'Compras Entradas'!$E$5:$E$504))</f>
        <v/>
      </c>
      <c r="H209" s="39" t="str">
        <f>IF(A209="","",SUMIF('Ventas Salidas'!$C$5:$C$504,A209,'Ventas Salidas'!$E$5:$E$504))</f>
        <v/>
      </c>
      <c r="I209" s="39" t="str">
        <f t="shared" si="9"/>
        <v/>
      </c>
      <c r="J209" s="39" t="str">
        <f t="shared" si="10"/>
        <v/>
      </c>
      <c r="K209" s="39" t="str">
        <f t="shared" si="11"/>
        <v/>
      </c>
      <c r="L209" s="22"/>
      <c r="M209" s="22" t="str">
        <f>IF(A209="","",IF(OR(J209="Bajo stock",J209="Sin stock"),COUNTIFS($J$5:$J209,"Bajo stock")+COUNTIFS($J$5:$J209,"Sin stock"),""))</f>
        <v/>
      </c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s="13" customFormat="1" ht="21.75" customHeight="1" x14ac:dyDescent="0.25">
      <c r="A210" s="39" t="str">
        <f>IF(Productos!A210="","",Productos!A210)</f>
        <v/>
      </c>
      <c r="B210" s="39" t="str">
        <f>IF(Productos!A210="","",Productos!B210)</f>
        <v/>
      </c>
      <c r="C210" s="39" t="str">
        <f>IF(Productos!A210="","",Productos!C210)</f>
        <v/>
      </c>
      <c r="D210" s="39" t="str">
        <f>IF(Productos!A210="","",Productos!D210)</f>
        <v/>
      </c>
      <c r="E210" s="39" t="str">
        <f>IF(Productos!A210="","",Productos!E210)</f>
        <v/>
      </c>
      <c r="F210" s="39" t="str">
        <f>IF(Productos!A210="","",Productos!F210)</f>
        <v/>
      </c>
      <c r="G210" s="39" t="str">
        <f>IF(A210="","",SUMIF('Compras Entradas'!$C$5:$C$504,A210,'Compras Entradas'!$E$5:$E$504))</f>
        <v/>
      </c>
      <c r="H210" s="39" t="str">
        <f>IF(A210="","",SUMIF('Ventas Salidas'!$C$5:$C$504,A210,'Ventas Salidas'!$E$5:$E$504))</f>
        <v/>
      </c>
      <c r="I210" s="39" t="str">
        <f t="shared" si="9"/>
        <v/>
      </c>
      <c r="J210" s="39" t="str">
        <f t="shared" si="10"/>
        <v/>
      </c>
      <c r="K210" s="39" t="str">
        <f t="shared" si="11"/>
        <v/>
      </c>
      <c r="L210" s="22"/>
      <c r="M210" s="22" t="str">
        <f>IF(A210="","",IF(OR(J210="Bajo stock",J210="Sin stock"),COUNTIFS($J$5:$J210,"Bajo stock")+COUNTIFS($J$5:$J210,"Sin stock"),""))</f>
        <v/>
      </c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s="13" customFormat="1" ht="21.75" customHeight="1" x14ac:dyDescent="0.25">
      <c r="A211" s="39" t="str">
        <f>IF(Productos!A211="","",Productos!A211)</f>
        <v/>
      </c>
      <c r="B211" s="39" t="str">
        <f>IF(Productos!A211="","",Productos!B211)</f>
        <v/>
      </c>
      <c r="C211" s="39" t="str">
        <f>IF(Productos!A211="","",Productos!C211)</f>
        <v/>
      </c>
      <c r="D211" s="39" t="str">
        <f>IF(Productos!A211="","",Productos!D211)</f>
        <v/>
      </c>
      <c r="E211" s="39" t="str">
        <f>IF(Productos!A211="","",Productos!E211)</f>
        <v/>
      </c>
      <c r="F211" s="39" t="str">
        <f>IF(Productos!A211="","",Productos!F211)</f>
        <v/>
      </c>
      <c r="G211" s="39" t="str">
        <f>IF(A211="","",SUMIF('Compras Entradas'!$C$5:$C$504,A211,'Compras Entradas'!$E$5:$E$504))</f>
        <v/>
      </c>
      <c r="H211" s="39" t="str">
        <f>IF(A211="","",SUMIF('Ventas Salidas'!$C$5:$C$504,A211,'Ventas Salidas'!$E$5:$E$504))</f>
        <v/>
      </c>
      <c r="I211" s="39" t="str">
        <f t="shared" si="9"/>
        <v/>
      </c>
      <c r="J211" s="39" t="str">
        <f t="shared" si="10"/>
        <v/>
      </c>
      <c r="K211" s="39" t="str">
        <f t="shared" si="11"/>
        <v/>
      </c>
      <c r="L211" s="22"/>
      <c r="M211" s="22" t="str">
        <f>IF(A211="","",IF(OR(J211="Bajo stock",J211="Sin stock"),COUNTIFS($J$5:$J211,"Bajo stock")+COUNTIFS($J$5:$J211,"Sin stock"),""))</f>
        <v/>
      </c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s="13" customFormat="1" ht="21.75" customHeight="1" x14ac:dyDescent="0.25">
      <c r="A212" s="39" t="str">
        <f>IF(Productos!A212="","",Productos!A212)</f>
        <v/>
      </c>
      <c r="B212" s="39" t="str">
        <f>IF(Productos!A212="","",Productos!B212)</f>
        <v/>
      </c>
      <c r="C212" s="39" t="str">
        <f>IF(Productos!A212="","",Productos!C212)</f>
        <v/>
      </c>
      <c r="D212" s="39" t="str">
        <f>IF(Productos!A212="","",Productos!D212)</f>
        <v/>
      </c>
      <c r="E212" s="39" t="str">
        <f>IF(Productos!A212="","",Productos!E212)</f>
        <v/>
      </c>
      <c r="F212" s="39" t="str">
        <f>IF(Productos!A212="","",Productos!F212)</f>
        <v/>
      </c>
      <c r="G212" s="39" t="str">
        <f>IF(A212="","",SUMIF('Compras Entradas'!$C$5:$C$504,A212,'Compras Entradas'!$E$5:$E$504))</f>
        <v/>
      </c>
      <c r="H212" s="39" t="str">
        <f>IF(A212="","",SUMIF('Ventas Salidas'!$C$5:$C$504,A212,'Ventas Salidas'!$E$5:$E$504))</f>
        <v/>
      </c>
      <c r="I212" s="39" t="str">
        <f t="shared" si="9"/>
        <v/>
      </c>
      <c r="J212" s="39" t="str">
        <f t="shared" si="10"/>
        <v/>
      </c>
      <c r="K212" s="39" t="str">
        <f t="shared" si="11"/>
        <v/>
      </c>
      <c r="L212" s="22"/>
      <c r="M212" s="22" t="str">
        <f>IF(A212="","",IF(OR(J212="Bajo stock",J212="Sin stock"),COUNTIFS($J$5:$J212,"Bajo stock")+COUNTIFS($J$5:$J212,"Sin stock"),""))</f>
        <v/>
      </c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s="13" customFormat="1" ht="21.75" customHeight="1" x14ac:dyDescent="0.25">
      <c r="A213" s="39" t="str">
        <f>IF(Productos!A213="","",Productos!A213)</f>
        <v/>
      </c>
      <c r="B213" s="39" t="str">
        <f>IF(Productos!A213="","",Productos!B213)</f>
        <v/>
      </c>
      <c r="C213" s="39" t="str">
        <f>IF(Productos!A213="","",Productos!C213)</f>
        <v/>
      </c>
      <c r="D213" s="39" t="str">
        <f>IF(Productos!A213="","",Productos!D213)</f>
        <v/>
      </c>
      <c r="E213" s="39" t="str">
        <f>IF(Productos!A213="","",Productos!E213)</f>
        <v/>
      </c>
      <c r="F213" s="39" t="str">
        <f>IF(Productos!A213="","",Productos!F213)</f>
        <v/>
      </c>
      <c r="G213" s="39" t="str">
        <f>IF(A213="","",SUMIF('Compras Entradas'!$C$5:$C$504,A213,'Compras Entradas'!$E$5:$E$504))</f>
        <v/>
      </c>
      <c r="H213" s="39" t="str">
        <f>IF(A213="","",SUMIF('Ventas Salidas'!$C$5:$C$504,A213,'Ventas Salidas'!$E$5:$E$504))</f>
        <v/>
      </c>
      <c r="I213" s="39" t="str">
        <f t="shared" si="9"/>
        <v/>
      </c>
      <c r="J213" s="39" t="str">
        <f t="shared" si="10"/>
        <v/>
      </c>
      <c r="K213" s="39" t="str">
        <f t="shared" si="11"/>
        <v/>
      </c>
      <c r="L213" s="22"/>
      <c r="M213" s="22" t="str">
        <f>IF(A213="","",IF(OR(J213="Bajo stock",J213="Sin stock"),COUNTIFS($J$5:$J213,"Bajo stock")+COUNTIFS($J$5:$J213,"Sin stock"),""))</f>
        <v/>
      </c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s="13" customFormat="1" ht="21.75" customHeight="1" x14ac:dyDescent="0.25">
      <c r="A214" s="39" t="str">
        <f>IF(Productos!A214="","",Productos!A214)</f>
        <v/>
      </c>
      <c r="B214" s="39" t="str">
        <f>IF(Productos!A214="","",Productos!B214)</f>
        <v/>
      </c>
      <c r="C214" s="39" t="str">
        <f>IF(Productos!A214="","",Productos!C214)</f>
        <v/>
      </c>
      <c r="D214" s="39" t="str">
        <f>IF(Productos!A214="","",Productos!D214)</f>
        <v/>
      </c>
      <c r="E214" s="39" t="str">
        <f>IF(Productos!A214="","",Productos!E214)</f>
        <v/>
      </c>
      <c r="F214" s="39" t="str">
        <f>IF(Productos!A214="","",Productos!F214)</f>
        <v/>
      </c>
      <c r="G214" s="39" t="str">
        <f>IF(A214="","",SUMIF('Compras Entradas'!$C$5:$C$504,A214,'Compras Entradas'!$E$5:$E$504))</f>
        <v/>
      </c>
      <c r="H214" s="39" t="str">
        <f>IF(A214="","",SUMIF('Ventas Salidas'!$C$5:$C$504,A214,'Ventas Salidas'!$E$5:$E$504))</f>
        <v/>
      </c>
      <c r="I214" s="39" t="str">
        <f t="shared" si="9"/>
        <v/>
      </c>
      <c r="J214" s="39" t="str">
        <f t="shared" si="10"/>
        <v/>
      </c>
      <c r="K214" s="39" t="str">
        <f t="shared" si="11"/>
        <v/>
      </c>
      <c r="L214" s="22"/>
      <c r="M214" s="22" t="str">
        <f>IF(A214="","",IF(OR(J214="Bajo stock",J214="Sin stock"),COUNTIFS($J$5:$J214,"Bajo stock")+COUNTIFS($J$5:$J214,"Sin stock"),""))</f>
        <v/>
      </c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s="13" customFormat="1" ht="21.75" customHeight="1" x14ac:dyDescent="0.25">
      <c r="A215" s="39" t="str">
        <f>IF(Productos!A215="","",Productos!A215)</f>
        <v/>
      </c>
      <c r="B215" s="39" t="str">
        <f>IF(Productos!A215="","",Productos!B215)</f>
        <v/>
      </c>
      <c r="C215" s="39" t="str">
        <f>IF(Productos!A215="","",Productos!C215)</f>
        <v/>
      </c>
      <c r="D215" s="39" t="str">
        <f>IF(Productos!A215="","",Productos!D215)</f>
        <v/>
      </c>
      <c r="E215" s="39" t="str">
        <f>IF(Productos!A215="","",Productos!E215)</f>
        <v/>
      </c>
      <c r="F215" s="39" t="str">
        <f>IF(Productos!A215="","",Productos!F215)</f>
        <v/>
      </c>
      <c r="G215" s="39" t="str">
        <f>IF(A215="","",SUMIF('Compras Entradas'!$C$5:$C$504,A215,'Compras Entradas'!$E$5:$E$504))</f>
        <v/>
      </c>
      <c r="H215" s="39" t="str">
        <f>IF(A215="","",SUMIF('Ventas Salidas'!$C$5:$C$504,A215,'Ventas Salidas'!$E$5:$E$504))</f>
        <v/>
      </c>
      <c r="I215" s="39" t="str">
        <f t="shared" si="9"/>
        <v/>
      </c>
      <c r="J215" s="39" t="str">
        <f t="shared" si="10"/>
        <v/>
      </c>
      <c r="K215" s="39" t="str">
        <f t="shared" si="11"/>
        <v/>
      </c>
      <c r="L215" s="22"/>
      <c r="M215" s="22" t="str">
        <f>IF(A215="","",IF(OR(J215="Bajo stock",J215="Sin stock"),COUNTIFS($J$5:$J215,"Bajo stock")+COUNTIFS($J$5:$J215,"Sin stock"),""))</f>
        <v/>
      </c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s="13" customFormat="1" ht="21.75" customHeight="1" x14ac:dyDescent="0.25">
      <c r="A216" s="39" t="str">
        <f>IF(Productos!A216="","",Productos!A216)</f>
        <v/>
      </c>
      <c r="B216" s="39" t="str">
        <f>IF(Productos!A216="","",Productos!B216)</f>
        <v/>
      </c>
      <c r="C216" s="39" t="str">
        <f>IF(Productos!A216="","",Productos!C216)</f>
        <v/>
      </c>
      <c r="D216" s="39" t="str">
        <f>IF(Productos!A216="","",Productos!D216)</f>
        <v/>
      </c>
      <c r="E216" s="39" t="str">
        <f>IF(Productos!A216="","",Productos!E216)</f>
        <v/>
      </c>
      <c r="F216" s="39" t="str">
        <f>IF(Productos!A216="","",Productos!F216)</f>
        <v/>
      </c>
      <c r="G216" s="39" t="str">
        <f>IF(A216="","",SUMIF('Compras Entradas'!$C$5:$C$504,A216,'Compras Entradas'!$E$5:$E$504))</f>
        <v/>
      </c>
      <c r="H216" s="39" t="str">
        <f>IF(A216="","",SUMIF('Ventas Salidas'!$C$5:$C$504,A216,'Ventas Salidas'!$E$5:$E$504))</f>
        <v/>
      </c>
      <c r="I216" s="39" t="str">
        <f t="shared" ref="I216:I229" si="12">IF(A216="","",F216+G216-H216)</f>
        <v/>
      </c>
      <c r="J216" s="39" t="str">
        <f t="shared" ref="J216:J229" si="13">IF(A216="","",IF(I216&lt;=0,"Sin stock",IF(I216&lt;E216,"Bajo stock","OK")))</f>
        <v/>
      </c>
      <c r="K216" s="39" t="str">
        <f t="shared" ref="K216:K229" si="14">IF(A216="","",IF(I216&lt;=0,"Comprar urgente",IF(I216&lt;E216,"Reponer pronto","Stock suficiente")))</f>
        <v/>
      </c>
      <c r="L216" s="22"/>
      <c r="M216" s="22" t="str">
        <f>IF(A216="","",IF(OR(J216="Bajo stock",J216="Sin stock"),COUNTIFS($J$5:$J216,"Bajo stock")+COUNTIFS($J$5:$J216,"Sin stock"),""))</f>
        <v/>
      </c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s="13" customFormat="1" ht="21.75" customHeight="1" x14ac:dyDescent="0.25">
      <c r="A217" s="39" t="str">
        <f>IF(Productos!A217="","",Productos!A217)</f>
        <v/>
      </c>
      <c r="B217" s="39" t="str">
        <f>IF(Productos!A217="","",Productos!B217)</f>
        <v/>
      </c>
      <c r="C217" s="39" t="str">
        <f>IF(Productos!A217="","",Productos!C217)</f>
        <v/>
      </c>
      <c r="D217" s="39" t="str">
        <f>IF(Productos!A217="","",Productos!D217)</f>
        <v/>
      </c>
      <c r="E217" s="39" t="str">
        <f>IF(Productos!A217="","",Productos!E217)</f>
        <v/>
      </c>
      <c r="F217" s="39" t="str">
        <f>IF(Productos!A217="","",Productos!F217)</f>
        <v/>
      </c>
      <c r="G217" s="39" t="str">
        <f>IF(A217="","",SUMIF('Compras Entradas'!$C$5:$C$504,A217,'Compras Entradas'!$E$5:$E$504))</f>
        <v/>
      </c>
      <c r="H217" s="39" t="str">
        <f>IF(A217="","",SUMIF('Ventas Salidas'!$C$5:$C$504,A217,'Ventas Salidas'!$E$5:$E$504))</f>
        <v/>
      </c>
      <c r="I217" s="39" t="str">
        <f t="shared" si="12"/>
        <v/>
      </c>
      <c r="J217" s="39" t="str">
        <f t="shared" si="13"/>
        <v/>
      </c>
      <c r="K217" s="39" t="str">
        <f t="shared" si="14"/>
        <v/>
      </c>
      <c r="L217" s="22"/>
      <c r="M217" s="22" t="str">
        <f>IF(A217="","",IF(OR(J217="Bajo stock",J217="Sin stock"),COUNTIFS($J$5:$J217,"Bajo stock")+COUNTIFS($J$5:$J217,"Sin stock"),""))</f>
        <v/>
      </c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s="13" customFormat="1" ht="21.75" customHeight="1" x14ac:dyDescent="0.25">
      <c r="A218" s="39" t="str">
        <f>IF(Productos!A218="","",Productos!A218)</f>
        <v/>
      </c>
      <c r="B218" s="39" t="str">
        <f>IF(Productos!A218="","",Productos!B218)</f>
        <v/>
      </c>
      <c r="C218" s="39" t="str">
        <f>IF(Productos!A218="","",Productos!C218)</f>
        <v/>
      </c>
      <c r="D218" s="39" t="str">
        <f>IF(Productos!A218="","",Productos!D218)</f>
        <v/>
      </c>
      <c r="E218" s="39" t="str">
        <f>IF(Productos!A218="","",Productos!E218)</f>
        <v/>
      </c>
      <c r="F218" s="39" t="str">
        <f>IF(Productos!A218="","",Productos!F218)</f>
        <v/>
      </c>
      <c r="G218" s="39" t="str">
        <f>IF(A218="","",SUMIF('Compras Entradas'!$C$5:$C$504,A218,'Compras Entradas'!$E$5:$E$504))</f>
        <v/>
      </c>
      <c r="H218" s="39" t="str">
        <f>IF(A218="","",SUMIF('Ventas Salidas'!$C$5:$C$504,A218,'Ventas Salidas'!$E$5:$E$504))</f>
        <v/>
      </c>
      <c r="I218" s="39" t="str">
        <f t="shared" si="12"/>
        <v/>
      </c>
      <c r="J218" s="39" t="str">
        <f t="shared" si="13"/>
        <v/>
      </c>
      <c r="K218" s="39" t="str">
        <f t="shared" si="14"/>
        <v/>
      </c>
      <c r="L218" s="22"/>
      <c r="M218" s="22" t="str">
        <f>IF(A218="","",IF(OR(J218="Bajo stock",J218="Sin stock"),COUNTIFS($J$5:$J218,"Bajo stock")+COUNTIFS($J$5:$J218,"Sin stock"),""))</f>
        <v/>
      </c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s="13" customFormat="1" ht="21.75" customHeight="1" x14ac:dyDescent="0.25">
      <c r="A219" s="39" t="str">
        <f>IF(Productos!A219="","",Productos!A219)</f>
        <v/>
      </c>
      <c r="B219" s="39" t="str">
        <f>IF(Productos!A219="","",Productos!B219)</f>
        <v/>
      </c>
      <c r="C219" s="39" t="str">
        <f>IF(Productos!A219="","",Productos!C219)</f>
        <v/>
      </c>
      <c r="D219" s="39" t="str">
        <f>IF(Productos!A219="","",Productos!D219)</f>
        <v/>
      </c>
      <c r="E219" s="39" t="str">
        <f>IF(Productos!A219="","",Productos!E219)</f>
        <v/>
      </c>
      <c r="F219" s="39" t="str">
        <f>IF(Productos!A219="","",Productos!F219)</f>
        <v/>
      </c>
      <c r="G219" s="39" t="str">
        <f>IF(A219="","",SUMIF('Compras Entradas'!$C$5:$C$504,A219,'Compras Entradas'!$E$5:$E$504))</f>
        <v/>
      </c>
      <c r="H219" s="39" t="str">
        <f>IF(A219="","",SUMIF('Ventas Salidas'!$C$5:$C$504,A219,'Ventas Salidas'!$E$5:$E$504))</f>
        <v/>
      </c>
      <c r="I219" s="39" t="str">
        <f t="shared" si="12"/>
        <v/>
      </c>
      <c r="J219" s="39" t="str">
        <f t="shared" si="13"/>
        <v/>
      </c>
      <c r="K219" s="39" t="str">
        <f t="shared" si="14"/>
        <v/>
      </c>
      <c r="L219" s="22"/>
      <c r="M219" s="22" t="str">
        <f>IF(A219="","",IF(OR(J219="Bajo stock",J219="Sin stock"),COUNTIFS($J$5:$J219,"Bajo stock")+COUNTIFS($J$5:$J219,"Sin stock"),""))</f>
        <v/>
      </c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s="13" customFormat="1" ht="21.75" customHeight="1" x14ac:dyDescent="0.25">
      <c r="A220" s="39" t="str">
        <f>IF(Productos!A220="","",Productos!A220)</f>
        <v/>
      </c>
      <c r="B220" s="39" t="str">
        <f>IF(Productos!A220="","",Productos!B220)</f>
        <v/>
      </c>
      <c r="C220" s="39" t="str">
        <f>IF(Productos!A220="","",Productos!C220)</f>
        <v/>
      </c>
      <c r="D220" s="39" t="str">
        <f>IF(Productos!A220="","",Productos!D220)</f>
        <v/>
      </c>
      <c r="E220" s="39" t="str">
        <f>IF(Productos!A220="","",Productos!E220)</f>
        <v/>
      </c>
      <c r="F220" s="39" t="str">
        <f>IF(Productos!A220="","",Productos!F220)</f>
        <v/>
      </c>
      <c r="G220" s="39" t="str">
        <f>IF(A220="","",SUMIF('Compras Entradas'!$C$5:$C$504,A220,'Compras Entradas'!$E$5:$E$504))</f>
        <v/>
      </c>
      <c r="H220" s="39" t="str">
        <f>IF(A220="","",SUMIF('Ventas Salidas'!$C$5:$C$504,A220,'Ventas Salidas'!$E$5:$E$504))</f>
        <v/>
      </c>
      <c r="I220" s="39" t="str">
        <f t="shared" si="12"/>
        <v/>
      </c>
      <c r="J220" s="39" t="str">
        <f t="shared" si="13"/>
        <v/>
      </c>
      <c r="K220" s="39" t="str">
        <f t="shared" si="14"/>
        <v/>
      </c>
      <c r="L220" s="22"/>
      <c r="M220" s="22" t="str">
        <f>IF(A220="","",IF(OR(J220="Bajo stock",J220="Sin stock"),COUNTIFS($J$5:$J220,"Bajo stock")+COUNTIFS($J$5:$J220,"Sin stock"),""))</f>
        <v/>
      </c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s="13" customFormat="1" ht="21.75" customHeight="1" x14ac:dyDescent="0.25">
      <c r="A221" s="39" t="str">
        <f>IF(Productos!A221="","",Productos!A221)</f>
        <v/>
      </c>
      <c r="B221" s="39" t="str">
        <f>IF(Productos!A221="","",Productos!B221)</f>
        <v/>
      </c>
      <c r="C221" s="39" t="str">
        <f>IF(Productos!A221="","",Productos!C221)</f>
        <v/>
      </c>
      <c r="D221" s="39" t="str">
        <f>IF(Productos!A221="","",Productos!D221)</f>
        <v/>
      </c>
      <c r="E221" s="39" t="str">
        <f>IF(Productos!A221="","",Productos!E221)</f>
        <v/>
      </c>
      <c r="F221" s="39" t="str">
        <f>IF(Productos!A221="","",Productos!F221)</f>
        <v/>
      </c>
      <c r="G221" s="39" t="str">
        <f>IF(A221="","",SUMIF('Compras Entradas'!$C$5:$C$504,A221,'Compras Entradas'!$E$5:$E$504))</f>
        <v/>
      </c>
      <c r="H221" s="39" t="str">
        <f>IF(A221="","",SUMIF('Ventas Salidas'!$C$5:$C$504,A221,'Ventas Salidas'!$E$5:$E$504))</f>
        <v/>
      </c>
      <c r="I221" s="39" t="str">
        <f t="shared" si="12"/>
        <v/>
      </c>
      <c r="J221" s="39" t="str">
        <f t="shared" si="13"/>
        <v/>
      </c>
      <c r="K221" s="39" t="str">
        <f t="shared" si="14"/>
        <v/>
      </c>
      <c r="L221" s="22"/>
      <c r="M221" s="22" t="str">
        <f>IF(A221="","",IF(OR(J221="Bajo stock",J221="Sin stock"),COUNTIFS($J$5:$J221,"Bajo stock")+COUNTIFS($J$5:$J221,"Sin stock"),""))</f>
        <v/>
      </c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s="13" customFormat="1" ht="21.75" customHeight="1" x14ac:dyDescent="0.25">
      <c r="A222" s="39" t="str">
        <f>IF(Productos!A222="","",Productos!A222)</f>
        <v/>
      </c>
      <c r="B222" s="39" t="str">
        <f>IF(Productos!A222="","",Productos!B222)</f>
        <v/>
      </c>
      <c r="C222" s="39" t="str">
        <f>IF(Productos!A222="","",Productos!C222)</f>
        <v/>
      </c>
      <c r="D222" s="39" t="str">
        <f>IF(Productos!A222="","",Productos!D222)</f>
        <v/>
      </c>
      <c r="E222" s="39" t="str">
        <f>IF(Productos!A222="","",Productos!E222)</f>
        <v/>
      </c>
      <c r="F222" s="39" t="str">
        <f>IF(Productos!A222="","",Productos!F222)</f>
        <v/>
      </c>
      <c r="G222" s="39" t="str">
        <f>IF(A222="","",SUMIF('Compras Entradas'!$C$5:$C$504,A222,'Compras Entradas'!$E$5:$E$504))</f>
        <v/>
      </c>
      <c r="H222" s="39" t="str">
        <f>IF(A222="","",SUMIF('Ventas Salidas'!$C$5:$C$504,A222,'Ventas Salidas'!$E$5:$E$504))</f>
        <v/>
      </c>
      <c r="I222" s="39" t="str">
        <f t="shared" si="12"/>
        <v/>
      </c>
      <c r="J222" s="39" t="str">
        <f t="shared" si="13"/>
        <v/>
      </c>
      <c r="K222" s="39" t="str">
        <f t="shared" si="14"/>
        <v/>
      </c>
      <c r="L222" s="22"/>
      <c r="M222" s="22" t="str">
        <f>IF(A222="","",IF(OR(J222="Bajo stock",J222="Sin stock"),COUNTIFS($J$5:$J222,"Bajo stock")+COUNTIFS($J$5:$J222,"Sin stock"),""))</f>
        <v/>
      </c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s="13" customFormat="1" ht="21.75" customHeight="1" x14ac:dyDescent="0.25">
      <c r="A223" s="39" t="str">
        <f>IF(Productos!A223="","",Productos!A223)</f>
        <v/>
      </c>
      <c r="B223" s="39" t="str">
        <f>IF(Productos!A223="","",Productos!B223)</f>
        <v/>
      </c>
      <c r="C223" s="39" t="str">
        <f>IF(Productos!A223="","",Productos!C223)</f>
        <v/>
      </c>
      <c r="D223" s="39" t="str">
        <f>IF(Productos!A223="","",Productos!D223)</f>
        <v/>
      </c>
      <c r="E223" s="39" t="str">
        <f>IF(Productos!A223="","",Productos!E223)</f>
        <v/>
      </c>
      <c r="F223" s="39" t="str">
        <f>IF(Productos!A223="","",Productos!F223)</f>
        <v/>
      </c>
      <c r="G223" s="39" t="str">
        <f>IF(A223="","",SUMIF('Compras Entradas'!$C$5:$C$504,A223,'Compras Entradas'!$E$5:$E$504))</f>
        <v/>
      </c>
      <c r="H223" s="39" t="str">
        <f>IF(A223="","",SUMIF('Ventas Salidas'!$C$5:$C$504,A223,'Ventas Salidas'!$E$5:$E$504))</f>
        <v/>
      </c>
      <c r="I223" s="39" t="str">
        <f t="shared" si="12"/>
        <v/>
      </c>
      <c r="J223" s="39" t="str">
        <f t="shared" si="13"/>
        <v/>
      </c>
      <c r="K223" s="39" t="str">
        <f t="shared" si="14"/>
        <v/>
      </c>
      <c r="L223" s="22"/>
      <c r="M223" s="22" t="str">
        <f>IF(A223="","",IF(OR(J223="Bajo stock",J223="Sin stock"),COUNTIFS($J$5:$J223,"Bajo stock")+COUNTIFS($J$5:$J223,"Sin stock"),""))</f>
        <v/>
      </c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s="13" customFormat="1" ht="21.75" customHeight="1" x14ac:dyDescent="0.25">
      <c r="A224" s="39" t="str">
        <f>IF(Productos!A224="","",Productos!A224)</f>
        <v/>
      </c>
      <c r="B224" s="39" t="str">
        <f>IF(Productos!A224="","",Productos!B224)</f>
        <v/>
      </c>
      <c r="C224" s="39" t="str">
        <f>IF(Productos!A224="","",Productos!C224)</f>
        <v/>
      </c>
      <c r="D224" s="39" t="str">
        <f>IF(Productos!A224="","",Productos!D224)</f>
        <v/>
      </c>
      <c r="E224" s="39" t="str">
        <f>IF(Productos!A224="","",Productos!E224)</f>
        <v/>
      </c>
      <c r="F224" s="39" t="str">
        <f>IF(Productos!A224="","",Productos!F224)</f>
        <v/>
      </c>
      <c r="G224" s="39" t="str">
        <f>IF(A224="","",SUMIF('Compras Entradas'!$C$5:$C$504,A224,'Compras Entradas'!$E$5:$E$504))</f>
        <v/>
      </c>
      <c r="H224" s="39" t="str">
        <f>IF(A224="","",SUMIF('Ventas Salidas'!$C$5:$C$504,A224,'Ventas Salidas'!$E$5:$E$504))</f>
        <v/>
      </c>
      <c r="I224" s="39" t="str">
        <f t="shared" si="12"/>
        <v/>
      </c>
      <c r="J224" s="39" t="str">
        <f t="shared" si="13"/>
        <v/>
      </c>
      <c r="K224" s="39" t="str">
        <f t="shared" si="14"/>
        <v/>
      </c>
      <c r="L224" s="22"/>
      <c r="M224" s="22" t="str">
        <f>IF(A224="","",IF(OR(J224="Bajo stock",J224="Sin stock"),COUNTIFS($J$5:$J224,"Bajo stock")+COUNTIFS($J$5:$J224,"Sin stock"),""))</f>
        <v/>
      </c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s="13" customFormat="1" ht="21.75" customHeight="1" x14ac:dyDescent="0.25">
      <c r="A225" s="39" t="str">
        <f>IF(Productos!A225="","",Productos!A225)</f>
        <v/>
      </c>
      <c r="B225" s="39" t="str">
        <f>IF(Productos!A225="","",Productos!B225)</f>
        <v/>
      </c>
      <c r="C225" s="39" t="str">
        <f>IF(Productos!A225="","",Productos!C225)</f>
        <v/>
      </c>
      <c r="D225" s="39" t="str">
        <f>IF(Productos!A225="","",Productos!D225)</f>
        <v/>
      </c>
      <c r="E225" s="39" t="str">
        <f>IF(Productos!A225="","",Productos!E225)</f>
        <v/>
      </c>
      <c r="F225" s="39" t="str">
        <f>IF(Productos!A225="","",Productos!F225)</f>
        <v/>
      </c>
      <c r="G225" s="39" t="str">
        <f>IF(A225="","",SUMIF('Compras Entradas'!$C$5:$C$504,A225,'Compras Entradas'!$E$5:$E$504))</f>
        <v/>
      </c>
      <c r="H225" s="39" t="str">
        <f>IF(A225="","",SUMIF('Ventas Salidas'!$C$5:$C$504,A225,'Ventas Salidas'!$E$5:$E$504))</f>
        <v/>
      </c>
      <c r="I225" s="39" t="str">
        <f t="shared" si="12"/>
        <v/>
      </c>
      <c r="J225" s="39" t="str">
        <f t="shared" si="13"/>
        <v/>
      </c>
      <c r="K225" s="39" t="str">
        <f t="shared" si="14"/>
        <v/>
      </c>
      <c r="L225" s="22"/>
      <c r="M225" s="22" t="str">
        <f>IF(A225="","",IF(OR(J225="Bajo stock",J225="Sin stock"),COUNTIFS($J$5:$J225,"Bajo stock")+COUNTIFS($J$5:$J225,"Sin stock"),""))</f>
        <v/>
      </c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s="13" customFormat="1" ht="21.75" customHeight="1" x14ac:dyDescent="0.25">
      <c r="A226" s="39" t="str">
        <f>IF(Productos!A226="","",Productos!A226)</f>
        <v/>
      </c>
      <c r="B226" s="39" t="str">
        <f>IF(Productos!A226="","",Productos!B226)</f>
        <v/>
      </c>
      <c r="C226" s="39" t="str">
        <f>IF(Productos!A226="","",Productos!C226)</f>
        <v/>
      </c>
      <c r="D226" s="39" t="str">
        <f>IF(Productos!A226="","",Productos!D226)</f>
        <v/>
      </c>
      <c r="E226" s="39" t="str">
        <f>IF(Productos!A226="","",Productos!E226)</f>
        <v/>
      </c>
      <c r="F226" s="39" t="str">
        <f>IF(Productos!A226="","",Productos!F226)</f>
        <v/>
      </c>
      <c r="G226" s="39" t="str">
        <f>IF(A226="","",SUMIF('Compras Entradas'!$C$5:$C$504,A226,'Compras Entradas'!$E$5:$E$504))</f>
        <v/>
      </c>
      <c r="H226" s="39" t="str">
        <f>IF(A226="","",SUMIF('Ventas Salidas'!$C$5:$C$504,A226,'Ventas Salidas'!$E$5:$E$504))</f>
        <v/>
      </c>
      <c r="I226" s="39" t="str">
        <f t="shared" si="12"/>
        <v/>
      </c>
      <c r="J226" s="39" t="str">
        <f t="shared" si="13"/>
        <v/>
      </c>
      <c r="K226" s="39" t="str">
        <f t="shared" si="14"/>
        <v/>
      </c>
      <c r="L226" s="22"/>
      <c r="M226" s="22" t="str">
        <f>IF(A226="","",IF(OR(J226="Bajo stock",J226="Sin stock"),COUNTIFS($J$5:$J226,"Bajo stock")+COUNTIFS($J$5:$J226,"Sin stock"),""))</f>
        <v/>
      </c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s="13" customFormat="1" ht="21.75" customHeight="1" x14ac:dyDescent="0.25">
      <c r="A227" s="39" t="str">
        <f>IF(Productos!A227="","",Productos!A227)</f>
        <v/>
      </c>
      <c r="B227" s="39" t="str">
        <f>IF(Productos!A227="","",Productos!B227)</f>
        <v/>
      </c>
      <c r="C227" s="39" t="str">
        <f>IF(Productos!A227="","",Productos!C227)</f>
        <v/>
      </c>
      <c r="D227" s="39" t="str">
        <f>IF(Productos!A227="","",Productos!D227)</f>
        <v/>
      </c>
      <c r="E227" s="39" t="str">
        <f>IF(Productos!A227="","",Productos!E227)</f>
        <v/>
      </c>
      <c r="F227" s="39" t="str">
        <f>IF(Productos!A227="","",Productos!F227)</f>
        <v/>
      </c>
      <c r="G227" s="39" t="str">
        <f>IF(A227="","",SUMIF('Compras Entradas'!$C$5:$C$504,A227,'Compras Entradas'!$E$5:$E$504))</f>
        <v/>
      </c>
      <c r="H227" s="39" t="str">
        <f>IF(A227="","",SUMIF('Ventas Salidas'!$C$5:$C$504,A227,'Ventas Salidas'!$E$5:$E$504))</f>
        <v/>
      </c>
      <c r="I227" s="39" t="str">
        <f t="shared" si="12"/>
        <v/>
      </c>
      <c r="J227" s="39" t="str">
        <f t="shared" si="13"/>
        <v/>
      </c>
      <c r="K227" s="39" t="str">
        <f t="shared" si="14"/>
        <v/>
      </c>
      <c r="L227" s="22"/>
      <c r="M227" s="22" t="str">
        <f>IF(A227="","",IF(OR(J227="Bajo stock",J227="Sin stock"),COUNTIFS($J$5:$J227,"Bajo stock")+COUNTIFS($J$5:$J227,"Sin stock"),""))</f>
        <v/>
      </c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s="13" customFormat="1" ht="21.75" customHeight="1" x14ac:dyDescent="0.25">
      <c r="A228" s="39" t="str">
        <f>IF(Productos!A228="","",Productos!A228)</f>
        <v/>
      </c>
      <c r="B228" s="39" t="str">
        <f>IF(Productos!A228="","",Productos!B228)</f>
        <v/>
      </c>
      <c r="C228" s="39" t="str">
        <f>IF(Productos!A228="","",Productos!C228)</f>
        <v/>
      </c>
      <c r="D228" s="39" t="str">
        <f>IF(Productos!A228="","",Productos!D228)</f>
        <v/>
      </c>
      <c r="E228" s="39" t="str">
        <f>IF(Productos!A228="","",Productos!E228)</f>
        <v/>
      </c>
      <c r="F228" s="39" t="str">
        <f>IF(Productos!A228="","",Productos!F228)</f>
        <v/>
      </c>
      <c r="G228" s="39" t="str">
        <f>IF(A228="","",SUMIF('Compras Entradas'!$C$5:$C$504,A228,'Compras Entradas'!$E$5:$E$504))</f>
        <v/>
      </c>
      <c r="H228" s="39" t="str">
        <f>IF(A228="","",SUMIF('Ventas Salidas'!$C$5:$C$504,A228,'Ventas Salidas'!$E$5:$E$504))</f>
        <v/>
      </c>
      <c r="I228" s="39" t="str">
        <f t="shared" si="12"/>
        <v/>
      </c>
      <c r="J228" s="39" t="str">
        <f t="shared" si="13"/>
        <v/>
      </c>
      <c r="K228" s="39" t="str">
        <f t="shared" si="14"/>
        <v/>
      </c>
      <c r="L228" s="22"/>
      <c r="M228" s="22" t="str">
        <f>IF(A228="","",IF(OR(J228="Bajo stock",J228="Sin stock"),COUNTIFS($J$5:$J228,"Bajo stock")+COUNTIFS($J$5:$J228,"Sin stock"),""))</f>
        <v/>
      </c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s="13" customFormat="1" ht="21.75" customHeight="1" x14ac:dyDescent="0.25">
      <c r="A229" s="39" t="str">
        <f>IF(Productos!A229="","",Productos!A229)</f>
        <v/>
      </c>
      <c r="B229" s="39" t="str">
        <f>IF(Productos!A229="","",Productos!B229)</f>
        <v/>
      </c>
      <c r="C229" s="39" t="str">
        <f>IF(Productos!A229="","",Productos!C229)</f>
        <v/>
      </c>
      <c r="D229" s="39" t="str">
        <f>IF(Productos!A229="","",Productos!D229)</f>
        <v/>
      </c>
      <c r="E229" s="39" t="str">
        <f>IF(Productos!A229="","",Productos!E229)</f>
        <v/>
      </c>
      <c r="F229" s="39" t="str">
        <f>IF(Productos!A229="","",Productos!F229)</f>
        <v/>
      </c>
      <c r="G229" s="39" t="str">
        <f>IF(A229="","",SUMIF('Compras Entradas'!$C$5:$C$504,A229,'Compras Entradas'!$E$5:$E$504))</f>
        <v/>
      </c>
      <c r="H229" s="39" t="str">
        <f>IF(A229="","",SUMIF('Ventas Salidas'!$C$5:$C$504,A229,'Ventas Salidas'!$E$5:$E$504))</f>
        <v/>
      </c>
      <c r="I229" s="39" t="str">
        <f t="shared" si="12"/>
        <v/>
      </c>
      <c r="J229" s="39" t="str">
        <f t="shared" si="13"/>
        <v/>
      </c>
      <c r="K229" s="39" t="str">
        <f t="shared" si="14"/>
        <v/>
      </c>
      <c r="L229" s="22"/>
      <c r="M229" s="22" t="str">
        <f>IF(A229="","",IF(OR(J229="Bajo stock",J229="Sin stock"),COUNTIFS($J$5:$J229,"Bajo stock")+COUNTIFS($J$5:$J229,"Sin stock"),""))</f>
        <v/>
      </c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s="13" customFormat="1" ht="21.75" customHeight="1" x14ac:dyDescent="0.25">
      <c r="A230" s="12" t="str">
        <f>IF(Productos!A230="","",Productos!A230)</f>
        <v/>
      </c>
      <c r="B230" s="12" t="str">
        <f>IF(Productos!A230="","",Productos!B230)</f>
        <v/>
      </c>
      <c r="C230" s="12" t="str">
        <f>IF(Productos!A230="","",Productos!C230)</f>
        <v/>
      </c>
      <c r="D230" s="12" t="str">
        <f>IF(Productos!A230="","",Productos!D230)</f>
        <v/>
      </c>
      <c r="E230" s="12" t="str">
        <f>IF(Productos!A230="","",Productos!E230)</f>
        <v/>
      </c>
      <c r="F230" s="12" t="str">
        <f>IF(Productos!A230="","",Productos!F230)</f>
        <v/>
      </c>
      <c r="G230" s="12" t="str">
        <f>IF(A230="","",SUMIF('Compras Entradas'!$C$5:$C$504,A230,'Compras Entradas'!$E$5:$E$504))</f>
        <v/>
      </c>
      <c r="H230" s="12" t="str">
        <f>IF(A230="","",SUMIF('Ventas Salidas'!$C$5:$C$504,A230,'Ventas Salidas'!$E$5:$E$504))</f>
        <v/>
      </c>
      <c r="I230" s="12" t="str">
        <f t="shared" si="9"/>
        <v/>
      </c>
      <c r="J230" s="12" t="str">
        <f t="shared" si="10"/>
        <v/>
      </c>
      <c r="K230" s="12" t="str">
        <f t="shared" si="11"/>
        <v/>
      </c>
      <c r="L230" s="22"/>
      <c r="M230" s="22" t="str">
        <f>IF(A230="","",IF(OR(J230="Bajo stock",J230="Sin stock"),COUNTIFS($J$5:$J230,"Bajo stock")+COUNTIFS($J$5:$J230,"Sin stock"),""))</f>
        <v/>
      </c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s="13" customFormat="1" ht="21.75" customHeight="1" x14ac:dyDescent="0.25">
      <c r="A231" s="22" t="str">
        <f>IF(Productos!A231="","",Productos!A231)</f>
        <v/>
      </c>
      <c r="B231" s="22" t="str">
        <f>IF(Productos!A231="","",Productos!B231)</f>
        <v/>
      </c>
      <c r="C231" s="22" t="str">
        <f>IF(Productos!A231="","",Productos!C231)</f>
        <v/>
      </c>
      <c r="D231" s="22" t="str">
        <f>IF(Productos!A231="","",Productos!D231)</f>
        <v/>
      </c>
      <c r="E231" s="22" t="str">
        <f>IF(Productos!A231="","",Productos!E231)</f>
        <v/>
      </c>
      <c r="F231" s="22" t="str">
        <f>IF(Productos!A231="","",Productos!F231)</f>
        <v/>
      </c>
      <c r="G231" s="22" t="str">
        <f>IF(A231="","",SUMIF('Compras Entradas'!$C$5:$C$504,A231,'Compras Entradas'!$E$5:$E$504))</f>
        <v/>
      </c>
      <c r="H231" s="22" t="str">
        <f>IF(A231="","",SUMIF('Ventas Salidas'!$C$5:$C$504,A231,'Ventas Salidas'!$E$5:$E$504))</f>
        <v/>
      </c>
      <c r="I231" s="22" t="str">
        <f t="shared" si="9"/>
        <v/>
      </c>
      <c r="J231" s="22" t="str">
        <f t="shared" si="10"/>
        <v/>
      </c>
      <c r="K231" s="22" t="str">
        <f t="shared" si="11"/>
        <v/>
      </c>
      <c r="L231" s="22"/>
      <c r="M231" s="22" t="str">
        <f>IF(A231="","",IF(OR(J231="Bajo stock",J231="Sin stock"),COUNTIFS($J$5:$J231,"Bajo stock")+COUNTIFS($J$5:$J231,"Sin stock"),""))</f>
        <v/>
      </c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s="13" customFormat="1" ht="21.75" customHeight="1" x14ac:dyDescent="0.25">
      <c r="A232" s="22" t="str">
        <f>IF(Productos!A232="","",Productos!A232)</f>
        <v/>
      </c>
      <c r="B232" s="22" t="str">
        <f>IF(Productos!A232="","",Productos!B232)</f>
        <v/>
      </c>
      <c r="C232" s="22" t="str">
        <f>IF(Productos!A232="","",Productos!C232)</f>
        <v/>
      </c>
      <c r="D232" s="22" t="str">
        <f>IF(Productos!A232="","",Productos!D232)</f>
        <v/>
      </c>
      <c r="E232" s="22" t="str">
        <f>IF(Productos!A232="","",Productos!E232)</f>
        <v/>
      </c>
      <c r="F232" s="22" t="str">
        <f>IF(Productos!A232="","",Productos!F232)</f>
        <v/>
      </c>
      <c r="G232" s="22" t="str">
        <f>IF(A232="","",SUMIF('Compras Entradas'!$C$5:$C$504,A232,'Compras Entradas'!$E$5:$E$504))</f>
        <v/>
      </c>
      <c r="H232" s="22" t="str">
        <f>IF(A232="","",SUMIF('Ventas Salidas'!$C$5:$C$504,A232,'Ventas Salidas'!$E$5:$E$504))</f>
        <v/>
      </c>
      <c r="I232" s="22" t="str">
        <f t="shared" si="9"/>
        <v/>
      </c>
      <c r="J232" s="22" t="str">
        <f t="shared" si="10"/>
        <v/>
      </c>
      <c r="K232" s="22" t="str">
        <f t="shared" si="11"/>
        <v/>
      </c>
      <c r="L232" s="22"/>
      <c r="M232" s="22" t="str">
        <f>IF(A232="","",IF(OR(J232="Bajo stock",J232="Sin stock"),COUNTIFS($J$5:$J232,"Bajo stock")+COUNTIFS($J$5:$J232,"Sin stock"),""))</f>
        <v/>
      </c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s="13" customFormat="1" ht="21.75" customHeight="1" x14ac:dyDescent="0.25">
      <c r="A233" s="22" t="str">
        <f>IF(Productos!A233="","",Productos!A233)</f>
        <v/>
      </c>
      <c r="B233" s="22" t="str">
        <f>IF(Productos!A233="","",Productos!B233)</f>
        <v/>
      </c>
      <c r="C233" s="22" t="str">
        <f>IF(Productos!A233="","",Productos!C233)</f>
        <v/>
      </c>
      <c r="D233" s="22" t="str">
        <f>IF(Productos!A233="","",Productos!D233)</f>
        <v/>
      </c>
      <c r="E233" s="22" t="str">
        <f>IF(Productos!A233="","",Productos!E233)</f>
        <v/>
      </c>
      <c r="F233" s="22" t="str">
        <f>IF(Productos!A233="","",Productos!F233)</f>
        <v/>
      </c>
      <c r="G233" s="22" t="str">
        <f>IF(A233="","",SUMIF('Compras Entradas'!$C$5:$C$504,A233,'Compras Entradas'!$E$5:$E$504))</f>
        <v/>
      </c>
      <c r="H233" s="22" t="str">
        <f>IF(A233="","",SUMIF('Ventas Salidas'!$C$5:$C$504,A233,'Ventas Salidas'!$E$5:$E$504))</f>
        <v/>
      </c>
      <c r="I233" s="22" t="str">
        <f t="shared" si="9"/>
        <v/>
      </c>
      <c r="J233" s="22" t="str">
        <f t="shared" si="10"/>
        <v/>
      </c>
      <c r="K233" s="22" t="str">
        <f t="shared" si="11"/>
        <v/>
      </c>
      <c r="L233" s="22"/>
      <c r="M233" s="22" t="str">
        <f>IF(A233="","",IF(OR(J233="Bajo stock",J233="Sin stock"),COUNTIFS($J$5:$J233,"Bajo stock")+COUNTIFS($J$5:$J233,"Sin stock"),""))</f>
        <v/>
      </c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s="13" customFormat="1" ht="21.75" customHeight="1" x14ac:dyDescent="0.25">
      <c r="A234" s="22" t="str">
        <f>IF(Productos!A234="","",Productos!A234)</f>
        <v/>
      </c>
      <c r="B234" s="22" t="str">
        <f>IF(Productos!A234="","",Productos!B234)</f>
        <v/>
      </c>
      <c r="C234" s="22" t="str">
        <f>IF(Productos!A234="","",Productos!C234)</f>
        <v/>
      </c>
      <c r="D234" s="22" t="str">
        <f>IF(Productos!A234="","",Productos!D234)</f>
        <v/>
      </c>
      <c r="E234" s="22" t="str">
        <f>IF(Productos!A234="","",Productos!E234)</f>
        <v/>
      </c>
      <c r="F234" s="22" t="str">
        <f>IF(Productos!A234="","",Productos!F234)</f>
        <v/>
      </c>
      <c r="G234" s="22" t="str">
        <f>IF(A234="","",SUMIF('Compras Entradas'!$C$5:$C$504,A234,'Compras Entradas'!$E$5:$E$504))</f>
        <v/>
      </c>
      <c r="H234" s="22" t="str">
        <f>IF(A234="","",SUMIF('Ventas Salidas'!$C$5:$C$504,A234,'Ventas Salidas'!$E$5:$E$504))</f>
        <v/>
      </c>
      <c r="I234" s="22" t="str">
        <f t="shared" si="9"/>
        <v/>
      </c>
      <c r="J234" s="22" t="str">
        <f t="shared" si="10"/>
        <v/>
      </c>
      <c r="K234" s="22" t="str">
        <f t="shared" si="11"/>
        <v/>
      </c>
      <c r="L234" s="22"/>
      <c r="M234" s="22" t="str">
        <f>IF(A234="","",IF(OR(J234="Bajo stock",J234="Sin stock"),COUNTIFS($J$5:$J234,"Bajo stock")+COUNTIFS($J$5:$J234,"Sin stock"),""))</f>
        <v/>
      </c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s="13" customFormat="1" ht="21.75" customHeight="1" x14ac:dyDescent="0.25">
      <c r="A235" s="22" t="str">
        <f>IF(Productos!A235="","",Productos!A235)</f>
        <v/>
      </c>
      <c r="B235" s="22" t="str">
        <f>IF(Productos!A235="","",Productos!B235)</f>
        <v/>
      </c>
      <c r="C235" s="22" t="str">
        <f>IF(Productos!A235="","",Productos!C235)</f>
        <v/>
      </c>
      <c r="D235" s="22" t="str">
        <f>IF(Productos!A235="","",Productos!D235)</f>
        <v/>
      </c>
      <c r="E235" s="22" t="str">
        <f>IF(Productos!A235="","",Productos!E235)</f>
        <v/>
      </c>
      <c r="F235" s="22" t="str">
        <f>IF(Productos!A235="","",Productos!F235)</f>
        <v/>
      </c>
      <c r="G235" s="22" t="str">
        <f>IF(A235="","",SUMIF('Compras Entradas'!$C$5:$C$504,A235,'Compras Entradas'!$E$5:$E$504))</f>
        <v/>
      </c>
      <c r="H235" s="22" t="str">
        <f>IF(A235="","",SUMIF('Ventas Salidas'!$C$5:$C$504,A235,'Ventas Salidas'!$E$5:$E$504))</f>
        <v/>
      </c>
      <c r="I235" s="22" t="str">
        <f t="shared" si="9"/>
        <v/>
      </c>
      <c r="J235" s="22" t="str">
        <f t="shared" si="10"/>
        <v/>
      </c>
      <c r="K235" s="22" t="str">
        <f t="shared" si="11"/>
        <v/>
      </c>
      <c r="L235" s="22"/>
      <c r="M235" s="22" t="str">
        <f>IF(A235="","",IF(OR(J235="Bajo stock",J235="Sin stock"),COUNTIFS($J$5:$J235,"Bajo stock")+COUNTIFS($J$5:$J235,"Sin stock"),""))</f>
        <v/>
      </c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s="13" customFormat="1" ht="21.75" customHeight="1" x14ac:dyDescent="0.25">
      <c r="A236" s="22" t="str">
        <f>IF(Productos!A236="","",Productos!A236)</f>
        <v/>
      </c>
      <c r="B236" s="22" t="str">
        <f>IF(Productos!A236="","",Productos!B236)</f>
        <v/>
      </c>
      <c r="C236" s="22" t="str">
        <f>IF(Productos!A236="","",Productos!C236)</f>
        <v/>
      </c>
      <c r="D236" s="22" t="str">
        <f>IF(Productos!A236="","",Productos!D236)</f>
        <v/>
      </c>
      <c r="E236" s="22" t="str">
        <f>IF(Productos!A236="","",Productos!E236)</f>
        <v/>
      </c>
      <c r="F236" s="22" t="str">
        <f>IF(Productos!A236="","",Productos!F236)</f>
        <v/>
      </c>
      <c r="G236" s="22" t="str">
        <f>IF(A236="","",SUMIF('Compras Entradas'!$C$5:$C$504,A236,'Compras Entradas'!$E$5:$E$504))</f>
        <v/>
      </c>
      <c r="H236" s="22" t="str">
        <f>IF(A236="","",SUMIF('Ventas Salidas'!$C$5:$C$504,A236,'Ventas Salidas'!$E$5:$E$504))</f>
        <v/>
      </c>
      <c r="I236" s="22" t="str">
        <f t="shared" si="9"/>
        <v/>
      </c>
      <c r="J236" s="22" t="str">
        <f t="shared" si="10"/>
        <v/>
      </c>
      <c r="K236" s="22" t="str">
        <f t="shared" si="11"/>
        <v/>
      </c>
      <c r="L236" s="22"/>
      <c r="M236" s="22" t="str">
        <f>IF(A236="","",IF(OR(J236="Bajo stock",J236="Sin stock"),COUNTIFS($J$5:$J236,"Bajo stock")+COUNTIFS($J$5:$J236,"Sin stock"),""))</f>
        <v/>
      </c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s="13" customFormat="1" ht="21.75" customHeight="1" x14ac:dyDescent="0.25">
      <c r="A237" s="22" t="str">
        <f>IF(Productos!A237="","",Productos!A237)</f>
        <v/>
      </c>
      <c r="B237" s="22" t="str">
        <f>IF(Productos!A237="","",Productos!B237)</f>
        <v/>
      </c>
      <c r="C237" s="22" t="str">
        <f>IF(Productos!A237="","",Productos!C237)</f>
        <v/>
      </c>
      <c r="D237" s="22" t="str">
        <f>IF(Productos!A237="","",Productos!D237)</f>
        <v/>
      </c>
      <c r="E237" s="22" t="str">
        <f>IF(Productos!A237="","",Productos!E237)</f>
        <v/>
      </c>
      <c r="F237" s="22" t="str">
        <f>IF(Productos!A237="","",Productos!F237)</f>
        <v/>
      </c>
      <c r="G237" s="22" t="str">
        <f>IF(A237="","",SUMIF('Compras Entradas'!$C$5:$C$504,A237,'Compras Entradas'!$E$5:$E$504))</f>
        <v/>
      </c>
      <c r="H237" s="22" t="str">
        <f>IF(A237="","",SUMIF('Ventas Salidas'!$C$5:$C$504,A237,'Ventas Salidas'!$E$5:$E$504))</f>
        <v/>
      </c>
      <c r="I237" s="22" t="str">
        <f t="shared" si="9"/>
        <v/>
      </c>
      <c r="J237" s="22" t="str">
        <f t="shared" si="10"/>
        <v/>
      </c>
      <c r="K237" s="22" t="str">
        <f t="shared" si="11"/>
        <v/>
      </c>
      <c r="L237" s="22"/>
      <c r="M237" s="22" t="str">
        <f>IF(A237="","",IF(OR(J237="Bajo stock",J237="Sin stock"),COUNTIFS($J$5:$J237,"Bajo stock")+COUNTIFS($J$5:$J237,"Sin stock"),""))</f>
        <v/>
      </c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s="13" customFormat="1" ht="21.75" customHeight="1" x14ac:dyDescent="0.25">
      <c r="A238" s="22" t="str">
        <f>IF(Productos!A238="","",Productos!A238)</f>
        <v/>
      </c>
      <c r="B238" s="22" t="str">
        <f>IF(Productos!A238="","",Productos!B238)</f>
        <v/>
      </c>
      <c r="C238" s="22" t="str">
        <f>IF(Productos!A238="","",Productos!C238)</f>
        <v/>
      </c>
      <c r="D238" s="22" t="str">
        <f>IF(Productos!A238="","",Productos!D238)</f>
        <v/>
      </c>
      <c r="E238" s="22" t="str">
        <f>IF(Productos!A238="","",Productos!E238)</f>
        <v/>
      </c>
      <c r="F238" s="22" t="str">
        <f>IF(Productos!A238="","",Productos!F238)</f>
        <v/>
      </c>
      <c r="G238" s="22" t="str">
        <f>IF(A238="","",SUMIF('Compras Entradas'!$C$5:$C$504,A238,'Compras Entradas'!$E$5:$E$504))</f>
        <v/>
      </c>
      <c r="H238" s="22" t="str">
        <f>IF(A238="","",SUMIF('Ventas Salidas'!$C$5:$C$504,A238,'Ventas Salidas'!$E$5:$E$504))</f>
        <v/>
      </c>
      <c r="I238" s="22" t="str">
        <f t="shared" si="9"/>
        <v/>
      </c>
      <c r="J238" s="22" t="str">
        <f t="shared" si="10"/>
        <v/>
      </c>
      <c r="K238" s="22" t="str">
        <f t="shared" si="11"/>
        <v/>
      </c>
      <c r="L238" s="22"/>
      <c r="M238" s="22" t="str">
        <f>IF(A238="","",IF(OR(J238="Bajo stock",J238="Sin stock"),COUNTIFS($J$5:$J238,"Bajo stock")+COUNTIFS($J$5:$J238,"Sin stock"),""))</f>
        <v/>
      </c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s="13" customFormat="1" ht="21.75" customHeight="1" x14ac:dyDescent="0.25">
      <c r="A239" s="22" t="str">
        <f>IF(Productos!A239="","",Productos!A239)</f>
        <v/>
      </c>
      <c r="B239" s="22" t="str">
        <f>IF(Productos!A239="","",Productos!B239)</f>
        <v/>
      </c>
      <c r="C239" s="22" t="str">
        <f>IF(Productos!A239="","",Productos!C239)</f>
        <v/>
      </c>
      <c r="D239" s="22" t="str">
        <f>IF(Productos!A239="","",Productos!D239)</f>
        <v/>
      </c>
      <c r="E239" s="22" t="str">
        <f>IF(Productos!A239="","",Productos!E239)</f>
        <v/>
      </c>
      <c r="F239" s="22" t="str">
        <f>IF(Productos!A239="","",Productos!F239)</f>
        <v/>
      </c>
      <c r="G239" s="22" t="str">
        <f>IF(A239="","",SUMIF('Compras Entradas'!$C$5:$C$504,A239,'Compras Entradas'!$E$5:$E$504))</f>
        <v/>
      </c>
      <c r="H239" s="22" t="str">
        <f>IF(A239="","",SUMIF('Ventas Salidas'!$C$5:$C$504,A239,'Ventas Salidas'!$E$5:$E$504))</f>
        <v/>
      </c>
      <c r="I239" s="22" t="str">
        <f t="shared" si="9"/>
        <v/>
      </c>
      <c r="J239" s="22" t="str">
        <f t="shared" si="10"/>
        <v/>
      </c>
      <c r="K239" s="22" t="str">
        <f t="shared" si="11"/>
        <v/>
      </c>
      <c r="L239" s="22"/>
      <c r="M239" s="22" t="str">
        <f>IF(A239="","",IF(OR(J239="Bajo stock",J239="Sin stock"),COUNTIFS($J$5:$J239,"Bajo stock")+COUNTIFS($J$5:$J239,"Sin stock"),""))</f>
        <v/>
      </c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s="13" customFormat="1" ht="21.75" customHeight="1" x14ac:dyDescent="0.25">
      <c r="A240" s="22" t="str">
        <f>IF(Productos!A240="","",Productos!A240)</f>
        <v/>
      </c>
      <c r="B240" s="22" t="str">
        <f>IF(Productos!A240="","",Productos!B240)</f>
        <v/>
      </c>
      <c r="C240" s="22" t="str">
        <f>IF(Productos!A240="","",Productos!C240)</f>
        <v/>
      </c>
      <c r="D240" s="22" t="str">
        <f>IF(Productos!A240="","",Productos!D240)</f>
        <v/>
      </c>
      <c r="E240" s="22" t="str">
        <f>IF(Productos!A240="","",Productos!E240)</f>
        <v/>
      </c>
      <c r="F240" s="22" t="str">
        <f>IF(Productos!A240="","",Productos!F240)</f>
        <v/>
      </c>
      <c r="G240" s="22" t="str">
        <f>IF(A240="","",SUMIF('Compras Entradas'!$C$5:$C$504,A240,'Compras Entradas'!$E$5:$E$504))</f>
        <v/>
      </c>
      <c r="H240" s="22" t="str">
        <f>IF(A240="","",SUMIF('Ventas Salidas'!$C$5:$C$504,A240,'Ventas Salidas'!$E$5:$E$504))</f>
        <v/>
      </c>
      <c r="I240" s="22" t="str">
        <f t="shared" si="9"/>
        <v/>
      </c>
      <c r="J240" s="22" t="str">
        <f t="shared" si="10"/>
        <v/>
      </c>
      <c r="K240" s="22" t="str">
        <f t="shared" si="11"/>
        <v/>
      </c>
      <c r="L240" s="22"/>
      <c r="M240" s="22" t="str">
        <f>IF(A240="","",IF(OR(J240="Bajo stock",J240="Sin stock"),COUNTIFS($J$5:$J240,"Bajo stock")+COUNTIFS($J$5:$J240,"Sin stock"),""))</f>
        <v/>
      </c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s="13" customFormat="1" ht="21.75" customHeight="1" x14ac:dyDescent="0.25">
      <c r="A241" s="22" t="str">
        <f>IF(Productos!A241="","",Productos!A241)</f>
        <v/>
      </c>
      <c r="B241" s="22" t="str">
        <f>IF(Productos!A241="","",Productos!B241)</f>
        <v/>
      </c>
      <c r="C241" s="22" t="str">
        <f>IF(Productos!A241="","",Productos!C241)</f>
        <v/>
      </c>
      <c r="D241" s="22" t="str">
        <f>IF(Productos!A241="","",Productos!D241)</f>
        <v/>
      </c>
      <c r="E241" s="22" t="str">
        <f>IF(Productos!A241="","",Productos!E241)</f>
        <v/>
      </c>
      <c r="F241" s="22" t="str">
        <f>IF(Productos!A241="","",Productos!F241)</f>
        <v/>
      </c>
      <c r="G241" s="22" t="str">
        <f>IF(A241="","",SUMIF('Compras Entradas'!$C$5:$C$504,A241,'Compras Entradas'!$E$5:$E$504))</f>
        <v/>
      </c>
      <c r="H241" s="22" t="str">
        <f>IF(A241="","",SUMIF('Ventas Salidas'!$C$5:$C$504,A241,'Ventas Salidas'!$E$5:$E$504))</f>
        <v/>
      </c>
      <c r="I241" s="22" t="str">
        <f t="shared" si="9"/>
        <v/>
      </c>
      <c r="J241" s="22" t="str">
        <f t="shared" si="10"/>
        <v/>
      </c>
      <c r="K241" s="22" t="str">
        <f t="shared" si="11"/>
        <v/>
      </c>
      <c r="L241" s="22"/>
      <c r="M241" s="22" t="str">
        <f>IF(A241="","",IF(OR(J241="Bajo stock",J241="Sin stock"),COUNTIFS($J$5:$J241,"Bajo stock")+COUNTIFS($J$5:$J241,"Sin stock"),""))</f>
        <v/>
      </c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s="13" customFormat="1" ht="21.75" customHeight="1" x14ac:dyDescent="0.25">
      <c r="A242" s="22" t="str">
        <f>IF(Productos!A242="","",Productos!A242)</f>
        <v/>
      </c>
      <c r="B242" s="22" t="str">
        <f>IF(Productos!A242="","",Productos!B242)</f>
        <v/>
      </c>
      <c r="C242" s="22" t="str">
        <f>IF(Productos!A242="","",Productos!C242)</f>
        <v/>
      </c>
      <c r="D242" s="22" t="str">
        <f>IF(Productos!A242="","",Productos!D242)</f>
        <v/>
      </c>
      <c r="E242" s="22" t="str">
        <f>IF(Productos!A242="","",Productos!E242)</f>
        <v/>
      </c>
      <c r="F242" s="22" t="str">
        <f>IF(Productos!A242="","",Productos!F242)</f>
        <v/>
      </c>
      <c r="G242" s="22" t="str">
        <f>IF(A242="","",SUMIF('Compras Entradas'!$C$5:$C$504,A242,'Compras Entradas'!$E$5:$E$504))</f>
        <v/>
      </c>
      <c r="H242" s="22" t="str">
        <f>IF(A242="","",SUMIF('Ventas Salidas'!$C$5:$C$504,A242,'Ventas Salidas'!$E$5:$E$504))</f>
        <v/>
      </c>
      <c r="I242" s="22" t="str">
        <f t="shared" si="9"/>
        <v/>
      </c>
      <c r="J242" s="22" t="str">
        <f t="shared" si="10"/>
        <v/>
      </c>
      <c r="K242" s="22" t="str">
        <f t="shared" si="11"/>
        <v/>
      </c>
      <c r="L242" s="22"/>
      <c r="M242" s="22" t="str">
        <f>IF(A242="","",IF(OR(J242="Bajo stock",J242="Sin stock"),COUNTIFS($J$5:$J242,"Bajo stock")+COUNTIFS($J$5:$J242,"Sin stock"),""))</f>
        <v/>
      </c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s="13" customFormat="1" ht="21.75" customHeight="1" x14ac:dyDescent="0.25">
      <c r="A243" s="22" t="str">
        <f>IF(Productos!A243="","",Productos!A243)</f>
        <v/>
      </c>
      <c r="B243" s="22" t="str">
        <f>IF(Productos!A243="","",Productos!B243)</f>
        <v/>
      </c>
      <c r="C243" s="22" t="str">
        <f>IF(Productos!A243="","",Productos!C243)</f>
        <v/>
      </c>
      <c r="D243" s="22" t="str">
        <f>IF(Productos!A243="","",Productos!D243)</f>
        <v/>
      </c>
      <c r="E243" s="22" t="str">
        <f>IF(Productos!A243="","",Productos!E243)</f>
        <v/>
      </c>
      <c r="F243" s="22" t="str">
        <f>IF(Productos!A243="","",Productos!F243)</f>
        <v/>
      </c>
      <c r="G243" s="22" t="str">
        <f>IF(A243="","",SUMIF('Compras Entradas'!$C$5:$C$504,A243,'Compras Entradas'!$E$5:$E$504))</f>
        <v/>
      </c>
      <c r="H243" s="22" t="str">
        <f>IF(A243="","",SUMIF('Ventas Salidas'!$C$5:$C$504,A243,'Ventas Salidas'!$E$5:$E$504))</f>
        <v/>
      </c>
      <c r="I243" s="22" t="str">
        <f t="shared" si="9"/>
        <v/>
      </c>
      <c r="J243" s="22" t="str">
        <f t="shared" si="10"/>
        <v/>
      </c>
      <c r="K243" s="22" t="str">
        <f t="shared" si="11"/>
        <v/>
      </c>
      <c r="L243" s="22"/>
      <c r="M243" s="22" t="str">
        <f>IF(A243="","",IF(OR(J243="Bajo stock",J243="Sin stock"),COUNTIFS($J$5:$J243,"Bajo stock")+COUNTIFS($J$5:$J243,"Sin stock"),""))</f>
        <v/>
      </c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s="13" customFormat="1" ht="21.75" customHeight="1" x14ac:dyDescent="0.25">
      <c r="A244" s="22" t="str">
        <f>IF(Productos!A244="","",Productos!A244)</f>
        <v/>
      </c>
      <c r="B244" s="22" t="str">
        <f>IF(Productos!A244="","",Productos!B244)</f>
        <v/>
      </c>
      <c r="C244" s="22" t="str">
        <f>IF(Productos!A244="","",Productos!C244)</f>
        <v/>
      </c>
      <c r="D244" s="22" t="str">
        <f>IF(Productos!A244="","",Productos!D244)</f>
        <v/>
      </c>
      <c r="E244" s="22" t="str">
        <f>IF(Productos!A244="","",Productos!E244)</f>
        <v/>
      </c>
      <c r="F244" s="22" t="str">
        <f>IF(Productos!A244="","",Productos!F244)</f>
        <v/>
      </c>
      <c r="G244" s="22" t="str">
        <f>IF(A244="","",SUMIF('Compras Entradas'!$C$5:$C$504,A244,'Compras Entradas'!$E$5:$E$504))</f>
        <v/>
      </c>
      <c r="H244" s="22" t="str">
        <f>IF(A244="","",SUMIF('Ventas Salidas'!$C$5:$C$504,A244,'Ventas Salidas'!$E$5:$E$504))</f>
        <v/>
      </c>
      <c r="I244" s="22" t="str">
        <f t="shared" si="9"/>
        <v/>
      </c>
      <c r="J244" s="22" t="str">
        <f t="shared" si="10"/>
        <v/>
      </c>
      <c r="K244" s="22" t="str">
        <f t="shared" si="11"/>
        <v/>
      </c>
      <c r="L244" s="22"/>
      <c r="M244" s="22" t="str">
        <f>IF(A244="","",IF(OR(J244="Bajo stock",J244="Sin stock"),COUNTIFS($J$5:$J244,"Bajo stock")+COUNTIFS($J$5:$J244,"Sin stock"),""))</f>
        <v/>
      </c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s="13" customFormat="1" ht="21.75" customHeight="1" x14ac:dyDescent="0.25">
      <c r="A245" s="22" t="str">
        <f>IF(Productos!A245="","",Productos!A245)</f>
        <v/>
      </c>
      <c r="B245" s="22" t="str">
        <f>IF(Productos!A245="","",Productos!B245)</f>
        <v/>
      </c>
      <c r="C245" s="22" t="str">
        <f>IF(Productos!A245="","",Productos!C245)</f>
        <v/>
      </c>
      <c r="D245" s="22" t="str">
        <f>IF(Productos!A245="","",Productos!D245)</f>
        <v/>
      </c>
      <c r="E245" s="22" t="str">
        <f>IF(Productos!A245="","",Productos!E245)</f>
        <v/>
      </c>
      <c r="F245" s="22" t="str">
        <f>IF(Productos!A245="","",Productos!F245)</f>
        <v/>
      </c>
      <c r="G245" s="22" t="str">
        <f>IF(A245="","",SUMIF('Compras Entradas'!$C$5:$C$504,A245,'Compras Entradas'!$E$5:$E$504))</f>
        <v/>
      </c>
      <c r="H245" s="22" t="str">
        <f>IF(A245="","",SUMIF('Ventas Salidas'!$C$5:$C$504,A245,'Ventas Salidas'!$E$5:$E$504))</f>
        <v/>
      </c>
      <c r="I245" s="22" t="str">
        <f t="shared" si="9"/>
        <v/>
      </c>
      <c r="J245" s="22" t="str">
        <f t="shared" si="10"/>
        <v/>
      </c>
      <c r="K245" s="22" t="str">
        <f t="shared" si="11"/>
        <v/>
      </c>
      <c r="L245" s="22"/>
      <c r="M245" s="22" t="str">
        <f>IF(A245="","",IF(OR(J245="Bajo stock",J245="Sin stock"),COUNTIFS($J$5:$J245,"Bajo stock")+COUNTIFS($J$5:$J245,"Sin stock"),""))</f>
        <v/>
      </c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s="13" customFormat="1" ht="21.75" customHeight="1" x14ac:dyDescent="0.25">
      <c r="A246" s="22" t="str">
        <f>IF(Productos!A246="","",Productos!A246)</f>
        <v/>
      </c>
      <c r="B246" s="22" t="str">
        <f>IF(Productos!A246="","",Productos!B246)</f>
        <v/>
      </c>
      <c r="C246" s="22" t="str">
        <f>IF(Productos!A246="","",Productos!C246)</f>
        <v/>
      </c>
      <c r="D246" s="22" t="str">
        <f>IF(Productos!A246="","",Productos!D246)</f>
        <v/>
      </c>
      <c r="E246" s="22" t="str">
        <f>IF(Productos!A246="","",Productos!E246)</f>
        <v/>
      </c>
      <c r="F246" s="22" t="str">
        <f>IF(Productos!A246="","",Productos!F246)</f>
        <v/>
      </c>
      <c r="G246" s="22" t="str">
        <f>IF(A246="","",SUMIF('Compras Entradas'!$C$5:$C$504,A246,'Compras Entradas'!$E$5:$E$504))</f>
        <v/>
      </c>
      <c r="H246" s="22" t="str">
        <f>IF(A246="","",SUMIF('Ventas Salidas'!$C$5:$C$504,A246,'Ventas Salidas'!$E$5:$E$504))</f>
        <v/>
      </c>
      <c r="I246" s="22" t="str">
        <f t="shared" si="9"/>
        <v/>
      </c>
      <c r="J246" s="22" t="str">
        <f t="shared" si="10"/>
        <v/>
      </c>
      <c r="K246" s="22" t="str">
        <f t="shared" si="11"/>
        <v/>
      </c>
      <c r="L246" s="22"/>
      <c r="M246" s="22" t="str">
        <f>IF(A246="","",IF(OR(J246="Bajo stock",J246="Sin stock"),COUNTIFS($J$5:$J246,"Bajo stock")+COUNTIFS($J$5:$J246,"Sin stock"),""))</f>
        <v/>
      </c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s="13" customFormat="1" ht="21.75" customHeight="1" x14ac:dyDescent="0.25">
      <c r="A247" s="22" t="str">
        <f>IF(Productos!A247="","",Productos!A247)</f>
        <v/>
      </c>
      <c r="B247" s="22" t="str">
        <f>IF(Productos!A247="","",Productos!B247)</f>
        <v/>
      </c>
      <c r="C247" s="22" t="str">
        <f>IF(Productos!A247="","",Productos!C247)</f>
        <v/>
      </c>
      <c r="D247" s="22" t="str">
        <f>IF(Productos!A247="","",Productos!D247)</f>
        <v/>
      </c>
      <c r="E247" s="22" t="str">
        <f>IF(Productos!A247="","",Productos!E247)</f>
        <v/>
      </c>
      <c r="F247" s="22" t="str">
        <f>IF(Productos!A247="","",Productos!F247)</f>
        <v/>
      </c>
      <c r="G247" s="22" t="str">
        <f>IF(A247="","",SUMIF('Compras Entradas'!$C$5:$C$504,A247,'Compras Entradas'!$E$5:$E$504))</f>
        <v/>
      </c>
      <c r="H247" s="22" t="str">
        <f>IF(A247="","",SUMIF('Ventas Salidas'!$C$5:$C$504,A247,'Ventas Salidas'!$E$5:$E$504))</f>
        <v/>
      </c>
      <c r="I247" s="22" t="str">
        <f t="shared" si="9"/>
        <v/>
      </c>
      <c r="J247" s="22" t="str">
        <f t="shared" si="10"/>
        <v/>
      </c>
      <c r="K247" s="22" t="str">
        <f t="shared" si="11"/>
        <v/>
      </c>
      <c r="L247" s="22"/>
      <c r="M247" s="22" t="str">
        <f>IF(A247="","",IF(OR(J247="Bajo stock",J247="Sin stock"),COUNTIFS($J$5:$J247,"Bajo stock")+COUNTIFS($J$5:$J247,"Sin stock"),""))</f>
        <v/>
      </c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s="13" customFormat="1" ht="21.75" customHeight="1" x14ac:dyDescent="0.25">
      <c r="A248" s="22" t="str">
        <f>IF(Productos!A248="","",Productos!A248)</f>
        <v/>
      </c>
      <c r="B248" s="22" t="str">
        <f>IF(Productos!A248="","",Productos!B248)</f>
        <v/>
      </c>
      <c r="C248" s="22" t="str">
        <f>IF(Productos!A248="","",Productos!C248)</f>
        <v/>
      </c>
      <c r="D248" s="22" t="str">
        <f>IF(Productos!A248="","",Productos!D248)</f>
        <v/>
      </c>
      <c r="E248" s="22" t="str">
        <f>IF(Productos!A248="","",Productos!E248)</f>
        <v/>
      </c>
      <c r="F248" s="22" t="str">
        <f>IF(Productos!A248="","",Productos!F248)</f>
        <v/>
      </c>
      <c r="G248" s="22" t="str">
        <f>IF(A248="","",SUMIF('Compras Entradas'!$C$5:$C$504,A248,'Compras Entradas'!$E$5:$E$504))</f>
        <v/>
      </c>
      <c r="H248" s="22" t="str">
        <f>IF(A248="","",SUMIF('Ventas Salidas'!$C$5:$C$504,A248,'Ventas Salidas'!$E$5:$E$504))</f>
        <v/>
      </c>
      <c r="I248" s="22" t="str">
        <f t="shared" si="9"/>
        <v/>
      </c>
      <c r="J248" s="22" t="str">
        <f t="shared" si="10"/>
        <v/>
      </c>
      <c r="K248" s="22" t="str">
        <f t="shared" si="11"/>
        <v/>
      </c>
      <c r="L248" s="22"/>
      <c r="M248" s="22" t="str">
        <f>IF(A248="","",IF(OR(J248="Bajo stock",J248="Sin stock"),COUNTIFS($J$5:$J248,"Bajo stock")+COUNTIFS($J$5:$J248,"Sin stock"),""))</f>
        <v/>
      </c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s="13" customFormat="1" ht="21.75" customHeight="1" x14ac:dyDescent="0.25">
      <c r="A249" s="22" t="str">
        <f>IF(Productos!A249="","",Productos!A249)</f>
        <v/>
      </c>
      <c r="B249" s="22" t="str">
        <f>IF(Productos!A249="","",Productos!B249)</f>
        <v/>
      </c>
      <c r="C249" s="22" t="str">
        <f>IF(Productos!A249="","",Productos!C249)</f>
        <v/>
      </c>
      <c r="D249" s="22" t="str">
        <f>IF(Productos!A249="","",Productos!D249)</f>
        <v/>
      </c>
      <c r="E249" s="22" t="str">
        <f>IF(Productos!A249="","",Productos!E249)</f>
        <v/>
      </c>
      <c r="F249" s="22" t="str">
        <f>IF(Productos!A249="","",Productos!F249)</f>
        <v/>
      </c>
      <c r="G249" s="22" t="str">
        <f>IF(A249="","",SUMIF('Compras Entradas'!$C$5:$C$504,A249,'Compras Entradas'!$E$5:$E$504))</f>
        <v/>
      </c>
      <c r="H249" s="22" t="str">
        <f>IF(A249="","",SUMIF('Ventas Salidas'!$C$5:$C$504,A249,'Ventas Salidas'!$E$5:$E$504))</f>
        <v/>
      </c>
      <c r="I249" s="22" t="str">
        <f t="shared" si="9"/>
        <v/>
      </c>
      <c r="J249" s="22" t="str">
        <f t="shared" si="10"/>
        <v/>
      </c>
      <c r="K249" s="22" t="str">
        <f t="shared" si="11"/>
        <v/>
      </c>
      <c r="L249" s="22"/>
      <c r="M249" s="22" t="str">
        <f>IF(A249="","",IF(OR(J249="Bajo stock",J249="Sin stock"),COUNTIFS($J$5:$J249,"Bajo stock")+COUNTIFS($J$5:$J249,"Sin stock"),""))</f>
        <v/>
      </c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s="13" customFormat="1" ht="21.75" customHeight="1" x14ac:dyDescent="0.25">
      <c r="A250" s="22" t="str">
        <f>IF(Productos!A250="","",Productos!A250)</f>
        <v/>
      </c>
      <c r="B250" s="22" t="str">
        <f>IF(Productos!A250="","",Productos!B250)</f>
        <v/>
      </c>
      <c r="C250" s="22" t="str">
        <f>IF(Productos!A250="","",Productos!C250)</f>
        <v/>
      </c>
      <c r="D250" s="22" t="str">
        <f>IF(Productos!A250="","",Productos!D250)</f>
        <v/>
      </c>
      <c r="E250" s="22" t="str">
        <f>IF(Productos!A250="","",Productos!E250)</f>
        <v/>
      </c>
      <c r="F250" s="22" t="str">
        <f>IF(Productos!A250="","",Productos!F250)</f>
        <v/>
      </c>
      <c r="G250" s="22" t="str">
        <f>IF(A250="","",SUMIF('Compras Entradas'!$C$5:$C$504,A250,'Compras Entradas'!$E$5:$E$504))</f>
        <v/>
      </c>
      <c r="H250" s="22" t="str">
        <f>IF(A250="","",SUMIF('Ventas Salidas'!$C$5:$C$504,A250,'Ventas Salidas'!$E$5:$E$504))</f>
        <v/>
      </c>
      <c r="I250" s="22" t="str">
        <f t="shared" si="9"/>
        <v/>
      </c>
      <c r="J250" s="22" t="str">
        <f t="shared" si="10"/>
        <v/>
      </c>
      <c r="K250" s="22" t="str">
        <f t="shared" si="11"/>
        <v/>
      </c>
      <c r="L250" s="22"/>
      <c r="M250" s="22" t="str">
        <f>IF(A250="","",IF(OR(J250="Bajo stock",J250="Sin stock"),COUNTIFS($J$5:$J250,"Bajo stock")+COUNTIFS($J$5:$J250,"Sin stock"),""))</f>
        <v/>
      </c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s="13" customFormat="1" ht="21.75" customHeight="1" x14ac:dyDescent="0.25">
      <c r="A251" s="22" t="str">
        <f>IF(Productos!A251="","",Productos!A251)</f>
        <v/>
      </c>
      <c r="B251" s="22" t="str">
        <f>IF(Productos!A251="","",Productos!B251)</f>
        <v/>
      </c>
      <c r="C251" s="22" t="str">
        <f>IF(Productos!A251="","",Productos!C251)</f>
        <v/>
      </c>
      <c r="D251" s="22" t="str">
        <f>IF(Productos!A251="","",Productos!D251)</f>
        <v/>
      </c>
      <c r="E251" s="22" t="str">
        <f>IF(Productos!A251="","",Productos!E251)</f>
        <v/>
      </c>
      <c r="F251" s="22" t="str">
        <f>IF(Productos!A251="","",Productos!F251)</f>
        <v/>
      </c>
      <c r="G251" s="22" t="str">
        <f>IF(A251="","",SUMIF('Compras Entradas'!$C$5:$C$504,A251,'Compras Entradas'!$E$5:$E$504))</f>
        <v/>
      </c>
      <c r="H251" s="22" t="str">
        <f>IF(A251="","",SUMIF('Ventas Salidas'!$C$5:$C$504,A251,'Ventas Salidas'!$E$5:$E$504))</f>
        <v/>
      </c>
      <c r="I251" s="22" t="str">
        <f t="shared" si="9"/>
        <v/>
      </c>
      <c r="J251" s="22" t="str">
        <f t="shared" si="10"/>
        <v/>
      </c>
      <c r="K251" s="22" t="str">
        <f t="shared" si="11"/>
        <v/>
      </c>
      <c r="L251" s="22"/>
      <c r="M251" s="22" t="str">
        <f>IF(A251="","",IF(OR(J251="Bajo stock",J251="Sin stock"),COUNTIFS($J$5:$J251,"Bajo stock")+COUNTIFS($J$5:$J251,"Sin stock"),""))</f>
        <v/>
      </c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s="13" customFormat="1" ht="21.75" customHeight="1" x14ac:dyDescent="0.25">
      <c r="A252" s="22" t="str">
        <f>IF(Productos!A252="","",Productos!A252)</f>
        <v/>
      </c>
      <c r="B252" s="22" t="str">
        <f>IF(Productos!A252="","",Productos!B252)</f>
        <v/>
      </c>
      <c r="C252" s="22" t="str">
        <f>IF(Productos!A252="","",Productos!C252)</f>
        <v/>
      </c>
      <c r="D252" s="22" t="str">
        <f>IF(Productos!A252="","",Productos!D252)</f>
        <v/>
      </c>
      <c r="E252" s="22" t="str">
        <f>IF(Productos!A252="","",Productos!E252)</f>
        <v/>
      </c>
      <c r="F252" s="22" t="str">
        <f>IF(Productos!A252="","",Productos!F252)</f>
        <v/>
      </c>
      <c r="G252" s="22" t="str">
        <f>IF(A252="","",SUMIF('Compras Entradas'!$C$5:$C$504,A252,'Compras Entradas'!$E$5:$E$504))</f>
        <v/>
      </c>
      <c r="H252" s="22" t="str">
        <f>IF(A252="","",SUMIF('Ventas Salidas'!$C$5:$C$504,A252,'Ventas Salidas'!$E$5:$E$504))</f>
        <v/>
      </c>
      <c r="I252" s="22" t="str">
        <f t="shared" si="9"/>
        <v/>
      </c>
      <c r="J252" s="22" t="str">
        <f t="shared" si="10"/>
        <v/>
      </c>
      <c r="K252" s="22" t="str">
        <f t="shared" si="11"/>
        <v/>
      </c>
      <c r="L252" s="22"/>
      <c r="M252" s="22" t="str">
        <f>IF(A252="","",IF(OR(J252="Bajo stock",J252="Sin stock"),COUNTIFS($J$5:$J252,"Bajo stock")+COUNTIFS($J$5:$J252,"Sin stock"),""))</f>
        <v/>
      </c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s="13" customFormat="1" ht="21.75" customHeight="1" x14ac:dyDescent="0.25">
      <c r="A253" s="22" t="str">
        <f>IF(Productos!A253="","",Productos!A253)</f>
        <v/>
      </c>
      <c r="B253" s="22" t="str">
        <f>IF(Productos!A253="","",Productos!B253)</f>
        <v/>
      </c>
      <c r="C253" s="22" t="str">
        <f>IF(Productos!A253="","",Productos!C253)</f>
        <v/>
      </c>
      <c r="D253" s="22" t="str">
        <f>IF(Productos!A253="","",Productos!D253)</f>
        <v/>
      </c>
      <c r="E253" s="22" t="str">
        <f>IF(Productos!A253="","",Productos!E253)</f>
        <v/>
      </c>
      <c r="F253" s="22" t="str">
        <f>IF(Productos!A253="","",Productos!F253)</f>
        <v/>
      </c>
      <c r="G253" s="22" t="str">
        <f>IF(A253="","",SUMIF('Compras Entradas'!$C$5:$C$504,A253,'Compras Entradas'!$E$5:$E$504))</f>
        <v/>
      </c>
      <c r="H253" s="22" t="str">
        <f>IF(A253="","",SUMIF('Ventas Salidas'!$C$5:$C$504,A253,'Ventas Salidas'!$E$5:$E$504))</f>
        <v/>
      </c>
      <c r="I253" s="22" t="str">
        <f t="shared" si="9"/>
        <v/>
      </c>
      <c r="J253" s="22" t="str">
        <f t="shared" si="10"/>
        <v/>
      </c>
      <c r="K253" s="22" t="str">
        <f t="shared" si="11"/>
        <v/>
      </c>
      <c r="L253" s="22"/>
      <c r="M253" s="22" t="str">
        <f>IF(A253="","",IF(OR(J253="Bajo stock",J253="Sin stock"),COUNTIFS($J$5:$J253,"Bajo stock")+COUNTIFS($J$5:$J253,"Sin stock"),""))</f>
        <v/>
      </c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s="13" customFormat="1" ht="21.75" customHeight="1" x14ac:dyDescent="0.25">
      <c r="A254" s="22" t="str">
        <f>IF(Productos!A254="","",Productos!A254)</f>
        <v/>
      </c>
      <c r="B254" s="22" t="str">
        <f>IF(Productos!A254="","",Productos!B254)</f>
        <v/>
      </c>
      <c r="C254" s="22" t="str">
        <f>IF(Productos!A254="","",Productos!C254)</f>
        <v/>
      </c>
      <c r="D254" s="22" t="str">
        <f>IF(Productos!A254="","",Productos!D254)</f>
        <v/>
      </c>
      <c r="E254" s="22" t="str">
        <f>IF(Productos!A254="","",Productos!E254)</f>
        <v/>
      </c>
      <c r="F254" s="22" t="str">
        <f>IF(Productos!A254="","",Productos!F254)</f>
        <v/>
      </c>
      <c r="G254" s="22" t="str">
        <f>IF(A254="","",SUMIF('Compras Entradas'!$C$5:$C$504,A254,'Compras Entradas'!$E$5:$E$504))</f>
        <v/>
      </c>
      <c r="H254" s="22" t="str">
        <f>IF(A254="","",SUMIF('Ventas Salidas'!$C$5:$C$504,A254,'Ventas Salidas'!$E$5:$E$504))</f>
        <v/>
      </c>
      <c r="I254" s="22" t="str">
        <f t="shared" si="9"/>
        <v/>
      </c>
      <c r="J254" s="22" t="str">
        <f t="shared" si="10"/>
        <v/>
      </c>
      <c r="K254" s="22" t="str">
        <f t="shared" si="11"/>
        <v/>
      </c>
      <c r="L254" s="22"/>
      <c r="M254" s="22" t="str">
        <f>IF(A254="","",IF(OR(J254="Bajo stock",J254="Sin stock"),COUNTIFS($J$5:$J254,"Bajo stock")+COUNTIFS($J$5:$J254,"Sin stock"),""))</f>
        <v/>
      </c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s="13" customFormat="1" ht="21.75" customHeight="1" x14ac:dyDescent="0.25">
      <c r="A255" s="22" t="str">
        <f>IF(Productos!A255="","",Productos!A255)</f>
        <v/>
      </c>
      <c r="B255" s="22" t="str">
        <f>IF(Productos!A255="","",Productos!B255)</f>
        <v/>
      </c>
      <c r="C255" s="22" t="str">
        <f>IF(Productos!A255="","",Productos!C255)</f>
        <v/>
      </c>
      <c r="D255" s="22" t="str">
        <f>IF(Productos!A255="","",Productos!D255)</f>
        <v/>
      </c>
      <c r="E255" s="22" t="str">
        <f>IF(Productos!A255="","",Productos!E255)</f>
        <v/>
      </c>
      <c r="F255" s="22" t="str">
        <f>IF(Productos!A255="","",Productos!F255)</f>
        <v/>
      </c>
      <c r="G255" s="22" t="str">
        <f>IF(A255="","",SUMIF('Compras Entradas'!$C$5:$C$504,A255,'Compras Entradas'!$E$5:$E$504))</f>
        <v/>
      </c>
      <c r="H255" s="22" t="str">
        <f>IF(A255="","",SUMIF('Ventas Salidas'!$C$5:$C$504,A255,'Ventas Salidas'!$E$5:$E$504))</f>
        <v/>
      </c>
      <c r="I255" s="22" t="str">
        <f t="shared" si="9"/>
        <v/>
      </c>
      <c r="J255" s="22" t="str">
        <f t="shared" si="10"/>
        <v/>
      </c>
      <c r="K255" s="22" t="str">
        <f t="shared" si="11"/>
        <v/>
      </c>
      <c r="L255" s="22"/>
      <c r="M255" s="22" t="str">
        <f>IF(A255="","",IF(OR(J255="Bajo stock",J255="Sin stock"),COUNTIFS($J$5:$J255,"Bajo stock")+COUNTIFS($J$5:$J255,"Sin stock"),""))</f>
        <v/>
      </c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s="13" customFormat="1" ht="21.75" customHeight="1" x14ac:dyDescent="0.25">
      <c r="A256" s="22" t="str">
        <f>IF(Productos!A256="","",Productos!A256)</f>
        <v/>
      </c>
      <c r="B256" s="22" t="str">
        <f>IF(Productos!A256="","",Productos!B256)</f>
        <v/>
      </c>
      <c r="C256" s="22" t="str">
        <f>IF(Productos!A256="","",Productos!C256)</f>
        <v/>
      </c>
      <c r="D256" s="22" t="str">
        <f>IF(Productos!A256="","",Productos!D256)</f>
        <v/>
      </c>
      <c r="E256" s="22" t="str">
        <f>IF(Productos!A256="","",Productos!E256)</f>
        <v/>
      </c>
      <c r="F256" s="22" t="str">
        <f>IF(Productos!A256="","",Productos!F256)</f>
        <v/>
      </c>
      <c r="G256" s="22" t="str">
        <f>IF(A256="","",SUMIF('Compras Entradas'!$C$5:$C$504,A256,'Compras Entradas'!$E$5:$E$504))</f>
        <v/>
      </c>
      <c r="H256" s="22" t="str">
        <f>IF(A256="","",SUMIF('Ventas Salidas'!$C$5:$C$504,A256,'Ventas Salidas'!$E$5:$E$504))</f>
        <v/>
      </c>
      <c r="I256" s="22" t="str">
        <f t="shared" si="9"/>
        <v/>
      </c>
      <c r="J256" s="22" t="str">
        <f t="shared" si="10"/>
        <v/>
      </c>
      <c r="K256" s="22" t="str">
        <f t="shared" si="11"/>
        <v/>
      </c>
      <c r="L256" s="22"/>
      <c r="M256" s="22" t="str">
        <f>IF(A256="","",IF(OR(J256="Bajo stock",J256="Sin stock"),COUNTIFS($J$5:$J256,"Bajo stock")+COUNTIFS($J$5:$J256,"Sin stock"),""))</f>
        <v/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s="13" customFormat="1" ht="21.75" customHeight="1" x14ac:dyDescent="0.25">
      <c r="A257" s="22" t="str">
        <f>IF(Productos!A257="","",Productos!A257)</f>
        <v/>
      </c>
      <c r="B257" s="22" t="str">
        <f>IF(Productos!A257="","",Productos!B257)</f>
        <v/>
      </c>
      <c r="C257" s="22" t="str">
        <f>IF(Productos!A257="","",Productos!C257)</f>
        <v/>
      </c>
      <c r="D257" s="22" t="str">
        <f>IF(Productos!A257="","",Productos!D257)</f>
        <v/>
      </c>
      <c r="E257" s="22" t="str">
        <f>IF(Productos!A257="","",Productos!E257)</f>
        <v/>
      </c>
      <c r="F257" s="22" t="str">
        <f>IF(Productos!A257="","",Productos!F257)</f>
        <v/>
      </c>
      <c r="G257" s="22" t="str">
        <f>IF(A257="","",SUMIF('Compras Entradas'!$C$5:$C$504,A257,'Compras Entradas'!$E$5:$E$504))</f>
        <v/>
      </c>
      <c r="H257" s="22" t="str">
        <f>IF(A257="","",SUMIF('Ventas Salidas'!$C$5:$C$504,A257,'Ventas Salidas'!$E$5:$E$504))</f>
        <v/>
      </c>
      <c r="I257" s="22" t="str">
        <f t="shared" si="9"/>
        <v/>
      </c>
      <c r="J257" s="22" t="str">
        <f t="shared" si="10"/>
        <v/>
      </c>
      <c r="K257" s="22" t="str">
        <f t="shared" si="11"/>
        <v/>
      </c>
      <c r="L257" s="22"/>
      <c r="M257" s="22" t="str">
        <f>IF(A257="","",IF(OR(J257="Bajo stock",J257="Sin stock"),COUNTIFS($J$5:$J257,"Bajo stock")+COUNTIFS($J$5:$J257,"Sin stock"),""))</f>
        <v/>
      </c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s="13" customFormat="1" ht="21.75" customHeight="1" x14ac:dyDescent="0.25">
      <c r="A258" s="22" t="str">
        <f>IF(Productos!A258="","",Productos!A258)</f>
        <v/>
      </c>
      <c r="B258" s="22" t="str">
        <f>IF(Productos!A258="","",Productos!B258)</f>
        <v/>
      </c>
      <c r="C258" s="22" t="str">
        <f>IF(Productos!A258="","",Productos!C258)</f>
        <v/>
      </c>
      <c r="D258" s="22" t="str">
        <f>IF(Productos!A258="","",Productos!D258)</f>
        <v/>
      </c>
      <c r="E258" s="22" t="str">
        <f>IF(Productos!A258="","",Productos!E258)</f>
        <v/>
      </c>
      <c r="F258" s="22" t="str">
        <f>IF(Productos!A258="","",Productos!F258)</f>
        <v/>
      </c>
      <c r="G258" s="22" t="str">
        <f>IF(A258="","",SUMIF('Compras Entradas'!$C$5:$C$504,A258,'Compras Entradas'!$E$5:$E$504))</f>
        <v/>
      </c>
      <c r="H258" s="22" t="str">
        <f>IF(A258="","",SUMIF('Ventas Salidas'!$C$5:$C$504,A258,'Ventas Salidas'!$E$5:$E$504))</f>
        <v/>
      </c>
      <c r="I258" s="22" t="str">
        <f t="shared" si="9"/>
        <v/>
      </c>
      <c r="J258" s="22" t="str">
        <f t="shared" si="10"/>
        <v/>
      </c>
      <c r="K258" s="22" t="str">
        <f t="shared" si="11"/>
        <v/>
      </c>
      <c r="L258" s="22"/>
      <c r="M258" s="22" t="str">
        <f>IF(A258="","",IF(OR(J258="Bajo stock",J258="Sin stock"),COUNTIFS($J$5:$J258,"Bajo stock")+COUNTIFS($J$5:$J258,"Sin stock"),""))</f>
        <v/>
      </c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s="13" customFormat="1" ht="21.75" customHeight="1" x14ac:dyDescent="0.25">
      <c r="A259" s="22" t="str">
        <f>IF(Productos!A259="","",Productos!A259)</f>
        <v/>
      </c>
      <c r="B259" s="22" t="str">
        <f>IF(Productos!A259="","",Productos!B259)</f>
        <v/>
      </c>
      <c r="C259" s="22" t="str">
        <f>IF(Productos!A259="","",Productos!C259)</f>
        <v/>
      </c>
      <c r="D259" s="22" t="str">
        <f>IF(Productos!A259="","",Productos!D259)</f>
        <v/>
      </c>
      <c r="E259" s="22" t="str">
        <f>IF(Productos!A259="","",Productos!E259)</f>
        <v/>
      </c>
      <c r="F259" s="22" t="str">
        <f>IF(Productos!A259="","",Productos!F259)</f>
        <v/>
      </c>
      <c r="G259" s="22" t="str">
        <f>IF(A259="","",SUMIF('Compras Entradas'!$C$5:$C$504,A259,'Compras Entradas'!$E$5:$E$504))</f>
        <v/>
      </c>
      <c r="H259" s="22" t="str">
        <f>IF(A259="","",SUMIF('Ventas Salidas'!$C$5:$C$504,A259,'Ventas Salidas'!$E$5:$E$504))</f>
        <v/>
      </c>
      <c r="I259" s="22" t="str">
        <f t="shared" si="9"/>
        <v/>
      </c>
      <c r="J259" s="22" t="str">
        <f t="shared" si="10"/>
        <v/>
      </c>
      <c r="K259" s="22" t="str">
        <f t="shared" si="11"/>
        <v/>
      </c>
      <c r="L259" s="22"/>
      <c r="M259" s="22" t="str">
        <f>IF(A259="","",IF(OR(J259="Bajo stock",J259="Sin stock"),COUNTIFS($J$5:$J259,"Bajo stock")+COUNTIFS($J$5:$J259,"Sin stock"),""))</f>
        <v/>
      </c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s="13" customFormat="1" ht="21.75" customHeight="1" x14ac:dyDescent="0.25">
      <c r="A260" s="22" t="str">
        <f>IF(Productos!A260="","",Productos!A260)</f>
        <v/>
      </c>
      <c r="B260" s="22" t="str">
        <f>IF(Productos!A260="","",Productos!B260)</f>
        <v/>
      </c>
      <c r="C260" s="22" t="str">
        <f>IF(Productos!A260="","",Productos!C260)</f>
        <v/>
      </c>
      <c r="D260" s="22" t="str">
        <f>IF(Productos!A260="","",Productos!D260)</f>
        <v/>
      </c>
      <c r="E260" s="22" t="str">
        <f>IF(Productos!A260="","",Productos!E260)</f>
        <v/>
      </c>
      <c r="F260" s="22" t="str">
        <f>IF(Productos!A260="","",Productos!F260)</f>
        <v/>
      </c>
      <c r="G260" s="22" t="str">
        <f>IF(A260="","",SUMIF('Compras Entradas'!$C$5:$C$504,A260,'Compras Entradas'!$E$5:$E$504))</f>
        <v/>
      </c>
      <c r="H260" s="22" t="str">
        <f>IF(A260="","",SUMIF('Ventas Salidas'!$C$5:$C$504,A260,'Ventas Salidas'!$E$5:$E$504))</f>
        <v/>
      </c>
      <c r="I260" s="22" t="str">
        <f t="shared" si="9"/>
        <v/>
      </c>
      <c r="J260" s="22" t="str">
        <f t="shared" si="10"/>
        <v/>
      </c>
      <c r="K260" s="22" t="str">
        <f t="shared" si="11"/>
        <v/>
      </c>
      <c r="L260" s="22"/>
      <c r="M260" s="22" t="str">
        <f>IF(A260="","",IF(OR(J260="Bajo stock",J260="Sin stock"),COUNTIFS($J$5:$J260,"Bajo stock")+COUNTIFS($J$5:$J260,"Sin stock"),""))</f>
        <v/>
      </c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s="13" customFormat="1" ht="21.75" customHeight="1" x14ac:dyDescent="0.25">
      <c r="A261" s="22" t="str">
        <f>IF(Productos!A261="","",Productos!A261)</f>
        <v/>
      </c>
      <c r="B261" s="22" t="str">
        <f>IF(Productos!A261="","",Productos!B261)</f>
        <v/>
      </c>
      <c r="C261" s="22" t="str">
        <f>IF(Productos!A261="","",Productos!C261)</f>
        <v/>
      </c>
      <c r="D261" s="22" t="str">
        <f>IF(Productos!A261="","",Productos!D261)</f>
        <v/>
      </c>
      <c r="E261" s="22" t="str">
        <f>IF(Productos!A261="","",Productos!E261)</f>
        <v/>
      </c>
      <c r="F261" s="22" t="str">
        <f>IF(Productos!A261="","",Productos!F261)</f>
        <v/>
      </c>
      <c r="G261" s="22" t="str">
        <f>IF(A261="","",SUMIF('Compras Entradas'!$C$5:$C$504,A261,'Compras Entradas'!$E$5:$E$504))</f>
        <v/>
      </c>
      <c r="H261" s="22" t="str">
        <f>IF(A261="","",SUMIF('Ventas Salidas'!$C$5:$C$504,A261,'Ventas Salidas'!$E$5:$E$504))</f>
        <v/>
      </c>
      <c r="I261" s="22" t="str">
        <f t="shared" ref="I261:I324" si="15">IF(A261="","",F261+G261-H261)</f>
        <v/>
      </c>
      <c r="J261" s="22" t="str">
        <f t="shared" ref="J261:J324" si="16">IF(A261="","",IF(I261&lt;=0,"Sin stock",IF(I261&lt;E261,"Bajo stock","OK")))</f>
        <v/>
      </c>
      <c r="K261" s="22" t="str">
        <f t="shared" ref="K261:K324" si="17">IF(A261="","",IF(I261&lt;=0,"Comprar urgente",IF(I261&lt;E261,"Reponer pronto","Stock suficiente")))</f>
        <v/>
      </c>
      <c r="L261" s="22"/>
      <c r="M261" s="22" t="str">
        <f>IF(A261="","",IF(OR(J261="Bajo stock",J261="Sin stock"),COUNTIFS($J$5:$J261,"Bajo stock")+COUNTIFS($J$5:$J261,"Sin stock"),""))</f>
        <v/>
      </c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s="13" customFormat="1" ht="21.75" customHeight="1" x14ac:dyDescent="0.25">
      <c r="A262" s="22" t="str">
        <f>IF(Productos!A262="","",Productos!A262)</f>
        <v/>
      </c>
      <c r="B262" s="22" t="str">
        <f>IF(Productos!A262="","",Productos!B262)</f>
        <v/>
      </c>
      <c r="C262" s="22" t="str">
        <f>IF(Productos!A262="","",Productos!C262)</f>
        <v/>
      </c>
      <c r="D262" s="22" t="str">
        <f>IF(Productos!A262="","",Productos!D262)</f>
        <v/>
      </c>
      <c r="E262" s="22" t="str">
        <f>IF(Productos!A262="","",Productos!E262)</f>
        <v/>
      </c>
      <c r="F262" s="22" t="str">
        <f>IF(Productos!A262="","",Productos!F262)</f>
        <v/>
      </c>
      <c r="G262" s="22" t="str">
        <f>IF(A262="","",SUMIF('Compras Entradas'!$C$5:$C$504,A262,'Compras Entradas'!$E$5:$E$504))</f>
        <v/>
      </c>
      <c r="H262" s="22" t="str">
        <f>IF(A262="","",SUMIF('Ventas Salidas'!$C$5:$C$504,A262,'Ventas Salidas'!$E$5:$E$504))</f>
        <v/>
      </c>
      <c r="I262" s="22" t="str">
        <f t="shared" si="15"/>
        <v/>
      </c>
      <c r="J262" s="22" t="str">
        <f t="shared" si="16"/>
        <v/>
      </c>
      <c r="K262" s="22" t="str">
        <f t="shared" si="17"/>
        <v/>
      </c>
      <c r="L262" s="22"/>
      <c r="M262" s="22" t="str">
        <f>IF(A262="","",IF(OR(J262="Bajo stock",J262="Sin stock"),COUNTIFS($J$5:$J262,"Bajo stock")+COUNTIFS($J$5:$J262,"Sin stock"),""))</f>
        <v/>
      </c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s="13" customFormat="1" ht="21.75" customHeight="1" x14ac:dyDescent="0.25">
      <c r="A263" s="22" t="str">
        <f>IF(Productos!A263="","",Productos!A263)</f>
        <v/>
      </c>
      <c r="B263" s="22" t="str">
        <f>IF(Productos!A263="","",Productos!B263)</f>
        <v/>
      </c>
      <c r="C263" s="22" t="str">
        <f>IF(Productos!A263="","",Productos!C263)</f>
        <v/>
      </c>
      <c r="D263" s="22" t="str">
        <f>IF(Productos!A263="","",Productos!D263)</f>
        <v/>
      </c>
      <c r="E263" s="22" t="str">
        <f>IF(Productos!A263="","",Productos!E263)</f>
        <v/>
      </c>
      <c r="F263" s="22" t="str">
        <f>IF(Productos!A263="","",Productos!F263)</f>
        <v/>
      </c>
      <c r="G263" s="22" t="str">
        <f>IF(A263="","",SUMIF('Compras Entradas'!$C$5:$C$504,A263,'Compras Entradas'!$E$5:$E$504))</f>
        <v/>
      </c>
      <c r="H263" s="22" t="str">
        <f>IF(A263="","",SUMIF('Ventas Salidas'!$C$5:$C$504,A263,'Ventas Salidas'!$E$5:$E$504))</f>
        <v/>
      </c>
      <c r="I263" s="22" t="str">
        <f t="shared" si="15"/>
        <v/>
      </c>
      <c r="J263" s="22" t="str">
        <f t="shared" si="16"/>
        <v/>
      </c>
      <c r="K263" s="22" t="str">
        <f t="shared" si="17"/>
        <v/>
      </c>
      <c r="L263" s="22"/>
      <c r="M263" s="22" t="str">
        <f>IF(A263="","",IF(OR(J263="Bajo stock",J263="Sin stock"),COUNTIFS($J$5:$J263,"Bajo stock")+COUNTIFS($J$5:$J263,"Sin stock"),""))</f>
        <v/>
      </c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s="13" customFormat="1" ht="21.75" customHeight="1" x14ac:dyDescent="0.25">
      <c r="A264" s="22" t="str">
        <f>IF(Productos!A264="","",Productos!A264)</f>
        <v/>
      </c>
      <c r="B264" s="22" t="str">
        <f>IF(Productos!A264="","",Productos!B264)</f>
        <v/>
      </c>
      <c r="C264" s="22" t="str">
        <f>IF(Productos!A264="","",Productos!C264)</f>
        <v/>
      </c>
      <c r="D264" s="22" t="str">
        <f>IF(Productos!A264="","",Productos!D264)</f>
        <v/>
      </c>
      <c r="E264" s="22" t="str">
        <f>IF(Productos!A264="","",Productos!E264)</f>
        <v/>
      </c>
      <c r="F264" s="22" t="str">
        <f>IF(Productos!A264="","",Productos!F264)</f>
        <v/>
      </c>
      <c r="G264" s="22" t="str">
        <f>IF(A264="","",SUMIF('Compras Entradas'!$C$5:$C$504,A264,'Compras Entradas'!$E$5:$E$504))</f>
        <v/>
      </c>
      <c r="H264" s="22" t="str">
        <f>IF(A264="","",SUMIF('Ventas Salidas'!$C$5:$C$504,A264,'Ventas Salidas'!$E$5:$E$504))</f>
        <v/>
      </c>
      <c r="I264" s="22" t="str">
        <f t="shared" si="15"/>
        <v/>
      </c>
      <c r="J264" s="22" t="str">
        <f t="shared" si="16"/>
        <v/>
      </c>
      <c r="K264" s="22" t="str">
        <f t="shared" si="17"/>
        <v/>
      </c>
      <c r="L264" s="22"/>
      <c r="M264" s="22" t="str">
        <f>IF(A264="","",IF(OR(J264="Bajo stock",J264="Sin stock"),COUNTIFS($J$5:$J264,"Bajo stock")+COUNTIFS($J$5:$J264,"Sin stock"),""))</f>
        <v/>
      </c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s="13" customFormat="1" ht="21.75" customHeight="1" x14ac:dyDescent="0.25">
      <c r="A265" s="22" t="str">
        <f>IF(Productos!A265="","",Productos!A265)</f>
        <v/>
      </c>
      <c r="B265" s="22" t="str">
        <f>IF(Productos!A265="","",Productos!B265)</f>
        <v/>
      </c>
      <c r="C265" s="22" t="str">
        <f>IF(Productos!A265="","",Productos!C265)</f>
        <v/>
      </c>
      <c r="D265" s="22" t="str">
        <f>IF(Productos!A265="","",Productos!D265)</f>
        <v/>
      </c>
      <c r="E265" s="22" t="str">
        <f>IF(Productos!A265="","",Productos!E265)</f>
        <v/>
      </c>
      <c r="F265" s="22" t="str">
        <f>IF(Productos!A265="","",Productos!F265)</f>
        <v/>
      </c>
      <c r="G265" s="22" t="str">
        <f>IF(A265="","",SUMIF('Compras Entradas'!$C$5:$C$504,A265,'Compras Entradas'!$E$5:$E$504))</f>
        <v/>
      </c>
      <c r="H265" s="22" t="str">
        <f>IF(A265="","",SUMIF('Ventas Salidas'!$C$5:$C$504,A265,'Ventas Salidas'!$E$5:$E$504))</f>
        <v/>
      </c>
      <c r="I265" s="22" t="str">
        <f t="shared" si="15"/>
        <v/>
      </c>
      <c r="J265" s="22" t="str">
        <f t="shared" si="16"/>
        <v/>
      </c>
      <c r="K265" s="22" t="str">
        <f t="shared" si="17"/>
        <v/>
      </c>
      <c r="L265" s="22"/>
      <c r="M265" s="22" t="str">
        <f>IF(A265="","",IF(OR(J265="Bajo stock",J265="Sin stock"),COUNTIFS($J$5:$J265,"Bajo stock")+COUNTIFS($J$5:$J265,"Sin stock"),""))</f>
        <v/>
      </c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s="13" customFormat="1" ht="21.75" customHeight="1" x14ac:dyDescent="0.25">
      <c r="A266" s="22" t="str">
        <f>IF(Productos!A266="","",Productos!A266)</f>
        <v/>
      </c>
      <c r="B266" s="22" t="str">
        <f>IF(Productos!A266="","",Productos!B266)</f>
        <v/>
      </c>
      <c r="C266" s="22" t="str">
        <f>IF(Productos!A266="","",Productos!C266)</f>
        <v/>
      </c>
      <c r="D266" s="22" t="str">
        <f>IF(Productos!A266="","",Productos!D266)</f>
        <v/>
      </c>
      <c r="E266" s="22" t="str">
        <f>IF(Productos!A266="","",Productos!E266)</f>
        <v/>
      </c>
      <c r="F266" s="22" t="str">
        <f>IF(Productos!A266="","",Productos!F266)</f>
        <v/>
      </c>
      <c r="G266" s="22" t="str">
        <f>IF(A266="","",SUMIF('Compras Entradas'!$C$5:$C$504,A266,'Compras Entradas'!$E$5:$E$504))</f>
        <v/>
      </c>
      <c r="H266" s="22" t="str">
        <f>IF(A266="","",SUMIF('Ventas Salidas'!$C$5:$C$504,A266,'Ventas Salidas'!$E$5:$E$504))</f>
        <v/>
      </c>
      <c r="I266" s="22" t="str">
        <f t="shared" si="15"/>
        <v/>
      </c>
      <c r="J266" s="22" t="str">
        <f t="shared" si="16"/>
        <v/>
      </c>
      <c r="K266" s="22" t="str">
        <f t="shared" si="17"/>
        <v/>
      </c>
      <c r="L266" s="22"/>
      <c r="M266" s="22" t="str">
        <f>IF(A266="","",IF(OR(J266="Bajo stock",J266="Sin stock"),COUNTIFS($J$5:$J266,"Bajo stock")+COUNTIFS($J$5:$J266,"Sin stock"),""))</f>
        <v/>
      </c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s="13" customFormat="1" ht="21.75" customHeight="1" x14ac:dyDescent="0.25">
      <c r="A267" s="22" t="str">
        <f>IF(Productos!A267="","",Productos!A267)</f>
        <v/>
      </c>
      <c r="B267" s="22" t="str">
        <f>IF(Productos!A267="","",Productos!B267)</f>
        <v/>
      </c>
      <c r="C267" s="22" t="str">
        <f>IF(Productos!A267="","",Productos!C267)</f>
        <v/>
      </c>
      <c r="D267" s="22" t="str">
        <f>IF(Productos!A267="","",Productos!D267)</f>
        <v/>
      </c>
      <c r="E267" s="22" t="str">
        <f>IF(Productos!A267="","",Productos!E267)</f>
        <v/>
      </c>
      <c r="F267" s="22" t="str">
        <f>IF(Productos!A267="","",Productos!F267)</f>
        <v/>
      </c>
      <c r="G267" s="22" t="str">
        <f>IF(A267="","",SUMIF('Compras Entradas'!$C$5:$C$504,A267,'Compras Entradas'!$E$5:$E$504))</f>
        <v/>
      </c>
      <c r="H267" s="22" t="str">
        <f>IF(A267="","",SUMIF('Ventas Salidas'!$C$5:$C$504,A267,'Ventas Salidas'!$E$5:$E$504))</f>
        <v/>
      </c>
      <c r="I267" s="22" t="str">
        <f t="shared" si="15"/>
        <v/>
      </c>
      <c r="J267" s="22" t="str">
        <f t="shared" si="16"/>
        <v/>
      </c>
      <c r="K267" s="22" t="str">
        <f t="shared" si="17"/>
        <v/>
      </c>
      <c r="L267" s="22"/>
      <c r="M267" s="22" t="str">
        <f>IF(A267="","",IF(OR(J267="Bajo stock",J267="Sin stock"),COUNTIFS($J$5:$J267,"Bajo stock")+COUNTIFS($J$5:$J267,"Sin stock"),""))</f>
        <v/>
      </c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s="13" customFormat="1" ht="21.75" customHeight="1" x14ac:dyDescent="0.25">
      <c r="A268" s="22" t="str">
        <f>IF(Productos!A268="","",Productos!A268)</f>
        <v/>
      </c>
      <c r="B268" s="22" t="str">
        <f>IF(Productos!A268="","",Productos!B268)</f>
        <v/>
      </c>
      <c r="C268" s="22" t="str">
        <f>IF(Productos!A268="","",Productos!C268)</f>
        <v/>
      </c>
      <c r="D268" s="22" t="str">
        <f>IF(Productos!A268="","",Productos!D268)</f>
        <v/>
      </c>
      <c r="E268" s="22" t="str">
        <f>IF(Productos!A268="","",Productos!E268)</f>
        <v/>
      </c>
      <c r="F268" s="22" t="str">
        <f>IF(Productos!A268="","",Productos!F268)</f>
        <v/>
      </c>
      <c r="G268" s="22" t="str">
        <f>IF(A268="","",SUMIF('Compras Entradas'!$C$5:$C$504,A268,'Compras Entradas'!$E$5:$E$504))</f>
        <v/>
      </c>
      <c r="H268" s="22" t="str">
        <f>IF(A268="","",SUMIF('Ventas Salidas'!$C$5:$C$504,A268,'Ventas Salidas'!$E$5:$E$504))</f>
        <v/>
      </c>
      <c r="I268" s="22" t="str">
        <f t="shared" si="15"/>
        <v/>
      </c>
      <c r="J268" s="22" t="str">
        <f t="shared" si="16"/>
        <v/>
      </c>
      <c r="K268" s="22" t="str">
        <f t="shared" si="17"/>
        <v/>
      </c>
      <c r="L268" s="22"/>
      <c r="M268" s="22" t="str">
        <f>IF(A268="","",IF(OR(J268="Bajo stock",J268="Sin stock"),COUNTIFS($J$5:$J268,"Bajo stock")+COUNTIFS($J$5:$J268,"Sin stock"),""))</f>
        <v/>
      </c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s="13" customFormat="1" ht="21.75" customHeight="1" x14ac:dyDescent="0.25">
      <c r="A269" s="22" t="str">
        <f>IF(Productos!A269="","",Productos!A269)</f>
        <v/>
      </c>
      <c r="B269" s="22" t="str">
        <f>IF(Productos!A269="","",Productos!B269)</f>
        <v/>
      </c>
      <c r="C269" s="22" t="str">
        <f>IF(Productos!A269="","",Productos!C269)</f>
        <v/>
      </c>
      <c r="D269" s="22" t="str">
        <f>IF(Productos!A269="","",Productos!D269)</f>
        <v/>
      </c>
      <c r="E269" s="22" t="str">
        <f>IF(Productos!A269="","",Productos!E269)</f>
        <v/>
      </c>
      <c r="F269" s="22" t="str">
        <f>IF(Productos!A269="","",Productos!F269)</f>
        <v/>
      </c>
      <c r="G269" s="22" t="str">
        <f>IF(A269="","",SUMIF('Compras Entradas'!$C$5:$C$504,A269,'Compras Entradas'!$E$5:$E$504))</f>
        <v/>
      </c>
      <c r="H269" s="22" t="str">
        <f>IF(A269="","",SUMIF('Ventas Salidas'!$C$5:$C$504,A269,'Ventas Salidas'!$E$5:$E$504))</f>
        <v/>
      </c>
      <c r="I269" s="22" t="str">
        <f t="shared" si="15"/>
        <v/>
      </c>
      <c r="J269" s="22" t="str">
        <f t="shared" si="16"/>
        <v/>
      </c>
      <c r="K269" s="22" t="str">
        <f t="shared" si="17"/>
        <v/>
      </c>
      <c r="L269" s="22"/>
      <c r="M269" s="22" t="str">
        <f>IF(A269="","",IF(OR(J269="Bajo stock",J269="Sin stock"),COUNTIFS($J$5:$J269,"Bajo stock")+COUNTIFS($J$5:$J269,"Sin stock"),""))</f>
        <v/>
      </c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s="13" customFormat="1" ht="21.75" customHeight="1" x14ac:dyDescent="0.25">
      <c r="A270" s="22" t="str">
        <f>IF(Productos!A270="","",Productos!A270)</f>
        <v/>
      </c>
      <c r="B270" s="22" t="str">
        <f>IF(Productos!A270="","",Productos!B270)</f>
        <v/>
      </c>
      <c r="C270" s="22" t="str">
        <f>IF(Productos!A270="","",Productos!C270)</f>
        <v/>
      </c>
      <c r="D270" s="22" t="str">
        <f>IF(Productos!A270="","",Productos!D270)</f>
        <v/>
      </c>
      <c r="E270" s="22" t="str">
        <f>IF(Productos!A270="","",Productos!E270)</f>
        <v/>
      </c>
      <c r="F270" s="22" t="str">
        <f>IF(Productos!A270="","",Productos!F270)</f>
        <v/>
      </c>
      <c r="G270" s="22" t="str">
        <f>IF(A270="","",SUMIF('Compras Entradas'!$C$5:$C$504,A270,'Compras Entradas'!$E$5:$E$504))</f>
        <v/>
      </c>
      <c r="H270" s="22" t="str">
        <f>IF(A270="","",SUMIF('Ventas Salidas'!$C$5:$C$504,A270,'Ventas Salidas'!$E$5:$E$504))</f>
        <v/>
      </c>
      <c r="I270" s="22" t="str">
        <f t="shared" si="15"/>
        <v/>
      </c>
      <c r="J270" s="22" t="str">
        <f t="shared" si="16"/>
        <v/>
      </c>
      <c r="K270" s="22" t="str">
        <f t="shared" si="17"/>
        <v/>
      </c>
      <c r="L270" s="22"/>
      <c r="M270" s="22" t="str">
        <f>IF(A270="","",IF(OR(J270="Bajo stock",J270="Sin stock"),COUNTIFS($J$5:$J270,"Bajo stock")+COUNTIFS($J$5:$J270,"Sin stock"),""))</f>
        <v/>
      </c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s="13" customFormat="1" ht="21.75" customHeight="1" x14ac:dyDescent="0.25">
      <c r="A271" s="22" t="str">
        <f>IF(Productos!A271="","",Productos!A271)</f>
        <v/>
      </c>
      <c r="B271" s="22" t="str">
        <f>IF(Productos!A271="","",Productos!B271)</f>
        <v/>
      </c>
      <c r="C271" s="22" t="str">
        <f>IF(Productos!A271="","",Productos!C271)</f>
        <v/>
      </c>
      <c r="D271" s="22" t="str">
        <f>IF(Productos!A271="","",Productos!D271)</f>
        <v/>
      </c>
      <c r="E271" s="22" t="str">
        <f>IF(Productos!A271="","",Productos!E271)</f>
        <v/>
      </c>
      <c r="F271" s="22" t="str">
        <f>IF(Productos!A271="","",Productos!F271)</f>
        <v/>
      </c>
      <c r="G271" s="22" t="str">
        <f>IF(A271="","",SUMIF('Compras Entradas'!$C$5:$C$504,A271,'Compras Entradas'!$E$5:$E$504))</f>
        <v/>
      </c>
      <c r="H271" s="22" t="str">
        <f>IF(A271="","",SUMIF('Ventas Salidas'!$C$5:$C$504,A271,'Ventas Salidas'!$E$5:$E$504))</f>
        <v/>
      </c>
      <c r="I271" s="22" t="str">
        <f t="shared" si="15"/>
        <v/>
      </c>
      <c r="J271" s="22" t="str">
        <f t="shared" si="16"/>
        <v/>
      </c>
      <c r="K271" s="22" t="str">
        <f t="shared" si="17"/>
        <v/>
      </c>
      <c r="L271" s="22"/>
      <c r="M271" s="22" t="str">
        <f>IF(A271="","",IF(OR(J271="Bajo stock",J271="Sin stock"),COUNTIFS($J$5:$J271,"Bajo stock")+COUNTIFS($J$5:$J271,"Sin stock"),""))</f>
        <v/>
      </c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s="13" customFormat="1" ht="21.75" customHeight="1" x14ac:dyDescent="0.25">
      <c r="A272" s="22" t="str">
        <f>IF(Productos!A272="","",Productos!A272)</f>
        <v/>
      </c>
      <c r="B272" s="22" t="str">
        <f>IF(Productos!A272="","",Productos!B272)</f>
        <v/>
      </c>
      <c r="C272" s="22" t="str">
        <f>IF(Productos!A272="","",Productos!C272)</f>
        <v/>
      </c>
      <c r="D272" s="22" t="str">
        <f>IF(Productos!A272="","",Productos!D272)</f>
        <v/>
      </c>
      <c r="E272" s="22" t="str">
        <f>IF(Productos!A272="","",Productos!E272)</f>
        <v/>
      </c>
      <c r="F272" s="22" t="str">
        <f>IF(Productos!A272="","",Productos!F272)</f>
        <v/>
      </c>
      <c r="G272" s="22" t="str">
        <f>IF(A272="","",SUMIF('Compras Entradas'!$C$5:$C$504,A272,'Compras Entradas'!$E$5:$E$504))</f>
        <v/>
      </c>
      <c r="H272" s="22" t="str">
        <f>IF(A272="","",SUMIF('Ventas Salidas'!$C$5:$C$504,A272,'Ventas Salidas'!$E$5:$E$504))</f>
        <v/>
      </c>
      <c r="I272" s="22" t="str">
        <f t="shared" si="15"/>
        <v/>
      </c>
      <c r="J272" s="22" t="str">
        <f t="shared" si="16"/>
        <v/>
      </c>
      <c r="K272" s="22" t="str">
        <f t="shared" si="17"/>
        <v/>
      </c>
      <c r="L272" s="22"/>
      <c r="M272" s="22" t="str">
        <f>IF(A272="","",IF(OR(J272="Bajo stock",J272="Sin stock"),COUNTIFS($J$5:$J272,"Bajo stock")+COUNTIFS($J$5:$J272,"Sin stock"),""))</f>
        <v/>
      </c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s="13" customFormat="1" ht="21.75" customHeight="1" x14ac:dyDescent="0.25">
      <c r="A273" s="22" t="str">
        <f>IF(Productos!A273="","",Productos!A273)</f>
        <v/>
      </c>
      <c r="B273" s="22" t="str">
        <f>IF(Productos!A273="","",Productos!B273)</f>
        <v/>
      </c>
      <c r="C273" s="22" t="str">
        <f>IF(Productos!A273="","",Productos!C273)</f>
        <v/>
      </c>
      <c r="D273" s="22" t="str">
        <f>IF(Productos!A273="","",Productos!D273)</f>
        <v/>
      </c>
      <c r="E273" s="22" t="str">
        <f>IF(Productos!A273="","",Productos!E273)</f>
        <v/>
      </c>
      <c r="F273" s="22" t="str">
        <f>IF(Productos!A273="","",Productos!F273)</f>
        <v/>
      </c>
      <c r="G273" s="22" t="str">
        <f>IF(A273="","",SUMIF('Compras Entradas'!$C$5:$C$504,A273,'Compras Entradas'!$E$5:$E$504))</f>
        <v/>
      </c>
      <c r="H273" s="22" t="str">
        <f>IF(A273="","",SUMIF('Ventas Salidas'!$C$5:$C$504,A273,'Ventas Salidas'!$E$5:$E$504))</f>
        <v/>
      </c>
      <c r="I273" s="22" t="str">
        <f t="shared" si="15"/>
        <v/>
      </c>
      <c r="J273" s="22" t="str">
        <f t="shared" si="16"/>
        <v/>
      </c>
      <c r="K273" s="22" t="str">
        <f t="shared" si="17"/>
        <v/>
      </c>
      <c r="L273" s="22"/>
      <c r="M273" s="22" t="str">
        <f>IF(A273="","",IF(OR(J273="Bajo stock",J273="Sin stock"),COUNTIFS($J$5:$J273,"Bajo stock")+COUNTIFS($J$5:$J273,"Sin stock"),""))</f>
        <v/>
      </c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s="13" customFormat="1" ht="21.75" customHeight="1" x14ac:dyDescent="0.25">
      <c r="A274" s="22" t="str">
        <f>IF(Productos!A274="","",Productos!A274)</f>
        <v/>
      </c>
      <c r="B274" s="22" t="str">
        <f>IF(Productos!A274="","",Productos!B274)</f>
        <v/>
      </c>
      <c r="C274" s="22" t="str">
        <f>IF(Productos!A274="","",Productos!C274)</f>
        <v/>
      </c>
      <c r="D274" s="22" t="str">
        <f>IF(Productos!A274="","",Productos!D274)</f>
        <v/>
      </c>
      <c r="E274" s="22" t="str">
        <f>IF(Productos!A274="","",Productos!E274)</f>
        <v/>
      </c>
      <c r="F274" s="22" t="str">
        <f>IF(Productos!A274="","",Productos!F274)</f>
        <v/>
      </c>
      <c r="G274" s="22" t="str">
        <f>IF(A274="","",SUMIF('Compras Entradas'!$C$5:$C$504,A274,'Compras Entradas'!$E$5:$E$504))</f>
        <v/>
      </c>
      <c r="H274" s="22" t="str">
        <f>IF(A274="","",SUMIF('Ventas Salidas'!$C$5:$C$504,A274,'Ventas Salidas'!$E$5:$E$504))</f>
        <v/>
      </c>
      <c r="I274" s="22" t="str">
        <f t="shared" si="15"/>
        <v/>
      </c>
      <c r="J274" s="22" t="str">
        <f t="shared" si="16"/>
        <v/>
      </c>
      <c r="K274" s="22" t="str">
        <f t="shared" si="17"/>
        <v/>
      </c>
      <c r="L274" s="22"/>
      <c r="M274" s="22" t="str">
        <f>IF(A274="","",IF(OR(J274="Bajo stock",J274="Sin stock"),COUNTIFS($J$5:$J274,"Bajo stock")+COUNTIFS($J$5:$J274,"Sin stock"),""))</f>
        <v/>
      </c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s="13" customFormat="1" ht="21.75" customHeight="1" x14ac:dyDescent="0.25">
      <c r="A275" s="22" t="str">
        <f>IF(Productos!A275="","",Productos!A275)</f>
        <v/>
      </c>
      <c r="B275" s="22" t="str">
        <f>IF(Productos!A275="","",Productos!B275)</f>
        <v/>
      </c>
      <c r="C275" s="22" t="str">
        <f>IF(Productos!A275="","",Productos!C275)</f>
        <v/>
      </c>
      <c r="D275" s="22" t="str">
        <f>IF(Productos!A275="","",Productos!D275)</f>
        <v/>
      </c>
      <c r="E275" s="22" t="str">
        <f>IF(Productos!A275="","",Productos!E275)</f>
        <v/>
      </c>
      <c r="F275" s="22" t="str">
        <f>IF(Productos!A275="","",Productos!F275)</f>
        <v/>
      </c>
      <c r="G275" s="22" t="str">
        <f>IF(A275="","",SUMIF('Compras Entradas'!$C$5:$C$504,A275,'Compras Entradas'!$E$5:$E$504))</f>
        <v/>
      </c>
      <c r="H275" s="22" t="str">
        <f>IF(A275="","",SUMIF('Ventas Salidas'!$C$5:$C$504,A275,'Ventas Salidas'!$E$5:$E$504))</f>
        <v/>
      </c>
      <c r="I275" s="22" t="str">
        <f t="shared" si="15"/>
        <v/>
      </c>
      <c r="J275" s="22" t="str">
        <f t="shared" si="16"/>
        <v/>
      </c>
      <c r="K275" s="22" t="str">
        <f t="shared" si="17"/>
        <v/>
      </c>
      <c r="L275" s="22"/>
      <c r="M275" s="22" t="str">
        <f>IF(A275="","",IF(OR(J275="Bajo stock",J275="Sin stock"),COUNTIFS($J$5:$J275,"Bajo stock")+COUNTIFS($J$5:$J275,"Sin stock"),""))</f>
        <v/>
      </c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s="13" customFormat="1" ht="21.75" customHeight="1" x14ac:dyDescent="0.25">
      <c r="A276" s="22" t="str">
        <f>IF(Productos!A276="","",Productos!A276)</f>
        <v/>
      </c>
      <c r="B276" s="22" t="str">
        <f>IF(Productos!A276="","",Productos!B276)</f>
        <v/>
      </c>
      <c r="C276" s="22" t="str">
        <f>IF(Productos!A276="","",Productos!C276)</f>
        <v/>
      </c>
      <c r="D276" s="22" t="str">
        <f>IF(Productos!A276="","",Productos!D276)</f>
        <v/>
      </c>
      <c r="E276" s="22" t="str">
        <f>IF(Productos!A276="","",Productos!E276)</f>
        <v/>
      </c>
      <c r="F276" s="22" t="str">
        <f>IF(Productos!A276="","",Productos!F276)</f>
        <v/>
      </c>
      <c r="G276" s="22" t="str">
        <f>IF(A276="","",SUMIF('Compras Entradas'!$C$5:$C$504,A276,'Compras Entradas'!$E$5:$E$504))</f>
        <v/>
      </c>
      <c r="H276" s="22" t="str">
        <f>IF(A276="","",SUMIF('Ventas Salidas'!$C$5:$C$504,A276,'Ventas Salidas'!$E$5:$E$504))</f>
        <v/>
      </c>
      <c r="I276" s="22" t="str">
        <f t="shared" si="15"/>
        <v/>
      </c>
      <c r="J276" s="22" t="str">
        <f t="shared" si="16"/>
        <v/>
      </c>
      <c r="K276" s="22" t="str">
        <f t="shared" si="17"/>
        <v/>
      </c>
      <c r="L276" s="22"/>
      <c r="M276" s="22" t="str">
        <f>IF(A276="","",IF(OR(J276="Bajo stock",J276="Sin stock"),COUNTIFS($J$5:$J276,"Bajo stock")+COUNTIFS($J$5:$J276,"Sin stock"),""))</f>
        <v/>
      </c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s="13" customFormat="1" ht="21.75" customHeight="1" x14ac:dyDescent="0.25">
      <c r="A277" s="22" t="str">
        <f>IF(Productos!A277="","",Productos!A277)</f>
        <v/>
      </c>
      <c r="B277" s="22" t="str">
        <f>IF(Productos!A277="","",Productos!B277)</f>
        <v/>
      </c>
      <c r="C277" s="22" t="str">
        <f>IF(Productos!A277="","",Productos!C277)</f>
        <v/>
      </c>
      <c r="D277" s="22" t="str">
        <f>IF(Productos!A277="","",Productos!D277)</f>
        <v/>
      </c>
      <c r="E277" s="22" t="str">
        <f>IF(Productos!A277="","",Productos!E277)</f>
        <v/>
      </c>
      <c r="F277" s="22" t="str">
        <f>IF(Productos!A277="","",Productos!F277)</f>
        <v/>
      </c>
      <c r="G277" s="22" t="str">
        <f>IF(A277="","",SUMIF('Compras Entradas'!$C$5:$C$504,A277,'Compras Entradas'!$E$5:$E$504))</f>
        <v/>
      </c>
      <c r="H277" s="22" t="str">
        <f>IF(A277="","",SUMIF('Ventas Salidas'!$C$5:$C$504,A277,'Ventas Salidas'!$E$5:$E$504))</f>
        <v/>
      </c>
      <c r="I277" s="22" t="str">
        <f t="shared" si="15"/>
        <v/>
      </c>
      <c r="J277" s="22" t="str">
        <f t="shared" si="16"/>
        <v/>
      </c>
      <c r="K277" s="22" t="str">
        <f t="shared" si="17"/>
        <v/>
      </c>
      <c r="L277" s="22"/>
      <c r="M277" s="22" t="str">
        <f>IF(A277="","",IF(OR(J277="Bajo stock",J277="Sin stock"),COUNTIFS($J$5:$J277,"Bajo stock")+COUNTIFS($J$5:$J277,"Sin stock"),""))</f>
        <v/>
      </c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s="13" customFormat="1" ht="21.75" customHeight="1" x14ac:dyDescent="0.25">
      <c r="A278" s="22" t="str">
        <f>IF(Productos!A278="","",Productos!A278)</f>
        <v/>
      </c>
      <c r="B278" s="22" t="str">
        <f>IF(Productos!A278="","",Productos!B278)</f>
        <v/>
      </c>
      <c r="C278" s="22" t="str">
        <f>IF(Productos!A278="","",Productos!C278)</f>
        <v/>
      </c>
      <c r="D278" s="22" t="str">
        <f>IF(Productos!A278="","",Productos!D278)</f>
        <v/>
      </c>
      <c r="E278" s="22" t="str">
        <f>IF(Productos!A278="","",Productos!E278)</f>
        <v/>
      </c>
      <c r="F278" s="22" t="str">
        <f>IF(Productos!A278="","",Productos!F278)</f>
        <v/>
      </c>
      <c r="G278" s="22" t="str">
        <f>IF(A278="","",SUMIF('Compras Entradas'!$C$5:$C$504,A278,'Compras Entradas'!$E$5:$E$504))</f>
        <v/>
      </c>
      <c r="H278" s="22" t="str">
        <f>IF(A278="","",SUMIF('Ventas Salidas'!$C$5:$C$504,A278,'Ventas Salidas'!$E$5:$E$504))</f>
        <v/>
      </c>
      <c r="I278" s="22" t="str">
        <f t="shared" si="15"/>
        <v/>
      </c>
      <c r="J278" s="22" t="str">
        <f t="shared" si="16"/>
        <v/>
      </c>
      <c r="K278" s="22" t="str">
        <f t="shared" si="17"/>
        <v/>
      </c>
      <c r="L278" s="22"/>
      <c r="M278" s="22" t="str">
        <f>IF(A278="","",IF(OR(J278="Bajo stock",J278="Sin stock"),COUNTIFS($J$5:$J278,"Bajo stock")+COUNTIFS($J$5:$J278,"Sin stock"),""))</f>
        <v/>
      </c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s="13" customFormat="1" ht="21.75" customHeight="1" x14ac:dyDescent="0.25">
      <c r="A279" s="22" t="str">
        <f>IF(Productos!A279="","",Productos!A279)</f>
        <v/>
      </c>
      <c r="B279" s="22" t="str">
        <f>IF(Productos!A279="","",Productos!B279)</f>
        <v/>
      </c>
      <c r="C279" s="22" t="str">
        <f>IF(Productos!A279="","",Productos!C279)</f>
        <v/>
      </c>
      <c r="D279" s="22" t="str">
        <f>IF(Productos!A279="","",Productos!D279)</f>
        <v/>
      </c>
      <c r="E279" s="22" t="str">
        <f>IF(Productos!A279="","",Productos!E279)</f>
        <v/>
      </c>
      <c r="F279" s="22" t="str">
        <f>IF(Productos!A279="","",Productos!F279)</f>
        <v/>
      </c>
      <c r="G279" s="22" t="str">
        <f>IF(A279="","",SUMIF('Compras Entradas'!$C$5:$C$504,A279,'Compras Entradas'!$E$5:$E$504))</f>
        <v/>
      </c>
      <c r="H279" s="22" t="str">
        <f>IF(A279="","",SUMIF('Ventas Salidas'!$C$5:$C$504,A279,'Ventas Salidas'!$E$5:$E$504))</f>
        <v/>
      </c>
      <c r="I279" s="22" t="str">
        <f t="shared" si="15"/>
        <v/>
      </c>
      <c r="J279" s="22" t="str">
        <f t="shared" si="16"/>
        <v/>
      </c>
      <c r="K279" s="22" t="str">
        <f t="shared" si="17"/>
        <v/>
      </c>
      <c r="L279" s="22"/>
      <c r="M279" s="22" t="str">
        <f>IF(A279="","",IF(OR(J279="Bajo stock",J279="Sin stock"),COUNTIFS($J$5:$J279,"Bajo stock")+COUNTIFS($J$5:$J279,"Sin stock"),""))</f>
        <v/>
      </c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s="13" customFormat="1" ht="21.75" customHeight="1" x14ac:dyDescent="0.25">
      <c r="A280" s="22" t="str">
        <f>IF(Productos!A280="","",Productos!A280)</f>
        <v/>
      </c>
      <c r="B280" s="22" t="str">
        <f>IF(Productos!A280="","",Productos!B280)</f>
        <v/>
      </c>
      <c r="C280" s="22" t="str">
        <f>IF(Productos!A280="","",Productos!C280)</f>
        <v/>
      </c>
      <c r="D280" s="22" t="str">
        <f>IF(Productos!A280="","",Productos!D280)</f>
        <v/>
      </c>
      <c r="E280" s="22" t="str">
        <f>IF(Productos!A280="","",Productos!E280)</f>
        <v/>
      </c>
      <c r="F280" s="22" t="str">
        <f>IF(Productos!A280="","",Productos!F280)</f>
        <v/>
      </c>
      <c r="G280" s="22" t="str">
        <f>IF(A280="","",SUMIF('Compras Entradas'!$C$5:$C$504,A280,'Compras Entradas'!$E$5:$E$504))</f>
        <v/>
      </c>
      <c r="H280" s="22" t="str">
        <f>IF(A280="","",SUMIF('Ventas Salidas'!$C$5:$C$504,A280,'Ventas Salidas'!$E$5:$E$504))</f>
        <v/>
      </c>
      <c r="I280" s="22" t="str">
        <f t="shared" si="15"/>
        <v/>
      </c>
      <c r="J280" s="22" t="str">
        <f t="shared" si="16"/>
        <v/>
      </c>
      <c r="K280" s="22" t="str">
        <f t="shared" si="17"/>
        <v/>
      </c>
      <c r="L280" s="22"/>
      <c r="M280" s="22" t="str">
        <f>IF(A280="","",IF(OR(J280="Bajo stock",J280="Sin stock"),COUNTIFS($J$5:$J280,"Bajo stock")+COUNTIFS($J$5:$J280,"Sin stock"),""))</f>
        <v/>
      </c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s="13" customFormat="1" ht="21.75" customHeight="1" x14ac:dyDescent="0.25">
      <c r="A281" s="22" t="str">
        <f>IF(Productos!A281="","",Productos!A281)</f>
        <v/>
      </c>
      <c r="B281" s="22" t="str">
        <f>IF(Productos!A281="","",Productos!B281)</f>
        <v/>
      </c>
      <c r="C281" s="22" t="str">
        <f>IF(Productos!A281="","",Productos!C281)</f>
        <v/>
      </c>
      <c r="D281" s="22" t="str">
        <f>IF(Productos!A281="","",Productos!D281)</f>
        <v/>
      </c>
      <c r="E281" s="22" t="str">
        <f>IF(Productos!A281="","",Productos!E281)</f>
        <v/>
      </c>
      <c r="F281" s="22" t="str">
        <f>IF(Productos!A281="","",Productos!F281)</f>
        <v/>
      </c>
      <c r="G281" s="22" t="str">
        <f>IF(A281="","",SUMIF('Compras Entradas'!$C$5:$C$504,A281,'Compras Entradas'!$E$5:$E$504))</f>
        <v/>
      </c>
      <c r="H281" s="22" t="str">
        <f>IF(A281="","",SUMIF('Ventas Salidas'!$C$5:$C$504,A281,'Ventas Salidas'!$E$5:$E$504))</f>
        <v/>
      </c>
      <c r="I281" s="22" t="str">
        <f t="shared" si="15"/>
        <v/>
      </c>
      <c r="J281" s="22" t="str">
        <f t="shared" si="16"/>
        <v/>
      </c>
      <c r="K281" s="22" t="str">
        <f t="shared" si="17"/>
        <v/>
      </c>
      <c r="L281" s="22"/>
      <c r="M281" s="22" t="str">
        <f>IF(A281="","",IF(OR(J281="Bajo stock",J281="Sin stock"),COUNTIFS($J$5:$J281,"Bajo stock")+COUNTIFS($J$5:$J281,"Sin stock"),""))</f>
        <v/>
      </c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s="13" customFormat="1" ht="21.75" customHeight="1" x14ac:dyDescent="0.25">
      <c r="A282" s="22" t="str">
        <f>IF(Productos!A282="","",Productos!A282)</f>
        <v/>
      </c>
      <c r="B282" s="22" t="str">
        <f>IF(Productos!A282="","",Productos!B282)</f>
        <v/>
      </c>
      <c r="C282" s="22" t="str">
        <f>IF(Productos!A282="","",Productos!C282)</f>
        <v/>
      </c>
      <c r="D282" s="22" t="str">
        <f>IF(Productos!A282="","",Productos!D282)</f>
        <v/>
      </c>
      <c r="E282" s="22" t="str">
        <f>IF(Productos!A282="","",Productos!E282)</f>
        <v/>
      </c>
      <c r="F282" s="22" t="str">
        <f>IF(Productos!A282="","",Productos!F282)</f>
        <v/>
      </c>
      <c r="G282" s="22" t="str">
        <f>IF(A282="","",SUMIF('Compras Entradas'!$C$5:$C$504,A282,'Compras Entradas'!$E$5:$E$504))</f>
        <v/>
      </c>
      <c r="H282" s="22" t="str">
        <f>IF(A282="","",SUMIF('Ventas Salidas'!$C$5:$C$504,A282,'Ventas Salidas'!$E$5:$E$504))</f>
        <v/>
      </c>
      <c r="I282" s="22" t="str">
        <f t="shared" si="15"/>
        <v/>
      </c>
      <c r="J282" s="22" t="str">
        <f t="shared" si="16"/>
        <v/>
      </c>
      <c r="K282" s="22" t="str">
        <f t="shared" si="17"/>
        <v/>
      </c>
      <c r="L282" s="22"/>
      <c r="M282" s="22" t="str">
        <f>IF(A282="","",IF(OR(J282="Bajo stock",J282="Sin stock"),COUNTIFS($J$5:$J282,"Bajo stock")+COUNTIFS($J$5:$J282,"Sin stock"),""))</f>
        <v/>
      </c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s="13" customFormat="1" ht="21.75" customHeight="1" x14ac:dyDescent="0.25">
      <c r="A283" s="22" t="str">
        <f>IF(Productos!A283="","",Productos!A283)</f>
        <v/>
      </c>
      <c r="B283" s="22" t="str">
        <f>IF(Productos!A283="","",Productos!B283)</f>
        <v/>
      </c>
      <c r="C283" s="22" t="str">
        <f>IF(Productos!A283="","",Productos!C283)</f>
        <v/>
      </c>
      <c r="D283" s="22" t="str">
        <f>IF(Productos!A283="","",Productos!D283)</f>
        <v/>
      </c>
      <c r="E283" s="22" t="str">
        <f>IF(Productos!A283="","",Productos!E283)</f>
        <v/>
      </c>
      <c r="F283" s="22" t="str">
        <f>IF(Productos!A283="","",Productos!F283)</f>
        <v/>
      </c>
      <c r="G283" s="22" t="str">
        <f>IF(A283="","",SUMIF('Compras Entradas'!$C$5:$C$504,A283,'Compras Entradas'!$E$5:$E$504))</f>
        <v/>
      </c>
      <c r="H283" s="22" t="str">
        <f>IF(A283="","",SUMIF('Ventas Salidas'!$C$5:$C$504,A283,'Ventas Salidas'!$E$5:$E$504))</f>
        <v/>
      </c>
      <c r="I283" s="22" t="str">
        <f t="shared" si="15"/>
        <v/>
      </c>
      <c r="J283" s="22" t="str">
        <f t="shared" si="16"/>
        <v/>
      </c>
      <c r="K283" s="22" t="str">
        <f t="shared" si="17"/>
        <v/>
      </c>
      <c r="L283" s="22"/>
      <c r="M283" s="22" t="str">
        <f>IF(A283="","",IF(OR(J283="Bajo stock",J283="Sin stock"),COUNTIFS($J$5:$J283,"Bajo stock")+COUNTIFS($J$5:$J283,"Sin stock"),""))</f>
        <v/>
      </c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s="13" customFormat="1" ht="21.75" customHeight="1" x14ac:dyDescent="0.25">
      <c r="A284" s="22" t="str">
        <f>IF(Productos!A284="","",Productos!A284)</f>
        <v/>
      </c>
      <c r="B284" s="22" t="str">
        <f>IF(Productos!A284="","",Productos!B284)</f>
        <v/>
      </c>
      <c r="C284" s="22" t="str">
        <f>IF(Productos!A284="","",Productos!C284)</f>
        <v/>
      </c>
      <c r="D284" s="22" t="str">
        <f>IF(Productos!A284="","",Productos!D284)</f>
        <v/>
      </c>
      <c r="E284" s="22" t="str">
        <f>IF(Productos!A284="","",Productos!E284)</f>
        <v/>
      </c>
      <c r="F284" s="22" t="str">
        <f>IF(Productos!A284="","",Productos!F284)</f>
        <v/>
      </c>
      <c r="G284" s="22" t="str">
        <f>IF(A284="","",SUMIF('Compras Entradas'!$C$5:$C$504,A284,'Compras Entradas'!$E$5:$E$504))</f>
        <v/>
      </c>
      <c r="H284" s="22" t="str">
        <f>IF(A284="","",SUMIF('Ventas Salidas'!$C$5:$C$504,A284,'Ventas Salidas'!$E$5:$E$504))</f>
        <v/>
      </c>
      <c r="I284" s="22" t="str">
        <f t="shared" si="15"/>
        <v/>
      </c>
      <c r="J284" s="22" t="str">
        <f t="shared" si="16"/>
        <v/>
      </c>
      <c r="K284" s="22" t="str">
        <f t="shared" si="17"/>
        <v/>
      </c>
      <c r="L284" s="22"/>
      <c r="M284" s="22" t="str">
        <f>IF(A284="","",IF(OR(J284="Bajo stock",J284="Sin stock"),COUNTIFS($J$5:$J284,"Bajo stock")+COUNTIFS($J$5:$J284,"Sin stock"),""))</f>
        <v/>
      </c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s="13" customFormat="1" ht="21.75" customHeight="1" x14ac:dyDescent="0.25">
      <c r="A285" s="22" t="str">
        <f>IF(Productos!A285="","",Productos!A285)</f>
        <v/>
      </c>
      <c r="B285" s="22" t="str">
        <f>IF(Productos!A285="","",Productos!B285)</f>
        <v/>
      </c>
      <c r="C285" s="22" t="str">
        <f>IF(Productos!A285="","",Productos!C285)</f>
        <v/>
      </c>
      <c r="D285" s="22" t="str">
        <f>IF(Productos!A285="","",Productos!D285)</f>
        <v/>
      </c>
      <c r="E285" s="22" t="str">
        <f>IF(Productos!A285="","",Productos!E285)</f>
        <v/>
      </c>
      <c r="F285" s="22" t="str">
        <f>IF(Productos!A285="","",Productos!F285)</f>
        <v/>
      </c>
      <c r="G285" s="22" t="str">
        <f>IF(A285="","",SUMIF('Compras Entradas'!$C$5:$C$504,A285,'Compras Entradas'!$E$5:$E$504))</f>
        <v/>
      </c>
      <c r="H285" s="22" t="str">
        <f>IF(A285="","",SUMIF('Ventas Salidas'!$C$5:$C$504,A285,'Ventas Salidas'!$E$5:$E$504))</f>
        <v/>
      </c>
      <c r="I285" s="22" t="str">
        <f t="shared" si="15"/>
        <v/>
      </c>
      <c r="J285" s="22" t="str">
        <f t="shared" si="16"/>
        <v/>
      </c>
      <c r="K285" s="22" t="str">
        <f t="shared" si="17"/>
        <v/>
      </c>
      <c r="L285" s="22"/>
      <c r="M285" s="22" t="str">
        <f>IF(A285="","",IF(OR(J285="Bajo stock",J285="Sin stock"),COUNTIFS($J$5:$J285,"Bajo stock")+COUNTIFS($J$5:$J285,"Sin stock"),""))</f>
        <v/>
      </c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s="13" customFormat="1" ht="21.75" customHeight="1" x14ac:dyDescent="0.25">
      <c r="A286" s="22" t="str">
        <f>IF(Productos!A286="","",Productos!A286)</f>
        <v/>
      </c>
      <c r="B286" s="22" t="str">
        <f>IF(Productos!A286="","",Productos!B286)</f>
        <v/>
      </c>
      <c r="C286" s="22" t="str">
        <f>IF(Productos!A286="","",Productos!C286)</f>
        <v/>
      </c>
      <c r="D286" s="22" t="str">
        <f>IF(Productos!A286="","",Productos!D286)</f>
        <v/>
      </c>
      <c r="E286" s="22" t="str">
        <f>IF(Productos!A286="","",Productos!E286)</f>
        <v/>
      </c>
      <c r="F286" s="22" t="str">
        <f>IF(Productos!A286="","",Productos!F286)</f>
        <v/>
      </c>
      <c r="G286" s="22" t="str">
        <f>IF(A286="","",SUMIF('Compras Entradas'!$C$5:$C$504,A286,'Compras Entradas'!$E$5:$E$504))</f>
        <v/>
      </c>
      <c r="H286" s="22" t="str">
        <f>IF(A286="","",SUMIF('Ventas Salidas'!$C$5:$C$504,A286,'Ventas Salidas'!$E$5:$E$504))</f>
        <v/>
      </c>
      <c r="I286" s="22" t="str">
        <f t="shared" si="15"/>
        <v/>
      </c>
      <c r="J286" s="22" t="str">
        <f t="shared" si="16"/>
        <v/>
      </c>
      <c r="K286" s="22" t="str">
        <f t="shared" si="17"/>
        <v/>
      </c>
      <c r="L286" s="22"/>
      <c r="M286" s="22" t="str">
        <f>IF(A286="","",IF(OR(J286="Bajo stock",J286="Sin stock"),COUNTIFS($J$5:$J286,"Bajo stock")+COUNTIFS($J$5:$J286,"Sin stock"),""))</f>
        <v/>
      </c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s="13" customFormat="1" ht="21.75" customHeight="1" x14ac:dyDescent="0.25">
      <c r="A287" s="22" t="str">
        <f>IF(Productos!A287="","",Productos!A287)</f>
        <v/>
      </c>
      <c r="B287" s="22" t="str">
        <f>IF(Productos!A287="","",Productos!B287)</f>
        <v/>
      </c>
      <c r="C287" s="22" t="str">
        <f>IF(Productos!A287="","",Productos!C287)</f>
        <v/>
      </c>
      <c r="D287" s="22" t="str">
        <f>IF(Productos!A287="","",Productos!D287)</f>
        <v/>
      </c>
      <c r="E287" s="22" t="str">
        <f>IF(Productos!A287="","",Productos!E287)</f>
        <v/>
      </c>
      <c r="F287" s="22" t="str">
        <f>IF(Productos!A287="","",Productos!F287)</f>
        <v/>
      </c>
      <c r="G287" s="22" t="str">
        <f>IF(A287="","",SUMIF('Compras Entradas'!$C$5:$C$504,A287,'Compras Entradas'!$E$5:$E$504))</f>
        <v/>
      </c>
      <c r="H287" s="22" t="str">
        <f>IF(A287="","",SUMIF('Ventas Salidas'!$C$5:$C$504,A287,'Ventas Salidas'!$E$5:$E$504))</f>
        <v/>
      </c>
      <c r="I287" s="22" t="str">
        <f t="shared" si="15"/>
        <v/>
      </c>
      <c r="J287" s="22" t="str">
        <f t="shared" si="16"/>
        <v/>
      </c>
      <c r="K287" s="22" t="str">
        <f t="shared" si="17"/>
        <v/>
      </c>
      <c r="L287" s="22"/>
      <c r="M287" s="22" t="str">
        <f>IF(A287="","",IF(OR(J287="Bajo stock",J287="Sin stock"),COUNTIFS($J$5:$J287,"Bajo stock")+COUNTIFS($J$5:$J287,"Sin stock"),""))</f>
        <v/>
      </c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s="13" customFormat="1" ht="21.75" customHeight="1" x14ac:dyDescent="0.25">
      <c r="A288" s="22" t="str">
        <f>IF(Productos!A288="","",Productos!A288)</f>
        <v/>
      </c>
      <c r="B288" s="22" t="str">
        <f>IF(Productos!A288="","",Productos!B288)</f>
        <v/>
      </c>
      <c r="C288" s="22" t="str">
        <f>IF(Productos!A288="","",Productos!C288)</f>
        <v/>
      </c>
      <c r="D288" s="22" t="str">
        <f>IF(Productos!A288="","",Productos!D288)</f>
        <v/>
      </c>
      <c r="E288" s="22" t="str">
        <f>IF(Productos!A288="","",Productos!E288)</f>
        <v/>
      </c>
      <c r="F288" s="22" t="str">
        <f>IF(Productos!A288="","",Productos!F288)</f>
        <v/>
      </c>
      <c r="G288" s="22" t="str">
        <f>IF(A288="","",SUMIF('Compras Entradas'!$C$5:$C$504,A288,'Compras Entradas'!$E$5:$E$504))</f>
        <v/>
      </c>
      <c r="H288" s="22" t="str">
        <f>IF(A288="","",SUMIF('Ventas Salidas'!$C$5:$C$504,A288,'Ventas Salidas'!$E$5:$E$504))</f>
        <v/>
      </c>
      <c r="I288" s="22" t="str">
        <f t="shared" si="15"/>
        <v/>
      </c>
      <c r="J288" s="22" t="str">
        <f t="shared" si="16"/>
        <v/>
      </c>
      <c r="K288" s="22" t="str">
        <f t="shared" si="17"/>
        <v/>
      </c>
      <c r="L288" s="22"/>
      <c r="M288" s="22" t="str">
        <f>IF(A288="","",IF(OR(J288="Bajo stock",J288="Sin stock"),COUNTIFS($J$5:$J288,"Bajo stock")+COUNTIFS($J$5:$J288,"Sin stock"),""))</f>
        <v/>
      </c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s="13" customFormat="1" ht="21.75" customHeight="1" x14ac:dyDescent="0.25">
      <c r="A289" s="22" t="str">
        <f>IF(Productos!A289="","",Productos!A289)</f>
        <v/>
      </c>
      <c r="B289" s="22" t="str">
        <f>IF(Productos!A289="","",Productos!B289)</f>
        <v/>
      </c>
      <c r="C289" s="22" t="str">
        <f>IF(Productos!A289="","",Productos!C289)</f>
        <v/>
      </c>
      <c r="D289" s="22" t="str">
        <f>IF(Productos!A289="","",Productos!D289)</f>
        <v/>
      </c>
      <c r="E289" s="22" t="str">
        <f>IF(Productos!A289="","",Productos!E289)</f>
        <v/>
      </c>
      <c r="F289" s="22" t="str">
        <f>IF(Productos!A289="","",Productos!F289)</f>
        <v/>
      </c>
      <c r="G289" s="22" t="str">
        <f>IF(A289="","",SUMIF('Compras Entradas'!$C$5:$C$504,A289,'Compras Entradas'!$E$5:$E$504))</f>
        <v/>
      </c>
      <c r="H289" s="22" t="str">
        <f>IF(A289="","",SUMIF('Ventas Salidas'!$C$5:$C$504,A289,'Ventas Salidas'!$E$5:$E$504))</f>
        <v/>
      </c>
      <c r="I289" s="22" t="str">
        <f t="shared" si="15"/>
        <v/>
      </c>
      <c r="J289" s="22" t="str">
        <f t="shared" si="16"/>
        <v/>
      </c>
      <c r="K289" s="22" t="str">
        <f t="shared" si="17"/>
        <v/>
      </c>
      <c r="L289" s="22"/>
      <c r="M289" s="22" t="str">
        <f>IF(A289="","",IF(OR(J289="Bajo stock",J289="Sin stock"),COUNTIFS($J$5:$J289,"Bajo stock")+COUNTIFS($J$5:$J289,"Sin stock"),""))</f>
        <v/>
      </c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s="13" customFormat="1" ht="21.75" customHeight="1" x14ac:dyDescent="0.25">
      <c r="A290" s="22" t="str">
        <f>IF(Productos!A290="","",Productos!A290)</f>
        <v/>
      </c>
      <c r="B290" s="22" t="str">
        <f>IF(Productos!A290="","",Productos!B290)</f>
        <v/>
      </c>
      <c r="C290" s="22" t="str">
        <f>IF(Productos!A290="","",Productos!C290)</f>
        <v/>
      </c>
      <c r="D290" s="22" t="str">
        <f>IF(Productos!A290="","",Productos!D290)</f>
        <v/>
      </c>
      <c r="E290" s="22" t="str">
        <f>IF(Productos!A290="","",Productos!E290)</f>
        <v/>
      </c>
      <c r="F290" s="22" t="str">
        <f>IF(Productos!A290="","",Productos!F290)</f>
        <v/>
      </c>
      <c r="G290" s="22" t="str">
        <f>IF(A290="","",SUMIF('Compras Entradas'!$C$5:$C$504,A290,'Compras Entradas'!$E$5:$E$504))</f>
        <v/>
      </c>
      <c r="H290" s="22" t="str">
        <f>IF(A290="","",SUMIF('Ventas Salidas'!$C$5:$C$504,A290,'Ventas Salidas'!$E$5:$E$504))</f>
        <v/>
      </c>
      <c r="I290" s="22" t="str">
        <f t="shared" si="15"/>
        <v/>
      </c>
      <c r="J290" s="22" t="str">
        <f t="shared" si="16"/>
        <v/>
      </c>
      <c r="K290" s="22" t="str">
        <f t="shared" si="17"/>
        <v/>
      </c>
      <c r="L290" s="22"/>
      <c r="M290" s="22" t="str">
        <f>IF(A290="","",IF(OR(J290="Bajo stock",J290="Sin stock"),COUNTIFS($J$5:$J290,"Bajo stock")+COUNTIFS($J$5:$J290,"Sin stock"),""))</f>
        <v/>
      </c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s="13" customFormat="1" ht="21.75" customHeight="1" x14ac:dyDescent="0.25">
      <c r="A291" s="22" t="str">
        <f>IF(Productos!A291="","",Productos!A291)</f>
        <v/>
      </c>
      <c r="B291" s="22" t="str">
        <f>IF(Productos!A291="","",Productos!B291)</f>
        <v/>
      </c>
      <c r="C291" s="22" t="str">
        <f>IF(Productos!A291="","",Productos!C291)</f>
        <v/>
      </c>
      <c r="D291" s="22" t="str">
        <f>IF(Productos!A291="","",Productos!D291)</f>
        <v/>
      </c>
      <c r="E291" s="22" t="str">
        <f>IF(Productos!A291="","",Productos!E291)</f>
        <v/>
      </c>
      <c r="F291" s="22" t="str">
        <f>IF(Productos!A291="","",Productos!F291)</f>
        <v/>
      </c>
      <c r="G291" s="22" t="str">
        <f>IF(A291="","",SUMIF('Compras Entradas'!$C$5:$C$504,A291,'Compras Entradas'!$E$5:$E$504))</f>
        <v/>
      </c>
      <c r="H291" s="22" t="str">
        <f>IF(A291="","",SUMIF('Ventas Salidas'!$C$5:$C$504,A291,'Ventas Salidas'!$E$5:$E$504))</f>
        <v/>
      </c>
      <c r="I291" s="22" t="str">
        <f t="shared" si="15"/>
        <v/>
      </c>
      <c r="J291" s="22" t="str">
        <f t="shared" si="16"/>
        <v/>
      </c>
      <c r="K291" s="22" t="str">
        <f t="shared" si="17"/>
        <v/>
      </c>
      <c r="L291" s="22"/>
      <c r="M291" s="22" t="str">
        <f>IF(A291="","",IF(OR(J291="Bajo stock",J291="Sin stock"),COUNTIFS($J$5:$J291,"Bajo stock")+COUNTIFS($J$5:$J291,"Sin stock"),""))</f>
        <v/>
      </c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s="13" customFormat="1" ht="21.75" customHeight="1" x14ac:dyDescent="0.25">
      <c r="A292" s="22" t="str">
        <f>IF(Productos!A292="","",Productos!A292)</f>
        <v/>
      </c>
      <c r="B292" s="22" t="str">
        <f>IF(Productos!A292="","",Productos!B292)</f>
        <v/>
      </c>
      <c r="C292" s="22" t="str">
        <f>IF(Productos!A292="","",Productos!C292)</f>
        <v/>
      </c>
      <c r="D292" s="22" t="str">
        <f>IF(Productos!A292="","",Productos!D292)</f>
        <v/>
      </c>
      <c r="E292" s="22" t="str">
        <f>IF(Productos!A292="","",Productos!E292)</f>
        <v/>
      </c>
      <c r="F292" s="22" t="str">
        <f>IF(Productos!A292="","",Productos!F292)</f>
        <v/>
      </c>
      <c r="G292" s="22" t="str">
        <f>IF(A292="","",SUMIF('Compras Entradas'!$C$5:$C$504,A292,'Compras Entradas'!$E$5:$E$504))</f>
        <v/>
      </c>
      <c r="H292" s="22" t="str">
        <f>IF(A292="","",SUMIF('Ventas Salidas'!$C$5:$C$504,A292,'Ventas Salidas'!$E$5:$E$504))</f>
        <v/>
      </c>
      <c r="I292" s="22" t="str">
        <f t="shared" si="15"/>
        <v/>
      </c>
      <c r="J292" s="22" t="str">
        <f t="shared" si="16"/>
        <v/>
      </c>
      <c r="K292" s="22" t="str">
        <f t="shared" si="17"/>
        <v/>
      </c>
      <c r="L292" s="22"/>
      <c r="M292" s="22" t="str">
        <f>IF(A292="","",IF(OR(J292="Bajo stock",J292="Sin stock"),COUNTIFS($J$5:$J292,"Bajo stock")+COUNTIFS($J$5:$J292,"Sin stock"),""))</f>
        <v/>
      </c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s="13" customFormat="1" ht="21.75" customHeight="1" x14ac:dyDescent="0.25">
      <c r="A293" s="22" t="str">
        <f>IF(Productos!A293="","",Productos!A293)</f>
        <v/>
      </c>
      <c r="B293" s="22" t="str">
        <f>IF(Productos!A293="","",Productos!B293)</f>
        <v/>
      </c>
      <c r="C293" s="22" t="str">
        <f>IF(Productos!A293="","",Productos!C293)</f>
        <v/>
      </c>
      <c r="D293" s="22" t="str">
        <f>IF(Productos!A293="","",Productos!D293)</f>
        <v/>
      </c>
      <c r="E293" s="22" t="str">
        <f>IF(Productos!A293="","",Productos!E293)</f>
        <v/>
      </c>
      <c r="F293" s="22" t="str">
        <f>IF(Productos!A293="","",Productos!F293)</f>
        <v/>
      </c>
      <c r="G293" s="22" t="str">
        <f>IF(A293="","",SUMIF('Compras Entradas'!$C$5:$C$504,A293,'Compras Entradas'!$E$5:$E$504))</f>
        <v/>
      </c>
      <c r="H293" s="22" t="str">
        <f>IF(A293="","",SUMIF('Ventas Salidas'!$C$5:$C$504,A293,'Ventas Salidas'!$E$5:$E$504))</f>
        <v/>
      </c>
      <c r="I293" s="22" t="str">
        <f t="shared" si="15"/>
        <v/>
      </c>
      <c r="J293" s="22" t="str">
        <f t="shared" si="16"/>
        <v/>
      </c>
      <c r="K293" s="22" t="str">
        <f t="shared" si="17"/>
        <v/>
      </c>
      <c r="L293" s="22"/>
      <c r="M293" s="22" t="str">
        <f>IF(A293="","",IF(OR(J293="Bajo stock",J293="Sin stock"),COUNTIFS($J$5:$J293,"Bajo stock")+COUNTIFS($J$5:$J293,"Sin stock"),""))</f>
        <v/>
      </c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s="13" customFormat="1" ht="21.75" customHeight="1" x14ac:dyDescent="0.25">
      <c r="A294" s="22" t="str">
        <f>IF(Productos!A294="","",Productos!A294)</f>
        <v/>
      </c>
      <c r="B294" s="22" t="str">
        <f>IF(Productos!A294="","",Productos!B294)</f>
        <v/>
      </c>
      <c r="C294" s="22" t="str">
        <f>IF(Productos!A294="","",Productos!C294)</f>
        <v/>
      </c>
      <c r="D294" s="22" t="str">
        <f>IF(Productos!A294="","",Productos!D294)</f>
        <v/>
      </c>
      <c r="E294" s="22" t="str">
        <f>IF(Productos!A294="","",Productos!E294)</f>
        <v/>
      </c>
      <c r="F294" s="22" t="str">
        <f>IF(Productos!A294="","",Productos!F294)</f>
        <v/>
      </c>
      <c r="G294" s="22" t="str">
        <f>IF(A294="","",SUMIF('Compras Entradas'!$C$5:$C$504,A294,'Compras Entradas'!$E$5:$E$504))</f>
        <v/>
      </c>
      <c r="H294" s="22" t="str">
        <f>IF(A294="","",SUMIF('Ventas Salidas'!$C$5:$C$504,A294,'Ventas Salidas'!$E$5:$E$504))</f>
        <v/>
      </c>
      <c r="I294" s="22" t="str">
        <f t="shared" si="15"/>
        <v/>
      </c>
      <c r="J294" s="22" t="str">
        <f t="shared" si="16"/>
        <v/>
      </c>
      <c r="K294" s="22" t="str">
        <f t="shared" si="17"/>
        <v/>
      </c>
      <c r="L294" s="22"/>
      <c r="M294" s="22" t="str">
        <f>IF(A294="","",IF(OR(J294="Bajo stock",J294="Sin stock"),COUNTIFS($J$5:$J294,"Bajo stock")+COUNTIFS($J$5:$J294,"Sin stock"),""))</f>
        <v/>
      </c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s="13" customFormat="1" ht="21.75" customHeight="1" x14ac:dyDescent="0.25">
      <c r="A295" s="22" t="str">
        <f>IF(Productos!A295="","",Productos!A295)</f>
        <v/>
      </c>
      <c r="B295" s="22" t="str">
        <f>IF(Productos!A295="","",Productos!B295)</f>
        <v/>
      </c>
      <c r="C295" s="22" t="str">
        <f>IF(Productos!A295="","",Productos!C295)</f>
        <v/>
      </c>
      <c r="D295" s="22" t="str">
        <f>IF(Productos!A295="","",Productos!D295)</f>
        <v/>
      </c>
      <c r="E295" s="22" t="str">
        <f>IF(Productos!A295="","",Productos!E295)</f>
        <v/>
      </c>
      <c r="F295" s="22" t="str">
        <f>IF(Productos!A295="","",Productos!F295)</f>
        <v/>
      </c>
      <c r="G295" s="22" t="str">
        <f>IF(A295="","",SUMIF('Compras Entradas'!$C$5:$C$504,A295,'Compras Entradas'!$E$5:$E$504))</f>
        <v/>
      </c>
      <c r="H295" s="22" t="str">
        <f>IF(A295="","",SUMIF('Ventas Salidas'!$C$5:$C$504,A295,'Ventas Salidas'!$E$5:$E$504))</f>
        <v/>
      </c>
      <c r="I295" s="22" t="str">
        <f t="shared" si="15"/>
        <v/>
      </c>
      <c r="J295" s="22" t="str">
        <f t="shared" si="16"/>
        <v/>
      </c>
      <c r="K295" s="22" t="str">
        <f t="shared" si="17"/>
        <v/>
      </c>
      <c r="L295" s="22"/>
      <c r="M295" s="22" t="str">
        <f>IF(A295="","",IF(OR(J295="Bajo stock",J295="Sin stock"),COUNTIFS($J$5:$J295,"Bajo stock")+COUNTIFS($J$5:$J295,"Sin stock"),""))</f>
        <v/>
      </c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s="13" customFormat="1" ht="21.75" customHeight="1" x14ac:dyDescent="0.25">
      <c r="A296" s="22" t="str">
        <f>IF(Productos!A296="","",Productos!A296)</f>
        <v/>
      </c>
      <c r="B296" s="22" t="str">
        <f>IF(Productos!A296="","",Productos!B296)</f>
        <v/>
      </c>
      <c r="C296" s="22" t="str">
        <f>IF(Productos!A296="","",Productos!C296)</f>
        <v/>
      </c>
      <c r="D296" s="22" t="str">
        <f>IF(Productos!A296="","",Productos!D296)</f>
        <v/>
      </c>
      <c r="E296" s="22" t="str">
        <f>IF(Productos!A296="","",Productos!E296)</f>
        <v/>
      </c>
      <c r="F296" s="22" t="str">
        <f>IF(Productos!A296="","",Productos!F296)</f>
        <v/>
      </c>
      <c r="G296" s="22" t="str">
        <f>IF(A296="","",SUMIF('Compras Entradas'!$C$5:$C$504,A296,'Compras Entradas'!$E$5:$E$504))</f>
        <v/>
      </c>
      <c r="H296" s="22" t="str">
        <f>IF(A296="","",SUMIF('Ventas Salidas'!$C$5:$C$504,A296,'Ventas Salidas'!$E$5:$E$504))</f>
        <v/>
      </c>
      <c r="I296" s="22" t="str">
        <f t="shared" si="15"/>
        <v/>
      </c>
      <c r="J296" s="22" t="str">
        <f t="shared" si="16"/>
        <v/>
      </c>
      <c r="K296" s="22" t="str">
        <f t="shared" si="17"/>
        <v/>
      </c>
      <c r="L296" s="22"/>
      <c r="M296" s="22" t="str">
        <f>IF(A296="","",IF(OR(J296="Bajo stock",J296="Sin stock"),COUNTIFS($J$5:$J296,"Bajo stock")+COUNTIFS($J$5:$J296,"Sin stock"),""))</f>
        <v/>
      </c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s="13" customFormat="1" ht="21.75" customHeight="1" x14ac:dyDescent="0.25">
      <c r="A297" s="22" t="str">
        <f>IF(Productos!A297="","",Productos!A297)</f>
        <v/>
      </c>
      <c r="B297" s="22" t="str">
        <f>IF(Productos!A297="","",Productos!B297)</f>
        <v/>
      </c>
      <c r="C297" s="22" t="str">
        <f>IF(Productos!A297="","",Productos!C297)</f>
        <v/>
      </c>
      <c r="D297" s="22" t="str">
        <f>IF(Productos!A297="","",Productos!D297)</f>
        <v/>
      </c>
      <c r="E297" s="22" t="str">
        <f>IF(Productos!A297="","",Productos!E297)</f>
        <v/>
      </c>
      <c r="F297" s="22" t="str">
        <f>IF(Productos!A297="","",Productos!F297)</f>
        <v/>
      </c>
      <c r="G297" s="22" t="str">
        <f>IF(A297="","",SUMIF('Compras Entradas'!$C$5:$C$504,A297,'Compras Entradas'!$E$5:$E$504))</f>
        <v/>
      </c>
      <c r="H297" s="22" t="str">
        <f>IF(A297="","",SUMIF('Ventas Salidas'!$C$5:$C$504,A297,'Ventas Salidas'!$E$5:$E$504))</f>
        <v/>
      </c>
      <c r="I297" s="22" t="str">
        <f t="shared" si="15"/>
        <v/>
      </c>
      <c r="J297" s="22" t="str">
        <f t="shared" si="16"/>
        <v/>
      </c>
      <c r="K297" s="22" t="str">
        <f t="shared" si="17"/>
        <v/>
      </c>
      <c r="L297" s="22"/>
      <c r="M297" s="22" t="str">
        <f>IF(A297="","",IF(OR(J297="Bajo stock",J297="Sin stock"),COUNTIFS($J$5:$J297,"Bajo stock")+COUNTIFS($J$5:$J297,"Sin stock"),""))</f>
        <v/>
      </c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s="13" customFormat="1" ht="21.75" customHeight="1" x14ac:dyDescent="0.25">
      <c r="A298" s="22" t="str">
        <f>IF(Productos!A298="","",Productos!A298)</f>
        <v/>
      </c>
      <c r="B298" s="22" t="str">
        <f>IF(Productos!A298="","",Productos!B298)</f>
        <v/>
      </c>
      <c r="C298" s="22" t="str">
        <f>IF(Productos!A298="","",Productos!C298)</f>
        <v/>
      </c>
      <c r="D298" s="22" t="str">
        <f>IF(Productos!A298="","",Productos!D298)</f>
        <v/>
      </c>
      <c r="E298" s="22" t="str">
        <f>IF(Productos!A298="","",Productos!E298)</f>
        <v/>
      </c>
      <c r="F298" s="22" t="str">
        <f>IF(Productos!A298="","",Productos!F298)</f>
        <v/>
      </c>
      <c r="G298" s="22" t="str">
        <f>IF(A298="","",SUMIF('Compras Entradas'!$C$5:$C$504,A298,'Compras Entradas'!$E$5:$E$504))</f>
        <v/>
      </c>
      <c r="H298" s="22" t="str">
        <f>IF(A298="","",SUMIF('Ventas Salidas'!$C$5:$C$504,A298,'Ventas Salidas'!$E$5:$E$504))</f>
        <v/>
      </c>
      <c r="I298" s="22" t="str">
        <f t="shared" si="15"/>
        <v/>
      </c>
      <c r="J298" s="22" t="str">
        <f t="shared" si="16"/>
        <v/>
      </c>
      <c r="K298" s="22" t="str">
        <f t="shared" si="17"/>
        <v/>
      </c>
      <c r="L298" s="22"/>
      <c r="M298" s="22" t="str">
        <f>IF(A298="","",IF(OR(J298="Bajo stock",J298="Sin stock"),COUNTIFS($J$5:$J298,"Bajo stock")+COUNTIFS($J$5:$J298,"Sin stock"),""))</f>
        <v/>
      </c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s="13" customFormat="1" ht="21.75" customHeight="1" x14ac:dyDescent="0.25">
      <c r="A299" s="22" t="str">
        <f>IF(Productos!A299="","",Productos!A299)</f>
        <v/>
      </c>
      <c r="B299" s="22" t="str">
        <f>IF(Productos!A299="","",Productos!B299)</f>
        <v/>
      </c>
      <c r="C299" s="22" t="str">
        <f>IF(Productos!A299="","",Productos!C299)</f>
        <v/>
      </c>
      <c r="D299" s="22" t="str">
        <f>IF(Productos!A299="","",Productos!D299)</f>
        <v/>
      </c>
      <c r="E299" s="22" t="str">
        <f>IF(Productos!A299="","",Productos!E299)</f>
        <v/>
      </c>
      <c r="F299" s="22" t="str">
        <f>IF(Productos!A299="","",Productos!F299)</f>
        <v/>
      </c>
      <c r="G299" s="22" t="str">
        <f>IF(A299="","",SUMIF('Compras Entradas'!$C$5:$C$504,A299,'Compras Entradas'!$E$5:$E$504))</f>
        <v/>
      </c>
      <c r="H299" s="22" t="str">
        <f>IF(A299="","",SUMIF('Ventas Salidas'!$C$5:$C$504,A299,'Ventas Salidas'!$E$5:$E$504))</f>
        <v/>
      </c>
      <c r="I299" s="22" t="str">
        <f t="shared" si="15"/>
        <v/>
      </c>
      <c r="J299" s="22" t="str">
        <f t="shared" si="16"/>
        <v/>
      </c>
      <c r="K299" s="22" t="str">
        <f t="shared" si="17"/>
        <v/>
      </c>
      <c r="L299" s="22"/>
      <c r="M299" s="22" t="str">
        <f>IF(A299="","",IF(OR(J299="Bajo stock",J299="Sin stock"),COUNTIFS($J$5:$J299,"Bajo stock")+COUNTIFS($J$5:$J299,"Sin stock"),""))</f>
        <v/>
      </c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s="13" customFormat="1" ht="21.75" customHeight="1" x14ac:dyDescent="0.25">
      <c r="A300" s="22" t="str">
        <f>IF(Productos!A300="","",Productos!A300)</f>
        <v/>
      </c>
      <c r="B300" s="22" t="str">
        <f>IF(Productos!A300="","",Productos!B300)</f>
        <v/>
      </c>
      <c r="C300" s="22" t="str">
        <f>IF(Productos!A300="","",Productos!C300)</f>
        <v/>
      </c>
      <c r="D300" s="22" t="str">
        <f>IF(Productos!A300="","",Productos!D300)</f>
        <v/>
      </c>
      <c r="E300" s="22" t="str">
        <f>IF(Productos!A300="","",Productos!E300)</f>
        <v/>
      </c>
      <c r="F300" s="22" t="str">
        <f>IF(Productos!A300="","",Productos!F300)</f>
        <v/>
      </c>
      <c r="G300" s="22" t="str">
        <f>IF(A300="","",SUMIF('Compras Entradas'!$C$5:$C$504,A300,'Compras Entradas'!$E$5:$E$504))</f>
        <v/>
      </c>
      <c r="H300" s="22" t="str">
        <f>IF(A300="","",SUMIF('Ventas Salidas'!$C$5:$C$504,A300,'Ventas Salidas'!$E$5:$E$504))</f>
        <v/>
      </c>
      <c r="I300" s="22" t="str">
        <f t="shared" si="15"/>
        <v/>
      </c>
      <c r="J300" s="22" t="str">
        <f t="shared" si="16"/>
        <v/>
      </c>
      <c r="K300" s="22" t="str">
        <f t="shared" si="17"/>
        <v/>
      </c>
      <c r="L300" s="22"/>
      <c r="M300" s="22" t="str">
        <f>IF(A300="","",IF(OR(J300="Bajo stock",J300="Sin stock"),COUNTIFS($J$5:$J300,"Bajo stock")+COUNTIFS($J$5:$J300,"Sin stock"),""))</f>
        <v/>
      </c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s="13" customFormat="1" ht="21.75" customHeight="1" x14ac:dyDescent="0.25">
      <c r="A301" s="22" t="str">
        <f>IF(Productos!A301="","",Productos!A301)</f>
        <v/>
      </c>
      <c r="B301" s="22" t="str">
        <f>IF(Productos!A301="","",Productos!B301)</f>
        <v/>
      </c>
      <c r="C301" s="22" t="str">
        <f>IF(Productos!A301="","",Productos!C301)</f>
        <v/>
      </c>
      <c r="D301" s="22" t="str">
        <f>IF(Productos!A301="","",Productos!D301)</f>
        <v/>
      </c>
      <c r="E301" s="22" t="str">
        <f>IF(Productos!A301="","",Productos!E301)</f>
        <v/>
      </c>
      <c r="F301" s="22" t="str">
        <f>IF(Productos!A301="","",Productos!F301)</f>
        <v/>
      </c>
      <c r="G301" s="22" t="str">
        <f>IF(A301="","",SUMIF('Compras Entradas'!$C$5:$C$504,A301,'Compras Entradas'!$E$5:$E$504))</f>
        <v/>
      </c>
      <c r="H301" s="22" t="str">
        <f>IF(A301="","",SUMIF('Ventas Salidas'!$C$5:$C$504,A301,'Ventas Salidas'!$E$5:$E$504))</f>
        <v/>
      </c>
      <c r="I301" s="22" t="str">
        <f t="shared" si="15"/>
        <v/>
      </c>
      <c r="J301" s="22" t="str">
        <f t="shared" si="16"/>
        <v/>
      </c>
      <c r="K301" s="22" t="str">
        <f t="shared" si="17"/>
        <v/>
      </c>
      <c r="L301" s="22"/>
      <c r="M301" s="22" t="str">
        <f>IF(A301="","",IF(OR(J301="Bajo stock",J301="Sin stock"),COUNTIFS($J$5:$J301,"Bajo stock")+COUNTIFS($J$5:$J301,"Sin stock"),""))</f>
        <v/>
      </c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s="13" customFormat="1" ht="21.75" customHeight="1" x14ac:dyDescent="0.25">
      <c r="A302" s="22" t="str">
        <f>IF(Productos!A302="","",Productos!A302)</f>
        <v/>
      </c>
      <c r="B302" s="22" t="str">
        <f>IF(Productos!A302="","",Productos!B302)</f>
        <v/>
      </c>
      <c r="C302" s="22" t="str">
        <f>IF(Productos!A302="","",Productos!C302)</f>
        <v/>
      </c>
      <c r="D302" s="22" t="str">
        <f>IF(Productos!A302="","",Productos!D302)</f>
        <v/>
      </c>
      <c r="E302" s="22" t="str">
        <f>IF(Productos!A302="","",Productos!E302)</f>
        <v/>
      </c>
      <c r="F302" s="22" t="str">
        <f>IF(Productos!A302="","",Productos!F302)</f>
        <v/>
      </c>
      <c r="G302" s="22" t="str">
        <f>IF(A302="","",SUMIF('Compras Entradas'!$C$5:$C$504,A302,'Compras Entradas'!$E$5:$E$504))</f>
        <v/>
      </c>
      <c r="H302" s="22" t="str">
        <f>IF(A302="","",SUMIF('Ventas Salidas'!$C$5:$C$504,A302,'Ventas Salidas'!$E$5:$E$504))</f>
        <v/>
      </c>
      <c r="I302" s="22" t="str">
        <f t="shared" si="15"/>
        <v/>
      </c>
      <c r="J302" s="22" t="str">
        <f t="shared" si="16"/>
        <v/>
      </c>
      <c r="K302" s="22" t="str">
        <f t="shared" si="17"/>
        <v/>
      </c>
      <c r="L302" s="22"/>
      <c r="M302" s="22" t="str">
        <f>IF(A302="","",IF(OR(J302="Bajo stock",J302="Sin stock"),COUNTIFS($J$5:$J302,"Bajo stock")+COUNTIFS($J$5:$J302,"Sin stock"),""))</f>
        <v/>
      </c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s="13" customFormat="1" ht="21.75" customHeight="1" x14ac:dyDescent="0.25">
      <c r="A303" s="22" t="str">
        <f>IF(Productos!A303="","",Productos!A303)</f>
        <v/>
      </c>
      <c r="B303" s="22" t="str">
        <f>IF(Productos!A303="","",Productos!B303)</f>
        <v/>
      </c>
      <c r="C303" s="22" t="str">
        <f>IF(Productos!A303="","",Productos!C303)</f>
        <v/>
      </c>
      <c r="D303" s="22" t="str">
        <f>IF(Productos!A303="","",Productos!D303)</f>
        <v/>
      </c>
      <c r="E303" s="22" t="str">
        <f>IF(Productos!A303="","",Productos!E303)</f>
        <v/>
      </c>
      <c r="F303" s="22" t="str">
        <f>IF(Productos!A303="","",Productos!F303)</f>
        <v/>
      </c>
      <c r="G303" s="22" t="str">
        <f>IF(A303="","",SUMIF('Compras Entradas'!$C$5:$C$504,A303,'Compras Entradas'!$E$5:$E$504))</f>
        <v/>
      </c>
      <c r="H303" s="22" t="str">
        <f>IF(A303="","",SUMIF('Ventas Salidas'!$C$5:$C$504,A303,'Ventas Salidas'!$E$5:$E$504))</f>
        <v/>
      </c>
      <c r="I303" s="22" t="str">
        <f t="shared" si="15"/>
        <v/>
      </c>
      <c r="J303" s="22" t="str">
        <f t="shared" si="16"/>
        <v/>
      </c>
      <c r="K303" s="22" t="str">
        <f t="shared" si="17"/>
        <v/>
      </c>
      <c r="L303" s="22"/>
      <c r="M303" s="22" t="str">
        <f>IF(A303="","",IF(OR(J303="Bajo stock",J303="Sin stock"),COUNTIFS($J$5:$J303,"Bajo stock")+COUNTIFS($J$5:$J303,"Sin stock"),""))</f>
        <v/>
      </c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s="13" customFormat="1" ht="21.75" customHeight="1" x14ac:dyDescent="0.25">
      <c r="A304" s="22" t="str">
        <f>IF(Productos!A304="","",Productos!A304)</f>
        <v/>
      </c>
      <c r="B304" s="22" t="str">
        <f>IF(Productos!A304="","",Productos!B304)</f>
        <v/>
      </c>
      <c r="C304" s="22" t="str">
        <f>IF(Productos!A304="","",Productos!C304)</f>
        <v/>
      </c>
      <c r="D304" s="22" t="str">
        <f>IF(Productos!A304="","",Productos!D304)</f>
        <v/>
      </c>
      <c r="E304" s="22" t="str">
        <f>IF(Productos!A304="","",Productos!E304)</f>
        <v/>
      </c>
      <c r="F304" s="22" t="str">
        <f>IF(Productos!A304="","",Productos!F304)</f>
        <v/>
      </c>
      <c r="G304" s="22" t="str">
        <f>IF(A304="","",SUMIF('Compras Entradas'!$C$5:$C$504,A304,'Compras Entradas'!$E$5:$E$504))</f>
        <v/>
      </c>
      <c r="H304" s="22" t="str">
        <f>IF(A304="","",SUMIF('Ventas Salidas'!$C$5:$C$504,A304,'Ventas Salidas'!$E$5:$E$504))</f>
        <v/>
      </c>
      <c r="I304" s="22" t="str">
        <f t="shared" si="15"/>
        <v/>
      </c>
      <c r="J304" s="22" t="str">
        <f t="shared" si="16"/>
        <v/>
      </c>
      <c r="K304" s="22" t="str">
        <f t="shared" si="17"/>
        <v/>
      </c>
      <c r="L304" s="22"/>
      <c r="M304" s="22" t="str">
        <f>IF(A304="","",IF(OR(J304="Bajo stock",J304="Sin stock"),COUNTIFS($J$5:$J304,"Bajo stock")+COUNTIFS($J$5:$J304,"Sin stock"),""))</f>
        <v/>
      </c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s="13" customFormat="1" ht="21.75" customHeight="1" x14ac:dyDescent="0.25">
      <c r="A305" s="22" t="str">
        <f>IF(Productos!A305="","",Productos!A305)</f>
        <v/>
      </c>
      <c r="B305" s="22" t="str">
        <f>IF(Productos!A305="","",Productos!B305)</f>
        <v/>
      </c>
      <c r="C305" s="22" t="str">
        <f>IF(Productos!A305="","",Productos!C305)</f>
        <v/>
      </c>
      <c r="D305" s="22" t="str">
        <f>IF(Productos!A305="","",Productos!D305)</f>
        <v/>
      </c>
      <c r="E305" s="22" t="str">
        <f>IF(Productos!A305="","",Productos!E305)</f>
        <v/>
      </c>
      <c r="F305" s="22" t="str">
        <f>IF(Productos!A305="","",Productos!F305)</f>
        <v/>
      </c>
      <c r="G305" s="22" t="str">
        <f>IF(A305="","",SUMIF('Compras Entradas'!$C$5:$C$504,A305,'Compras Entradas'!$E$5:$E$504))</f>
        <v/>
      </c>
      <c r="H305" s="22" t="str">
        <f>IF(A305="","",SUMIF('Ventas Salidas'!$C$5:$C$504,A305,'Ventas Salidas'!$E$5:$E$504))</f>
        <v/>
      </c>
      <c r="I305" s="22" t="str">
        <f t="shared" si="15"/>
        <v/>
      </c>
      <c r="J305" s="22" t="str">
        <f t="shared" si="16"/>
        <v/>
      </c>
      <c r="K305" s="22" t="str">
        <f t="shared" si="17"/>
        <v/>
      </c>
      <c r="L305" s="22"/>
      <c r="M305" s="22" t="str">
        <f>IF(A305="","",IF(OR(J305="Bajo stock",J305="Sin stock"),COUNTIFS($J$5:$J305,"Bajo stock")+COUNTIFS($J$5:$J305,"Sin stock"),""))</f>
        <v/>
      </c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s="13" customFormat="1" ht="21.75" customHeight="1" x14ac:dyDescent="0.25">
      <c r="A306" s="22" t="str">
        <f>IF(Productos!A306="","",Productos!A306)</f>
        <v/>
      </c>
      <c r="B306" s="22" t="str">
        <f>IF(Productos!A306="","",Productos!B306)</f>
        <v/>
      </c>
      <c r="C306" s="22" t="str">
        <f>IF(Productos!A306="","",Productos!C306)</f>
        <v/>
      </c>
      <c r="D306" s="22" t="str">
        <f>IF(Productos!A306="","",Productos!D306)</f>
        <v/>
      </c>
      <c r="E306" s="22" t="str">
        <f>IF(Productos!A306="","",Productos!E306)</f>
        <v/>
      </c>
      <c r="F306" s="22" t="str">
        <f>IF(Productos!A306="","",Productos!F306)</f>
        <v/>
      </c>
      <c r="G306" s="22" t="str">
        <f>IF(A306="","",SUMIF('Compras Entradas'!$C$5:$C$504,A306,'Compras Entradas'!$E$5:$E$504))</f>
        <v/>
      </c>
      <c r="H306" s="22" t="str">
        <f>IF(A306="","",SUMIF('Ventas Salidas'!$C$5:$C$504,A306,'Ventas Salidas'!$E$5:$E$504))</f>
        <v/>
      </c>
      <c r="I306" s="22" t="str">
        <f t="shared" si="15"/>
        <v/>
      </c>
      <c r="J306" s="22" t="str">
        <f t="shared" si="16"/>
        <v/>
      </c>
      <c r="K306" s="22" t="str">
        <f t="shared" si="17"/>
        <v/>
      </c>
      <c r="L306" s="22"/>
      <c r="M306" s="22" t="str">
        <f>IF(A306="","",IF(OR(J306="Bajo stock",J306="Sin stock"),COUNTIFS($J$5:$J306,"Bajo stock")+COUNTIFS($J$5:$J306,"Sin stock"),""))</f>
        <v/>
      </c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s="13" customFormat="1" ht="21.75" customHeight="1" x14ac:dyDescent="0.25">
      <c r="A307" s="22" t="str">
        <f>IF(Productos!A307="","",Productos!A307)</f>
        <v/>
      </c>
      <c r="B307" s="22" t="str">
        <f>IF(Productos!A307="","",Productos!B307)</f>
        <v/>
      </c>
      <c r="C307" s="22" t="str">
        <f>IF(Productos!A307="","",Productos!C307)</f>
        <v/>
      </c>
      <c r="D307" s="22" t="str">
        <f>IF(Productos!A307="","",Productos!D307)</f>
        <v/>
      </c>
      <c r="E307" s="22" t="str">
        <f>IF(Productos!A307="","",Productos!E307)</f>
        <v/>
      </c>
      <c r="F307" s="22" t="str">
        <f>IF(Productos!A307="","",Productos!F307)</f>
        <v/>
      </c>
      <c r="G307" s="22" t="str">
        <f>IF(A307="","",SUMIF('Compras Entradas'!$C$5:$C$504,A307,'Compras Entradas'!$E$5:$E$504))</f>
        <v/>
      </c>
      <c r="H307" s="22" t="str">
        <f>IF(A307="","",SUMIF('Ventas Salidas'!$C$5:$C$504,A307,'Ventas Salidas'!$E$5:$E$504))</f>
        <v/>
      </c>
      <c r="I307" s="22" t="str">
        <f t="shared" si="15"/>
        <v/>
      </c>
      <c r="J307" s="22" t="str">
        <f t="shared" si="16"/>
        <v/>
      </c>
      <c r="K307" s="22" t="str">
        <f t="shared" si="17"/>
        <v/>
      </c>
      <c r="L307" s="22"/>
      <c r="M307" s="22" t="str">
        <f>IF(A307="","",IF(OR(J307="Bajo stock",J307="Sin stock"),COUNTIFS($J$5:$J307,"Bajo stock")+COUNTIFS($J$5:$J307,"Sin stock"),""))</f>
        <v/>
      </c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s="13" customFormat="1" ht="21.75" customHeight="1" x14ac:dyDescent="0.25">
      <c r="A308" s="22" t="str">
        <f>IF(Productos!A308="","",Productos!A308)</f>
        <v/>
      </c>
      <c r="B308" s="22" t="str">
        <f>IF(Productos!A308="","",Productos!B308)</f>
        <v/>
      </c>
      <c r="C308" s="22" t="str">
        <f>IF(Productos!A308="","",Productos!C308)</f>
        <v/>
      </c>
      <c r="D308" s="22" t="str">
        <f>IF(Productos!A308="","",Productos!D308)</f>
        <v/>
      </c>
      <c r="E308" s="22" t="str">
        <f>IF(Productos!A308="","",Productos!E308)</f>
        <v/>
      </c>
      <c r="F308" s="22" t="str">
        <f>IF(Productos!A308="","",Productos!F308)</f>
        <v/>
      </c>
      <c r="G308" s="22" t="str">
        <f>IF(A308="","",SUMIF('Compras Entradas'!$C$5:$C$504,A308,'Compras Entradas'!$E$5:$E$504))</f>
        <v/>
      </c>
      <c r="H308" s="22" t="str">
        <f>IF(A308="","",SUMIF('Ventas Salidas'!$C$5:$C$504,A308,'Ventas Salidas'!$E$5:$E$504))</f>
        <v/>
      </c>
      <c r="I308" s="22" t="str">
        <f t="shared" si="15"/>
        <v/>
      </c>
      <c r="J308" s="22" t="str">
        <f t="shared" si="16"/>
        <v/>
      </c>
      <c r="K308" s="22" t="str">
        <f t="shared" si="17"/>
        <v/>
      </c>
      <c r="L308" s="22"/>
      <c r="M308" s="22" t="str">
        <f>IF(A308="","",IF(OR(J308="Bajo stock",J308="Sin stock"),COUNTIFS($J$5:$J308,"Bajo stock")+COUNTIFS($J$5:$J308,"Sin stock"),""))</f>
        <v/>
      </c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s="13" customFormat="1" ht="21.75" customHeight="1" x14ac:dyDescent="0.25">
      <c r="A309" s="22" t="str">
        <f>IF(Productos!A309="","",Productos!A309)</f>
        <v/>
      </c>
      <c r="B309" s="22" t="str">
        <f>IF(Productos!A309="","",Productos!B309)</f>
        <v/>
      </c>
      <c r="C309" s="22" t="str">
        <f>IF(Productos!A309="","",Productos!C309)</f>
        <v/>
      </c>
      <c r="D309" s="22" t="str">
        <f>IF(Productos!A309="","",Productos!D309)</f>
        <v/>
      </c>
      <c r="E309" s="22" t="str">
        <f>IF(Productos!A309="","",Productos!E309)</f>
        <v/>
      </c>
      <c r="F309" s="22" t="str">
        <f>IF(Productos!A309="","",Productos!F309)</f>
        <v/>
      </c>
      <c r="G309" s="22" t="str">
        <f>IF(A309="","",SUMIF('Compras Entradas'!$C$5:$C$504,A309,'Compras Entradas'!$E$5:$E$504))</f>
        <v/>
      </c>
      <c r="H309" s="22" t="str">
        <f>IF(A309="","",SUMIF('Ventas Salidas'!$C$5:$C$504,A309,'Ventas Salidas'!$E$5:$E$504))</f>
        <v/>
      </c>
      <c r="I309" s="22" t="str">
        <f t="shared" si="15"/>
        <v/>
      </c>
      <c r="J309" s="22" t="str">
        <f t="shared" si="16"/>
        <v/>
      </c>
      <c r="K309" s="22" t="str">
        <f t="shared" si="17"/>
        <v/>
      </c>
      <c r="L309" s="22"/>
      <c r="M309" s="22" t="str">
        <f>IF(A309="","",IF(OR(J309="Bajo stock",J309="Sin stock"),COUNTIFS($J$5:$J309,"Bajo stock")+COUNTIFS($J$5:$J309,"Sin stock"),""))</f>
        <v/>
      </c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s="13" customFormat="1" ht="21.75" customHeight="1" x14ac:dyDescent="0.25">
      <c r="A310" s="22" t="str">
        <f>IF(Productos!A310="","",Productos!A310)</f>
        <v/>
      </c>
      <c r="B310" s="22" t="str">
        <f>IF(Productos!A310="","",Productos!B310)</f>
        <v/>
      </c>
      <c r="C310" s="22" t="str">
        <f>IF(Productos!A310="","",Productos!C310)</f>
        <v/>
      </c>
      <c r="D310" s="22" t="str">
        <f>IF(Productos!A310="","",Productos!D310)</f>
        <v/>
      </c>
      <c r="E310" s="22" t="str">
        <f>IF(Productos!A310="","",Productos!E310)</f>
        <v/>
      </c>
      <c r="F310" s="22" t="str">
        <f>IF(Productos!A310="","",Productos!F310)</f>
        <v/>
      </c>
      <c r="G310" s="22" t="str">
        <f>IF(A310="","",SUMIF('Compras Entradas'!$C$5:$C$504,A310,'Compras Entradas'!$E$5:$E$504))</f>
        <v/>
      </c>
      <c r="H310" s="22" t="str">
        <f>IF(A310="","",SUMIF('Ventas Salidas'!$C$5:$C$504,A310,'Ventas Salidas'!$E$5:$E$504))</f>
        <v/>
      </c>
      <c r="I310" s="22" t="str">
        <f t="shared" si="15"/>
        <v/>
      </c>
      <c r="J310" s="22" t="str">
        <f t="shared" si="16"/>
        <v/>
      </c>
      <c r="K310" s="22" t="str">
        <f t="shared" si="17"/>
        <v/>
      </c>
      <c r="L310" s="22"/>
      <c r="M310" s="22" t="str">
        <f>IF(A310="","",IF(OR(J310="Bajo stock",J310="Sin stock"),COUNTIFS($J$5:$J310,"Bajo stock")+COUNTIFS($J$5:$J310,"Sin stock"),""))</f>
        <v/>
      </c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s="13" customFormat="1" ht="21.75" customHeight="1" x14ac:dyDescent="0.25">
      <c r="A311" s="22" t="str">
        <f>IF(Productos!A311="","",Productos!A311)</f>
        <v/>
      </c>
      <c r="B311" s="22" t="str">
        <f>IF(Productos!A311="","",Productos!B311)</f>
        <v/>
      </c>
      <c r="C311" s="22" t="str">
        <f>IF(Productos!A311="","",Productos!C311)</f>
        <v/>
      </c>
      <c r="D311" s="22" t="str">
        <f>IF(Productos!A311="","",Productos!D311)</f>
        <v/>
      </c>
      <c r="E311" s="22" t="str">
        <f>IF(Productos!A311="","",Productos!E311)</f>
        <v/>
      </c>
      <c r="F311" s="22" t="str">
        <f>IF(Productos!A311="","",Productos!F311)</f>
        <v/>
      </c>
      <c r="G311" s="22" t="str">
        <f>IF(A311="","",SUMIF('Compras Entradas'!$C$5:$C$504,A311,'Compras Entradas'!$E$5:$E$504))</f>
        <v/>
      </c>
      <c r="H311" s="22" t="str">
        <f>IF(A311="","",SUMIF('Ventas Salidas'!$C$5:$C$504,A311,'Ventas Salidas'!$E$5:$E$504))</f>
        <v/>
      </c>
      <c r="I311" s="22" t="str">
        <f t="shared" si="15"/>
        <v/>
      </c>
      <c r="J311" s="22" t="str">
        <f t="shared" si="16"/>
        <v/>
      </c>
      <c r="K311" s="22" t="str">
        <f t="shared" si="17"/>
        <v/>
      </c>
      <c r="L311" s="22"/>
      <c r="M311" s="22" t="str">
        <f>IF(A311="","",IF(OR(J311="Bajo stock",J311="Sin stock"),COUNTIFS($J$5:$J311,"Bajo stock")+COUNTIFS($J$5:$J311,"Sin stock"),""))</f>
        <v/>
      </c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s="13" customFormat="1" ht="21.75" customHeight="1" x14ac:dyDescent="0.25">
      <c r="A312" s="22" t="str">
        <f>IF(Productos!A312="","",Productos!A312)</f>
        <v/>
      </c>
      <c r="B312" s="22" t="str">
        <f>IF(Productos!A312="","",Productos!B312)</f>
        <v/>
      </c>
      <c r="C312" s="22" t="str">
        <f>IF(Productos!A312="","",Productos!C312)</f>
        <v/>
      </c>
      <c r="D312" s="22" t="str">
        <f>IF(Productos!A312="","",Productos!D312)</f>
        <v/>
      </c>
      <c r="E312" s="22" t="str">
        <f>IF(Productos!A312="","",Productos!E312)</f>
        <v/>
      </c>
      <c r="F312" s="22" t="str">
        <f>IF(Productos!A312="","",Productos!F312)</f>
        <v/>
      </c>
      <c r="G312" s="22" t="str">
        <f>IF(A312="","",SUMIF('Compras Entradas'!$C$5:$C$504,A312,'Compras Entradas'!$E$5:$E$504))</f>
        <v/>
      </c>
      <c r="H312" s="22" t="str">
        <f>IF(A312="","",SUMIF('Ventas Salidas'!$C$5:$C$504,A312,'Ventas Salidas'!$E$5:$E$504))</f>
        <v/>
      </c>
      <c r="I312" s="22" t="str">
        <f t="shared" si="15"/>
        <v/>
      </c>
      <c r="J312" s="22" t="str">
        <f t="shared" si="16"/>
        <v/>
      </c>
      <c r="K312" s="22" t="str">
        <f t="shared" si="17"/>
        <v/>
      </c>
      <c r="L312" s="22"/>
      <c r="M312" s="22" t="str">
        <f>IF(A312="","",IF(OR(J312="Bajo stock",J312="Sin stock"),COUNTIFS($J$5:$J312,"Bajo stock")+COUNTIFS($J$5:$J312,"Sin stock"),""))</f>
        <v/>
      </c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s="13" customFormat="1" ht="21.75" customHeight="1" x14ac:dyDescent="0.25">
      <c r="A313" s="22" t="str">
        <f>IF(Productos!A313="","",Productos!A313)</f>
        <v/>
      </c>
      <c r="B313" s="22" t="str">
        <f>IF(Productos!A313="","",Productos!B313)</f>
        <v/>
      </c>
      <c r="C313" s="22" t="str">
        <f>IF(Productos!A313="","",Productos!C313)</f>
        <v/>
      </c>
      <c r="D313" s="22" t="str">
        <f>IF(Productos!A313="","",Productos!D313)</f>
        <v/>
      </c>
      <c r="E313" s="22" t="str">
        <f>IF(Productos!A313="","",Productos!E313)</f>
        <v/>
      </c>
      <c r="F313" s="22" t="str">
        <f>IF(Productos!A313="","",Productos!F313)</f>
        <v/>
      </c>
      <c r="G313" s="22" t="str">
        <f>IF(A313="","",SUMIF('Compras Entradas'!$C$5:$C$504,A313,'Compras Entradas'!$E$5:$E$504))</f>
        <v/>
      </c>
      <c r="H313" s="22" t="str">
        <f>IF(A313="","",SUMIF('Ventas Salidas'!$C$5:$C$504,A313,'Ventas Salidas'!$E$5:$E$504))</f>
        <v/>
      </c>
      <c r="I313" s="22" t="str">
        <f t="shared" si="15"/>
        <v/>
      </c>
      <c r="J313" s="22" t="str">
        <f t="shared" si="16"/>
        <v/>
      </c>
      <c r="K313" s="22" t="str">
        <f t="shared" si="17"/>
        <v/>
      </c>
      <c r="L313" s="22"/>
      <c r="M313" s="22" t="str">
        <f>IF(A313="","",IF(OR(J313="Bajo stock",J313="Sin stock"),COUNTIFS($J$5:$J313,"Bajo stock")+COUNTIFS($J$5:$J313,"Sin stock"),""))</f>
        <v/>
      </c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s="13" customFormat="1" ht="21.75" customHeight="1" x14ac:dyDescent="0.25">
      <c r="A314" s="22" t="str">
        <f>IF(Productos!A314="","",Productos!A314)</f>
        <v/>
      </c>
      <c r="B314" s="22" t="str">
        <f>IF(Productos!A314="","",Productos!B314)</f>
        <v/>
      </c>
      <c r="C314" s="22" t="str">
        <f>IF(Productos!A314="","",Productos!C314)</f>
        <v/>
      </c>
      <c r="D314" s="22" t="str">
        <f>IF(Productos!A314="","",Productos!D314)</f>
        <v/>
      </c>
      <c r="E314" s="22" t="str">
        <f>IF(Productos!A314="","",Productos!E314)</f>
        <v/>
      </c>
      <c r="F314" s="22" t="str">
        <f>IF(Productos!A314="","",Productos!F314)</f>
        <v/>
      </c>
      <c r="G314" s="22" t="str">
        <f>IF(A314="","",SUMIF('Compras Entradas'!$C$5:$C$504,A314,'Compras Entradas'!$E$5:$E$504))</f>
        <v/>
      </c>
      <c r="H314" s="22" t="str">
        <f>IF(A314="","",SUMIF('Ventas Salidas'!$C$5:$C$504,A314,'Ventas Salidas'!$E$5:$E$504))</f>
        <v/>
      </c>
      <c r="I314" s="22" t="str">
        <f t="shared" si="15"/>
        <v/>
      </c>
      <c r="J314" s="22" t="str">
        <f t="shared" si="16"/>
        <v/>
      </c>
      <c r="K314" s="22" t="str">
        <f t="shared" si="17"/>
        <v/>
      </c>
      <c r="L314" s="22"/>
      <c r="M314" s="22" t="str">
        <f>IF(A314="","",IF(OR(J314="Bajo stock",J314="Sin stock"),COUNTIFS($J$5:$J314,"Bajo stock")+COUNTIFS($J$5:$J314,"Sin stock"),""))</f>
        <v/>
      </c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s="13" customFormat="1" ht="21.75" customHeight="1" x14ac:dyDescent="0.25">
      <c r="A315" s="22" t="str">
        <f>IF(Productos!A315="","",Productos!A315)</f>
        <v/>
      </c>
      <c r="B315" s="22" t="str">
        <f>IF(Productos!A315="","",Productos!B315)</f>
        <v/>
      </c>
      <c r="C315" s="22" t="str">
        <f>IF(Productos!A315="","",Productos!C315)</f>
        <v/>
      </c>
      <c r="D315" s="22" t="str">
        <f>IF(Productos!A315="","",Productos!D315)</f>
        <v/>
      </c>
      <c r="E315" s="22" t="str">
        <f>IF(Productos!A315="","",Productos!E315)</f>
        <v/>
      </c>
      <c r="F315" s="22" t="str">
        <f>IF(Productos!A315="","",Productos!F315)</f>
        <v/>
      </c>
      <c r="G315" s="22" t="str">
        <f>IF(A315="","",SUMIF('Compras Entradas'!$C$5:$C$504,A315,'Compras Entradas'!$E$5:$E$504))</f>
        <v/>
      </c>
      <c r="H315" s="22" t="str">
        <f>IF(A315="","",SUMIF('Ventas Salidas'!$C$5:$C$504,A315,'Ventas Salidas'!$E$5:$E$504))</f>
        <v/>
      </c>
      <c r="I315" s="22" t="str">
        <f t="shared" si="15"/>
        <v/>
      </c>
      <c r="J315" s="22" t="str">
        <f t="shared" si="16"/>
        <v/>
      </c>
      <c r="K315" s="22" t="str">
        <f t="shared" si="17"/>
        <v/>
      </c>
      <c r="L315" s="22"/>
      <c r="M315" s="22" t="str">
        <f>IF(A315="","",IF(OR(J315="Bajo stock",J315="Sin stock"),COUNTIFS($J$5:$J315,"Bajo stock")+COUNTIFS($J$5:$J315,"Sin stock"),""))</f>
        <v/>
      </c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s="13" customFormat="1" ht="21.75" customHeight="1" x14ac:dyDescent="0.25">
      <c r="A316" s="22" t="str">
        <f>IF(Productos!A316="","",Productos!A316)</f>
        <v/>
      </c>
      <c r="B316" s="22" t="str">
        <f>IF(Productos!A316="","",Productos!B316)</f>
        <v/>
      </c>
      <c r="C316" s="22" t="str">
        <f>IF(Productos!A316="","",Productos!C316)</f>
        <v/>
      </c>
      <c r="D316" s="22" t="str">
        <f>IF(Productos!A316="","",Productos!D316)</f>
        <v/>
      </c>
      <c r="E316" s="22" t="str">
        <f>IF(Productos!A316="","",Productos!E316)</f>
        <v/>
      </c>
      <c r="F316" s="22" t="str">
        <f>IF(Productos!A316="","",Productos!F316)</f>
        <v/>
      </c>
      <c r="G316" s="22" t="str">
        <f>IF(A316="","",SUMIF('Compras Entradas'!$C$5:$C$504,A316,'Compras Entradas'!$E$5:$E$504))</f>
        <v/>
      </c>
      <c r="H316" s="22" t="str">
        <f>IF(A316="","",SUMIF('Ventas Salidas'!$C$5:$C$504,A316,'Ventas Salidas'!$E$5:$E$504))</f>
        <v/>
      </c>
      <c r="I316" s="22" t="str">
        <f t="shared" si="15"/>
        <v/>
      </c>
      <c r="J316" s="22" t="str">
        <f t="shared" si="16"/>
        <v/>
      </c>
      <c r="K316" s="22" t="str">
        <f t="shared" si="17"/>
        <v/>
      </c>
      <c r="L316" s="22"/>
      <c r="M316" s="22" t="str">
        <f>IF(A316="","",IF(OR(J316="Bajo stock",J316="Sin stock"),COUNTIFS($J$5:$J316,"Bajo stock")+COUNTIFS($J$5:$J316,"Sin stock"),""))</f>
        <v/>
      </c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s="13" customFormat="1" ht="21.75" customHeight="1" x14ac:dyDescent="0.25">
      <c r="A317" s="22" t="str">
        <f>IF(Productos!A317="","",Productos!A317)</f>
        <v/>
      </c>
      <c r="B317" s="22" t="str">
        <f>IF(Productos!A317="","",Productos!B317)</f>
        <v/>
      </c>
      <c r="C317" s="22" t="str">
        <f>IF(Productos!A317="","",Productos!C317)</f>
        <v/>
      </c>
      <c r="D317" s="22" t="str">
        <f>IF(Productos!A317="","",Productos!D317)</f>
        <v/>
      </c>
      <c r="E317" s="22" t="str">
        <f>IF(Productos!A317="","",Productos!E317)</f>
        <v/>
      </c>
      <c r="F317" s="22" t="str">
        <f>IF(Productos!A317="","",Productos!F317)</f>
        <v/>
      </c>
      <c r="G317" s="22" t="str">
        <f>IF(A317="","",SUMIF('Compras Entradas'!$C$5:$C$504,A317,'Compras Entradas'!$E$5:$E$504))</f>
        <v/>
      </c>
      <c r="H317" s="22" t="str">
        <f>IF(A317="","",SUMIF('Ventas Salidas'!$C$5:$C$504,A317,'Ventas Salidas'!$E$5:$E$504))</f>
        <v/>
      </c>
      <c r="I317" s="22" t="str">
        <f t="shared" si="15"/>
        <v/>
      </c>
      <c r="J317" s="22" t="str">
        <f t="shared" si="16"/>
        <v/>
      </c>
      <c r="K317" s="22" t="str">
        <f t="shared" si="17"/>
        <v/>
      </c>
      <c r="L317" s="22"/>
      <c r="M317" s="22" t="str">
        <f>IF(A317="","",IF(OR(J317="Bajo stock",J317="Sin stock"),COUNTIFS($J$5:$J317,"Bajo stock")+COUNTIFS($J$5:$J317,"Sin stock"),""))</f>
        <v/>
      </c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s="13" customFormat="1" ht="21.75" customHeight="1" x14ac:dyDescent="0.25">
      <c r="A318" s="22" t="str">
        <f>IF(Productos!A318="","",Productos!A318)</f>
        <v/>
      </c>
      <c r="B318" s="22" t="str">
        <f>IF(Productos!A318="","",Productos!B318)</f>
        <v/>
      </c>
      <c r="C318" s="22" t="str">
        <f>IF(Productos!A318="","",Productos!C318)</f>
        <v/>
      </c>
      <c r="D318" s="22" t="str">
        <f>IF(Productos!A318="","",Productos!D318)</f>
        <v/>
      </c>
      <c r="E318" s="22" t="str">
        <f>IF(Productos!A318="","",Productos!E318)</f>
        <v/>
      </c>
      <c r="F318" s="22" t="str">
        <f>IF(Productos!A318="","",Productos!F318)</f>
        <v/>
      </c>
      <c r="G318" s="22" t="str">
        <f>IF(A318="","",SUMIF('Compras Entradas'!$C$5:$C$504,A318,'Compras Entradas'!$E$5:$E$504))</f>
        <v/>
      </c>
      <c r="H318" s="22" t="str">
        <f>IF(A318="","",SUMIF('Ventas Salidas'!$C$5:$C$504,A318,'Ventas Salidas'!$E$5:$E$504))</f>
        <v/>
      </c>
      <c r="I318" s="22" t="str">
        <f t="shared" si="15"/>
        <v/>
      </c>
      <c r="J318" s="22" t="str">
        <f t="shared" si="16"/>
        <v/>
      </c>
      <c r="K318" s="22" t="str">
        <f t="shared" si="17"/>
        <v/>
      </c>
      <c r="L318" s="22"/>
      <c r="M318" s="22" t="str">
        <f>IF(A318="","",IF(OR(J318="Bajo stock",J318="Sin stock"),COUNTIFS($J$5:$J318,"Bajo stock")+COUNTIFS($J$5:$J318,"Sin stock"),""))</f>
        <v/>
      </c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s="13" customFormat="1" ht="21.75" customHeight="1" x14ac:dyDescent="0.25">
      <c r="A319" s="22" t="str">
        <f>IF(Productos!A319="","",Productos!A319)</f>
        <v/>
      </c>
      <c r="B319" s="22" t="str">
        <f>IF(Productos!A319="","",Productos!B319)</f>
        <v/>
      </c>
      <c r="C319" s="22" t="str">
        <f>IF(Productos!A319="","",Productos!C319)</f>
        <v/>
      </c>
      <c r="D319" s="22" t="str">
        <f>IF(Productos!A319="","",Productos!D319)</f>
        <v/>
      </c>
      <c r="E319" s="22" t="str">
        <f>IF(Productos!A319="","",Productos!E319)</f>
        <v/>
      </c>
      <c r="F319" s="22" t="str">
        <f>IF(Productos!A319="","",Productos!F319)</f>
        <v/>
      </c>
      <c r="G319" s="22" t="str">
        <f>IF(A319="","",SUMIF('Compras Entradas'!$C$5:$C$504,A319,'Compras Entradas'!$E$5:$E$504))</f>
        <v/>
      </c>
      <c r="H319" s="22" t="str">
        <f>IF(A319="","",SUMIF('Ventas Salidas'!$C$5:$C$504,A319,'Ventas Salidas'!$E$5:$E$504))</f>
        <v/>
      </c>
      <c r="I319" s="22" t="str">
        <f t="shared" si="15"/>
        <v/>
      </c>
      <c r="J319" s="22" t="str">
        <f t="shared" si="16"/>
        <v/>
      </c>
      <c r="K319" s="22" t="str">
        <f t="shared" si="17"/>
        <v/>
      </c>
      <c r="L319" s="22"/>
      <c r="M319" s="22" t="str">
        <f>IF(A319="","",IF(OR(J319="Bajo stock",J319="Sin stock"),COUNTIFS($J$5:$J319,"Bajo stock")+COUNTIFS($J$5:$J319,"Sin stock"),""))</f>
        <v/>
      </c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s="13" customFormat="1" ht="21.75" customHeight="1" x14ac:dyDescent="0.25">
      <c r="A320" s="22" t="str">
        <f>IF(Productos!A320="","",Productos!A320)</f>
        <v/>
      </c>
      <c r="B320" s="22" t="str">
        <f>IF(Productos!A320="","",Productos!B320)</f>
        <v/>
      </c>
      <c r="C320" s="22" t="str">
        <f>IF(Productos!A320="","",Productos!C320)</f>
        <v/>
      </c>
      <c r="D320" s="22" t="str">
        <f>IF(Productos!A320="","",Productos!D320)</f>
        <v/>
      </c>
      <c r="E320" s="22" t="str">
        <f>IF(Productos!A320="","",Productos!E320)</f>
        <v/>
      </c>
      <c r="F320" s="22" t="str">
        <f>IF(Productos!A320="","",Productos!F320)</f>
        <v/>
      </c>
      <c r="G320" s="22" t="str">
        <f>IF(A320="","",SUMIF('Compras Entradas'!$C$5:$C$504,A320,'Compras Entradas'!$E$5:$E$504))</f>
        <v/>
      </c>
      <c r="H320" s="22" t="str">
        <f>IF(A320="","",SUMIF('Ventas Salidas'!$C$5:$C$504,A320,'Ventas Salidas'!$E$5:$E$504))</f>
        <v/>
      </c>
      <c r="I320" s="22" t="str">
        <f t="shared" si="15"/>
        <v/>
      </c>
      <c r="J320" s="22" t="str">
        <f t="shared" si="16"/>
        <v/>
      </c>
      <c r="K320" s="22" t="str">
        <f t="shared" si="17"/>
        <v/>
      </c>
      <c r="L320" s="22"/>
      <c r="M320" s="22" t="str">
        <f>IF(A320="","",IF(OR(J320="Bajo stock",J320="Sin stock"),COUNTIFS($J$5:$J320,"Bajo stock")+COUNTIFS($J$5:$J320,"Sin stock"),""))</f>
        <v/>
      </c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s="13" customFormat="1" ht="21.75" customHeight="1" x14ac:dyDescent="0.25">
      <c r="A321" s="22" t="str">
        <f>IF(Productos!A321="","",Productos!A321)</f>
        <v/>
      </c>
      <c r="B321" s="22" t="str">
        <f>IF(Productos!A321="","",Productos!B321)</f>
        <v/>
      </c>
      <c r="C321" s="22" t="str">
        <f>IF(Productos!A321="","",Productos!C321)</f>
        <v/>
      </c>
      <c r="D321" s="22" t="str">
        <f>IF(Productos!A321="","",Productos!D321)</f>
        <v/>
      </c>
      <c r="E321" s="22" t="str">
        <f>IF(Productos!A321="","",Productos!E321)</f>
        <v/>
      </c>
      <c r="F321" s="22" t="str">
        <f>IF(Productos!A321="","",Productos!F321)</f>
        <v/>
      </c>
      <c r="G321" s="22" t="str">
        <f>IF(A321="","",SUMIF('Compras Entradas'!$C$5:$C$504,A321,'Compras Entradas'!$E$5:$E$504))</f>
        <v/>
      </c>
      <c r="H321" s="22" t="str">
        <f>IF(A321="","",SUMIF('Ventas Salidas'!$C$5:$C$504,A321,'Ventas Salidas'!$E$5:$E$504))</f>
        <v/>
      </c>
      <c r="I321" s="22" t="str">
        <f t="shared" si="15"/>
        <v/>
      </c>
      <c r="J321" s="22" t="str">
        <f t="shared" si="16"/>
        <v/>
      </c>
      <c r="K321" s="22" t="str">
        <f t="shared" si="17"/>
        <v/>
      </c>
      <c r="L321" s="22"/>
      <c r="M321" s="22" t="str">
        <f>IF(A321="","",IF(OR(J321="Bajo stock",J321="Sin stock"),COUNTIFS($J$5:$J321,"Bajo stock")+COUNTIFS($J$5:$J321,"Sin stock"),""))</f>
        <v/>
      </c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s="13" customFormat="1" ht="21.75" customHeight="1" x14ac:dyDescent="0.25">
      <c r="A322" s="22" t="str">
        <f>IF(Productos!A322="","",Productos!A322)</f>
        <v/>
      </c>
      <c r="B322" s="22" t="str">
        <f>IF(Productos!A322="","",Productos!B322)</f>
        <v/>
      </c>
      <c r="C322" s="22" t="str">
        <f>IF(Productos!A322="","",Productos!C322)</f>
        <v/>
      </c>
      <c r="D322" s="22" t="str">
        <f>IF(Productos!A322="","",Productos!D322)</f>
        <v/>
      </c>
      <c r="E322" s="22" t="str">
        <f>IF(Productos!A322="","",Productos!E322)</f>
        <v/>
      </c>
      <c r="F322" s="22" t="str">
        <f>IF(Productos!A322="","",Productos!F322)</f>
        <v/>
      </c>
      <c r="G322" s="22" t="str">
        <f>IF(A322="","",SUMIF('Compras Entradas'!$C$5:$C$504,A322,'Compras Entradas'!$E$5:$E$504))</f>
        <v/>
      </c>
      <c r="H322" s="22" t="str">
        <f>IF(A322="","",SUMIF('Ventas Salidas'!$C$5:$C$504,A322,'Ventas Salidas'!$E$5:$E$504))</f>
        <v/>
      </c>
      <c r="I322" s="22" t="str">
        <f t="shared" si="15"/>
        <v/>
      </c>
      <c r="J322" s="22" t="str">
        <f t="shared" si="16"/>
        <v/>
      </c>
      <c r="K322" s="22" t="str">
        <f t="shared" si="17"/>
        <v/>
      </c>
      <c r="L322" s="22"/>
      <c r="M322" s="22" t="str">
        <f>IF(A322="","",IF(OR(J322="Bajo stock",J322="Sin stock"),COUNTIFS($J$5:$J322,"Bajo stock")+COUNTIFS($J$5:$J322,"Sin stock"),""))</f>
        <v/>
      </c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s="13" customFormat="1" ht="21.75" customHeight="1" x14ac:dyDescent="0.25">
      <c r="A323" s="22" t="str">
        <f>IF(Productos!A323="","",Productos!A323)</f>
        <v/>
      </c>
      <c r="B323" s="22" t="str">
        <f>IF(Productos!A323="","",Productos!B323)</f>
        <v/>
      </c>
      <c r="C323" s="22" t="str">
        <f>IF(Productos!A323="","",Productos!C323)</f>
        <v/>
      </c>
      <c r="D323" s="22" t="str">
        <f>IF(Productos!A323="","",Productos!D323)</f>
        <v/>
      </c>
      <c r="E323" s="22" t="str">
        <f>IF(Productos!A323="","",Productos!E323)</f>
        <v/>
      </c>
      <c r="F323" s="22" t="str">
        <f>IF(Productos!A323="","",Productos!F323)</f>
        <v/>
      </c>
      <c r="G323" s="22" t="str">
        <f>IF(A323="","",SUMIF('Compras Entradas'!$C$5:$C$504,A323,'Compras Entradas'!$E$5:$E$504))</f>
        <v/>
      </c>
      <c r="H323" s="22" t="str">
        <f>IF(A323="","",SUMIF('Ventas Salidas'!$C$5:$C$504,A323,'Ventas Salidas'!$E$5:$E$504))</f>
        <v/>
      </c>
      <c r="I323" s="22" t="str">
        <f t="shared" si="15"/>
        <v/>
      </c>
      <c r="J323" s="22" t="str">
        <f t="shared" si="16"/>
        <v/>
      </c>
      <c r="K323" s="22" t="str">
        <f t="shared" si="17"/>
        <v/>
      </c>
      <c r="L323" s="22"/>
      <c r="M323" s="22" t="str">
        <f>IF(A323="","",IF(OR(J323="Bajo stock",J323="Sin stock"),COUNTIFS($J$5:$J323,"Bajo stock")+COUNTIFS($J$5:$J323,"Sin stock"),""))</f>
        <v/>
      </c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s="13" customFormat="1" ht="21.75" customHeight="1" x14ac:dyDescent="0.25">
      <c r="A324" s="22" t="str">
        <f>IF(Productos!A324="","",Productos!A324)</f>
        <v/>
      </c>
      <c r="B324" s="22" t="str">
        <f>IF(Productos!A324="","",Productos!B324)</f>
        <v/>
      </c>
      <c r="C324" s="22" t="str">
        <f>IF(Productos!A324="","",Productos!C324)</f>
        <v/>
      </c>
      <c r="D324" s="22" t="str">
        <f>IF(Productos!A324="","",Productos!D324)</f>
        <v/>
      </c>
      <c r="E324" s="22" t="str">
        <f>IF(Productos!A324="","",Productos!E324)</f>
        <v/>
      </c>
      <c r="F324" s="22" t="str">
        <f>IF(Productos!A324="","",Productos!F324)</f>
        <v/>
      </c>
      <c r="G324" s="22" t="str">
        <f>IF(A324="","",SUMIF('Compras Entradas'!$C$5:$C$504,A324,'Compras Entradas'!$E$5:$E$504))</f>
        <v/>
      </c>
      <c r="H324" s="22" t="str">
        <f>IF(A324="","",SUMIF('Ventas Salidas'!$C$5:$C$504,A324,'Ventas Salidas'!$E$5:$E$504))</f>
        <v/>
      </c>
      <c r="I324" s="22" t="str">
        <f t="shared" si="15"/>
        <v/>
      </c>
      <c r="J324" s="22" t="str">
        <f t="shared" si="16"/>
        <v/>
      </c>
      <c r="K324" s="22" t="str">
        <f t="shared" si="17"/>
        <v/>
      </c>
      <c r="L324" s="22"/>
      <c r="M324" s="22" t="str">
        <f>IF(A324="","",IF(OR(J324="Bajo stock",J324="Sin stock"),COUNTIFS($J$5:$J324,"Bajo stock")+COUNTIFS($J$5:$J324,"Sin stock"),""))</f>
        <v/>
      </c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s="13" customFormat="1" ht="21.75" customHeight="1" x14ac:dyDescent="0.25">
      <c r="A325" s="22" t="str">
        <f>IF(Productos!A325="","",Productos!A325)</f>
        <v/>
      </c>
      <c r="B325" s="22" t="str">
        <f>IF(Productos!A325="","",Productos!B325)</f>
        <v/>
      </c>
      <c r="C325" s="22" t="str">
        <f>IF(Productos!A325="","",Productos!C325)</f>
        <v/>
      </c>
      <c r="D325" s="22" t="str">
        <f>IF(Productos!A325="","",Productos!D325)</f>
        <v/>
      </c>
      <c r="E325" s="22" t="str">
        <f>IF(Productos!A325="","",Productos!E325)</f>
        <v/>
      </c>
      <c r="F325" s="22" t="str">
        <f>IF(Productos!A325="","",Productos!F325)</f>
        <v/>
      </c>
      <c r="G325" s="22" t="str">
        <f>IF(A325="","",SUMIF('Compras Entradas'!$C$5:$C$504,A325,'Compras Entradas'!$E$5:$E$504))</f>
        <v/>
      </c>
      <c r="H325" s="22" t="str">
        <f>IF(A325="","",SUMIF('Ventas Salidas'!$C$5:$C$504,A325,'Ventas Salidas'!$E$5:$E$504))</f>
        <v/>
      </c>
      <c r="I325" s="22" t="str">
        <f t="shared" ref="I325:I388" si="18">IF(A325="","",F325+G325-H325)</f>
        <v/>
      </c>
      <c r="J325" s="22" t="str">
        <f t="shared" ref="J325:J388" si="19">IF(A325="","",IF(I325&lt;=0,"Sin stock",IF(I325&lt;E325,"Bajo stock","OK")))</f>
        <v/>
      </c>
      <c r="K325" s="22" t="str">
        <f t="shared" ref="K325:K388" si="20">IF(A325="","",IF(I325&lt;=0,"Comprar urgente",IF(I325&lt;E325,"Reponer pronto","Stock suficiente")))</f>
        <v/>
      </c>
      <c r="L325" s="22"/>
      <c r="M325" s="22" t="str">
        <f>IF(A325="","",IF(OR(J325="Bajo stock",J325="Sin stock"),COUNTIFS($J$5:$J325,"Bajo stock")+COUNTIFS($J$5:$J325,"Sin stock"),""))</f>
        <v/>
      </c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s="13" customFormat="1" ht="21.75" customHeight="1" x14ac:dyDescent="0.25">
      <c r="A326" s="22" t="str">
        <f>IF(Productos!A326="","",Productos!A326)</f>
        <v/>
      </c>
      <c r="B326" s="22" t="str">
        <f>IF(Productos!A326="","",Productos!B326)</f>
        <v/>
      </c>
      <c r="C326" s="22" t="str">
        <f>IF(Productos!A326="","",Productos!C326)</f>
        <v/>
      </c>
      <c r="D326" s="22" t="str">
        <f>IF(Productos!A326="","",Productos!D326)</f>
        <v/>
      </c>
      <c r="E326" s="22" t="str">
        <f>IF(Productos!A326="","",Productos!E326)</f>
        <v/>
      </c>
      <c r="F326" s="22" t="str">
        <f>IF(Productos!A326="","",Productos!F326)</f>
        <v/>
      </c>
      <c r="G326" s="22" t="str">
        <f>IF(A326="","",SUMIF('Compras Entradas'!$C$5:$C$504,A326,'Compras Entradas'!$E$5:$E$504))</f>
        <v/>
      </c>
      <c r="H326" s="22" t="str">
        <f>IF(A326="","",SUMIF('Ventas Salidas'!$C$5:$C$504,A326,'Ventas Salidas'!$E$5:$E$504))</f>
        <v/>
      </c>
      <c r="I326" s="22" t="str">
        <f t="shared" si="18"/>
        <v/>
      </c>
      <c r="J326" s="22" t="str">
        <f t="shared" si="19"/>
        <v/>
      </c>
      <c r="K326" s="22" t="str">
        <f t="shared" si="20"/>
        <v/>
      </c>
      <c r="L326" s="22"/>
      <c r="M326" s="22" t="str">
        <f>IF(A326="","",IF(OR(J326="Bajo stock",J326="Sin stock"),COUNTIFS($J$5:$J326,"Bajo stock")+COUNTIFS($J$5:$J326,"Sin stock"),""))</f>
        <v/>
      </c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s="13" customFormat="1" ht="21.75" customHeight="1" x14ac:dyDescent="0.25">
      <c r="A327" s="22" t="str">
        <f>IF(Productos!A327="","",Productos!A327)</f>
        <v/>
      </c>
      <c r="B327" s="22" t="str">
        <f>IF(Productos!A327="","",Productos!B327)</f>
        <v/>
      </c>
      <c r="C327" s="22" t="str">
        <f>IF(Productos!A327="","",Productos!C327)</f>
        <v/>
      </c>
      <c r="D327" s="22" t="str">
        <f>IF(Productos!A327="","",Productos!D327)</f>
        <v/>
      </c>
      <c r="E327" s="22" t="str">
        <f>IF(Productos!A327="","",Productos!E327)</f>
        <v/>
      </c>
      <c r="F327" s="22" t="str">
        <f>IF(Productos!A327="","",Productos!F327)</f>
        <v/>
      </c>
      <c r="G327" s="22" t="str">
        <f>IF(A327="","",SUMIF('Compras Entradas'!$C$5:$C$504,A327,'Compras Entradas'!$E$5:$E$504))</f>
        <v/>
      </c>
      <c r="H327" s="22" t="str">
        <f>IF(A327="","",SUMIF('Ventas Salidas'!$C$5:$C$504,A327,'Ventas Salidas'!$E$5:$E$504))</f>
        <v/>
      </c>
      <c r="I327" s="22" t="str">
        <f t="shared" si="18"/>
        <v/>
      </c>
      <c r="J327" s="22" t="str">
        <f t="shared" si="19"/>
        <v/>
      </c>
      <c r="K327" s="22" t="str">
        <f t="shared" si="20"/>
        <v/>
      </c>
      <c r="L327" s="22"/>
      <c r="M327" s="22" t="str">
        <f>IF(A327="","",IF(OR(J327="Bajo stock",J327="Sin stock"),COUNTIFS($J$5:$J327,"Bajo stock")+COUNTIFS($J$5:$J327,"Sin stock"),""))</f>
        <v/>
      </c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s="13" customFormat="1" ht="21.75" customHeight="1" x14ac:dyDescent="0.25">
      <c r="A328" s="22" t="str">
        <f>IF(Productos!A328="","",Productos!A328)</f>
        <v/>
      </c>
      <c r="B328" s="22" t="str">
        <f>IF(Productos!A328="","",Productos!B328)</f>
        <v/>
      </c>
      <c r="C328" s="22" t="str">
        <f>IF(Productos!A328="","",Productos!C328)</f>
        <v/>
      </c>
      <c r="D328" s="22" t="str">
        <f>IF(Productos!A328="","",Productos!D328)</f>
        <v/>
      </c>
      <c r="E328" s="22" t="str">
        <f>IF(Productos!A328="","",Productos!E328)</f>
        <v/>
      </c>
      <c r="F328" s="22" t="str">
        <f>IF(Productos!A328="","",Productos!F328)</f>
        <v/>
      </c>
      <c r="G328" s="22" t="str">
        <f>IF(A328="","",SUMIF('Compras Entradas'!$C$5:$C$504,A328,'Compras Entradas'!$E$5:$E$504))</f>
        <v/>
      </c>
      <c r="H328" s="22" t="str">
        <f>IF(A328="","",SUMIF('Ventas Salidas'!$C$5:$C$504,A328,'Ventas Salidas'!$E$5:$E$504))</f>
        <v/>
      </c>
      <c r="I328" s="22" t="str">
        <f t="shared" si="18"/>
        <v/>
      </c>
      <c r="J328" s="22" t="str">
        <f t="shared" si="19"/>
        <v/>
      </c>
      <c r="K328" s="22" t="str">
        <f t="shared" si="20"/>
        <v/>
      </c>
      <c r="L328" s="22"/>
      <c r="M328" s="22" t="str">
        <f>IF(A328="","",IF(OR(J328="Bajo stock",J328="Sin stock"),COUNTIFS($J$5:$J328,"Bajo stock")+COUNTIFS($J$5:$J328,"Sin stock"),""))</f>
        <v/>
      </c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s="13" customFormat="1" ht="21.75" customHeight="1" x14ac:dyDescent="0.25">
      <c r="A329" s="22" t="str">
        <f>IF(Productos!A329="","",Productos!A329)</f>
        <v/>
      </c>
      <c r="B329" s="22" t="str">
        <f>IF(Productos!A329="","",Productos!B329)</f>
        <v/>
      </c>
      <c r="C329" s="22" t="str">
        <f>IF(Productos!A329="","",Productos!C329)</f>
        <v/>
      </c>
      <c r="D329" s="22" t="str">
        <f>IF(Productos!A329="","",Productos!D329)</f>
        <v/>
      </c>
      <c r="E329" s="22" t="str">
        <f>IF(Productos!A329="","",Productos!E329)</f>
        <v/>
      </c>
      <c r="F329" s="22" t="str">
        <f>IF(Productos!A329="","",Productos!F329)</f>
        <v/>
      </c>
      <c r="G329" s="22" t="str">
        <f>IF(A329="","",SUMIF('Compras Entradas'!$C$5:$C$504,A329,'Compras Entradas'!$E$5:$E$504))</f>
        <v/>
      </c>
      <c r="H329" s="22" t="str">
        <f>IF(A329="","",SUMIF('Ventas Salidas'!$C$5:$C$504,A329,'Ventas Salidas'!$E$5:$E$504))</f>
        <v/>
      </c>
      <c r="I329" s="22" t="str">
        <f t="shared" si="18"/>
        <v/>
      </c>
      <c r="J329" s="22" t="str">
        <f t="shared" si="19"/>
        <v/>
      </c>
      <c r="K329" s="22" t="str">
        <f t="shared" si="20"/>
        <v/>
      </c>
      <c r="L329" s="22"/>
      <c r="M329" s="22" t="str">
        <f>IF(A329="","",IF(OR(J329="Bajo stock",J329="Sin stock"),COUNTIFS($J$5:$J329,"Bajo stock")+COUNTIFS($J$5:$J329,"Sin stock"),""))</f>
        <v/>
      </c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s="13" customFormat="1" ht="21.75" customHeight="1" x14ac:dyDescent="0.25">
      <c r="A330" s="22" t="str">
        <f>IF(Productos!A330="","",Productos!A330)</f>
        <v/>
      </c>
      <c r="B330" s="22" t="str">
        <f>IF(Productos!A330="","",Productos!B330)</f>
        <v/>
      </c>
      <c r="C330" s="22" t="str">
        <f>IF(Productos!A330="","",Productos!C330)</f>
        <v/>
      </c>
      <c r="D330" s="22" t="str">
        <f>IF(Productos!A330="","",Productos!D330)</f>
        <v/>
      </c>
      <c r="E330" s="22" t="str">
        <f>IF(Productos!A330="","",Productos!E330)</f>
        <v/>
      </c>
      <c r="F330" s="22" t="str">
        <f>IF(Productos!A330="","",Productos!F330)</f>
        <v/>
      </c>
      <c r="G330" s="22" t="str">
        <f>IF(A330="","",SUMIF('Compras Entradas'!$C$5:$C$504,A330,'Compras Entradas'!$E$5:$E$504))</f>
        <v/>
      </c>
      <c r="H330" s="22" t="str">
        <f>IF(A330="","",SUMIF('Ventas Salidas'!$C$5:$C$504,A330,'Ventas Salidas'!$E$5:$E$504))</f>
        <v/>
      </c>
      <c r="I330" s="22" t="str">
        <f t="shared" si="18"/>
        <v/>
      </c>
      <c r="J330" s="22" t="str">
        <f t="shared" si="19"/>
        <v/>
      </c>
      <c r="K330" s="22" t="str">
        <f t="shared" si="20"/>
        <v/>
      </c>
      <c r="L330" s="22"/>
      <c r="M330" s="22" t="str">
        <f>IF(A330="","",IF(OR(J330="Bajo stock",J330="Sin stock"),COUNTIFS($J$5:$J330,"Bajo stock")+COUNTIFS($J$5:$J330,"Sin stock"),""))</f>
        <v/>
      </c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s="13" customFormat="1" ht="21.75" customHeight="1" x14ac:dyDescent="0.25">
      <c r="A331" s="22" t="str">
        <f>IF(Productos!A331="","",Productos!A331)</f>
        <v/>
      </c>
      <c r="B331" s="22" t="str">
        <f>IF(Productos!A331="","",Productos!B331)</f>
        <v/>
      </c>
      <c r="C331" s="22" t="str">
        <f>IF(Productos!A331="","",Productos!C331)</f>
        <v/>
      </c>
      <c r="D331" s="22" t="str">
        <f>IF(Productos!A331="","",Productos!D331)</f>
        <v/>
      </c>
      <c r="E331" s="22" t="str">
        <f>IF(Productos!A331="","",Productos!E331)</f>
        <v/>
      </c>
      <c r="F331" s="22" t="str">
        <f>IF(Productos!A331="","",Productos!F331)</f>
        <v/>
      </c>
      <c r="G331" s="22" t="str">
        <f>IF(A331="","",SUMIF('Compras Entradas'!$C$5:$C$504,A331,'Compras Entradas'!$E$5:$E$504))</f>
        <v/>
      </c>
      <c r="H331" s="22" t="str">
        <f>IF(A331="","",SUMIF('Ventas Salidas'!$C$5:$C$504,A331,'Ventas Salidas'!$E$5:$E$504))</f>
        <v/>
      </c>
      <c r="I331" s="22" t="str">
        <f t="shared" si="18"/>
        <v/>
      </c>
      <c r="J331" s="22" t="str">
        <f t="shared" si="19"/>
        <v/>
      </c>
      <c r="K331" s="22" t="str">
        <f t="shared" si="20"/>
        <v/>
      </c>
      <c r="L331" s="22"/>
      <c r="M331" s="22" t="str">
        <f>IF(A331="","",IF(OR(J331="Bajo stock",J331="Sin stock"),COUNTIFS($J$5:$J331,"Bajo stock")+COUNTIFS($J$5:$J331,"Sin stock"),""))</f>
        <v/>
      </c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s="13" customFormat="1" ht="21.75" customHeight="1" x14ac:dyDescent="0.25">
      <c r="A332" s="22" t="str">
        <f>IF(Productos!A332="","",Productos!A332)</f>
        <v/>
      </c>
      <c r="B332" s="22" t="str">
        <f>IF(Productos!A332="","",Productos!B332)</f>
        <v/>
      </c>
      <c r="C332" s="22" t="str">
        <f>IF(Productos!A332="","",Productos!C332)</f>
        <v/>
      </c>
      <c r="D332" s="22" t="str">
        <f>IF(Productos!A332="","",Productos!D332)</f>
        <v/>
      </c>
      <c r="E332" s="22" t="str">
        <f>IF(Productos!A332="","",Productos!E332)</f>
        <v/>
      </c>
      <c r="F332" s="22" t="str">
        <f>IF(Productos!A332="","",Productos!F332)</f>
        <v/>
      </c>
      <c r="G332" s="22" t="str">
        <f>IF(A332="","",SUMIF('Compras Entradas'!$C$5:$C$504,A332,'Compras Entradas'!$E$5:$E$504))</f>
        <v/>
      </c>
      <c r="H332" s="22" t="str">
        <f>IF(A332="","",SUMIF('Ventas Salidas'!$C$5:$C$504,A332,'Ventas Salidas'!$E$5:$E$504))</f>
        <v/>
      </c>
      <c r="I332" s="22" t="str">
        <f t="shared" si="18"/>
        <v/>
      </c>
      <c r="J332" s="22" t="str">
        <f t="shared" si="19"/>
        <v/>
      </c>
      <c r="K332" s="22" t="str">
        <f t="shared" si="20"/>
        <v/>
      </c>
      <c r="L332" s="22"/>
      <c r="M332" s="22" t="str">
        <f>IF(A332="","",IF(OR(J332="Bajo stock",J332="Sin stock"),COUNTIFS($J$5:$J332,"Bajo stock")+COUNTIFS($J$5:$J332,"Sin stock"),""))</f>
        <v/>
      </c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s="13" customFormat="1" ht="21.75" customHeight="1" x14ac:dyDescent="0.25">
      <c r="A333" s="22" t="str">
        <f>IF(Productos!A333="","",Productos!A333)</f>
        <v/>
      </c>
      <c r="B333" s="22" t="str">
        <f>IF(Productos!A333="","",Productos!B333)</f>
        <v/>
      </c>
      <c r="C333" s="22" t="str">
        <f>IF(Productos!A333="","",Productos!C333)</f>
        <v/>
      </c>
      <c r="D333" s="22" t="str">
        <f>IF(Productos!A333="","",Productos!D333)</f>
        <v/>
      </c>
      <c r="E333" s="22" t="str">
        <f>IF(Productos!A333="","",Productos!E333)</f>
        <v/>
      </c>
      <c r="F333" s="22" t="str">
        <f>IF(Productos!A333="","",Productos!F333)</f>
        <v/>
      </c>
      <c r="G333" s="22" t="str">
        <f>IF(A333="","",SUMIF('Compras Entradas'!$C$5:$C$504,A333,'Compras Entradas'!$E$5:$E$504))</f>
        <v/>
      </c>
      <c r="H333" s="22" t="str">
        <f>IF(A333="","",SUMIF('Ventas Salidas'!$C$5:$C$504,A333,'Ventas Salidas'!$E$5:$E$504))</f>
        <v/>
      </c>
      <c r="I333" s="22" t="str">
        <f t="shared" si="18"/>
        <v/>
      </c>
      <c r="J333" s="22" t="str">
        <f t="shared" si="19"/>
        <v/>
      </c>
      <c r="K333" s="22" t="str">
        <f t="shared" si="20"/>
        <v/>
      </c>
      <c r="L333" s="22"/>
      <c r="M333" s="22" t="str">
        <f>IF(A333="","",IF(OR(J333="Bajo stock",J333="Sin stock"),COUNTIFS($J$5:$J333,"Bajo stock")+COUNTIFS($J$5:$J333,"Sin stock"),""))</f>
        <v/>
      </c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s="13" customFormat="1" ht="21.75" customHeight="1" x14ac:dyDescent="0.25">
      <c r="A334" s="22" t="str">
        <f>IF(Productos!A334="","",Productos!A334)</f>
        <v/>
      </c>
      <c r="B334" s="22" t="str">
        <f>IF(Productos!A334="","",Productos!B334)</f>
        <v/>
      </c>
      <c r="C334" s="22" t="str">
        <f>IF(Productos!A334="","",Productos!C334)</f>
        <v/>
      </c>
      <c r="D334" s="22" t="str">
        <f>IF(Productos!A334="","",Productos!D334)</f>
        <v/>
      </c>
      <c r="E334" s="22" t="str">
        <f>IF(Productos!A334="","",Productos!E334)</f>
        <v/>
      </c>
      <c r="F334" s="22" t="str">
        <f>IF(Productos!A334="","",Productos!F334)</f>
        <v/>
      </c>
      <c r="G334" s="22" t="str">
        <f>IF(A334="","",SUMIF('Compras Entradas'!$C$5:$C$504,A334,'Compras Entradas'!$E$5:$E$504))</f>
        <v/>
      </c>
      <c r="H334" s="22" t="str">
        <f>IF(A334="","",SUMIF('Ventas Salidas'!$C$5:$C$504,A334,'Ventas Salidas'!$E$5:$E$504))</f>
        <v/>
      </c>
      <c r="I334" s="22" t="str">
        <f t="shared" si="18"/>
        <v/>
      </c>
      <c r="J334" s="22" t="str">
        <f t="shared" si="19"/>
        <v/>
      </c>
      <c r="K334" s="22" t="str">
        <f t="shared" si="20"/>
        <v/>
      </c>
      <c r="L334" s="22"/>
      <c r="M334" s="22" t="str">
        <f>IF(A334="","",IF(OR(J334="Bajo stock",J334="Sin stock"),COUNTIFS($J$5:$J334,"Bajo stock")+COUNTIFS($J$5:$J334,"Sin stock"),""))</f>
        <v/>
      </c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s="13" customFormat="1" ht="21.75" customHeight="1" x14ac:dyDescent="0.25">
      <c r="A335" s="22" t="str">
        <f>IF(Productos!A335="","",Productos!A335)</f>
        <v/>
      </c>
      <c r="B335" s="22" t="str">
        <f>IF(Productos!A335="","",Productos!B335)</f>
        <v/>
      </c>
      <c r="C335" s="22" t="str">
        <f>IF(Productos!A335="","",Productos!C335)</f>
        <v/>
      </c>
      <c r="D335" s="22" t="str">
        <f>IF(Productos!A335="","",Productos!D335)</f>
        <v/>
      </c>
      <c r="E335" s="22" t="str">
        <f>IF(Productos!A335="","",Productos!E335)</f>
        <v/>
      </c>
      <c r="F335" s="22" t="str">
        <f>IF(Productos!A335="","",Productos!F335)</f>
        <v/>
      </c>
      <c r="G335" s="22" t="str">
        <f>IF(A335="","",SUMIF('Compras Entradas'!$C$5:$C$504,A335,'Compras Entradas'!$E$5:$E$504))</f>
        <v/>
      </c>
      <c r="H335" s="22" t="str">
        <f>IF(A335="","",SUMIF('Ventas Salidas'!$C$5:$C$504,A335,'Ventas Salidas'!$E$5:$E$504))</f>
        <v/>
      </c>
      <c r="I335" s="22" t="str">
        <f t="shared" si="18"/>
        <v/>
      </c>
      <c r="J335" s="22" t="str">
        <f t="shared" si="19"/>
        <v/>
      </c>
      <c r="K335" s="22" t="str">
        <f t="shared" si="20"/>
        <v/>
      </c>
      <c r="L335" s="22"/>
      <c r="M335" s="22" t="str">
        <f>IF(A335="","",IF(OR(J335="Bajo stock",J335="Sin stock"),COUNTIFS($J$5:$J335,"Bajo stock")+COUNTIFS($J$5:$J335,"Sin stock"),""))</f>
        <v/>
      </c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s="13" customFormat="1" ht="21.75" customHeight="1" x14ac:dyDescent="0.25">
      <c r="A336" s="22" t="str">
        <f>IF(Productos!A336="","",Productos!A336)</f>
        <v/>
      </c>
      <c r="B336" s="22" t="str">
        <f>IF(Productos!A336="","",Productos!B336)</f>
        <v/>
      </c>
      <c r="C336" s="22" t="str">
        <f>IF(Productos!A336="","",Productos!C336)</f>
        <v/>
      </c>
      <c r="D336" s="22" t="str">
        <f>IF(Productos!A336="","",Productos!D336)</f>
        <v/>
      </c>
      <c r="E336" s="22" t="str">
        <f>IF(Productos!A336="","",Productos!E336)</f>
        <v/>
      </c>
      <c r="F336" s="22" t="str">
        <f>IF(Productos!A336="","",Productos!F336)</f>
        <v/>
      </c>
      <c r="G336" s="22" t="str">
        <f>IF(A336="","",SUMIF('Compras Entradas'!$C$5:$C$504,A336,'Compras Entradas'!$E$5:$E$504))</f>
        <v/>
      </c>
      <c r="H336" s="22" t="str">
        <f>IF(A336="","",SUMIF('Ventas Salidas'!$C$5:$C$504,A336,'Ventas Salidas'!$E$5:$E$504))</f>
        <v/>
      </c>
      <c r="I336" s="22" t="str">
        <f t="shared" si="18"/>
        <v/>
      </c>
      <c r="J336" s="22" t="str">
        <f t="shared" si="19"/>
        <v/>
      </c>
      <c r="K336" s="22" t="str">
        <f t="shared" si="20"/>
        <v/>
      </c>
      <c r="L336" s="22"/>
      <c r="M336" s="22" t="str">
        <f>IF(A336="","",IF(OR(J336="Bajo stock",J336="Sin stock"),COUNTIFS($J$5:$J336,"Bajo stock")+COUNTIFS($J$5:$J336,"Sin stock"),""))</f>
        <v/>
      </c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s="13" customFormat="1" ht="21.75" customHeight="1" x14ac:dyDescent="0.25">
      <c r="A337" s="22" t="str">
        <f>IF(Productos!A337="","",Productos!A337)</f>
        <v/>
      </c>
      <c r="B337" s="22" t="str">
        <f>IF(Productos!A337="","",Productos!B337)</f>
        <v/>
      </c>
      <c r="C337" s="22" t="str">
        <f>IF(Productos!A337="","",Productos!C337)</f>
        <v/>
      </c>
      <c r="D337" s="22" t="str">
        <f>IF(Productos!A337="","",Productos!D337)</f>
        <v/>
      </c>
      <c r="E337" s="22" t="str">
        <f>IF(Productos!A337="","",Productos!E337)</f>
        <v/>
      </c>
      <c r="F337" s="22" t="str">
        <f>IF(Productos!A337="","",Productos!F337)</f>
        <v/>
      </c>
      <c r="G337" s="22" t="str">
        <f>IF(A337="","",SUMIF('Compras Entradas'!$C$5:$C$504,A337,'Compras Entradas'!$E$5:$E$504))</f>
        <v/>
      </c>
      <c r="H337" s="22" t="str">
        <f>IF(A337="","",SUMIF('Ventas Salidas'!$C$5:$C$504,A337,'Ventas Salidas'!$E$5:$E$504))</f>
        <v/>
      </c>
      <c r="I337" s="22" t="str">
        <f t="shared" si="18"/>
        <v/>
      </c>
      <c r="J337" s="22" t="str">
        <f t="shared" si="19"/>
        <v/>
      </c>
      <c r="K337" s="22" t="str">
        <f t="shared" si="20"/>
        <v/>
      </c>
      <c r="L337" s="22"/>
      <c r="M337" s="22" t="str">
        <f>IF(A337="","",IF(OR(J337="Bajo stock",J337="Sin stock"),COUNTIFS($J$5:$J337,"Bajo stock")+COUNTIFS($J$5:$J337,"Sin stock"),""))</f>
        <v/>
      </c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s="13" customFormat="1" ht="21.75" customHeight="1" x14ac:dyDescent="0.25">
      <c r="A338" s="22" t="str">
        <f>IF(Productos!A338="","",Productos!A338)</f>
        <v/>
      </c>
      <c r="B338" s="22" t="str">
        <f>IF(Productos!A338="","",Productos!B338)</f>
        <v/>
      </c>
      <c r="C338" s="22" t="str">
        <f>IF(Productos!A338="","",Productos!C338)</f>
        <v/>
      </c>
      <c r="D338" s="22" t="str">
        <f>IF(Productos!A338="","",Productos!D338)</f>
        <v/>
      </c>
      <c r="E338" s="22" t="str">
        <f>IF(Productos!A338="","",Productos!E338)</f>
        <v/>
      </c>
      <c r="F338" s="22" t="str">
        <f>IF(Productos!A338="","",Productos!F338)</f>
        <v/>
      </c>
      <c r="G338" s="22" t="str">
        <f>IF(A338="","",SUMIF('Compras Entradas'!$C$5:$C$504,A338,'Compras Entradas'!$E$5:$E$504))</f>
        <v/>
      </c>
      <c r="H338" s="22" t="str">
        <f>IF(A338="","",SUMIF('Ventas Salidas'!$C$5:$C$504,A338,'Ventas Salidas'!$E$5:$E$504))</f>
        <v/>
      </c>
      <c r="I338" s="22" t="str">
        <f t="shared" si="18"/>
        <v/>
      </c>
      <c r="J338" s="22" t="str">
        <f t="shared" si="19"/>
        <v/>
      </c>
      <c r="K338" s="22" t="str">
        <f t="shared" si="20"/>
        <v/>
      </c>
      <c r="L338" s="22"/>
      <c r="M338" s="22" t="str">
        <f>IF(A338="","",IF(OR(J338="Bajo stock",J338="Sin stock"),COUNTIFS($J$5:$J338,"Bajo stock")+COUNTIFS($J$5:$J338,"Sin stock"),""))</f>
        <v/>
      </c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s="13" customFormat="1" ht="21.75" customHeight="1" x14ac:dyDescent="0.25">
      <c r="A339" s="22" t="str">
        <f>IF(Productos!A339="","",Productos!A339)</f>
        <v/>
      </c>
      <c r="B339" s="22" t="str">
        <f>IF(Productos!A339="","",Productos!B339)</f>
        <v/>
      </c>
      <c r="C339" s="22" t="str">
        <f>IF(Productos!A339="","",Productos!C339)</f>
        <v/>
      </c>
      <c r="D339" s="22" t="str">
        <f>IF(Productos!A339="","",Productos!D339)</f>
        <v/>
      </c>
      <c r="E339" s="22" t="str">
        <f>IF(Productos!A339="","",Productos!E339)</f>
        <v/>
      </c>
      <c r="F339" s="22" t="str">
        <f>IF(Productos!A339="","",Productos!F339)</f>
        <v/>
      </c>
      <c r="G339" s="22" t="str">
        <f>IF(A339="","",SUMIF('Compras Entradas'!$C$5:$C$504,A339,'Compras Entradas'!$E$5:$E$504))</f>
        <v/>
      </c>
      <c r="H339" s="22" t="str">
        <f>IF(A339="","",SUMIF('Ventas Salidas'!$C$5:$C$504,A339,'Ventas Salidas'!$E$5:$E$504))</f>
        <v/>
      </c>
      <c r="I339" s="22" t="str">
        <f t="shared" si="18"/>
        <v/>
      </c>
      <c r="J339" s="22" t="str">
        <f t="shared" si="19"/>
        <v/>
      </c>
      <c r="K339" s="22" t="str">
        <f t="shared" si="20"/>
        <v/>
      </c>
      <c r="L339" s="22"/>
      <c r="M339" s="22" t="str">
        <f>IF(A339="","",IF(OR(J339="Bajo stock",J339="Sin stock"),COUNTIFS($J$5:$J339,"Bajo stock")+COUNTIFS($J$5:$J339,"Sin stock"),""))</f>
        <v/>
      </c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s="13" customFormat="1" ht="21.75" customHeight="1" x14ac:dyDescent="0.25">
      <c r="A340" s="22" t="str">
        <f>IF(Productos!A340="","",Productos!A340)</f>
        <v/>
      </c>
      <c r="B340" s="22" t="str">
        <f>IF(Productos!A340="","",Productos!B340)</f>
        <v/>
      </c>
      <c r="C340" s="22" t="str">
        <f>IF(Productos!A340="","",Productos!C340)</f>
        <v/>
      </c>
      <c r="D340" s="22" t="str">
        <f>IF(Productos!A340="","",Productos!D340)</f>
        <v/>
      </c>
      <c r="E340" s="22" t="str">
        <f>IF(Productos!A340="","",Productos!E340)</f>
        <v/>
      </c>
      <c r="F340" s="22" t="str">
        <f>IF(Productos!A340="","",Productos!F340)</f>
        <v/>
      </c>
      <c r="G340" s="22" t="str">
        <f>IF(A340="","",SUMIF('Compras Entradas'!$C$5:$C$504,A340,'Compras Entradas'!$E$5:$E$504))</f>
        <v/>
      </c>
      <c r="H340" s="22" t="str">
        <f>IF(A340="","",SUMIF('Ventas Salidas'!$C$5:$C$504,A340,'Ventas Salidas'!$E$5:$E$504))</f>
        <v/>
      </c>
      <c r="I340" s="22" t="str">
        <f t="shared" si="18"/>
        <v/>
      </c>
      <c r="J340" s="22" t="str">
        <f t="shared" si="19"/>
        <v/>
      </c>
      <c r="K340" s="22" t="str">
        <f t="shared" si="20"/>
        <v/>
      </c>
      <c r="L340" s="22"/>
      <c r="M340" s="22" t="str">
        <f>IF(A340="","",IF(OR(J340="Bajo stock",J340="Sin stock"),COUNTIFS($J$5:$J340,"Bajo stock")+COUNTIFS($J$5:$J340,"Sin stock"),""))</f>
        <v/>
      </c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s="13" customFormat="1" ht="21.75" customHeight="1" x14ac:dyDescent="0.25">
      <c r="A341" s="22" t="str">
        <f>IF(Productos!A341="","",Productos!A341)</f>
        <v/>
      </c>
      <c r="B341" s="22" t="str">
        <f>IF(Productos!A341="","",Productos!B341)</f>
        <v/>
      </c>
      <c r="C341" s="22" t="str">
        <f>IF(Productos!A341="","",Productos!C341)</f>
        <v/>
      </c>
      <c r="D341" s="22" t="str">
        <f>IF(Productos!A341="","",Productos!D341)</f>
        <v/>
      </c>
      <c r="E341" s="22" t="str">
        <f>IF(Productos!A341="","",Productos!E341)</f>
        <v/>
      </c>
      <c r="F341" s="22" t="str">
        <f>IF(Productos!A341="","",Productos!F341)</f>
        <v/>
      </c>
      <c r="G341" s="22" t="str">
        <f>IF(A341="","",SUMIF('Compras Entradas'!$C$5:$C$504,A341,'Compras Entradas'!$E$5:$E$504))</f>
        <v/>
      </c>
      <c r="H341" s="22" t="str">
        <f>IF(A341="","",SUMIF('Ventas Salidas'!$C$5:$C$504,A341,'Ventas Salidas'!$E$5:$E$504))</f>
        <v/>
      </c>
      <c r="I341" s="22" t="str">
        <f t="shared" si="18"/>
        <v/>
      </c>
      <c r="J341" s="22" t="str">
        <f t="shared" si="19"/>
        <v/>
      </c>
      <c r="K341" s="22" t="str">
        <f t="shared" si="20"/>
        <v/>
      </c>
      <c r="L341" s="22"/>
      <c r="M341" s="22" t="str">
        <f>IF(A341="","",IF(OR(J341="Bajo stock",J341="Sin stock"),COUNTIFS($J$5:$J341,"Bajo stock")+COUNTIFS($J$5:$J341,"Sin stock"),""))</f>
        <v/>
      </c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s="13" customFormat="1" ht="21.75" customHeight="1" x14ac:dyDescent="0.25">
      <c r="A342" s="22" t="str">
        <f>IF(Productos!A342="","",Productos!A342)</f>
        <v/>
      </c>
      <c r="B342" s="22" t="str">
        <f>IF(Productos!A342="","",Productos!B342)</f>
        <v/>
      </c>
      <c r="C342" s="22" t="str">
        <f>IF(Productos!A342="","",Productos!C342)</f>
        <v/>
      </c>
      <c r="D342" s="22" t="str">
        <f>IF(Productos!A342="","",Productos!D342)</f>
        <v/>
      </c>
      <c r="E342" s="22" t="str">
        <f>IF(Productos!A342="","",Productos!E342)</f>
        <v/>
      </c>
      <c r="F342" s="22" t="str">
        <f>IF(Productos!A342="","",Productos!F342)</f>
        <v/>
      </c>
      <c r="G342" s="22" t="str">
        <f>IF(A342="","",SUMIF('Compras Entradas'!$C$5:$C$504,A342,'Compras Entradas'!$E$5:$E$504))</f>
        <v/>
      </c>
      <c r="H342" s="22" t="str">
        <f>IF(A342="","",SUMIF('Ventas Salidas'!$C$5:$C$504,A342,'Ventas Salidas'!$E$5:$E$504))</f>
        <v/>
      </c>
      <c r="I342" s="22" t="str">
        <f t="shared" si="18"/>
        <v/>
      </c>
      <c r="J342" s="22" t="str">
        <f t="shared" si="19"/>
        <v/>
      </c>
      <c r="K342" s="22" t="str">
        <f t="shared" si="20"/>
        <v/>
      </c>
      <c r="L342" s="22"/>
      <c r="M342" s="22" t="str">
        <f>IF(A342="","",IF(OR(J342="Bajo stock",J342="Sin stock"),COUNTIFS($J$5:$J342,"Bajo stock")+COUNTIFS($J$5:$J342,"Sin stock"),""))</f>
        <v/>
      </c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s="13" customFormat="1" ht="21.75" customHeight="1" x14ac:dyDescent="0.25">
      <c r="A343" s="22" t="str">
        <f>IF(Productos!A343="","",Productos!A343)</f>
        <v/>
      </c>
      <c r="B343" s="22" t="str">
        <f>IF(Productos!A343="","",Productos!B343)</f>
        <v/>
      </c>
      <c r="C343" s="22" t="str">
        <f>IF(Productos!A343="","",Productos!C343)</f>
        <v/>
      </c>
      <c r="D343" s="22" t="str">
        <f>IF(Productos!A343="","",Productos!D343)</f>
        <v/>
      </c>
      <c r="E343" s="22" t="str">
        <f>IF(Productos!A343="","",Productos!E343)</f>
        <v/>
      </c>
      <c r="F343" s="22" t="str">
        <f>IF(Productos!A343="","",Productos!F343)</f>
        <v/>
      </c>
      <c r="G343" s="22" t="str">
        <f>IF(A343="","",SUMIF('Compras Entradas'!$C$5:$C$504,A343,'Compras Entradas'!$E$5:$E$504))</f>
        <v/>
      </c>
      <c r="H343" s="22" t="str">
        <f>IF(A343="","",SUMIF('Ventas Salidas'!$C$5:$C$504,A343,'Ventas Salidas'!$E$5:$E$504))</f>
        <v/>
      </c>
      <c r="I343" s="22" t="str">
        <f t="shared" si="18"/>
        <v/>
      </c>
      <c r="J343" s="22" t="str">
        <f t="shared" si="19"/>
        <v/>
      </c>
      <c r="K343" s="22" t="str">
        <f t="shared" si="20"/>
        <v/>
      </c>
      <c r="L343" s="22"/>
      <c r="M343" s="22" t="str">
        <f>IF(A343="","",IF(OR(J343="Bajo stock",J343="Sin stock"),COUNTIFS($J$5:$J343,"Bajo stock")+COUNTIFS($J$5:$J343,"Sin stock"),""))</f>
        <v/>
      </c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s="13" customFormat="1" ht="21.75" customHeight="1" x14ac:dyDescent="0.25">
      <c r="A344" s="22" t="str">
        <f>IF(Productos!A344="","",Productos!A344)</f>
        <v/>
      </c>
      <c r="B344" s="22" t="str">
        <f>IF(Productos!A344="","",Productos!B344)</f>
        <v/>
      </c>
      <c r="C344" s="22" t="str">
        <f>IF(Productos!A344="","",Productos!C344)</f>
        <v/>
      </c>
      <c r="D344" s="22" t="str">
        <f>IF(Productos!A344="","",Productos!D344)</f>
        <v/>
      </c>
      <c r="E344" s="22" t="str">
        <f>IF(Productos!A344="","",Productos!E344)</f>
        <v/>
      </c>
      <c r="F344" s="22" t="str">
        <f>IF(Productos!A344="","",Productos!F344)</f>
        <v/>
      </c>
      <c r="G344" s="22" t="str">
        <f>IF(A344="","",SUMIF('Compras Entradas'!$C$5:$C$504,A344,'Compras Entradas'!$E$5:$E$504))</f>
        <v/>
      </c>
      <c r="H344" s="22" t="str">
        <f>IF(A344="","",SUMIF('Ventas Salidas'!$C$5:$C$504,A344,'Ventas Salidas'!$E$5:$E$504))</f>
        <v/>
      </c>
      <c r="I344" s="22" t="str">
        <f t="shared" si="18"/>
        <v/>
      </c>
      <c r="J344" s="22" t="str">
        <f t="shared" si="19"/>
        <v/>
      </c>
      <c r="K344" s="22" t="str">
        <f t="shared" si="20"/>
        <v/>
      </c>
      <c r="L344" s="22"/>
      <c r="M344" s="22" t="str">
        <f>IF(A344="","",IF(OR(J344="Bajo stock",J344="Sin stock"),COUNTIFS($J$5:$J344,"Bajo stock")+COUNTIFS($J$5:$J344,"Sin stock"),""))</f>
        <v/>
      </c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s="13" customFormat="1" ht="21.75" customHeight="1" x14ac:dyDescent="0.25">
      <c r="A345" s="22" t="str">
        <f>IF(Productos!A345="","",Productos!A345)</f>
        <v/>
      </c>
      <c r="B345" s="22" t="str">
        <f>IF(Productos!A345="","",Productos!B345)</f>
        <v/>
      </c>
      <c r="C345" s="22" t="str">
        <f>IF(Productos!A345="","",Productos!C345)</f>
        <v/>
      </c>
      <c r="D345" s="22" t="str">
        <f>IF(Productos!A345="","",Productos!D345)</f>
        <v/>
      </c>
      <c r="E345" s="22" t="str">
        <f>IF(Productos!A345="","",Productos!E345)</f>
        <v/>
      </c>
      <c r="F345" s="22" t="str">
        <f>IF(Productos!A345="","",Productos!F345)</f>
        <v/>
      </c>
      <c r="G345" s="22" t="str">
        <f>IF(A345="","",SUMIF('Compras Entradas'!$C$5:$C$504,A345,'Compras Entradas'!$E$5:$E$504))</f>
        <v/>
      </c>
      <c r="H345" s="22" t="str">
        <f>IF(A345="","",SUMIF('Ventas Salidas'!$C$5:$C$504,A345,'Ventas Salidas'!$E$5:$E$504))</f>
        <v/>
      </c>
      <c r="I345" s="22" t="str">
        <f t="shared" si="18"/>
        <v/>
      </c>
      <c r="J345" s="22" t="str">
        <f t="shared" si="19"/>
        <v/>
      </c>
      <c r="K345" s="22" t="str">
        <f t="shared" si="20"/>
        <v/>
      </c>
      <c r="L345" s="22"/>
      <c r="M345" s="22" t="str">
        <f>IF(A345="","",IF(OR(J345="Bajo stock",J345="Sin stock"),COUNTIFS($J$5:$J345,"Bajo stock")+COUNTIFS($J$5:$J345,"Sin stock"),""))</f>
        <v/>
      </c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s="13" customFormat="1" ht="21.75" customHeight="1" x14ac:dyDescent="0.25">
      <c r="A346" s="22" t="str">
        <f>IF(Productos!A346="","",Productos!A346)</f>
        <v/>
      </c>
      <c r="B346" s="22" t="str">
        <f>IF(Productos!A346="","",Productos!B346)</f>
        <v/>
      </c>
      <c r="C346" s="22" t="str">
        <f>IF(Productos!A346="","",Productos!C346)</f>
        <v/>
      </c>
      <c r="D346" s="22" t="str">
        <f>IF(Productos!A346="","",Productos!D346)</f>
        <v/>
      </c>
      <c r="E346" s="22" t="str">
        <f>IF(Productos!A346="","",Productos!E346)</f>
        <v/>
      </c>
      <c r="F346" s="22" t="str">
        <f>IF(Productos!A346="","",Productos!F346)</f>
        <v/>
      </c>
      <c r="G346" s="22" t="str">
        <f>IF(A346="","",SUMIF('Compras Entradas'!$C$5:$C$504,A346,'Compras Entradas'!$E$5:$E$504))</f>
        <v/>
      </c>
      <c r="H346" s="22" t="str">
        <f>IF(A346="","",SUMIF('Ventas Salidas'!$C$5:$C$504,A346,'Ventas Salidas'!$E$5:$E$504))</f>
        <v/>
      </c>
      <c r="I346" s="22" t="str">
        <f t="shared" si="18"/>
        <v/>
      </c>
      <c r="J346" s="22" t="str">
        <f t="shared" si="19"/>
        <v/>
      </c>
      <c r="K346" s="22" t="str">
        <f t="shared" si="20"/>
        <v/>
      </c>
      <c r="L346" s="22"/>
      <c r="M346" s="22" t="str">
        <f>IF(A346="","",IF(OR(J346="Bajo stock",J346="Sin stock"),COUNTIFS($J$5:$J346,"Bajo stock")+COUNTIFS($J$5:$J346,"Sin stock"),""))</f>
        <v/>
      </c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s="13" customFormat="1" ht="21.75" customHeight="1" x14ac:dyDescent="0.25">
      <c r="A347" s="22" t="str">
        <f>IF(Productos!A347="","",Productos!A347)</f>
        <v/>
      </c>
      <c r="B347" s="22" t="str">
        <f>IF(Productos!A347="","",Productos!B347)</f>
        <v/>
      </c>
      <c r="C347" s="22" t="str">
        <f>IF(Productos!A347="","",Productos!C347)</f>
        <v/>
      </c>
      <c r="D347" s="22" t="str">
        <f>IF(Productos!A347="","",Productos!D347)</f>
        <v/>
      </c>
      <c r="E347" s="22" t="str">
        <f>IF(Productos!A347="","",Productos!E347)</f>
        <v/>
      </c>
      <c r="F347" s="22" t="str">
        <f>IF(Productos!A347="","",Productos!F347)</f>
        <v/>
      </c>
      <c r="G347" s="22" t="str">
        <f>IF(A347="","",SUMIF('Compras Entradas'!$C$5:$C$504,A347,'Compras Entradas'!$E$5:$E$504))</f>
        <v/>
      </c>
      <c r="H347" s="22" t="str">
        <f>IF(A347="","",SUMIF('Ventas Salidas'!$C$5:$C$504,A347,'Ventas Salidas'!$E$5:$E$504))</f>
        <v/>
      </c>
      <c r="I347" s="22" t="str">
        <f t="shared" si="18"/>
        <v/>
      </c>
      <c r="J347" s="22" t="str">
        <f t="shared" si="19"/>
        <v/>
      </c>
      <c r="K347" s="22" t="str">
        <f t="shared" si="20"/>
        <v/>
      </c>
      <c r="L347" s="22"/>
      <c r="M347" s="22" t="str">
        <f>IF(A347="","",IF(OR(J347="Bajo stock",J347="Sin stock"),COUNTIFS($J$5:$J347,"Bajo stock")+COUNTIFS($J$5:$J347,"Sin stock"),""))</f>
        <v/>
      </c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s="13" customFormat="1" ht="21.75" customHeight="1" x14ac:dyDescent="0.25">
      <c r="A348" s="22" t="str">
        <f>IF(Productos!A348="","",Productos!A348)</f>
        <v/>
      </c>
      <c r="B348" s="22" t="str">
        <f>IF(Productos!A348="","",Productos!B348)</f>
        <v/>
      </c>
      <c r="C348" s="22" t="str">
        <f>IF(Productos!A348="","",Productos!C348)</f>
        <v/>
      </c>
      <c r="D348" s="22" t="str">
        <f>IF(Productos!A348="","",Productos!D348)</f>
        <v/>
      </c>
      <c r="E348" s="22" t="str">
        <f>IF(Productos!A348="","",Productos!E348)</f>
        <v/>
      </c>
      <c r="F348" s="22" t="str">
        <f>IF(Productos!A348="","",Productos!F348)</f>
        <v/>
      </c>
      <c r="G348" s="22" t="str">
        <f>IF(A348="","",SUMIF('Compras Entradas'!$C$5:$C$504,A348,'Compras Entradas'!$E$5:$E$504))</f>
        <v/>
      </c>
      <c r="H348" s="22" t="str">
        <f>IF(A348="","",SUMIF('Ventas Salidas'!$C$5:$C$504,A348,'Ventas Salidas'!$E$5:$E$504))</f>
        <v/>
      </c>
      <c r="I348" s="22" t="str">
        <f t="shared" si="18"/>
        <v/>
      </c>
      <c r="J348" s="22" t="str">
        <f t="shared" si="19"/>
        <v/>
      </c>
      <c r="K348" s="22" t="str">
        <f t="shared" si="20"/>
        <v/>
      </c>
      <c r="L348" s="22"/>
      <c r="M348" s="22" t="str">
        <f>IF(A348="","",IF(OR(J348="Bajo stock",J348="Sin stock"),COUNTIFS($J$5:$J348,"Bajo stock")+COUNTIFS($J$5:$J348,"Sin stock"),""))</f>
        <v/>
      </c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s="13" customFormat="1" ht="21.75" customHeight="1" x14ac:dyDescent="0.25">
      <c r="A349" s="22" t="str">
        <f>IF(Productos!A349="","",Productos!A349)</f>
        <v/>
      </c>
      <c r="B349" s="22" t="str">
        <f>IF(Productos!A349="","",Productos!B349)</f>
        <v/>
      </c>
      <c r="C349" s="22" t="str">
        <f>IF(Productos!A349="","",Productos!C349)</f>
        <v/>
      </c>
      <c r="D349" s="22" t="str">
        <f>IF(Productos!A349="","",Productos!D349)</f>
        <v/>
      </c>
      <c r="E349" s="22" t="str">
        <f>IF(Productos!A349="","",Productos!E349)</f>
        <v/>
      </c>
      <c r="F349" s="22" t="str">
        <f>IF(Productos!A349="","",Productos!F349)</f>
        <v/>
      </c>
      <c r="G349" s="22" t="str">
        <f>IF(A349="","",SUMIF('Compras Entradas'!$C$5:$C$504,A349,'Compras Entradas'!$E$5:$E$504))</f>
        <v/>
      </c>
      <c r="H349" s="22" t="str">
        <f>IF(A349="","",SUMIF('Ventas Salidas'!$C$5:$C$504,A349,'Ventas Salidas'!$E$5:$E$504))</f>
        <v/>
      </c>
      <c r="I349" s="22" t="str">
        <f t="shared" si="18"/>
        <v/>
      </c>
      <c r="J349" s="22" t="str">
        <f t="shared" si="19"/>
        <v/>
      </c>
      <c r="K349" s="22" t="str">
        <f t="shared" si="20"/>
        <v/>
      </c>
      <c r="L349" s="22"/>
      <c r="M349" s="22" t="str">
        <f>IF(A349="","",IF(OR(J349="Bajo stock",J349="Sin stock"),COUNTIFS($J$5:$J349,"Bajo stock")+COUNTIFS($J$5:$J349,"Sin stock"),""))</f>
        <v/>
      </c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s="13" customFormat="1" ht="21.75" customHeight="1" x14ac:dyDescent="0.25">
      <c r="A350" s="22" t="str">
        <f>IF(Productos!A350="","",Productos!A350)</f>
        <v/>
      </c>
      <c r="B350" s="22" t="str">
        <f>IF(Productos!A350="","",Productos!B350)</f>
        <v/>
      </c>
      <c r="C350" s="22" t="str">
        <f>IF(Productos!A350="","",Productos!C350)</f>
        <v/>
      </c>
      <c r="D350" s="22" t="str">
        <f>IF(Productos!A350="","",Productos!D350)</f>
        <v/>
      </c>
      <c r="E350" s="22" t="str">
        <f>IF(Productos!A350="","",Productos!E350)</f>
        <v/>
      </c>
      <c r="F350" s="22" t="str">
        <f>IF(Productos!A350="","",Productos!F350)</f>
        <v/>
      </c>
      <c r="G350" s="22" t="str">
        <f>IF(A350="","",SUMIF('Compras Entradas'!$C$5:$C$504,A350,'Compras Entradas'!$E$5:$E$504))</f>
        <v/>
      </c>
      <c r="H350" s="22" t="str">
        <f>IF(A350="","",SUMIF('Ventas Salidas'!$C$5:$C$504,A350,'Ventas Salidas'!$E$5:$E$504))</f>
        <v/>
      </c>
      <c r="I350" s="22" t="str">
        <f t="shared" si="18"/>
        <v/>
      </c>
      <c r="J350" s="22" t="str">
        <f t="shared" si="19"/>
        <v/>
      </c>
      <c r="K350" s="22" t="str">
        <f t="shared" si="20"/>
        <v/>
      </c>
      <c r="L350" s="22"/>
      <c r="M350" s="22" t="str">
        <f>IF(A350="","",IF(OR(J350="Bajo stock",J350="Sin stock"),COUNTIFS($J$5:$J350,"Bajo stock")+COUNTIFS($J$5:$J350,"Sin stock"),""))</f>
        <v/>
      </c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s="13" customFormat="1" ht="21.75" customHeight="1" x14ac:dyDescent="0.25">
      <c r="A351" s="22" t="str">
        <f>IF(Productos!A351="","",Productos!A351)</f>
        <v/>
      </c>
      <c r="B351" s="22" t="str">
        <f>IF(Productos!A351="","",Productos!B351)</f>
        <v/>
      </c>
      <c r="C351" s="22" t="str">
        <f>IF(Productos!A351="","",Productos!C351)</f>
        <v/>
      </c>
      <c r="D351" s="22" t="str">
        <f>IF(Productos!A351="","",Productos!D351)</f>
        <v/>
      </c>
      <c r="E351" s="22" t="str">
        <f>IF(Productos!A351="","",Productos!E351)</f>
        <v/>
      </c>
      <c r="F351" s="22" t="str">
        <f>IF(Productos!A351="","",Productos!F351)</f>
        <v/>
      </c>
      <c r="G351" s="22" t="str">
        <f>IF(A351="","",SUMIF('Compras Entradas'!$C$5:$C$504,A351,'Compras Entradas'!$E$5:$E$504))</f>
        <v/>
      </c>
      <c r="H351" s="22" t="str">
        <f>IF(A351="","",SUMIF('Ventas Salidas'!$C$5:$C$504,A351,'Ventas Salidas'!$E$5:$E$504))</f>
        <v/>
      </c>
      <c r="I351" s="22" t="str">
        <f t="shared" si="18"/>
        <v/>
      </c>
      <c r="J351" s="22" t="str">
        <f t="shared" si="19"/>
        <v/>
      </c>
      <c r="K351" s="22" t="str">
        <f t="shared" si="20"/>
        <v/>
      </c>
      <c r="L351" s="22"/>
      <c r="M351" s="22" t="str">
        <f>IF(A351="","",IF(OR(J351="Bajo stock",J351="Sin stock"),COUNTIFS($J$5:$J351,"Bajo stock")+COUNTIFS($J$5:$J351,"Sin stock"),""))</f>
        <v/>
      </c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s="13" customFormat="1" ht="21.75" customHeight="1" x14ac:dyDescent="0.25">
      <c r="A352" s="22" t="str">
        <f>IF(Productos!A352="","",Productos!A352)</f>
        <v/>
      </c>
      <c r="B352" s="22" t="str">
        <f>IF(Productos!A352="","",Productos!B352)</f>
        <v/>
      </c>
      <c r="C352" s="22" t="str">
        <f>IF(Productos!A352="","",Productos!C352)</f>
        <v/>
      </c>
      <c r="D352" s="22" t="str">
        <f>IF(Productos!A352="","",Productos!D352)</f>
        <v/>
      </c>
      <c r="E352" s="22" t="str">
        <f>IF(Productos!A352="","",Productos!E352)</f>
        <v/>
      </c>
      <c r="F352" s="22" t="str">
        <f>IF(Productos!A352="","",Productos!F352)</f>
        <v/>
      </c>
      <c r="G352" s="22" t="str">
        <f>IF(A352="","",SUMIF('Compras Entradas'!$C$5:$C$504,A352,'Compras Entradas'!$E$5:$E$504))</f>
        <v/>
      </c>
      <c r="H352" s="22" t="str">
        <f>IF(A352="","",SUMIF('Ventas Salidas'!$C$5:$C$504,A352,'Ventas Salidas'!$E$5:$E$504))</f>
        <v/>
      </c>
      <c r="I352" s="22" t="str">
        <f t="shared" si="18"/>
        <v/>
      </c>
      <c r="J352" s="22" t="str">
        <f t="shared" si="19"/>
        <v/>
      </c>
      <c r="K352" s="22" t="str">
        <f t="shared" si="20"/>
        <v/>
      </c>
      <c r="L352" s="22"/>
      <c r="M352" s="22" t="str">
        <f>IF(A352="","",IF(OR(J352="Bajo stock",J352="Sin stock"),COUNTIFS($J$5:$J352,"Bajo stock")+COUNTIFS($J$5:$J352,"Sin stock"),""))</f>
        <v/>
      </c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s="13" customFormat="1" ht="21.75" customHeight="1" x14ac:dyDescent="0.25">
      <c r="A353" s="22" t="str">
        <f>IF(Productos!A353="","",Productos!A353)</f>
        <v/>
      </c>
      <c r="B353" s="22" t="str">
        <f>IF(Productos!A353="","",Productos!B353)</f>
        <v/>
      </c>
      <c r="C353" s="22" t="str">
        <f>IF(Productos!A353="","",Productos!C353)</f>
        <v/>
      </c>
      <c r="D353" s="22" t="str">
        <f>IF(Productos!A353="","",Productos!D353)</f>
        <v/>
      </c>
      <c r="E353" s="22" t="str">
        <f>IF(Productos!A353="","",Productos!E353)</f>
        <v/>
      </c>
      <c r="F353" s="22" t="str">
        <f>IF(Productos!A353="","",Productos!F353)</f>
        <v/>
      </c>
      <c r="G353" s="22" t="str">
        <f>IF(A353="","",SUMIF('Compras Entradas'!$C$5:$C$504,A353,'Compras Entradas'!$E$5:$E$504))</f>
        <v/>
      </c>
      <c r="H353" s="22" t="str">
        <f>IF(A353="","",SUMIF('Ventas Salidas'!$C$5:$C$504,A353,'Ventas Salidas'!$E$5:$E$504))</f>
        <v/>
      </c>
      <c r="I353" s="22" t="str">
        <f t="shared" si="18"/>
        <v/>
      </c>
      <c r="J353" s="22" t="str">
        <f t="shared" si="19"/>
        <v/>
      </c>
      <c r="K353" s="22" t="str">
        <f t="shared" si="20"/>
        <v/>
      </c>
      <c r="L353" s="22"/>
      <c r="M353" s="22" t="str">
        <f>IF(A353="","",IF(OR(J353="Bajo stock",J353="Sin stock"),COUNTIFS($J$5:$J353,"Bajo stock")+COUNTIFS($J$5:$J353,"Sin stock"),""))</f>
        <v/>
      </c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s="13" customFormat="1" ht="21.75" customHeight="1" x14ac:dyDescent="0.25">
      <c r="A354" s="22" t="str">
        <f>IF(Productos!A354="","",Productos!A354)</f>
        <v/>
      </c>
      <c r="B354" s="22" t="str">
        <f>IF(Productos!A354="","",Productos!B354)</f>
        <v/>
      </c>
      <c r="C354" s="22" t="str">
        <f>IF(Productos!A354="","",Productos!C354)</f>
        <v/>
      </c>
      <c r="D354" s="22" t="str">
        <f>IF(Productos!A354="","",Productos!D354)</f>
        <v/>
      </c>
      <c r="E354" s="22" t="str">
        <f>IF(Productos!A354="","",Productos!E354)</f>
        <v/>
      </c>
      <c r="F354" s="22" t="str">
        <f>IF(Productos!A354="","",Productos!F354)</f>
        <v/>
      </c>
      <c r="G354" s="22" t="str">
        <f>IF(A354="","",SUMIF('Compras Entradas'!$C$5:$C$504,A354,'Compras Entradas'!$E$5:$E$504))</f>
        <v/>
      </c>
      <c r="H354" s="22" t="str">
        <f>IF(A354="","",SUMIF('Ventas Salidas'!$C$5:$C$504,A354,'Ventas Salidas'!$E$5:$E$504))</f>
        <v/>
      </c>
      <c r="I354" s="22" t="str">
        <f t="shared" si="18"/>
        <v/>
      </c>
      <c r="J354" s="22" t="str">
        <f t="shared" si="19"/>
        <v/>
      </c>
      <c r="K354" s="22" t="str">
        <f t="shared" si="20"/>
        <v/>
      </c>
      <c r="L354" s="22"/>
      <c r="M354" s="22" t="str">
        <f>IF(A354="","",IF(OR(J354="Bajo stock",J354="Sin stock"),COUNTIFS($J$5:$J354,"Bajo stock")+COUNTIFS($J$5:$J354,"Sin stock"),""))</f>
        <v/>
      </c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s="13" customFormat="1" ht="21.75" customHeight="1" x14ac:dyDescent="0.25">
      <c r="A355" s="22" t="str">
        <f>IF(Productos!A355="","",Productos!A355)</f>
        <v/>
      </c>
      <c r="B355" s="22" t="str">
        <f>IF(Productos!A355="","",Productos!B355)</f>
        <v/>
      </c>
      <c r="C355" s="22" t="str">
        <f>IF(Productos!A355="","",Productos!C355)</f>
        <v/>
      </c>
      <c r="D355" s="22" t="str">
        <f>IF(Productos!A355="","",Productos!D355)</f>
        <v/>
      </c>
      <c r="E355" s="22" t="str">
        <f>IF(Productos!A355="","",Productos!E355)</f>
        <v/>
      </c>
      <c r="F355" s="22" t="str">
        <f>IF(Productos!A355="","",Productos!F355)</f>
        <v/>
      </c>
      <c r="G355" s="22" t="str">
        <f>IF(A355="","",SUMIF('Compras Entradas'!$C$5:$C$504,A355,'Compras Entradas'!$E$5:$E$504))</f>
        <v/>
      </c>
      <c r="H355" s="22" t="str">
        <f>IF(A355="","",SUMIF('Ventas Salidas'!$C$5:$C$504,A355,'Ventas Salidas'!$E$5:$E$504))</f>
        <v/>
      </c>
      <c r="I355" s="22" t="str">
        <f t="shared" si="18"/>
        <v/>
      </c>
      <c r="J355" s="22" t="str">
        <f t="shared" si="19"/>
        <v/>
      </c>
      <c r="K355" s="22" t="str">
        <f t="shared" si="20"/>
        <v/>
      </c>
      <c r="L355" s="22"/>
      <c r="M355" s="22" t="str">
        <f>IF(A355="","",IF(OR(J355="Bajo stock",J355="Sin stock"),COUNTIFS($J$5:$J355,"Bajo stock")+COUNTIFS($J$5:$J355,"Sin stock"),""))</f>
        <v/>
      </c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s="13" customFormat="1" ht="21.75" customHeight="1" x14ac:dyDescent="0.25">
      <c r="A356" s="22" t="str">
        <f>IF(Productos!A356="","",Productos!A356)</f>
        <v/>
      </c>
      <c r="B356" s="22" t="str">
        <f>IF(Productos!A356="","",Productos!B356)</f>
        <v/>
      </c>
      <c r="C356" s="22" t="str">
        <f>IF(Productos!A356="","",Productos!C356)</f>
        <v/>
      </c>
      <c r="D356" s="22" t="str">
        <f>IF(Productos!A356="","",Productos!D356)</f>
        <v/>
      </c>
      <c r="E356" s="22" t="str">
        <f>IF(Productos!A356="","",Productos!E356)</f>
        <v/>
      </c>
      <c r="F356" s="22" t="str">
        <f>IF(Productos!A356="","",Productos!F356)</f>
        <v/>
      </c>
      <c r="G356" s="22" t="str">
        <f>IF(A356="","",SUMIF('Compras Entradas'!$C$5:$C$504,A356,'Compras Entradas'!$E$5:$E$504))</f>
        <v/>
      </c>
      <c r="H356" s="22" t="str">
        <f>IF(A356="","",SUMIF('Ventas Salidas'!$C$5:$C$504,A356,'Ventas Salidas'!$E$5:$E$504))</f>
        <v/>
      </c>
      <c r="I356" s="22" t="str">
        <f t="shared" si="18"/>
        <v/>
      </c>
      <c r="J356" s="22" t="str">
        <f t="shared" si="19"/>
        <v/>
      </c>
      <c r="K356" s="22" t="str">
        <f t="shared" si="20"/>
        <v/>
      </c>
      <c r="L356" s="22"/>
      <c r="M356" s="22" t="str">
        <f>IF(A356="","",IF(OR(J356="Bajo stock",J356="Sin stock"),COUNTIFS($J$5:$J356,"Bajo stock")+COUNTIFS($J$5:$J356,"Sin stock"),""))</f>
        <v/>
      </c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s="13" customFormat="1" ht="21.75" customHeight="1" x14ac:dyDescent="0.25">
      <c r="A357" s="22" t="str">
        <f>IF(Productos!A357="","",Productos!A357)</f>
        <v/>
      </c>
      <c r="B357" s="22" t="str">
        <f>IF(Productos!A357="","",Productos!B357)</f>
        <v/>
      </c>
      <c r="C357" s="22" t="str">
        <f>IF(Productos!A357="","",Productos!C357)</f>
        <v/>
      </c>
      <c r="D357" s="22" t="str">
        <f>IF(Productos!A357="","",Productos!D357)</f>
        <v/>
      </c>
      <c r="E357" s="22" t="str">
        <f>IF(Productos!A357="","",Productos!E357)</f>
        <v/>
      </c>
      <c r="F357" s="22" t="str">
        <f>IF(Productos!A357="","",Productos!F357)</f>
        <v/>
      </c>
      <c r="G357" s="22" t="str">
        <f>IF(A357="","",SUMIF('Compras Entradas'!$C$5:$C$504,A357,'Compras Entradas'!$E$5:$E$504))</f>
        <v/>
      </c>
      <c r="H357" s="22" t="str">
        <f>IF(A357="","",SUMIF('Ventas Salidas'!$C$5:$C$504,A357,'Ventas Salidas'!$E$5:$E$504))</f>
        <v/>
      </c>
      <c r="I357" s="22" t="str">
        <f t="shared" si="18"/>
        <v/>
      </c>
      <c r="J357" s="22" t="str">
        <f t="shared" si="19"/>
        <v/>
      </c>
      <c r="K357" s="22" t="str">
        <f t="shared" si="20"/>
        <v/>
      </c>
      <c r="L357" s="22"/>
      <c r="M357" s="22" t="str">
        <f>IF(A357="","",IF(OR(J357="Bajo stock",J357="Sin stock"),COUNTIFS($J$5:$J357,"Bajo stock")+COUNTIFS($J$5:$J357,"Sin stock"),""))</f>
        <v/>
      </c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s="13" customFormat="1" ht="21.75" customHeight="1" x14ac:dyDescent="0.25">
      <c r="A358" s="22" t="str">
        <f>IF(Productos!A358="","",Productos!A358)</f>
        <v/>
      </c>
      <c r="B358" s="22" t="str">
        <f>IF(Productos!A358="","",Productos!B358)</f>
        <v/>
      </c>
      <c r="C358" s="22" t="str">
        <f>IF(Productos!A358="","",Productos!C358)</f>
        <v/>
      </c>
      <c r="D358" s="22" t="str">
        <f>IF(Productos!A358="","",Productos!D358)</f>
        <v/>
      </c>
      <c r="E358" s="22" t="str">
        <f>IF(Productos!A358="","",Productos!E358)</f>
        <v/>
      </c>
      <c r="F358" s="22" t="str">
        <f>IF(Productos!A358="","",Productos!F358)</f>
        <v/>
      </c>
      <c r="G358" s="22" t="str">
        <f>IF(A358="","",SUMIF('Compras Entradas'!$C$5:$C$504,A358,'Compras Entradas'!$E$5:$E$504))</f>
        <v/>
      </c>
      <c r="H358" s="22" t="str">
        <f>IF(A358="","",SUMIF('Ventas Salidas'!$C$5:$C$504,A358,'Ventas Salidas'!$E$5:$E$504))</f>
        <v/>
      </c>
      <c r="I358" s="22" t="str">
        <f t="shared" si="18"/>
        <v/>
      </c>
      <c r="J358" s="22" t="str">
        <f t="shared" si="19"/>
        <v/>
      </c>
      <c r="K358" s="22" t="str">
        <f t="shared" si="20"/>
        <v/>
      </c>
      <c r="L358" s="22"/>
      <c r="M358" s="22" t="str">
        <f>IF(A358="","",IF(OR(J358="Bajo stock",J358="Sin stock"),COUNTIFS($J$5:$J358,"Bajo stock")+COUNTIFS($J$5:$J358,"Sin stock"),""))</f>
        <v/>
      </c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s="13" customFormat="1" ht="21.75" customHeight="1" x14ac:dyDescent="0.25">
      <c r="A359" s="22" t="str">
        <f>IF(Productos!A359="","",Productos!A359)</f>
        <v/>
      </c>
      <c r="B359" s="22" t="str">
        <f>IF(Productos!A359="","",Productos!B359)</f>
        <v/>
      </c>
      <c r="C359" s="22" t="str">
        <f>IF(Productos!A359="","",Productos!C359)</f>
        <v/>
      </c>
      <c r="D359" s="22" t="str">
        <f>IF(Productos!A359="","",Productos!D359)</f>
        <v/>
      </c>
      <c r="E359" s="22" t="str">
        <f>IF(Productos!A359="","",Productos!E359)</f>
        <v/>
      </c>
      <c r="F359" s="22" t="str">
        <f>IF(Productos!A359="","",Productos!F359)</f>
        <v/>
      </c>
      <c r="G359" s="22" t="str">
        <f>IF(A359="","",SUMIF('Compras Entradas'!$C$5:$C$504,A359,'Compras Entradas'!$E$5:$E$504))</f>
        <v/>
      </c>
      <c r="H359" s="22" t="str">
        <f>IF(A359="","",SUMIF('Ventas Salidas'!$C$5:$C$504,A359,'Ventas Salidas'!$E$5:$E$504))</f>
        <v/>
      </c>
      <c r="I359" s="22" t="str">
        <f t="shared" si="18"/>
        <v/>
      </c>
      <c r="J359" s="22" t="str">
        <f t="shared" si="19"/>
        <v/>
      </c>
      <c r="K359" s="22" t="str">
        <f t="shared" si="20"/>
        <v/>
      </c>
      <c r="L359" s="22"/>
      <c r="M359" s="22" t="str">
        <f>IF(A359="","",IF(OR(J359="Bajo stock",J359="Sin stock"),COUNTIFS($J$5:$J359,"Bajo stock")+COUNTIFS($J$5:$J359,"Sin stock"),""))</f>
        <v/>
      </c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s="13" customFormat="1" ht="21.75" customHeight="1" x14ac:dyDescent="0.25">
      <c r="A360" s="22" t="str">
        <f>IF(Productos!A360="","",Productos!A360)</f>
        <v/>
      </c>
      <c r="B360" s="22" t="str">
        <f>IF(Productos!A360="","",Productos!B360)</f>
        <v/>
      </c>
      <c r="C360" s="22" t="str">
        <f>IF(Productos!A360="","",Productos!C360)</f>
        <v/>
      </c>
      <c r="D360" s="22" t="str">
        <f>IF(Productos!A360="","",Productos!D360)</f>
        <v/>
      </c>
      <c r="E360" s="22" t="str">
        <f>IF(Productos!A360="","",Productos!E360)</f>
        <v/>
      </c>
      <c r="F360" s="22" t="str">
        <f>IF(Productos!A360="","",Productos!F360)</f>
        <v/>
      </c>
      <c r="G360" s="22" t="str">
        <f>IF(A360="","",SUMIF('Compras Entradas'!$C$5:$C$504,A360,'Compras Entradas'!$E$5:$E$504))</f>
        <v/>
      </c>
      <c r="H360" s="22" t="str">
        <f>IF(A360="","",SUMIF('Ventas Salidas'!$C$5:$C$504,A360,'Ventas Salidas'!$E$5:$E$504))</f>
        <v/>
      </c>
      <c r="I360" s="22" t="str">
        <f t="shared" si="18"/>
        <v/>
      </c>
      <c r="J360" s="22" t="str">
        <f t="shared" si="19"/>
        <v/>
      </c>
      <c r="K360" s="22" t="str">
        <f t="shared" si="20"/>
        <v/>
      </c>
      <c r="L360" s="22"/>
      <c r="M360" s="22" t="str">
        <f>IF(A360="","",IF(OR(J360="Bajo stock",J360="Sin stock"),COUNTIFS($J$5:$J360,"Bajo stock")+COUNTIFS($J$5:$J360,"Sin stock"),""))</f>
        <v/>
      </c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s="13" customFormat="1" ht="21.75" customHeight="1" x14ac:dyDescent="0.25">
      <c r="A361" s="22" t="str">
        <f>IF(Productos!A361="","",Productos!A361)</f>
        <v/>
      </c>
      <c r="B361" s="22" t="str">
        <f>IF(Productos!A361="","",Productos!B361)</f>
        <v/>
      </c>
      <c r="C361" s="22" t="str">
        <f>IF(Productos!A361="","",Productos!C361)</f>
        <v/>
      </c>
      <c r="D361" s="22" t="str">
        <f>IF(Productos!A361="","",Productos!D361)</f>
        <v/>
      </c>
      <c r="E361" s="22" t="str">
        <f>IF(Productos!A361="","",Productos!E361)</f>
        <v/>
      </c>
      <c r="F361" s="22" t="str">
        <f>IF(Productos!A361="","",Productos!F361)</f>
        <v/>
      </c>
      <c r="G361" s="22" t="str">
        <f>IF(A361="","",SUMIF('Compras Entradas'!$C$5:$C$504,A361,'Compras Entradas'!$E$5:$E$504))</f>
        <v/>
      </c>
      <c r="H361" s="22" t="str">
        <f>IF(A361="","",SUMIF('Ventas Salidas'!$C$5:$C$504,A361,'Ventas Salidas'!$E$5:$E$504))</f>
        <v/>
      </c>
      <c r="I361" s="22" t="str">
        <f t="shared" si="18"/>
        <v/>
      </c>
      <c r="J361" s="22" t="str">
        <f t="shared" si="19"/>
        <v/>
      </c>
      <c r="K361" s="22" t="str">
        <f t="shared" si="20"/>
        <v/>
      </c>
      <c r="L361" s="22"/>
      <c r="M361" s="22" t="str">
        <f>IF(A361="","",IF(OR(J361="Bajo stock",J361="Sin stock"),COUNTIFS($J$5:$J361,"Bajo stock")+COUNTIFS($J$5:$J361,"Sin stock"),""))</f>
        <v/>
      </c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s="13" customFormat="1" ht="21.75" customHeight="1" x14ac:dyDescent="0.25">
      <c r="A362" s="22" t="str">
        <f>IF(Productos!A362="","",Productos!A362)</f>
        <v/>
      </c>
      <c r="B362" s="22" t="str">
        <f>IF(Productos!A362="","",Productos!B362)</f>
        <v/>
      </c>
      <c r="C362" s="22" t="str">
        <f>IF(Productos!A362="","",Productos!C362)</f>
        <v/>
      </c>
      <c r="D362" s="22" t="str">
        <f>IF(Productos!A362="","",Productos!D362)</f>
        <v/>
      </c>
      <c r="E362" s="22" t="str">
        <f>IF(Productos!A362="","",Productos!E362)</f>
        <v/>
      </c>
      <c r="F362" s="22" t="str">
        <f>IF(Productos!A362="","",Productos!F362)</f>
        <v/>
      </c>
      <c r="G362" s="22" t="str">
        <f>IF(A362="","",SUMIF('Compras Entradas'!$C$5:$C$504,A362,'Compras Entradas'!$E$5:$E$504))</f>
        <v/>
      </c>
      <c r="H362" s="22" t="str">
        <f>IF(A362="","",SUMIF('Ventas Salidas'!$C$5:$C$504,A362,'Ventas Salidas'!$E$5:$E$504))</f>
        <v/>
      </c>
      <c r="I362" s="22" t="str">
        <f t="shared" si="18"/>
        <v/>
      </c>
      <c r="J362" s="22" t="str">
        <f t="shared" si="19"/>
        <v/>
      </c>
      <c r="K362" s="22" t="str">
        <f t="shared" si="20"/>
        <v/>
      </c>
      <c r="L362" s="22"/>
      <c r="M362" s="22" t="str">
        <f>IF(A362="","",IF(OR(J362="Bajo stock",J362="Sin stock"),COUNTIFS($J$5:$J362,"Bajo stock")+COUNTIFS($J$5:$J362,"Sin stock"),""))</f>
        <v/>
      </c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s="13" customFormat="1" ht="21.75" customHeight="1" x14ac:dyDescent="0.25">
      <c r="A363" s="22" t="str">
        <f>IF(Productos!A363="","",Productos!A363)</f>
        <v/>
      </c>
      <c r="B363" s="22" t="str">
        <f>IF(Productos!A363="","",Productos!B363)</f>
        <v/>
      </c>
      <c r="C363" s="22" t="str">
        <f>IF(Productos!A363="","",Productos!C363)</f>
        <v/>
      </c>
      <c r="D363" s="22" t="str">
        <f>IF(Productos!A363="","",Productos!D363)</f>
        <v/>
      </c>
      <c r="E363" s="22" t="str">
        <f>IF(Productos!A363="","",Productos!E363)</f>
        <v/>
      </c>
      <c r="F363" s="22" t="str">
        <f>IF(Productos!A363="","",Productos!F363)</f>
        <v/>
      </c>
      <c r="G363" s="22" t="str">
        <f>IF(A363="","",SUMIF('Compras Entradas'!$C$5:$C$504,A363,'Compras Entradas'!$E$5:$E$504))</f>
        <v/>
      </c>
      <c r="H363" s="22" t="str">
        <f>IF(A363="","",SUMIF('Ventas Salidas'!$C$5:$C$504,A363,'Ventas Salidas'!$E$5:$E$504))</f>
        <v/>
      </c>
      <c r="I363" s="22" t="str">
        <f t="shared" si="18"/>
        <v/>
      </c>
      <c r="J363" s="22" t="str">
        <f t="shared" si="19"/>
        <v/>
      </c>
      <c r="K363" s="22" t="str">
        <f t="shared" si="20"/>
        <v/>
      </c>
      <c r="L363" s="22"/>
      <c r="M363" s="22" t="str">
        <f>IF(A363="","",IF(OR(J363="Bajo stock",J363="Sin stock"),COUNTIFS($J$5:$J363,"Bajo stock")+COUNTIFS($J$5:$J363,"Sin stock"),""))</f>
        <v/>
      </c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s="13" customFormat="1" ht="21.75" customHeight="1" x14ac:dyDescent="0.25">
      <c r="A364" s="22" t="str">
        <f>IF(Productos!A364="","",Productos!A364)</f>
        <v/>
      </c>
      <c r="B364" s="22" t="str">
        <f>IF(Productos!A364="","",Productos!B364)</f>
        <v/>
      </c>
      <c r="C364" s="22" t="str">
        <f>IF(Productos!A364="","",Productos!C364)</f>
        <v/>
      </c>
      <c r="D364" s="22" t="str">
        <f>IF(Productos!A364="","",Productos!D364)</f>
        <v/>
      </c>
      <c r="E364" s="22" t="str">
        <f>IF(Productos!A364="","",Productos!E364)</f>
        <v/>
      </c>
      <c r="F364" s="22" t="str">
        <f>IF(Productos!A364="","",Productos!F364)</f>
        <v/>
      </c>
      <c r="G364" s="22" t="str">
        <f>IF(A364="","",SUMIF('Compras Entradas'!$C$5:$C$504,A364,'Compras Entradas'!$E$5:$E$504))</f>
        <v/>
      </c>
      <c r="H364" s="22" t="str">
        <f>IF(A364="","",SUMIF('Ventas Salidas'!$C$5:$C$504,A364,'Ventas Salidas'!$E$5:$E$504))</f>
        <v/>
      </c>
      <c r="I364" s="22" t="str">
        <f t="shared" si="18"/>
        <v/>
      </c>
      <c r="J364" s="22" t="str">
        <f t="shared" si="19"/>
        <v/>
      </c>
      <c r="K364" s="22" t="str">
        <f t="shared" si="20"/>
        <v/>
      </c>
      <c r="L364" s="22"/>
      <c r="M364" s="22" t="str">
        <f>IF(A364="","",IF(OR(J364="Bajo stock",J364="Sin stock"),COUNTIFS($J$5:$J364,"Bajo stock")+COUNTIFS($J$5:$J364,"Sin stock"),""))</f>
        <v/>
      </c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s="13" customFormat="1" ht="21.75" customHeight="1" x14ac:dyDescent="0.25">
      <c r="A365" s="22" t="str">
        <f>IF(Productos!A365="","",Productos!A365)</f>
        <v/>
      </c>
      <c r="B365" s="22" t="str">
        <f>IF(Productos!A365="","",Productos!B365)</f>
        <v/>
      </c>
      <c r="C365" s="22" t="str">
        <f>IF(Productos!A365="","",Productos!C365)</f>
        <v/>
      </c>
      <c r="D365" s="22" t="str">
        <f>IF(Productos!A365="","",Productos!D365)</f>
        <v/>
      </c>
      <c r="E365" s="22" t="str">
        <f>IF(Productos!A365="","",Productos!E365)</f>
        <v/>
      </c>
      <c r="F365" s="22" t="str">
        <f>IF(Productos!A365="","",Productos!F365)</f>
        <v/>
      </c>
      <c r="G365" s="22" t="str">
        <f>IF(A365="","",SUMIF('Compras Entradas'!$C$5:$C$504,A365,'Compras Entradas'!$E$5:$E$504))</f>
        <v/>
      </c>
      <c r="H365" s="22" t="str">
        <f>IF(A365="","",SUMIF('Ventas Salidas'!$C$5:$C$504,A365,'Ventas Salidas'!$E$5:$E$504))</f>
        <v/>
      </c>
      <c r="I365" s="22" t="str">
        <f t="shared" si="18"/>
        <v/>
      </c>
      <c r="J365" s="22" t="str">
        <f t="shared" si="19"/>
        <v/>
      </c>
      <c r="K365" s="22" t="str">
        <f t="shared" si="20"/>
        <v/>
      </c>
      <c r="L365" s="22"/>
      <c r="M365" s="22" t="str">
        <f>IF(A365="","",IF(OR(J365="Bajo stock",J365="Sin stock"),COUNTIFS($J$5:$J365,"Bajo stock")+COUNTIFS($J$5:$J365,"Sin stock"),""))</f>
        <v/>
      </c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s="13" customFormat="1" ht="21.75" customHeight="1" x14ac:dyDescent="0.25">
      <c r="A366" s="22" t="str">
        <f>IF(Productos!A366="","",Productos!A366)</f>
        <v/>
      </c>
      <c r="B366" s="22" t="str">
        <f>IF(Productos!A366="","",Productos!B366)</f>
        <v/>
      </c>
      <c r="C366" s="22" t="str">
        <f>IF(Productos!A366="","",Productos!C366)</f>
        <v/>
      </c>
      <c r="D366" s="22" t="str">
        <f>IF(Productos!A366="","",Productos!D366)</f>
        <v/>
      </c>
      <c r="E366" s="22" t="str">
        <f>IF(Productos!A366="","",Productos!E366)</f>
        <v/>
      </c>
      <c r="F366" s="22" t="str">
        <f>IF(Productos!A366="","",Productos!F366)</f>
        <v/>
      </c>
      <c r="G366" s="22" t="str">
        <f>IF(A366="","",SUMIF('Compras Entradas'!$C$5:$C$504,A366,'Compras Entradas'!$E$5:$E$504))</f>
        <v/>
      </c>
      <c r="H366" s="22" t="str">
        <f>IF(A366="","",SUMIF('Ventas Salidas'!$C$5:$C$504,A366,'Ventas Salidas'!$E$5:$E$504))</f>
        <v/>
      </c>
      <c r="I366" s="22" t="str">
        <f t="shared" si="18"/>
        <v/>
      </c>
      <c r="J366" s="22" t="str">
        <f t="shared" si="19"/>
        <v/>
      </c>
      <c r="K366" s="22" t="str">
        <f t="shared" si="20"/>
        <v/>
      </c>
      <c r="L366" s="22"/>
      <c r="M366" s="22" t="str">
        <f>IF(A366="","",IF(OR(J366="Bajo stock",J366="Sin stock"),COUNTIFS($J$5:$J366,"Bajo stock")+COUNTIFS($J$5:$J366,"Sin stock"),""))</f>
        <v/>
      </c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s="13" customFormat="1" ht="21.75" customHeight="1" x14ac:dyDescent="0.25">
      <c r="A367" s="22" t="str">
        <f>IF(Productos!A367="","",Productos!A367)</f>
        <v/>
      </c>
      <c r="B367" s="22" t="str">
        <f>IF(Productos!A367="","",Productos!B367)</f>
        <v/>
      </c>
      <c r="C367" s="22" t="str">
        <f>IF(Productos!A367="","",Productos!C367)</f>
        <v/>
      </c>
      <c r="D367" s="22" t="str">
        <f>IF(Productos!A367="","",Productos!D367)</f>
        <v/>
      </c>
      <c r="E367" s="22" t="str">
        <f>IF(Productos!A367="","",Productos!E367)</f>
        <v/>
      </c>
      <c r="F367" s="22" t="str">
        <f>IF(Productos!A367="","",Productos!F367)</f>
        <v/>
      </c>
      <c r="G367" s="22" t="str">
        <f>IF(A367="","",SUMIF('Compras Entradas'!$C$5:$C$504,A367,'Compras Entradas'!$E$5:$E$504))</f>
        <v/>
      </c>
      <c r="H367" s="22" t="str">
        <f>IF(A367="","",SUMIF('Ventas Salidas'!$C$5:$C$504,A367,'Ventas Salidas'!$E$5:$E$504))</f>
        <v/>
      </c>
      <c r="I367" s="22" t="str">
        <f t="shared" si="18"/>
        <v/>
      </c>
      <c r="J367" s="22" t="str">
        <f t="shared" si="19"/>
        <v/>
      </c>
      <c r="K367" s="22" t="str">
        <f t="shared" si="20"/>
        <v/>
      </c>
      <c r="L367" s="22"/>
      <c r="M367" s="22" t="str">
        <f>IF(A367="","",IF(OR(J367="Bajo stock",J367="Sin stock"),COUNTIFS($J$5:$J367,"Bajo stock")+COUNTIFS($J$5:$J367,"Sin stock"),""))</f>
        <v/>
      </c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s="13" customFormat="1" ht="21.75" customHeight="1" x14ac:dyDescent="0.25">
      <c r="A368" s="22" t="str">
        <f>IF(Productos!A368="","",Productos!A368)</f>
        <v/>
      </c>
      <c r="B368" s="22" t="str">
        <f>IF(Productos!A368="","",Productos!B368)</f>
        <v/>
      </c>
      <c r="C368" s="22" t="str">
        <f>IF(Productos!A368="","",Productos!C368)</f>
        <v/>
      </c>
      <c r="D368" s="22" t="str">
        <f>IF(Productos!A368="","",Productos!D368)</f>
        <v/>
      </c>
      <c r="E368" s="22" t="str">
        <f>IF(Productos!A368="","",Productos!E368)</f>
        <v/>
      </c>
      <c r="F368" s="22" t="str">
        <f>IF(Productos!A368="","",Productos!F368)</f>
        <v/>
      </c>
      <c r="G368" s="22" t="str">
        <f>IF(A368="","",SUMIF('Compras Entradas'!$C$5:$C$504,A368,'Compras Entradas'!$E$5:$E$504))</f>
        <v/>
      </c>
      <c r="H368" s="22" t="str">
        <f>IF(A368="","",SUMIF('Ventas Salidas'!$C$5:$C$504,A368,'Ventas Salidas'!$E$5:$E$504))</f>
        <v/>
      </c>
      <c r="I368" s="22" t="str">
        <f t="shared" si="18"/>
        <v/>
      </c>
      <c r="J368" s="22" t="str">
        <f t="shared" si="19"/>
        <v/>
      </c>
      <c r="K368" s="22" t="str">
        <f t="shared" si="20"/>
        <v/>
      </c>
      <c r="L368" s="22"/>
      <c r="M368" s="22" t="str">
        <f>IF(A368="","",IF(OR(J368="Bajo stock",J368="Sin stock"),COUNTIFS($J$5:$J368,"Bajo stock")+COUNTIFS($J$5:$J368,"Sin stock"),""))</f>
        <v/>
      </c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s="13" customFormat="1" ht="21.75" customHeight="1" x14ac:dyDescent="0.25">
      <c r="A369" s="22" t="str">
        <f>IF(Productos!A369="","",Productos!A369)</f>
        <v/>
      </c>
      <c r="B369" s="22" t="str">
        <f>IF(Productos!A369="","",Productos!B369)</f>
        <v/>
      </c>
      <c r="C369" s="22" t="str">
        <f>IF(Productos!A369="","",Productos!C369)</f>
        <v/>
      </c>
      <c r="D369" s="22" t="str">
        <f>IF(Productos!A369="","",Productos!D369)</f>
        <v/>
      </c>
      <c r="E369" s="22" t="str">
        <f>IF(Productos!A369="","",Productos!E369)</f>
        <v/>
      </c>
      <c r="F369" s="22" t="str">
        <f>IF(Productos!A369="","",Productos!F369)</f>
        <v/>
      </c>
      <c r="G369" s="22" t="str">
        <f>IF(A369="","",SUMIF('Compras Entradas'!$C$5:$C$504,A369,'Compras Entradas'!$E$5:$E$504))</f>
        <v/>
      </c>
      <c r="H369" s="22" t="str">
        <f>IF(A369="","",SUMIF('Ventas Salidas'!$C$5:$C$504,A369,'Ventas Salidas'!$E$5:$E$504))</f>
        <v/>
      </c>
      <c r="I369" s="22" t="str">
        <f t="shared" si="18"/>
        <v/>
      </c>
      <c r="J369" s="22" t="str">
        <f t="shared" si="19"/>
        <v/>
      </c>
      <c r="K369" s="22" t="str">
        <f t="shared" si="20"/>
        <v/>
      </c>
      <c r="L369" s="22"/>
      <c r="M369" s="22" t="str">
        <f>IF(A369="","",IF(OR(J369="Bajo stock",J369="Sin stock"),COUNTIFS($J$5:$J369,"Bajo stock")+COUNTIFS($J$5:$J369,"Sin stock"),""))</f>
        <v/>
      </c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s="13" customFormat="1" ht="21.75" customHeight="1" x14ac:dyDescent="0.25">
      <c r="A370" s="22" t="str">
        <f>IF(Productos!A370="","",Productos!A370)</f>
        <v/>
      </c>
      <c r="B370" s="22" t="str">
        <f>IF(Productos!A370="","",Productos!B370)</f>
        <v/>
      </c>
      <c r="C370" s="22" t="str">
        <f>IF(Productos!A370="","",Productos!C370)</f>
        <v/>
      </c>
      <c r="D370" s="22" t="str">
        <f>IF(Productos!A370="","",Productos!D370)</f>
        <v/>
      </c>
      <c r="E370" s="22" t="str">
        <f>IF(Productos!A370="","",Productos!E370)</f>
        <v/>
      </c>
      <c r="F370" s="22" t="str">
        <f>IF(Productos!A370="","",Productos!F370)</f>
        <v/>
      </c>
      <c r="G370" s="22" t="str">
        <f>IF(A370="","",SUMIF('Compras Entradas'!$C$5:$C$504,A370,'Compras Entradas'!$E$5:$E$504))</f>
        <v/>
      </c>
      <c r="H370" s="22" t="str">
        <f>IF(A370="","",SUMIF('Ventas Salidas'!$C$5:$C$504,A370,'Ventas Salidas'!$E$5:$E$504))</f>
        <v/>
      </c>
      <c r="I370" s="22" t="str">
        <f t="shared" si="18"/>
        <v/>
      </c>
      <c r="J370" s="22" t="str">
        <f t="shared" si="19"/>
        <v/>
      </c>
      <c r="K370" s="22" t="str">
        <f t="shared" si="20"/>
        <v/>
      </c>
      <c r="L370" s="22"/>
      <c r="M370" s="22" t="str">
        <f>IF(A370="","",IF(OR(J370="Bajo stock",J370="Sin stock"),COUNTIFS($J$5:$J370,"Bajo stock")+COUNTIFS($J$5:$J370,"Sin stock"),""))</f>
        <v/>
      </c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s="13" customFormat="1" ht="21.75" customHeight="1" x14ac:dyDescent="0.25">
      <c r="A371" s="22" t="str">
        <f>IF(Productos!A371="","",Productos!A371)</f>
        <v/>
      </c>
      <c r="B371" s="22" t="str">
        <f>IF(Productos!A371="","",Productos!B371)</f>
        <v/>
      </c>
      <c r="C371" s="22" t="str">
        <f>IF(Productos!A371="","",Productos!C371)</f>
        <v/>
      </c>
      <c r="D371" s="22" t="str">
        <f>IF(Productos!A371="","",Productos!D371)</f>
        <v/>
      </c>
      <c r="E371" s="22" t="str">
        <f>IF(Productos!A371="","",Productos!E371)</f>
        <v/>
      </c>
      <c r="F371" s="22" t="str">
        <f>IF(Productos!A371="","",Productos!F371)</f>
        <v/>
      </c>
      <c r="G371" s="22" t="str">
        <f>IF(A371="","",SUMIF('Compras Entradas'!$C$5:$C$504,A371,'Compras Entradas'!$E$5:$E$504))</f>
        <v/>
      </c>
      <c r="H371" s="22" t="str">
        <f>IF(A371="","",SUMIF('Ventas Salidas'!$C$5:$C$504,A371,'Ventas Salidas'!$E$5:$E$504))</f>
        <v/>
      </c>
      <c r="I371" s="22" t="str">
        <f t="shared" si="18"/>
        <v/>
      </c>
      <c r="J371" s="22" t="str">
        <f t="shared" si="19"/>
        <v/>
      </c>
      <c r="K371" s="22" t="str">
        <f t="shared" si="20"/>
        <v/>
      </c>
      <c r="L371" s="22"/>
      <c r="M371" s="22" t="str">
        <f>IF(A371="","",IF(OR(J371="Bajo stock",J371="Sin stock"),COUNTIFS($J$5:$J371,"Bajo stock")+COUNTIFS($J$5:$J371,"Sin stock"),""))</f>
        <v/>
      </c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s="13" customFormat="1" ht="21.75" customHeight="1" x14ac:dyDescent="0.25">
      <c r="A372" s="22" t="str">
        <f>IF(Productos!A372="","",Productos!A372)</f>
        <v/>
      </c>
      <c r="B372" s="22" t="str">
        <f>IF(Productos!A372="","",Productos!B372)</f>
        <v/>
      </c>
      <c r="C372" s="22" t="str">
        <f>IF(Productos!A372="","",Productos!C372)</f>
        <v/>
      </c>
      <c r="D372" s="22" t="str">
        <f>IF(Productos!A372="","",Productos!D372)</f>
        <v/>
      </c>
      <c r="E372" s="22" t="str">
        <f>IF(Productos!A372="","",Productos!E372)</f>
        <v/>
      </c>
      <c r="F372" s="22" t="str">
        <f>IF(Productos!A372="","",Productos!F372)</f>
        <v/>
      </c>
      <c r="G372" s="22" t="str">
        <f>IF(A372="","",SUMIF('Compras Entradas'!$C$5:$C$504,A372,'Compras Entradas'!$E$5:$E$504))</f>
        <v/>
      </c>
      <c r="H372" s="22" t="str">
        <f>IF(A372="","",SUMIF('Ventas Salidas'!$C$5:$C$504,A372,'Ventas Salidas'!$E$5:$E$504))</f>
        <v/>
      </c>
      <c r="I372" s="22" t="str">
        <f t="shared" si="18"/>
        <v/>
      </c>
      <c r="J372" s="22" t="str">
        <f t="shared" si="19"/>
        <v/>
      </c>
      <c r="K372" s="22" t="str">
        <f t="shared" si="20"/>
        <v/>
      </c>
      <c r="L372" s="22"/>
      <c r="M372" s="22" t="str">
        <f>IF(A372="","",IF(OR(J372="Bajo stock",J372="Sin stock"),COUNTIFS($J$5:$J372,"Bajo stock")+COUNTIFS($J$5:$J372,"Sin stock"),""))</f>
        <v/>
      </c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s="13" customFormat="1" ht="21.75" customHeight="1" x14ac:dyDescent="0.25">
      <c r="A373" s="22" t="str">
        <f>IF(Productos!A373="","",Productos!A373)</f>
        <v/>
      </c>
      <c r="B373" s="22" t="str">
        <f>IF(Productos!A373="","",Productos!B373)</f>
        <v/>
      </c>
      <c r="C373" s="22" t="str">
        <f>IF(Productos!A373="","",Productos!C373)</f>
        <v/>
      </c>
      <c r="D373" s="22" t="str">
        <f>IF(Productos!A373="","",Productos!D373)</f>
        <v/>
      </c>
      <c r="E373" s="22" t="str">
        <f>IF(Productos!A373="","",Productos!E373)</f>
        <v/>
      </c>
      <c r="F373" s="22" t="str">
        <f>IF(Productos!A373="","",Productos!F373)</f>
        <v/>
      </c>
      <c r="G373" s="22" t="str">
        <f>IF(A373="","",SUMIF('Compras Entradas'!$C$5:$C$504,A373,'Compras Entradas'!$E$5:$E$504))</f>
        <v/>
      </c>
      <c r="H373" s="22" t="str">
        <f>IF(A373="","",SUMIF('Ventas Salidas'!$C$5:$C$504,A373,'Ventas Salidas'!$E$5:$E$504))</f>
        <v/>
      </c>
      <c r="I373" s="22" t="str">
        <f t="shared" si="18"/>
        <v/>
      </c>
      <c r="J373" s="22" t="str">
        <f t="shared" si="19"/>
        <v/>
      </c>
      <c r="K373" s="22" t="str">
        <f t="shared" si="20"/>
        <v/>
      </c>
      <c r="L373" s="22"/>
      <c r="M373" s="22" t="str">
        <f>IF(A373="","",IF(OR(J373="Bajo stock",J373="Sin stock"),COUNTIFS($J$5:$J373,"Bajo stock")+COUNTIFS($J$5:$J373,"Sin stock"),""))</f>
        <v/>
      </c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s="13" customFormat="1" ht="21.75" customHeight="1" x14ac:dyDescent="0.25">
      <c r="A374" s="22" t="str">
        <f>IF(Productos!A374="","",Productos!A374)</f>
        <v/>
      </c>
      <c r="B374" s="22" t="str">
        <f>IF(Productos!A374="","",Productos!B374)</f>
        <v/>
      </c>
      <c r="C374" s="22" t="str">
        <f>IF(Productos!A374="","",Productos!C374)</f>
        <v/>
      </c>
      <c r="D374" s="22" t="str">
        <f>IF(Productos!A374="","",Productos!D374)</f>
        <v/>
      </c>
      <c r="E374" s="22" t="str">
        <f>IF(Productos!A374="","",Productos!E374)</f>
        <v/>
      </c>
      <c r="F374" s="22" t="str">
        <f>IF(Productos!A374="","",Productos!F374)</f>
        <v/>
      </c>
      <c r="G374" s="22" t="str">
        <f>IF(A374="","",SUMIF('Compras Entradas'!$C$5:$C$504,A374,'Compras Entradas'!$E$5:$E$504))</f>
        <v/>
      </c>
      <c r="H374" s="22" t="str">
        <f>IF(A374="","",SUMIF('Ventas Salidas'!$C$5:$C$504,A374,'Ventas Salidas'!$E$5:$E$504))</f>
        <v/>
      </c>
      <c r="I374" s="22" t="str">
        <f t="shared" si="18"/>
        <v/>
      </c>
      <c r="J374" s="22" t="str">
        <f t="shared" si="19"/>
        <v/>
      </c>
      <c r="K374" s="22" t="str">
        <f t="shared" si="20"/>
        <v/>
      </c>
      <c r="L374" s="22"/>
      <c r="M374" s="22" t="str">
        <f>IF(A374="","",IF(OR(J374="Bajo stock",J374="Sin stock"),COUNTIFS($J$5:$J374,"Bajo stock")+COUNTIFS($J$5:$J374,"Sin stock"),""))</f>
        <v/>
      </c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s="13" customFormat="1" ht="21.75" customHeight="1" x14ac:dyDescent="0.25">
      <c r="A375" s="22" t="str">
        <f>IF(Productos!A375="","",Productos!A375)</f>
        <v/>
      </c>
      <c r="B375" s="22" t="str">
        <f>IF(Productos!A375="","",Productos!B375)</f>
        <v/>
      </c>
      <c r="C375" s="22" t="str">
        <f>IF(Productos!A375="","",Productos!C375)</f>
        <v/>
      </c>
      <c r="D375" s="22" t="str">
        <f>IF(Productos!A375="","",Productos!D375)</f>
        <v/>
      </c>
      <c r="E375" s="22" t="str">
        <f>IF(Productos!A375="","",Productos!E375)</f>
        <v/>
      </c>
      <c r="F375" s="22" t="str">
        <f>IF(Productos!A375="","",Productos!F375)</f>
        <v/>
      </c>
      <c r="G375" s="22" t="str">
        <f>IF(A375="","",SUMIF('Compras Entradas'!$C$5:$C$504,A375,'Compras Entradas'!$E$5:$E$504))</f>
        <v/>
      </c>
      <c r="H375" s="22" t="str">
        <f>IF(A375="","",SUMIF('Ventas Salidas'!$C$5:$C$504,A375,'Ventas Salidas'!$E$5:$E$504))</f>
        <v/>
      </c>
      <c r="I375" s="22" t="str">
        <f t="shared" si="18"/>
        <v/>
      </c>
      <c r="J375" s="22" t="str">
        <f t="shared" si="19"/>
        <v/>
      </c>
      <c r="K375" s="22" t="str">
        <f t="shared" si="20"/>
        <v/>
      </c>
      <c r="L375" s="22"/>
      <c r="M375" s="22" t="str">
        <f>IF(A375="","",IF(OR(J375="Bajo stock",J375="Sin stock"),COUNTIFS($J$5:$J375,"Bajo stock")+COUNTIFS($J$5:$J375,"Sin stock"),""))</f>
        <v/>
      </c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s="13" customFormat="1" ht="21.75" customHeight="1" x14ac:dyDescent="0.25">
      <c r="A376" s="22" t="str">
        <f>IF(Productos!A376="","",Productos!A376)</f>
        <v/>
      </c>
      <c r="B376" s="22" t="str">
        <f>IF(Productos!A376="","",Productos!B376)</f>
        <v/>
      </c>
      <c r="C376" s="22" t="str">
        <f>IF(Productos!A376="","",Productos!C376)</f>
        <v/>
      </c>
      <c r="D376" s="22" t="str">
        <f>IF(Productos!A376="","",Productos!D376)</f>
        <v/>
      </c>
      <c r="E376" s="22" t="str">
        <f>IF(Productos!A376="","",Productos!E376)</f>
        <v/>
      </c>
      <c r="F376" s="22" t="str">
        <f>IF(Productos!A376="","",Productos!F376)</f>
        <v/>
      </c>
      <c r="G376" s="22" t="str">
        <f>IF(A376="","",SUMIF('Compras Entradas'!$C$5:$C$504,A376,'Compras Entradas'!$E$5:$E$504))</f>
        <v/>
      </c>
      <c r="H376" s="22" t="str">
        <f>IF(A376="","",SUMIF('Ventas Salidas'!$C$5:$C$504,A376,'Ventas Salidas'!$E$5:$E$504))</f>
        <v/>
      </c>
      <c r="I376" s="22" t="str">
        <f t="shared" si="18"/>
        <v/>
      </c>
      <c r="J376" s="22" t="str">
        <f t="shared" si="19"/>
        <v/>
      </c>
      <c r="K376" s="22" t="str">
        <f t="shared" si="20"/>
        <v/>
      </c>
      <c r="L376" s="22"/>
      <c r="M376" s="22" t="str">
        <f>IF(A376="","",IF(OR(J376="Bajo stock",J376="Sin stock"),COUNTIFS($J$5:$J376,"Bajo stock")+COUNTIFS($J$5:$J376,"Sin stock"),""))</f>
        <v/>
      </c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s="13" customFormat="1" ht="21.75" customHeight="1" x14ac:dyDescent="0.25">
      <c r="A377" s="22" t="str">
        <f>IF(Productos!A377="","",Productos!A377)</f>
        <v/>
      </c>
      <c r="B377" s="22" t="str">
        <f>IF(Productos!A377="","",Productos!B377)</f>
        <v/>
      </c>
      <c r="C377" s="22" t="str">
        <f>IF(Productos!A377="","",Productos!C377)</f>
        <v/>
      </c>
      <c r="D377" s="22" t="str">
        <f>IF(Productos!A377="","",Productos!D377)</f>
        <v/>
      </c>
      <c r="E377" s="22" t="str">
        <f>IF(Productos!A377="","",Productos!E377)</f>
        <v/>
      </c>
      <c r="F377" s="22" t="str">
        <f>IF(Productos!A377="","",Productos!F377)</f>
        <v/>
      </c>
      <c r="G377" s="22" t="str">
        <f>IF(A377="","",SUMIF('Compras Entradas'!$C$5:$C$504,A377,'Compras Entradas'!$E$5:$E$504))</f>
        <v/>
      </c>
      <c r="H377" s="22" t="str">
        <f>IF(A377="","",SUMIF('Ventas Salidas'!$C$5:$C$504,A377,'Ventas Salidas'!$E$5:$E$504))</f>
        <v/>
      </c>
      <c r="I377" s="22" t="str">
        <f t="shared" si="18"/>
        <v/>
      </c>
      <c r="J377" s="22" t="str">
        <f t="shared" si="19"/>
        <v/>
      </c>
      <c r="K377" s="22" t="str">
        <f t="shared" si="20"/>
        <v/>
      </c>
      <c r="L377" s="22"/>
      <c r="M377" s="22" t="str">
        <f>IF(A377="","",IF(OR(J377="Bajo stock",J377="Sin stock"),COUNTIFS($J$5:$J377,"Bajo stock")+COUNTIFS($J$5:$J377,"Sin stock"),""))</f>
        <v/>
      </c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s="13" customFormat="1" ht="21.75" customHeight="1" x14ac:dyDescent="0.25">
      <c r="A378" s="22" t="str">
        <f>IF(Productos!A378="","",Productos!A378)</f>
        <v/>
      </c>
      <c r="B378" s="22" t="str">
        <f>IF(Productos!A378="","",Productos!B378)</f>
        <v/>
      </c>
      <c r="C378" s="22" t="str">
        <f>IF(Productos!A378="","",Productos!C378)</f>
        <v/>
      </c>
      <c r="D378" s="22" t="str">
        <f>IF(Productos!A378="","",Productos!D378)</f>
        <v/>
      </c>
      <c r="E378" s="22" t="str">
        <f>IF(Productos!A378="","",Productos!E378)</f>
        <v/>
      </c>
      <c r="F378" s="22" t="str">
        <f>IF(Productos!A378="","",Productos!F378)</f>
        <v/>
      </c>
      <c r="G378" s="22" t="str">
        <f>IF(A378="","",SUMIF('Compras Entradas'!$C$5:$C$504,A378,'Compras Entradas'!$E$5:$E$504))</f>
        <v/>
      </c>
      <c r="H378" s="22" t="str">
        <f>IF(A378="","",SUMIF('Ventas Salidas'!$C$5:$C$504,A378,'Ventas Salidas'!$E$5:$E$504))</f>
        <v/>
      </c>
      <c r="I378" s="22" t="str">
        <f t="shared" si="18"/>
        <v/>
      </c>
      <c r="J378" s="22" t="str">
        <f t="shared" si="19"/>
        <v/>
      </c>
      <c r="K378" s="22" t="str">
        <f t="shared" si="20"/>
        <v/>
      </c>
      <c r="L378" s="22"/>
      <c r="M378" s="22" t="str">
        <f>IF(A378="","",IF(OR(J378="Bajo stock",J378="Sin stock"),COUNTIFS($J$5:$J378,"Bajo stock")+COUNTIFS($J$5:$J378,"Sin stock"),""))</f>
        <v/>
      </c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s="13" customFormat="1" ht="21.75" customHeight="1" x14ac:dyDescent="0.25">
      <c r="A379" s="22" t="str">
        <f>IF(Productos!A379="","",Productos!A379)</f>
        <v/>
      </c>
      <c r="B379" s="22" t="str">
        <f>IF(Productos!A379="","",Productos!B379)</f>
        <v/>
      </c>
      <c r="C379" s="22" t="str">
        <f>IF(Productos!A379="","",Productos!C379)</f>
        <v/>
      </c>
      <c r="D379" s="22" t="str">
        <f>IF(Productos!A379="","",Productos!D379)</f>
        <v/>
      </c>
      <c r="E379" s="22" t="str">
        <f>IF(Productos!A379="","",Productos!E379)</f>
        <v/>
      </c>
      <c r="F379" s="22" t="str">
        <f>IF(Productos!A379="","",Productos!F379)</f>
        <v/>
      </c>
      <c r="G379" s="22" t="str">
        <f>IF(A379="","",SUMIF('Compras Entradas'!$C$5:$C$504,A379,'Compras Entradas'!$E$5:$E$504))</f>
        <v/>
      </c>
      <c r="H379" s="22" t="str">
        <f>IF(A379="","",SUMIF('Ventas Salidas'!$C$5:$C$504,A379,'Ventas Salidas'!$E$5:$E$504))</f>
        <v/>
      </c>
      <c r="I379" s="22" t="str">
        <f t="shared" si="18"/>
        <v/>
      </c>
      <c r="J379" s="22" t="str">
        <f t="shared" si="19"/>
        <v/>
      </c>
      <c r="K379" s="22" t="str">
        <f t="shared" si="20"/>
        <v/>
      </c>
      <c r="L379" s="22"/>
      <c r="M379" s="22" t="str">
        <f>IF(A379="","",IF(OR(J379="Bajo stock",J379="Sin stock"),COUNTIFS($J$5:$J379,"Bajo stock")+COUNTIFS($J$5:$J379,"Sin stock"),""))</f>
        <v/>
      </c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s="13" customFormat="1" ht="21.75" customHeight="1" x14ac:dyDescent="0.25">
      <c r="A380" s="22" t="str">
        <f>IF(Productos!A380="","",Productos!A380)</f>
        <v/>
      </c>
      <c r="B380" s="22" t="str">
        <f>IF(Productos!A380="","",Productos!B380)</f>
        <v/>
      </c>
      <c r="C380" s="22" t="str">
        <f>IF(Productos!A380="","",Productos!C380)</f>
        <v/>
      </c>
      <c r="D380" s="22" t="str">
        <f>IF(Productos!A380="","",Productos!D380)</f>
        <v/>
      </c>
      <c r="E380" s="22" t="str">
        <f>IF(Productos!A380="","",Productos!E380)</f>
        <v/>
      </c>
      <c r="F380" s="22" t="str">
        <f>IF(Productos!A380="","",Productos!F380)</f>
        <v/>
      </c>
      <c r="G380" s="22" t="str">
        <f>IF(A380="","",SUMIF('Compras Entradas'!$C$5:$C$504,A380,'Compras Entradas'!$E$5:$E$504))</f>
        <v/>
      </c>
      <c r="H380" s="22" t="str">
        <f>IF(A380="","",SUMIF('Ventas Salidas'!$C$5:$C$504,A380,'Ventas Salidas'!$E$5:$E$504))</f>
        <v/>
      </c>
      <c r="I380" s="22" t="str">
        <f t="shared" si="18"/>
        <v/>
      </c>
      <c r="J380" s="22" t="str">
        <f t="shared" si="19"/>
        <v/>
      </c>
      <c r="K380" s="22" t="str">
        <f t="shared" si="20"/>
        <v/>
      </c>
      <c r="L380" s="22"/>
      <c r="M380" s="22" t="str">
        <f>IF(A380="","",IF(OR(J380="Bajo stock",J380="Sin stock"),COUNTIFS($J$5:$J380,"Bajo stock")+COUNTIFS($J$5:$J380,"Sin stock"),""))</f>
        <v/>
      </c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s="13" customFormat="1" ht="21.75" customHeight="1" x14ac:dyDescent="0.25">
      <c r="A381" s="22" t="str">
        <f>IF(Productos!A381="","",Productos!A381)</f>
        <v/>
      </c>
      <c r="B381" s="22" t="str">
        <f>IF(Productos!A381="","",Productos!B381)</f>
        <v/>
      </c>
      <c r="C381" s="22" t="str">
        <f>IF(Productos!A381="","",Productos!C381)</f>
        <v/>
      </c>
      <c r="D381" s="22" t="str">
        <f>IF(Productos!A381="","",Productos!D381)</f>
        <v/>
      </c>
      <c r="E381" s="22" t="str">
        <f>IF(Productos!A381="","",Productos!E381)</f>
        <v/>
      </c>
      <c r="F381" s="22" t="str">
        <f>IF(Productos!A381="","",Productos!F381)</f>
        <v/>
      </c>
      <c r="G381" s="22" t="str">
        <f>IF(A381="","",SUMIF('Compras Entradas'!$C$5:$C$504,A381,'Compras Entradas'!$E$5:$E$504))</f>
        <v/>
      </c>
      <c r="H381" s="22" t="str">
        <f>IF(A381="","",SUMIF('Ventas Salidas'!$C$5:$C$504,A381,'Ventas Salidas'!$E$5:$E$504))</f>
        <v/>
      </c>
      <c r="I381" s="22" t="str">
        <f t="shared" si="18"/>
        <v/>
      </c>
      <c r="J381" s="22" t="str">
        <f t="shared" si="19"/>
        <v/>
      </c>
      <c r="K381" s="22" t="str">
        <f t="shared" si="20"/>
        <v/>
      </c>
      <c r="L381" s="22"/>
      <c r="M381" s="22" t="str">
        <f>IF(A381="","",IF(OR(J381="Bajo stock",J381="Sin stock"),COUNTIFS($J$5:$J381,"Bajo stock")+COUNTIFS($J$5:$J381,"Sin stock"),""))</f>
        <v/>
      </c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s="13" customFormat="1" ht="21.75" customHeight="1" x14ac:dyDescent="0.25">
      <c r="A382" s="22" t="str">
        <f>IF(Productos!A382="","",Productos!A382)</f>
        <v/>
      </c>
      <c r="B382" s="22" t="str">
        <f>IF(Productos!A382="","",Productos!B382)</f>
        <v/>
      </c>
      <c r="C382" s="22" t="str">
        <f>IF(Productos!A382="","",Productos!C382)</f>
        <v/>
      </c>
      <c r="D382" s="22" t="str">
        <f>IF(Productos!A382="","",Productos!D382)</f>
        <v/>
      </c>
      <c r="E382" s="22" t="str">
        <f>IF(Productos!A382="","",Productos!E382)</f>
        <v/>
      </c>
      <c r="F382" s="22" t="str">
        <f>IF(Productos!A382="","",Productos!F382)</f>
        <v/>
      </c>
      <c r="G382" s="22" t="str">
        <f>IF(A382="","",SUMIF('Compras Entradas'!$C$5:$C$504,A382,'Compras Entradas'!$E$5:$E$504))</f>
        <v/>
      </c>
      <c r="H382" s="22" t="str">
        <f>IF(A382="","",SUMIF('Ventas Salidas'!$C$5:$C$504,A382,'Ventas Salidas'!$E$5:$E$504))</f>
        <v/>
      </c>
      <c r="I382" s="22" t="str">
        <f t="shared" si="18"/>
        <v/>
      </c>
      <c r="J382" s="22" t="str">
        <f t="shared" si="19"/>
        <v/>
      </c>
      <c r="K382" s="22" t="str">
        <f t="shared" si="20"/>
        <v/>
      </c>
      <c r="L382" s="22"/>
      <c r="M382" s="22" t="str">
        <f>IF(A382="","",IF(OR(J382="Bajo stock",J382="Sin stock"),COUNTIFS($J$5:$J382,"Bajo stock")+COUNTIFS($J$5:$J382,"Sin stock"),""))</f>
        <v/>
      </c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s="13" customFormat="1" ht="21.75" customHeight="1" x14ac:dyDescent="0.25">
      <c r="A383" s="22" t="str">
        <f>IF(Productos!A383="","",Productos!A383)</f>
        <v/>
      </c>
      <c r="B383" s="22" t="str">
        <f>IF(Productos!A383="","",Productos!B383)</f>
        <v/>
      </c>
      <c r="C383" s="22" t="str">
        <f>IF(Productos!A383="","",Productos!C383)</f>
        <v/>
      </c>
      <c r="D383" s="22" t="str">
        <f>IF(Productos!A383="","",Productos!D383)</f>
        <v/>
      </c>
      <c r="E383" s="22" t="str">
        <f>IF(Productos!A383="","",Productos!E383)</f>
        <v/>
      </c>
      <c r="F383" s="22" t="str">
        <f>IF(Productos!A383="","",Productos!F383)</f>
        <v/>
      </c>
      <c r="G383" s="22" t="str">
        <f>IF(A383="","",SUMIF('Compras Entradas'!$C$5:$C$504,A383,'Compras Entradas'!$E$5:$E$504))</f>
        <v/>
      </c>
      <c r="H383" s="22" t="str">
        <f>IF(A383="","",SUMIF('Ventas Salidas'!$C$5:$C$504,A383,'Ventas Salidas'!$E$5:$E$504))</f>
        <v/>
      </c>
      <c r="I383" s="22" t="str">
        <f t="shared" si="18"/>
        <v/>
      </c>
      <c r="J383" s="22" t="str">
        <f t="shared" si="19"/>
        <v/>
      </c>
      <c r="K383" s="22" t="str">
        <f t="shared" si="20"/>
        <v/>
      </c>
      <c r="L383" s="22"/>
      <c r="M383" s="22" t="str">
        <f>IF(A383="","",IF(OR(J383="Bajo stock",J383="Sin stock"),COUNTIFS($J$5:$J383,"Bajo stock")+COUNTIFS($J$5:$J383,"Sin stock"),""))</f>
        <v/>
      </c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s="13" customFormat="1" ht="21.75" customHeight="1" x14ac:dyDescent="0.25">
      <c r="A384" s="22" t="str">
        <f>IF(Productos!A384="","",Productos!A384)</f>
        <v/>
      </c>
      <c r="B384" s="22" t="str">
        <f>IF(Productos!A384="","",Productos!B384)</f>
        <v/>
      </c>
      <c r="C384" s="22" t="str">
        <f>IF(Productos!A384="","",Productos!C384)</f>
        <v/>
      </c>
      <c r="D384" s="22" t="str">
        <f>IF(Productos!A384="","",Productos!D384)</f>
        <v/>
      </c>
      <c r="E384" s="22" t="str">
        <f>IF(Productos!A384="","",Productos!E384)</f>
        <v/>
      </c>
      <c r="F384" s="22" t="str">
        <f>IF(Productos!A384="","",Productos!F384)</f>
        <v/>
      </c>
      <c r="G384" s="22" t="str">
        <f>IF(A384="","",SUMIF('Compras Entradas'!$C$5:$C$504,A384,'Compras Entradas'!$E$5:$E$504))</f>
        <v/>
      </c>
      <c r="H384" s="22" t="str">
        <f>IF(A384="","",SUMIF('Ventas Salidas'!$C$5:$C$504,A384,'Ventas Salidas'!$E$5:$E$504))</f>
        <v/>
      </c>
      <c r="I384" s="22" t="str">
        <f t="shared" si="18"/>
        <v/>
      </c>
      <c r="J384" s="22" t="str">
        <f t="shared" si="19"/>
        <v/>
      </c>
      <c r="K384" s="22" t="str">
        <f t="shared" si="20"/>
        <v/>
      </c>
      <c r="L384" s="22"/>
      <c r="M384" s="22" t="str">
        <f>IF(A384="","",IF(OR(J384="Bajo stock",J384="Sin stock"),COUNTIFS($J$5:$J384,"Bajo stock")+COUNTIFS($J$5:$J384,"Sin stock"),""))</f>
        <v/>
      </c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s="13" customFormat="1" ht="21.75" customHeight="1" x14ac:dyDescent="0.25">
      <c r="A385" s="22" t="str">
        <f>IF(Productos!A385="","",Productos!A385)</f>
        <v/>
      </c>
      <c r="B385" s="22" t="str">
        <f>IF(Productos!A385="","",Productos!B385)</f>
        <v/>
      </c>
      <c r="C385" s="22" t="str">
        <f>IF(Productos!A385="","",Productos!C385)</f>
        <v/>
      </c>
      <c r="D385" s="22" t="str">
        <f>IF(Productos!A385="","",Productos!D385)</f>
        <v/>
      </c>
      <c r="E385" s="22" t="str">
        <f>IF(Productos!A385="","",Productos!E385)</f>
        <v/>
      </c>
      <c r="F385" s="22" t="str">
        <f>IF(Productos!A385="","",Productos!F385)</f>
        <v/>
      </c>
      <c r="G385" s="22" t="str">
        <f>IF(A385="","",SUMIF('Compras Entradas'!$C$5:$C$504,A385,'Compras Entradas'!$E$5:$E$504))</f>
        <v/>
      </c>
      <c r="H385" s="22" t="str">
        <f>IF(A385="","",SUMIF('Ventas Salidas'!$C$5:$C$504,A385,'Ventas Salidas'!$E$5:$E$504))</f>
        <v/>
      </c>
      <c r="I385" s="22" t="str">
        <f t="shared" si="18"/>
        <v/>
      </c>
      <c r="J385" s="22" t="str">
        <f t="shared" si="19"/>
        <v/>
      </c>
      <c r="K385" s="22" t="str">
        <f t="shared" si="20"/>
        <v/>
      </c>
      <c r="L385" s="22"/>
      <c r="M385" s="22" t="str">
        <f>IF(A385="","",IF(OR(J385="Bajo stock",J385="Sin stock"),COUNTIFS($J$5:$J385,"Bajo stock")+COUNTIFS($J$5:$J385,"Sin stock"),""))</f>
        <v/>
      </c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s="13" customFormat="1" ht="21.75" customHeight="1" x14ac:dyDescent="0.25">
      <c r="A386" s="22" t="str">
        <f>IF(Productos!A386="","",Productos!A386)</f>
        <v/>
      </c>
      <c r="B386" s="22" t="str">
        <f>IF(Productos!A386="","",Productos!B386)</f>
        <v/>
      </c>
      <c r="C386" s="22" t="str">
        <f>IF(Productos!A386="","",Productos!C386)</f>
        <v/>
      </c>
      <c r="D386" s="22" t="str">
        <f>IF(Productos!A386="","",Productos!D386)</f>
        <v/>
      </c>
      <c r="E386" s="22" t="str">
        <f>IF(Productos!A386="","",Productos!E386)</f>
        <v/>
      </c>
      <c r="F386" s="22" t="str">
        <f>IF(Productos!A386="","",Productos!F386)</f>
        <v/>
      </c>
      <c r="G386" s="22" t="str">
        <f>IF(A386="","",SUMIF('Compras Entradas'!$C$5:$C$504,A386,'Compras Entradas'!$E$5:$E$504))</f>
        <v/>
      </c>
      <c r="H386" s="22" t="str">
        <f>IF(A386="","",SUMIF('Ventas Salidas'!$C$5:$C$504,A386,'Ventas Salidas'!$E$5:$E$504))</f>
        <v/>
      </c>
      <c r="I386" s="22" t="str">
        <f t="shared" si="18"/>
        <v/>
      </c>
      <c r="J386" s="22" t="str">
        <f t="shared" si="19"/>
        <v/>
      </c>
      <c r="K386" s="22" t="str">
        <f t="shared" si="20"/>
        <v/>
      </c>
      <c r="L386" s="22"/>
      <c r="M386" s="22" t="str">
        <f>IF(A386="","",IF(OR(J386="Bajo stock",J386="Sin stock"),COUNTIFS($J$5:$J386,"Bajo stock")+COUNTIFS($J$5:$J386,"Sin stock"),""))</f>
        <v/>
      </c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s="13" customFormat="1" ht="21.75" customHeight="1" x14ac:dyDescent="0.25">
      <c r="A387" s="22" t="str">
        <f>IF(Productos!A387="","",Productos!A387)</f>
        <v/>
      </c>
      <c r="B387" s="22" t="str">
        <f>IF(Productos!A387="","",Productos!B387)</f>
        <v/>
      </c>
      <c r="C387" s="22" t="str">
        <f>IF(Productos!A387="","",Productos!C387)</f>
        <v/>
      </c>
      <c r="D387" s="22" t="str">
        <f>IF(Productos!A387="","",Productos!D387)</f>
        <v/>
      </c>
      <c r="E387" s="22" t="str">
        <f>IF(Productos!A387="","",Productos!E387)</f>
        <v/>
      </c>
      <c r="F387" s="22" t="str">
        <f>IF(Productos!A387="","",Productos!F387)</f>
        <v/>
      </c>
      <c r="G387" s="22" t="str">
        <f>IF(A387="","",SUMIF('Compras Entradas'!$C$5:$C$504,A387,'Compras Entradas'!$E$5:$E$504))</f>
        <v/>
      </c>
      <c r="H387" s="22" t="str">
        <f>IF(A387="","",SUMIF('Ventas Salidas'!$C$5:$C$504,A387,'Ventas Salidas'!$E$5:$E$504))</f>
        <v/>
      </c>
      <c r="I387" s="22" t="str">
        <f t="shared" si="18"/>
        <v/>
      </c>
      <c r="J387" s="22" t="str">
        <f t="shared" si="19"/>
        <v/>
      </c>
      <c r="K387" s="22" t="str">
        <f t="shared" si="20"/>
        <v/>
      </c>
      <c r="L387" s="22"/>
      <c r="M387" s="22" t="str">
        <f>IF(A387="","",IF(OR(J387="Bajo stock",J387="Sin stock"),COUNTIFS($J$5:$J387,"Bajo stock")+COUNTIFS($J$5:$J387,"Sin stock"),""))</f>
        <v/>
      </c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s="13" customFormat="1" ht="21.75" customHeight="1" x14ac:dyDescent="0.25">
      <c r="A388" s="22" t="str">
        <f>IF(Productos!A388="","",Productos!A388)</f>
        <v/>
      </c>
      <c r="B388" s="22" t="str">
        <f>IF(Productos!A388="","",Productos!B388)</f>
        <v/>
      </c>
      <c r="C388" s="22" t="str">
        <f>IF(Productos!A388="","",Productos!C388)</f>
        <v/>
      </c>
      <c r="D388" s="22" t="str">
        <f>IF(Productos!A388="","",Productos!D388)</f>
        <v/>
      </c>
      <c r="E388" s="22" t="str">
        <f>IF(Productos!A388="","",Productos!E388)</f>
        <v/>
      </c>
      <c r="F388" s="22" t="str">
        <f>IF(Productos!A388="","",Productos!F388)</f>
        <v/>
      </c>
      <c r="G388" s="22" t="str">
        <f>IF(A388="","",SUMIF('Compras Entradas'!$C$5:$C$504,A388,'Compras Entradas'!$E$5:$E$504))</f>
        <v/>
      </c>
      <c r="H388" s="22" t="str">
        <f>IF(A388="","",SUMIF('Ventas Salidas'!$C$5:$C$504,A388,'Ventas Salidas'!$E$5:$E$504))</f>
        <v/>
      </c>
      <c r="I388" s="22" t="str">
        <f t="shared" si="18"/>
        <v/>
      </c>
      <c r="J388" s="22" t="str">
        <f t="shared" si="19"/>
        <v/>
      </c>
      <c r="K388" s="22" t="str">
        <f t="shared" si="20"/>
        <v/>
      </c>
      <c r="L388" s="22"/>
      <c r="M388" s="22" t="str">
        <f>IF(A388="","",IF(OR(J388="Bajo stock",J388="Sin stock"),COUNTIFS($J$5:$J388,"Bajo stock")+COUNTIFS($J$5:$J388,"Sin stock"),""))</f>
        <v/>
      </c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s="13" customFormat="1" ht="21.75" customHeight="1" x14ac:dyDescent="0.25">
      <c r="A389" s="22" t="str">
        <f>IF(Productos!A389="","",Productos!A389)</f>
        <v/>
      </c>
      <c r="B389" s="22" t="str">
        <f>IF(Productos!A389="","",Productos!B389)</f>
        <v/>
      </c>
      <c r="C389" s="22" t="str">
        <f>IF(Productos!A389="","",Productos!C389)</f>
        <v/>
      </c>
      <c r="D389" s="22" t="str">
        <f>IF(Productos!A389="","",Productos!D389)</f>
        <v/>
      </c>
      <c r="E389" s="22" t="str">
        <f>IF(Productos!A389="","",Productos!E389)</f>
        <v/>
      </c>
      <c r="F389" s="22" t="str">
        <f>IF(Productos!A389="","",Productos!F389)</f>
        <v/>
      </c>
      <c r="G389" s="22" t="str">
        <f>IF(A389="","",SUMIF('Compras Entradas'!$C$5:$C$504,A389,'Compras Entradas'!$E$5:$E$504))</f>
        <v/>
      </c>
      <c r="H389" s="22" t="str">
        <f>IF(A389="","",SUMIF('Ventas Salidas'!$C$5:$C$504,A389,'Ventas Salidas'!$E$5:$E$504))</f>
        <v/>
      </c>
      <c r="I389" s="22" t="str">
        <f t="shared" ref="I389:I452" si="21">IF(A389="","",F389+G389-H389)</f>
        <v/>
      </c>
      <c r="J389" s="22" t="str">
        <f t="shared" ref="J389:J452" si="22">IF(A389="","",IF(I389&lt;=0,"Sin stock",IF(I389&lt;E389,"Bajo stock","OK")))</f>
        <v/>
      </c>
      <c r="K389" s="22" t="str">
        <f t="shared" ref="K389:K452" si="23">IF(A389="","",IF(I389&lt;=0,"Comprar urgente",IF(I389&lt;E389,"Reponer pronto","Stock suficiente")))</f>
        <v/>
      </c>
      <c r="L389" s="22"/>
      <c r="M389" s="22" t="str">
        <f>IF(A389="","",IF(OR(J389="Bajo stock",J389="Sin stock"),COUNTIFS($J$5:$J389,"Bajo stock")+COUNTIFS($J$5:$J389,"Sin stock"),""))</f>
        <v/>
      </c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s="13" customFormat="1" ht="21.75" customHeight="1" x14ac:dyDescent="0.25">
      <c r="A390" s="22" t="str">
        <f>IF(Productos!A390="","",Productos!A390)</f>
        <v/>
      </c>
      <c r="B390" s="22" t="str">
        <f>IF(Productos!A390="","",Productos!B390)</f>
        <v/>
      </c>
      <c r="C390" s="22" t="str">
        <f>IF(Productos!A390="","",Productos!C390)</f>
        <v/>
      </c>
      <c r="D390" s="22" t="str">
        <f>IF(Productos!A390="","",Productos!D390)</f>
        <v/>
      </c>
      <c r="E390" s="22" t="str">
        <f>IF(Productos!A390="","",Productos!E390)</f>
        <v/>
      </c>
      <c r="F390" s="22" t="str">
        <f>IF(Productos!A390="","",Productos!F390)</f>
        <v/>
      </c>
      <c r="G390" s="22" t="str">
        <f>IF(A390="","",SUMIF('Compras Entradas'!$C$5:$C$504,A390,'Compras Entradas'!$E$5:$E$504))</f>
        <v/>
      </c>
      <c r="H390" s="22" t="str">
        <f>IF(A390="","",SUMIF('Ventas Salidas'!$C$5:$C$504,A390,'Ventas Salidas'!$E$5:$E$504))</f>
        <v/>
      </c>
      <c r="I390" s="22" t="str">
        <f t="shared" si="21"/>
        <v/>
      </c>
      <c r="J390" s="22" t="str">
        <f t="shared" si="22"/>
        <v/>
      </c>
      <c r="K390" s="22" t="str">
        <f t="shared" si="23"/>
        <v/>
      </c>
      <c r="L390" s="22"/>
      <c r="M390" s="22" t="str">
        <f>IF(A390="","",IF(OR(J390="Bajo stock",J390="Sin stock"),COUNTIFS($J$5:$J390,"Bajo stock")+COUNTIFS($J$5:$J390,"Sin stock"),""))</f>
        <v/>
      </c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s="13" customFormat="1" ht="21.75" customHeight="1" x14ac:dyDescent="0.25">
      <c r="A391" s="22" t="str">
        <f>IF(Productos!A391="","",Productos!A391)</f>
        <v/>
      </c>
      <c r="B391" s="22" t="str">
        <f>IF(Productos!A391="","",Productos!B391)</f>
        <v/>
      </c>
      <c r="C391" s="22" t="str">
        <f>IF(Productos!A391="","",Productos!C391)</f>
        <v/>
      </c>
      <c r="D391" s="22" t="str">
        <f>IF(Productos!A391="","",Productos!D391)</f>
        <v/>
      </c>
      <c r="E391" s="22" t="str">
        <f>IF(Productos!A391="","",Productos!E391)</f>
        <v/>
      </c>
      <c r="F391" s="22" t="str">
        <f>IF(Productos!A391="","",Productos!F391)</f>
        <v/>
      </c>
      <c r="G391" s="22" t="str">
        <f>IF(A391="","",SUMIF('Compras Entradas'!$C$5:$C$504,A391,'Compras Entradas'!$E$5:$E$504))</f>
        <v/>
      </c>
      <c r="H391" s="22" t="str">
        <f>IF(A391="","",SUMIF('Ventas Salidas'!$C$5:$C$504,A391,'Ventas Salidas'!$E$5:$E$504))</f>
        <v/>
      </c>
      <c r="I391" s="22" t="str">
        <f t="shared" si="21"/>
        <v/>
      </c>
      <c r="J391" s="22" t="str">
        <f t="shared" si="22"/>
        <v/>
      </c>
      <c r="K391" s="22" t="str">
        <f t="shared" si="23"/>
        <v/>
      </c>
      <c r="L391" s="22"/>
      <c r="M391" s="22" t="str">
        <f>IF(A391="","",IF(OR(J391="Bajo stock",J391="Sin stock"),COUNTIFS($J$5:$J391,"Bajo stock")+COUNTIFS($J$5:$J391,"Sin stock"),""))</f>
        <v/>
      </c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s="13" customFormat="1" ht="21.75" customHeight="1" x14ac:dyDescent="0.25">
      <c r="A392" s="22" t="str">
        <f>IF(Productos!A392="","",Productos!A392)</f>
        <v/>
      </c>
      <c r="B392" s="22" t="str">
        <f>IF(Productos!A392="","",Productos!B392)</f>
        <v/>
      </c>
      <c r="C392" s="22" t="str">
        <f>IF(Productos!A392="","",Productos!C392)</f>
        <v/>
      </c>
      <c r="D392" s="22" t="str">
        <f>IF(Productos!A392="","",Productos!D392)</f>
        <v/>
      </c>
      <c r="E392" s="22" t="str">
        <f>IF(Productos!A392="","",Productos!E392)</f>
        <v/>
      </c>
      <c r="F392" s="22" t="str">
        <f>IF(Productos!A392="","",Productos!F392)</f>
        <v/>
      </c>
      <c r="G392" s="22" t="str">
        <f>IF(A392="","",SUMIF('Compras Entradas'!$C$5:$C$504,A392,'Compras Entradas'!$E$5:$E$504))</f>
        <v/>
      </c>
      <c r="H392" s="22" t="str">
        <f>IF(A392="","",SUMIF('Ventas Salidas'!$C$5:$C$504,A392,'Ventas Salidas'!$E$5:$E$504))</f>
        <v/>
      </c>
      <c r="I392" s="22" t="str">
        <f t="shared" si="21"/>
        <v/>
      </c>
      <c r="J392" s="22" t="str">
        <f t="shared" si="22"/>
        <v/>
      </c>
      <c r="K392" s="22" t="str">
        <f t="shared" si="23"/>
        <v/>
      </c>
      <c r="L392" s="22"/>
      <c r="M392" s="22" t="str">
        <f>IF(A392="","",IF(OR(J392="Bajo stock",J392="Sin stock"),COUNTIFS($J$5:$J392,"Bajo stock")+COUNTIFS($J$5:$J392,"Sin stock"),""))</f>
        <v/>
      </c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s="13" customFormat="1" ht="21.75" customHeight="1" x14ac:dyDescent="0.25">
      <c r="A393" s="22" t="str">
        <f>IF(Productos!A393="","",Productos!A393)</f>
        <v/>
      </c>
      <c r="B393" s="22" t="str">
        <f>IF(Productos!A393="","",Productos!B393)</f>
        <v/>
      </c>
      <c r="C393" s="22" t="str">
        <f>IF(Productos!A393="","",Productos!C393)</f>
        <v/>
      </c>
      <c r="D393" s="22" t="str">
        <f>IF(Productos!A393="","",Productos!D393)</f>
        <v/>
      </c>
      <c r="E393" s="22" t="str">
        <f>IF(Productos!A393="","",Productos!E393)</f>
        <v/>
      </c>
      <c r="F393" s="22" t="str">
        <f>IF(Productos!A393="","",Productos!F393)</f>
        <v/>
      </c>
      <c r="G393" s="22" t="str">
        <f>IF(A393="","",SUMIF('Compras Entradas'!$C$5:$C$504,A393,'Compras Entradas'!$E$5:$E$504))</f>
        <v/>
      </c>
      <c r="H393" s="22" t="str">
        <f>IF(A393="","",SUMIF('Ventas Salidas'!$C$5:$C$504,A393,'Ventas Salidas'!$E$5:$E$504))</f>
        <v/>
      </c>
      <c r="I393" s="22" t="str">
        <f t="shared" si="21"/>
        <v/>
      </c>
      <c r="J393" s="22" t="str">
        <f t="shared" si="22"/>
        <v/>
      </c>
      <c r="K393" s="22" t="str">
        <f t="shared" si="23"/>
        <v/>
      </c>
      <c r="L393" s="22"/>
      <c r="M393" s="22" t="str">
        <f>IF(A393="","",IF(OR(J393="Bajo stock",J393="Sin stock"),COUNTIFS($J$5:$J393,"Bajo stock")+COUNTIFS($J$5:$J393,"Sin stock"),""))</f>
        <v/>
      </c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s="13" customFormat="1" ht="21.75" customHeight="1" x14ac:dyDescent="0.25">
      <c r="A394" s="22" t="str">
        <f>IF(Productos!A394="","",Productos!A394)</f>
        <v/>
      </c>
      <c r="B394" s="22" t="str">
        <f>IF(Productos!A394="","",Productos!B394)</f>
        <v/>
      </c>
      <c r="C394" s="22" t="str">
        <f>IF(Productos!A394="","",Productos!C394)</f>
        <v/>
      </c>
      <c r="D394" s="22" t="str">
        <f>IF(Productos!A394="","",Productos!D394)</f>
        <v/>
      </c>
      <c r="E394" s="22" t="str">
        <f>IF(Productos!A394="","",Productos!E394)</f>
        <v/>
      </c>
      <c r="F394" s="22" t="str">
        <f>IF(Productos!A394="","",Productos!F394)</f>
        <v/>
      </c>
      <c r="G394" s="22" t="str">
        <f>IF(A394="","",SUMIF('Compras Entradas'!$C$5:$C$504,A394,'Compras Entradas'!$E$5:$E$504))</f>
        <v/>
      </c>
      <c r="H394" s="22" t="str">
        <f>IF(A394="","",SUMIF('Ventas Salidas'!$C$5:$C$504,A394,'Ventas Salidas'!$E$5:$E$504))</f>
        <v/>
      </c>
      <c r="I394" s="22" t="str">
        <f t="shared" si="21"/>
        <v/>
      </c>
      <c r="J394" s="22" t="str">
        <f t="shared" si="22"/>
        <v/>
      </c>
      <c r="K394" s="22" t="str">
        <f t="shared" si="23"/>
        <v/>
      </c>
      <c r="L394" s="22"/>
      <c r="M394" s="22" t="str">
        <f>IF(A394="","",IF(OR(J394="Bajo stock",J394="Sin stock"),COUNTIFS($J$5:$J394,"Bajo stock")+COUNTIFS($J$5:$J394,"Sin stock"),""))</f>
        <v/>
      </c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s="13" customFormat="1" ht="21.75" customHeight="1" x14ac:dyDescent="0.25">
      <c r="A395" s="22" t="str">
        <f>IF(Productos!A395="","",Productos!A395)</f>
        <v/>
      </c>
      <c r="B395" s="22" t="str">
        <f>IF(Productos!A395="","",Productos!B395)</f>
        <v/>
      </c>
      <c r="C395" s="22" t="str">
        <f>IF(Productos!A395="","",Productos!C395)</f>
        <v/>
      </c>
      <c r="D395" s="22" t="str">
        <f>IF(Productos!A395="","",Productos!D395)</f>
        <v/>
      </c>
      <c r="E395" s="22" t="str">
        <f>IF(Productos!A395="","",Productos!E395)</f>
        <v/>
      </c>
      <c r="F395" s="22" t="str">
        <f>IF(Productos!A395="","",Productos!F395)</f>
        <v/>
      </c>
      <c r="G395" s="22" t="str">
        <f>IF(A395="","",SUMIF('Compras Entradas'!$C$5:$C$504,A395,'Compras Entradas'!$E$5:$E$504))</f>
        <v/>
      </c>
      <c r="H395" s="22" t="str">
        <f>IF(A395="","",SUMIF('Ventas Salidas'!$C$5:$C$504,A395,'Ventas Salidas'!$E$5:$E$504))</f>
        <v/>
      </c>
      <c r="I395" s="22" t="str">
        <f t="shared" si="21"/>
        <v/>
      </c>
      <c r="J395" s="22" t="str">
        <f t="shared" si="22"/>
        <v/>
      </c>
      <c r="K395" s="22" t="str">
        <f t="shared" si="23"/>
        <v/>
      </c>
      <c r="L395" s="22"/>
      <c r="M395" s="22" t="str">
        <f>IF(A395="","",IF(OR(J395="Bajo stock",J395="Sin stock"),COUNTIFS($J$5:$J395,"Bajo stock")+COUNTIFS($J$5:$J395,"Sin stock"),""))</f>
        <v/>
      </c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s="13" customFormat="1" ht="21.75" customHeight="1" x14ac:dyDescent="0.25">
      <c r="A396" s="22" t="str">
        <f>IF(Productos!A396="","",Productos!A396)</f>
        <v/>
      </c>
      <c r="B396" s="22" t="str">
        <f>IF(Productos!A396="","",Productos!B396)</f>
        <v/>
      </c>
      <c r="C396" s="22" t="str">
        <f>IF(Productos!A396="","",Productos!C396)</f>
        <v/>
      </c>
      <c r="D396" s="22" t="str">
        <f>IF(Productos!A396="","",Productos!D396)</f>
        <v/>
      </c>
      <c r="E396" s="22" t="str">
        <f>IF(Productos!A396="","",Productos!E396)</f>
        <v/>
      </c>
      <c r="F396" s="22" t="str">
        <f>IF(Productos!A396="","",Productos!F396)</f>
        <v/>
      </c>
      <c r="G396" s="22" t="str">
        <f>IF(A396="","",SUMIF('Compras Entradas'!$C$5:$C$504,A396,'Compras Entradas'!$E$5:$E$504))</f>
        <v/>
      </c>
      <c r="H396" s="22" t="str">
        <f>IF(A396="","",SUMIF('Ventas Salidas'!$C$5:$C$504,A396,'Ventas Salidas'!$E$5:$E$504))</f>
        <v/>
      </c>
      <c r="I396" s="22" t="str">
        <f t="shared" si="21"/>
        <v/>
      </c>
      <c r="J396" s="22" t="str">
        <f t="shared" si="22"/>
        <v/>
      </c>
      <c r="K396" s="22" t="str">
        <f t="shared" si="23"/>
        <v/>
      </c>
      <c r="L396" s="22"/>
      <c r="M396" s="22" t="str">
        <f>IF(A396="","",IF(OR(J396="Bajo stock",J396="Sin stock"),COUNTIFS($J$5:$J396,"Bajo stock")+COUNTIFS($J$5:$J396,"Sin stock"),""))</f>
        <v/>
      </c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s="13" customFormat="1" ht="21.75" customHeight="1" x14ac:dyDescent="0.25">
      <c r="A397" s="22" t="str">
        <f>IF(Productos!A397="","",Productos!A397)</f>
        <v/>
      </c>
      <c r="B397" s="22" t="str">
        <f>IF(Productos!A397="","",Productos!B397)</f>
        <v/>
      </c>
      <c r="C397" s="22" t="str">
        <f>IF(Productos!A397="","",Productos!C397)</f>
        <v/>
      </c>
      <c r="D397" s="22" t="str">
        <f>IF(Productos!A397="","",Productos!D397)</f>
        <v/>
      </c>
      <c r="E397" s="22" t="str">
        <f>IF(Productos!A397="","",Productos!E397)</f>
        <v/>
      </c>
      <c r="F397" s="22" t="str">
        <f>IF(Productos!A397="","",Productos!F397)</f>
        <v/>
      </c>
      <c r="G397" s="22" t="str">
        <f>IF(A397="","",SUMIF('Compras Entradas'!$C$5:$C$504,A397,'Compras Entradas'!$E$5:$E$504))</f>
        <v/>
      </c>
      <c r="H397" s="22" t="str">
        <f>IF(A397="","",SUMIF('Ventas Salidas'!$C$5:$C$504,A397,'Ventas Salidas'!$E$5:$E$504))</f>
        <v/>
      </c>
      <c r="I397" s="22" t="str">
        <f t="shared" si="21"/>
        <v/>
      </c>
      <c r="J397" s="22" t="str">
        <f t="shared" si="22"/>
        <v/>
      </c>
      <c r="K397" s="22" t="str">
        <f t="shared" si="23"/>
        <v/>
      </c>
      <c r="L397" s="22"/>
      <c r="M397" s="22" t="str">
        <f>IF(A397="","",IF(OR(J397="Bajo stock",J397="Sin stock"),COUNTIFS($J$5:$J397,"Bajo stock")+COUNTIFS($J$5:$J397,"Sin stock"),""))</f>
        <v/>
      </c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s="13" customFormat="1" ht="21.75" customHeight="1" x14ac:dyDescent="0.25">
      <c r="A398" s="22" t="str">
        <f>IF(Productos!A398="","",Productos!A398)</f>
        <v/>
      </c>
      <c r="B398" s="22" t="str">
        <f>IF(Productos!A398="","",Productos!B398)</f>
        <v/>
      </c>
      <c r="C398" s="22" t="str">
        <f>IF(Productos!A398="","",Productos!C398)</f>
        <v/>
      </c>
      <c r="D398" s="22" t="str">
        <f>IF(Productos!A398="","",Productos!D398)</f>
        <v/>
      </c>
      <c r="E398" s="22" t="str">
        <f>IF(Productos!A398="","",Productos!E398)</f>
        <v/>
      </c>
      <c r="F398" s="22" t="str">
        <f>IF(Productos!A398="","",Productos!F398)</f>
        <v/>
      </c>
      <c r="G398" s="22" t="str">
        <f>IF(A398="","",SUMIF('Compras Entradas'!$C$5:$C$504,A398,'Compras Entradas'!$E$5:$E$504))</f>
        <v/>
      </c>
      <c r="H398" s="22" t="str">
        <f>IF(A398="","",SUMIF('Ventas Salidas'!$C$5:$C$504,A398,'Ventas Salidas'!$E$5:$E$504))</f>
        <v/>
      </c>
      <c r="I398" s="22" t="str">
        <f t="shared" si="21"/>
        <v/>
      </c>
      <c r="J398" s="22" t="str">
        <f t="shared" si="22"/>
        <v/>
      </c>
      <c r="K398" s="22" t="str">
        <f t="shared" si="23"/>
        <v/>
      </c>
      <c r="L398" s="22"/>
      <c r="M398" s="22" t="str">
        <f>IF(A398="","",IF(OR(J398="Bajo stock",J398="Sin stock"),COUNTIFS($J$5:$J398,"Bajo stock")+COUNTIFS($J$5:$J398,"Sin stock"),""))</f>
        <v/>
      </c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s="13" customFormat="1" ht="21.75" customHeight="1" x14ac:dyDescent="0.25">
      <c r="A399" s="22" t="str">
        <f>IF(Productos!A399="","",Productos!A399)</f>
        <v/>
      </c>
      <c r="B399" s="22" t="str">
        <f>IF(Productos!A399="","",Productos!B399)</f>
        <v/>
      </c>
      <c r="C399" s="22" t="str">
        <f>IF(Productos!A399="","",Productos!C399)</f>
        <v/>
      </c>
      <c r="D399" s="22" t="str">
        <f>IF(Productos!A399="","",Productos!D399)</f>
        <v/>
      </c>
      <c r="E399" s="22" t="str">
        <f>IF(Productos!A399="","",Productos!E399)</f>
        <v/>
      </c>
      <c r="F399" s="22" t="str">
        <f>IF(Productos!A399="","",Productos!F399)</f>
        <v/>
      </c>
      <c r="G399" s="22" t="str">
        <f>IF(A399="","",SUMIF('Compras Entradas'!$C$5:$C$504,A399,'Compras Entradas'!$E$5:$E$504))</f>
        <v/>
      </c>
      <c r="H399" s="22" t="str">
        <f>IF(A399="","",SUMIF('Ventas Salidas'!$C$5:$C$504,A399,'Ventas Salidas'!$E$5:$E$504))</f>
        <v/>
      </c>
      <c r="I399" s="22" t="str">
        <f t="shared" si="21"/>
        <v/>
      </c>
      <c r="J399" s="22" t="str">
        <f t="shared" si="22"/>
        <v/>
      </c>
      <c r="K399" s="22" t="str">
        <f t="shared" si="23"/>
        <v/>
      </c>
      <c r="L399" s="22"/>
      <c r="M399" s="22" t="str">
        <f>IF(A399="","",IF(OR(J399="Bajo stock",J399="Sin stock"),COUNTIFS($J$5:$J399,"Bajo stock")+COUNTIFS($J$5:$J399,"Sin stock"),""))</f>
        <v/>
      </c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s="13" customFormat="1" ht="21.75" customHeight="1" x14ac:dyDescent="0.25">
      <c r="A400" s="22" t="str">
        <f>IF(Productos!A400="","",Productos!A400)</f>
        <v/>
      </c>
      <c r="B400" s="22" t="str">
        <f>IF(Productos!A400="","",Productos!B400)</f>
        <v/>
      </c>
      <c r="C400" s="22" t="str">
        <f>IF(Productos!A400="","",Productos!C400)</f>
        <v/>
      </c>
      <c r="D400" s="22" t="str">
        <f>IF(Productos!A400="","",Productos!D400)</f>
        <v/>
      </c>
      <c r="E400" s="22" t="str">
        <f>IF(Productos!A400="","",Productos!E400)</f>
        <v/>
      </c>
      <c r="F400" s="22" t="str">
        <f>IF(Productos!A400="","",Productos!F400)</f>
        <v/>
      </c>
      <c r="G400" s="22" t="str">
        <f>IF(A400="","",SUMIF('Compras Entradas'!$C$5:$C$504,A400,'Compras Entradas'!$E$5:$E$504))</f>
        <v/>
      </c>
      <c r="H400" s="22" t="str">
        <f>IF(A400="","",SUMIF('Ventas Salidas'!$C$5:$C$504,A400,'Ventas Salidas'!$E$5:$E$504))</f>
        <v/>
      </c>
      <c r="I400" s="22" t="str">
        <f t="shared" si="21"/>
        <v/>
      </c>
      <c r="J400" s="22" t="str">
        <f t="shared" si="22"/>
        <v/>
      </c>
      <c r="K400" s="22" t="str">
        <f t="shared" si="23"/>
        <v/>
      </c>
      <c r="L400" s="22"/>
      <c r="M400" s="22" t="str">
        <f>IF(A400="","",IF(OR(J400="Bajo stock",J400="Sin stock"),COUNTIFS($J$5:$J400,"Bajo stock")+COUNTIFS($J$5:$J400,"Sin stock"),""))</f>
        <v/>
      </c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s="13" customFormat="1" ht="21.75" customHeight="1" x14ac:dyDescent="0.25">
      <c r="A401" s="22" t="str">
        <f>IF(Productos!A401="","",Productos!A401)</f>
        <v/>
      </c>
      <c r="B401" s="22" t="str">
        <f>IF(Productos!A401="","",Productos!B401)</f>
        <v/>
      </c>
      <c r="C401" s="22" t="str">
        <f>IF(Productos!A401="","",Productos!C401)</f>
        <v/>
      </c>
      <c r="D401" s="22" t="str">
        <f>IF(Productos!A401="","",Productos!D401)</f>
        <v/>
      </c>
      <c r="E401" s="22" t="str">
        <f>IF(Productos!A401="","",Productos!E401)</f>
        <v/>
      </c>
      <c r="F401" s="22" t="str">
        <f>IF(Productos!A401="","",Productos!F401)</f>
        <v/>
      </c>
      <c r="G401" s="22" t="str">
        <f>IF(A401="","",SUMIF('Compras Entradas'!$C$5:$C$504,A401,'Compras Entradas'!$E$5:$E$504))</f>
        <v/>
      </c>
      <c r="H401" s="22" t="str">
        <f>IF(A401="","",SUMIF('Ventas Salidas'!$C$5:$C$504,A401,'Ventas Salidas'!$E$5:$E$504))</f>
        <v/>
      </c>
      <c r="I401" s="22" t="str">
        <f t="shared" si="21"/>
        <v/>
      </c>
      <c r="J401" s="22" t="str">
        <f t="shared" si="22"/>
        <v/>
      </c>
      <c r="K401" s="22" t="str">
        <f t="shared" si="23"/>
        <v/>
      </c>
      <c r="L401" s="22"/>
      <c r="M401" s="22" t="str">
        <f>IF(A401="","",IF(OR(J401="Bajo stock",J401="Sin stock"),COUNTIFS($J$5:$J401,"Bajo stock")+COUNTIFS($J$5:$J401,"Sin stock"),""))</f>
        <v/>
      </c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s="13" customFormat="1" ht="21.75" customHeight="1" x14ac:dyDescent="0.25">
      <c r="A402" s="22" t="str">
        <f>IF(Productos!A402="","",Productos!A402)</f>
        <v/>
      </c>
      <c r="B402" s="22" t="str">
        <f>IF(Productos!A402="","",Productos!B402)</f>
        <v/>
      </c>
      <c r="C402" s="22" t="str">
        <f>IF(Productos!A402="","",Productos!C402)</f>
        <v/>
      </c>
      <c r="D402" s="22" t="str">
        <f>IF(Productos!A402="","",Productos!D402)</f>
        <v/>
      </c>
      <c r="E402" s="22" t="str">
        <f>IF(Productos!A402="","",Productos!E402)</f>
        <v/>
      </c>
      <c r="F402" s="22" t="str">
        <f>IF(Productos!A402="","",Productos!F402)</f>
        <v/>
      </c>
      <c r="G402" s="22" t="str">
        <f>IF(A402="","",SUMIF('Compras Entradas'!$C$5:$C$504,A402,'Compras Entradas'!$E$5:$E$504))</f>
        <v/>
      </c>
      <c r="H402" s="22" t="str">
        <f>IF(A402="","",SUMIF('Ventas Salidas'!$C$5:$C$504,A402,'Ventas Salidas'!$E$5:$E$504))</f>
        <v/>
      </c>
      <c r="I402" s="22" t="str">
        <f t="shared" si="21"/>
        <v/>
      </c>
      <c r="J402" s="22" t="str">
        <f t="shared" si="22"/>
        <v/>
      </c>
      <c r="K402" s="22" t="str">
        <f t="shared" si="23"/>
        <v/>
      </c>
      <c r="L402" s="22"/>
      <c r="M402" s="22" t="str">
        <f>IF(A402="","",IF(OR(J402="Bajo stock",J402="Sin stock"),COUNTIFS($J$5:$J402,"Bajo stock")+COUNTIFS($J$5:$J402,"Sin stock"),""))</f>
        <v/>
      </c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s="13" customFormat="1" ht="21.75" customHeight="1" x14ac:dyDescent="0.25">
      <c r="A403" s="22" t="str">
        <f>IF(Productos!A403="","",Productos!A403)</f>
        <v/>
      </c>
      <c r="B403" s="22" t="str">
        <f>IF(Productos!A403="","",Productos!B403)</f>
        <v/>
      </c>
      <c r="C403" s="22" t="str">
        <f>IF(Productos!A403="","",Productos!C403)</f>
        <v/>
      </c>
      <c r="D403" s="22" t="str">
        <f>IF(Productos!A403="","",Productos!D403)</f>
        <v/>
      </c>
      <c r="E403" s="22" t="str">
        <f>IF(Productos!A403="","",Productos!E403)</f>
        <v/>
      </c>
      <c r="F403" s="22" t="str">
        <f>IF(Productos!A403="","",Productos!F403)</f>
        <v/>
      </c>
      <c r="G403" s="22" t="str">
        <f>IF(A403="","",SUMIF('Compras Entradas'!$C$5:$C$504,A403,'Compras Entradas'!$E$5:$E$504))</f>
        <v/>
      </c>
      <c r="H403" s="22" t="str">
        <f>IF(A403="","",SUMIF('Ventas Salidas'!$C$5:$C$504,A403,'Ventas Salidas'!$E$5:$E$504))</f>
        <v/>
      </c>
      <c r="I403" s="22" t="str">
        <f t="shared" si="21"/>
        <v/>
      </c>
      <c r="J403" s="22" t="str">
        <f t="shared" si="22"/>
        <v/>
      </c>
      <c r="K403" s="22" t="str">
        <f t="shared" si="23"/>
        <v/>
      </c>
      <c r="L403" s="22"/>
      <c r="M403" s="22" t="str">
        <f>IF(A403="","",IF(OR(J403="Bajo stock",J403="Sin stock"),COUNTIFS($J$5:$J403,"Bajo stock")+COUNTIFS($J$5:$J403,"Sin stock"),""))</f>
        <v/>
      </c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s="13" customFormat="1" ht="21.75" customHeight="1" x14ac:dyDescent="0.25">
      <c r="A404" s="22" t="str">
        <f>IF(Productos!A404="","",Productos!A404)</f>
        <v/>
      </c>
      <c r="B404" s="22" t="str">
        <f>IF(Productos!A404="","",Productos!B404)</f>
        <v/>
      </c>
      <c r="C404" s="22" t="str">
        <f>IF(Productos!A404="","",Productos!C404)</f>
        <v/>
      </c>
      <c r="D404" s="22" t="str">
        <f>IF(Productos!A404="","",Productos!D404)</f>
        <v/>
      </c>
      <c r="E404" s="22" t="str">
        <f>IF(Productos!A404="","",Productos!E404)</f>
        <v/>
      </c>
      <c r="F404" s="22" t="str">
        <f>IF(Productos!A404="","",Productos!F404)</f>
        <v/>
      </c>
      <c r="G404" s="22" t="str">
        <f>IF(A404="","",SUMIF('Compras Entradas'!$C$5:$C$504,A404,'Compras Entradas'!$E$5:$E$504))</f>
        <v/>
      </c>
      <c r="H404" s="22" t="str">
        <f>IF(A404="","",SUMIF('Ventas Salidas'!$C$5:$C$504,A404,'Ventas Salidas'!$E$5:$E$504))</f>
        <v/>
      </c>
      <c r="I404" s="22" t="str">
        <f t="shared" si="21"/>
        <v/>
      </c>
      <c r="J404" s="22" t="str">
        <f t="shared" si="22"/>
        <v/>
      </c>
      <c r="K404" s="22" t="str">
        <f t="shared" si="23"/>
        <v/>
      </c>
      <c r="L404" s="22"/>
      <c r="M404" s="22" t="str">
        <f>IF(A404="","",IF(OR(J404="Bajo stock",J404="Sin stock"),COUNTIFS($J$5:$J404,"Bajo stock")+COUNTIFS($J$5:$J404,"Sin stock"),""))</f>
        <v/>
      </c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s="13" customFormat="1" ht="21.75" customHeight="1" x14ac:dyDescent="0.25">
      <c r="A405" s="22" t="str">
        <f>IF(Productos!A405="","",Productos!A405)</f>
        <v/>
      </c>
      <c r="B405" s="22" t="str">
        <f>IF(Productos!A405="","",Productos!B405)</f>
        <v/>
      </c>
      <c r="C405" s="22" t="str">
        <f>IF(Productos!A405="","",Productos!C405)</f>
        <v/>
      </c>
      <c r="D405" s="22" t="str">
        <f>IF(Productos!A405="","",Productos!D405)</f>
        <v/>
      </c>
      <c r="E405" s="22" t="str">
        <f>IF(Productos!A405="","",Productos!E405)</f>
        <v/>
      </c>
      <c r="F405" s="22" t="str">
        <f>IF(Productos!A405="","",Productos!F405)</f>
        <v/>
      </c>
      <c r="G405" s="22" t="str">
        <f>IF(A405="","",SUMIF('Compras Entradas'!$C$5:$C$504,A405,'Compras Entradas'!$E$5:$E$504))</f>
        <v/>
      </c>
      <c r="H405" s="22" t="str">
        <f>IF(A405="","",SUMIF('Ventas Salidas'!$C$5:$C$504,A405,'Ventas Salidas'!$E$5:$E$504))</f>
        <v/>
      </c>
      <c r="I405" s="22" t="str">
        <f t="shared" si="21"/>
        <v/>
      </c>
      <c r="J405" s="22" t="str">
        <f t="shared" si="22"/>
        <v/>
      </c>
      <c r="K405" s="22" t="str">
        <f t="shared" si="23"/>
        <v/>
      </c>
      <c r="L405" s="22"/>
      <c r="M405" s="22" t="str">
        <f>IF(A405="","",IF(OR(J405="Bajo stock",J405="Sin stock"),COUNTIFS($J$5:$J405,"Bajo stock")+COUNTIFS($J$5:$J405,"Sin stock"),""))</f>
        <v/>
      </c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s="13" customFormat="1" ht="21.75" customHeight="1" x14ac:dyDescent="0.25">
      <c r="A406" s="22" t="str">
        <f>IF(Productos!A406="","",Productos!A406)</f>
        <v/>
      </c>
      <c r="B406" s="22" t="str">
        <f>IF(Productos!A406="","",Productos!B406)</f>
        <v/>
      </c>
      <c r="C406" s="22" t="str">
        <f>IF(Productos!A406="","",Productos!C406)</f>
        <v/>
      </c>
      <c r="D406" s="22" t="str">
        <f>IF(Productos!A406="","",Productos!D406)</f>
        <v/>
      </c>
      <c r="E406" s="22" t="str">
        <f>IF(Productos!A406="","",Productos!E406)</f>
        <v/>
      </c>
      <c r="F406" s="22" t="str">
        <f>IF(Productos!A406="","",Productos!F406)</f>
        <v/>
      </c>
      <c r="G406" s="22" t="str">
        <f>IF(A406="","",SUMIF('Compras Entradas'!$C$5:$C$504,A406,'Compras Entradas'!$E$5:$E$504))</f>
        <v/>
      </c>
      <c r="H406" s="22" t="str">
        <f>IF(A406="","",SUMIF('Ventas Salidas'!$C$5:$C$504,A406,'Ventas Salidas'!$E$5:$E$504))</f>
        <v/>
      </c>
      <c r="I406" s="22" t="str">
        <f t="shared" si="21"/>
        <v/>
      </c>
      <c r="J406" s="22" t="str">
        <f t="shared" si="22"/>
        <v/>
      </c>
      <c r="K406" s="22" t="str">
        <f t="shared" si="23"/>
        <v/>
      </c>
      <c r="L406" s="22"/>
      <c r="M406" s="22" t="str">
        <f>IF(A406="","",IF(OR(J406="Bajo stock",J406="Sin stock"),COUNTIFS($J$5:$J406,"Bajo stock")+COUNTIFS($J$5:$J406,"Sin stock"),""))</f>
        <v/>
      </c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s="13" customFormat="1" ht="21.75" customHeight="1" x14ac:dyDescent="0.25">
      <c r="A407" s="22" t="str">
        <f>IF(Productos!A407="","",Productos!A407)</f>
        <v/>
      </c>
      <c r="B407" s="22" t="str">
        <f>IF(Productos!A407="","",Productos!B407)</f>
        <v/>
      </c>
      <c r="C407" s="22" t="str">
        <f>IF(Productos!A407="","",Productos!C407)</f>
        <v/>
      </c>
      <c r="D407" s="22" t="str">
        <f>IF(Productos!A407="","",Productos!D407)</f>
        <v/>
      </c>
      <c r="E407" s="22" t="str">
        <f>IF(Productos!A407="","",Productos!E407)</f>
        <v/>
      </c>
      <c r="F407" s="22" t="str">
        <f>IF(Productos!A407="","",Productos!F407)</f>
        <v/>
      </c>
      <c r="G407" s="22" t="str">
        <f>IF(A407="","",SUMIF('Compras Entradas'!$C$5:$C$504,A407,'Compras Entradas'!$E$5:$E$504))</f>
        <v/>
      </c>
      <c r="H407" s="22" t="str">
        <f>IF(A407="","",SUMIF('Ventas Salidas'!$C$5:$C$504,A407,'Ventas Salidas'!$E$5:$E$504))</f>
        <v/>
      </c>
      <c r="I407" s="22" t="str">
        <f t="shared" si="21"/>
        <v/>
      </c>
      <c r="J407" s="22" t="str">
        <f t="shared" si="22"/>
        <v/>
      </c>
      <c r="K407" s="22" t="str">
        <f t="shared" si="23"/>
        <v/>
      </c>
      <c r="L407" s="22"/>
      <c r="M407" s="22" t="str">
        <f>IF(A407="","",IF(OR(J407="Bajo stock",J407="Sin stock"),COUNTIFS($J$5:$J407,"Bajo stock")+COUNTIFS($J$5:$J407,"Sin stock"),""))</f>
        <v/>
      </c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s="13" customFormat="1" ht="21.75" customHeight="1" x14ac:dyDescent="0.25">
      <c r="A408" s="22" t="str">
        <f>IF(Productos!A408="","",Productos!A408)</f>
        <v/>
      </c>
      <c r="B408" s="22" t="str">
        <f>IF(Productos!A408="","",Productos!B408)</f>
        <v/>
      </c>
      <c r="C408" s="22" t="str">
        <f>IF(Productos!A408="","",Productos!C408)</f>
        <v/>
      </c>
      <c r="D408" s="22" t="str">
        <f>IF(Productos!A408="","",Productos!D408)</f>
        <v/>
      </c>
      <c r="E408" s="22" t="str">
        <f>IF(Productos!A408="","",Productos!E408)</f>
        <v/>
      </c>
      <c r="F408" s="22" t="str">
        <f>IF(Productos!A408="","",Productos!F408)</f>
        <v/>
      </c>
      <c r="G408" s="22" t="str">
        <f>IF(A408="","",SUMIF('Compras Entradas'!$C$5:$C$504,A408,'Compras Entradas'!$E$5:$E$504))</f>
        <v/>
      </c>
      <c r="H408" s="22" t="str">
        <f>IF(A408="","",SUMIF('Ventas Salidas'!$C$5:$C$504,A408,'Ventas Salidas'!$E$5:$E$504))</f>
        <v/>
      </c>
      <c r="I408" s="22" t="str">
        <f t="shared" si="21"/>
        <v/>
      </c>
      <c r="J408" s="22" t="str">
        <f t="shared" si="22"/>
        <v/>
      </c>
      <c r="K408" s="22" t="str">
        <f t="shared" si="23"/>
        <v/>
      </c>
      <c r="L408" s="22"/>
      <c r="M408" s="22" t="str">
        <f>IF(A408="","",IF(OR(J408="Bajo stock",J408="Sin stock"),COUNTIFS($J$5:$J408,"Bajo stock")+COUNTIFS($J$5:$J408,"Sin stock"),""))</f>
        <v/>
      </c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s="13" customFormat="1" ht="21.75" customHeight="1" x14ac:dyDescent="0.25">
      <c r="A409" s="22" t="str">
        <f>IF(Productos!A409="","",Productos!A409)</f>
        <v/>
      </c>
      <c r="B409" s="22" t="str">
        <f>IF(Productos!A409="","",Productos!B409)</f>
        <v/>
      </c>
      <c r="C409" s="22" t="str">
        <f>IF(Productos!A409="","",Productos!C409)</f>
        <v/>
      </c>
      <c r="D409" s="22" t="str">
        <f>IF(Productos!A409="","",Productos!D409)</f>
        <v/>
      </c>
      <c r="E409" s="22" t="str">
        <f>IF(Productos!A409="","",Productos!E409)</f>
        <v/>
      </c>
      <c r="F409" s="22" t="str">
        <f>IF(Productos!A409="","",Productos!F409)</f>
        <v/>
      </c>
      <c r="G409" s="22" t="str">
        <f>IF(A409="","",SUMIF('Compras Entradas'!$C$5:$C$504,A409,'Compras Entradas'!$E$5:$E$504))</f>
        <v/>
      </c>
      <c r="H409" s="22" t="str">
        <f>IF(A409="","",SUMIF('Ventas Salidas'!$C$5:$C$504,A409,'Ventas Salidas'!$E$5:$E$504))</f>
        <v/>
      </c>
      <c r="I409" s="22" t="str">
        <f t="shared" si="21"/>
        <v/>
      </c>
      <c r="J409" s="22" t="str">
        <f t="shared" si="22"/>
        <v/>
      </c>
      <c r="K409" s="22" t="str">
        <f t="shared" si="23"/>
        <v/>
      </c>
      <c r="L409" s="22"/>
      <c r="M409" s="22" t="str">
        <f>IF(A409="","",IF(OR(J409="Bajo stock",J409="Sin stock"),COUNTIFS($J$5:$J409,"Bajo stock")+COUNTIFS($J$5:$J409,"Sin stock"),""))</f>
        <v/>
      </c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s="13" customFormat="1" ht="21.75" customHeight="1" x14ac:dyDescent="0.25">
      <c r="A410" s="22" t="str">
        <f>IF(Productos!A410="","",Productos!A410)</f>
        <v/>
      </c>
      <c r="B410" s="22" t="str">
        <f>IF(Productos!A410="","",Productos!B410)</f>
        <v/>
      </c>
      <c r="C410" s="22" t="str">
        <f>IF(Productos!A410="","",Productos!C410)</f>
        <v/>
      </c>
      <c r="D410" s="22" t="str">
        <f>IF(Productos!A410="","",Productos!D410)</f>
        <v/>
      </c>
      <c r="E410" s="22" t="str">
        <f>IF(Productos!A410="","",Productos!E410)</f>
        <v/>
      </c>
      <c r="F410" s="22" t="str">
        <f>IF(Productos!A410="","",Productos!F410)</f>
        <v/>
      </c>
      <c r="G410" s="22" t="str">
        <f>IF(A410="","",SUMIF('Compras Entradas'!$C$5:$C$504,A410,'Compras Entradas'!$E$5:$E$504))</f>
        <v/>
      </c>
      <c r="H410" s="22" t="str">
        <f>IF(A410="","",SUMIF('Ventas Salidas'!$C$5:$C$504,A410,'Ventas Salidas'!$E$5:$E$504))</f>
        <v/>
      </c>
      <c r="I410" s="22" t="str">
        <f t="shared" si="21"/>
        <v/>
      </c>
      <c r="J410" s="22" t="str">
        <f t="shared" si="22"/>
        <v/>
      </c>
      <c r="K410" s="22" t="str">
        <f t="shared" si="23"/>
        <v/>
      </c>
      <c r="L410" s="22"/>
      <c r="M410" s="22" t="str">
        <f>IF(A410="","",IF(OR(J410="Bajo stock",J410="Sin stock"),COUNTIFS($J$5:$J410,"Bajo stock")+COUNTIFS($J$5:$J410,"Sin stock"),""))</f>
        <v/>
      </c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s="13" customFormat="1" ht="21.75" customHeight="1" x14ac:dyDescent="0.25">
      <c r="A411" s="22" t="str">
        <f>IF(Productos!A411="","",Productos!A411)</f>
        <v/>
      </c>
      <c r="B411" s="22" t="str">
        <f>IF(Productos!A411="","",Productos!B411)</f>
        <v/>
      </c>
      <c r="C411" s="22" t="str">
        <f>IF(Productos!A411="","",Productos!C411)</f>
        <v/>
      </c>
      <c r="D411" s="22" t="str">
        <f>IF(Productos!A411="","",Productos!D411)</f>
        <v/>
      </c>
      <c r="E411" s="22" t="str">
        <f>IF(Productos!A411="","",Productos!E411)</f>
        <v/>
      </c>
      <c r="F411" s="22" t="str">
        <f>IF(Productos!A411="","",Productos!F411)</f>
        <v/>
      </c>
      <c r="G411" s="22" t="str">
        <f>IF(A411="","",SUMIF('Compras Entradas'!$C$5:$C$504,A411,'Compras Entradas'!$E$5:$E$504))</f>
        <v/>
      </c>
      <c r="H411" s="22" t="str">
        <f>IF(A411="","",SUMIF('Ventas Salidas'!$C$5:$C$504,A411,'Ventas Salidas'!$E$5:$E$504))</f>
        <v/>
      </c>
      <c r="I411" s="22" t="str">
        <f t="shared" si="21"/>
        <v/>
      </c>
      <c r="J411" s="22" t="str">
        <f t="shared" si="22"/>
        <v/>
      </c>
      <c r="K411" s="22" t="str">
        <f t="shared" si="23"/>
        <v/>
      </c>
      <c r="L411" s="22"/>
      <c r="M411" s="22" t="str">
        <f>IF(A411="","",IF(OR(J411="Bajo stock",J411="Sin stock"),COUNTIFS($J$5:$J411,"Bajo stock")+COUNTIFS($J$5:$J411,"Sin stock"),""))</f>
        <v/>
      </c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s="13" customFormat="1" ht="21.75" customHeight="1" x14ac:dyDescent="0.25">
      <c r="A412" s="22" t="str">
        <f>IF(Productos!A412="","",Productos!A412)</f>
        <v/>
      </c>
      <c r="B412" s="22" t="str">
        <f>IF(Productos!A412="","",Productos!B412)</f>
        <v/>
      </c>
      <c r="C412" s="22" t="str">
        <f>IF(Productos!A412="","",Productos!C412)</f>
        <v/>
      </c>
      <c r="D412" s="22" t="str">
        <f>IF(Productos!A412="","",Productos!D412)</f>
        <v/>
      </c>
      <c r="E412" s="22" t="str">
        <f>IF(Productos!A412="","",Productos!E412)</f>
        <v/>
      </c>
      <c r="F412" s="22" t="str">
        <f>IF(Productos!A412="","",Productos!F412)</f>
        <v/>
      </c>
      <c r="G412" s="22" t="str">
        <f>IF(A412="","",SUMIF('Compras Entradas'!$C$5:$C$504,A412,'Compras Entradas'!$E$5:$E$504))</f>
        <v/>
      </c>
      <c r="H412" s="22" t="str">
        <f>IF(A412="","",SUMIF('Ventas Salidas'!$C$5:$C$504,A412,'Ventas Salidas'!$E$5:$E$504))</f>
        <v/>
      </c>
      <c r="I412" s="22" t="str">
        <f t="shared" si="21"/>
        <v/>
      </c>
      <c r="J412" s="22" t="str">
        <f t="shared" si="22"/>
        <v/>
      </c>
      <c r="K412" s="22" t="str">
        <f t="shared" si="23"/>
        <v/>
      </c>
      <c r="L412" s="22"/>
      <c r="M412" s="22" t="str">
        <f>IF(A412="","",IF(OR(J412="Bajo stock",J412="Sin stock"),COUNTIFS($J$5:$J412,"Bajo stock")+COUNTIFS($J$5:$J412,"Sin stock"),""))</f>
        <v/>
      </c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s="13" customFormat="1" ht="21.75" customHeight="1" x14ac:dyDescent="0.25">
      <c r="A413" s="22" t="str">
        <f>IF(Productos!A413="","",Productos!A413)</f>
        <v/>
      </c>
      <c r="B413" s="22" t="str">
        <f>IF(Productos!A413="","",Productos!B413)</f>
        <v/>
      </c>
      <c r="C413" s="22" t="str">
        <f>IF(Productos!A413="","",Productos!C413)</f>
        <v/>
      </c>
      <c r="D413" s="22" t="str">
        <f>IF(Productos!A413="","",Productos!D413)</f>
        <v/>
      </c>
      <c r="E413" s="22" t="str">
        <f>IF(Productos!A413="","",Productos!E413)</f>
        <v/>
      </c>
      <c r="F413" s="22" t="str">
        <f>IF(Productos!A413="","",Productos!F413)</f>
        <v/>
      </c>
      <c r="G413" s="22" t="str">
        <f>IF(A413="","",SUMIF('Compras Entradas'!$C$5:$C$504,A413,'Compras Entradas'!$E$5:$E$504))</f>
        <v/>
      </c>
      <c r="H413" s="22" t="str">
        <f>IF(A413="","",SUMIF('Ventas Salidas'!$C$5:$C$504,A413,'Ventas Salidas'!$E$5:$E$504))</f>
        <v/>
      </c>
      <c r="I413" s="22" t="str">
        <f t="shared" si="21"/>
        <v/>
      </c>
      <c r="J413" s="22" t="str">
        <f t="shared" si="22"/>
        <v/>
      </c>
      <c r="K413" s="22" t="str">
        <f t="shared" si="23"/>
        <v/>
      </c>
      <c r="L413" s="22"/>
      <c r="M413" s="22" t="str">
        <f>IF(A413="","",IF(OR(J413="Bajo stock",J413="Sin stock"),COUNTIFS($J$5:$J413,"Bajo stock")+COUNTIFS($J$5:$J413,"Sin stock"),""))</f>
        <v/>
      </c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s="13" customFormat="1" ht="21.75" customHeight="1" x14ac:dyDescent="0.25">
      <c r="A414" s="13" t="str">
        <f>IF(Productos!A414="","",Productos!A414)</f>
        <v/>
      </c>
      <c r="B414" s="13" t="str">
        <f>IF(Productos!A414="","",Productos!B414)</f>
        <v/>
      </c>
      <c r="C414" s="13" t="str">
        <f>IF(Productos!A414="","",Productos!C414)</f>
        <v/>
      </c>
      <c r="D414" s="13" t="str">
        <f>IF(Productos!A414="","",Productos!D414)</f>
        <v/>
      </c>
      <c r="E414" s="13" t="str">
        <f>IF(Productos!A414="","",Productos!E414)</f>
        <v/>
      </c>
      <c r="F414" s="13" t="str">
        <f>IF(Productos!A414="","",Productos!F414)</f>
        <v/>
      </c>
      <c r="G414" s="13" t="str">
        <f>IF(A414="","",SUMIF('Compras Entradas'!$C$5:$C$504,A414,'Compras Entradas'!$E$5:$E$504))</f>
        <v/>
      </c>
      <c r="H414" s="13" t="str">
        <f>IF(A414="","",SUMIF('Ventas Salidas'!$C$5:$C$504,A414,'Ventas Salidas'!$E$5:$E$504))</f>
        <v/>
      </c>
      <c r="I414" s="13" t="str">
        <f t="shared" si="21"/>
        <v/>
      </c>
      <c r="J414" s="13" t="str">
        <f t="shared" si="22"/>
        <v/>
      </c>
      <c r="K414" s="13" t="str">
        <f t="shared" si="23"/>
        <v/>
      </c>
      <c r="L414" s="22"/>
      <c r="M414" s="22" t="str">
        <f>IF(A414="","",IF(OR(J414="Bajo stock",J414="Sin stock"),COUNTIFS($J$5:$J414,"Bajo stock")+COUNTIFS($J$5:$J414,"Sin stock"),""))</f>
        <v/>
      </c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s="13" customFormat="1" ht="21.75" customHeight="1" x14ac:dyDescent="0.25">
      <c r="A415" s="13" t="str">
        <f>IF(Productos!A415="","",Productos!A415)</f>
        <v/>
      </c>
      <c r="B415" s="13" t="str">
        <f>IF(Productos!A415="","",Productos!B415)</f>
        <v/>
      </c>
      <c r="C415" s="13" t="str">
        <f>IF(Productos!A415="","",Productos!C415)</f>
        <v/>
      </c>
      <c r="D415" s="13" t="str">
        <f>IF(Productos!A415="","",Productos!D415)</f>
        <v/>
      </c>
      <c r="E415" s="13" t="str">
        <f>IF(Productos!A415="","",Productos!E415)</f>
        <v/>
      </c>
      <c r="F415" s="13" t="str">
        <f>IF(Productos!A415="","",Productos!F415)</f>
        <v/>
      </c>
      <c r="G415" s="13" t="str">
        <f>IF(A415="","",SUMIF('Compras Entradas'!$C$5:$C$504,A415,'Compras Entradas'!$E$5:$E$504))</f>
        <v/>
      </c>
      <c r="H415" s="13" t="str">
        <f>IF(A415="","",SUMIF('Ventas Salidas'!$C$5:$C$504,A415,'Ventas Salidas'!$E$5:$E$504))</f>
        <v/>
      </c>
      <c r="I415" s="13" t="str">
        <f t="shared" si="21"/>
        <v/>
      </c>
      <c r="J415" s="13" t="str">
        <f t="shared" si="22"/>
        <v/>
      </c>
      <c r="K415" s="13" t="str">
        <f t="shared" si="23"/>
        <v/>
      </c>
      <c r="L415" s="22"/>
      <c r="M415" s="22" t="str">
        <f>IF(A415="","",IF(OR(J415="Bajo stock",J415="Sin stock"),COUNTIFS($J$5:$J415,"Bajo stock")+COUNTIFS($J$5:$J415,"Sin stock"),""))</f>
        <v/>
      </c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s="13" customFormat="1" ht="21.75" customHeight="1" x14ac:dyDescent="0.25">
      <c r="A416" s="13" t="str">
        <f>IF(Productos!A416="","",Productos!A416)</f>
        <v/>
      </c>
      <c r="B416" s="13" t="str">
        <f>IF(Productos!A416="","",Productos!B416)</f>
        <v/>
      </c>
      <c r="C416" s="13" t="str">
        <f>IF(Productos!A416="","",Productos!C416)</f>
        <v/>
      </c>
      <c r="D416" s="13" t="str">
        <f>IF(Productos!A416="","",Productos!D416)</f>
        <v/>
      </c>
      <c r="E416" s="13" t="str">
        <f>IF(Productos!A416="","",Productos!E416)</f>
        <v/>
      </c>
      <c r="F416" s="13" t="str">
        <f>IF(Productos!A416="","",Productos!F416)</f>
        <v/>
      </c>
      <c r="G416" s="13" t="str">
        <f>IF(A416="","",SUMIF('Compras Entradas'!$C$5:$C$504,A416,'Compras Entradas'!$E$5:$E$504))</f>
        <v/>
      </c>
      <c r="H416" s="13" t="str">
        <f>IF(A416="","",SUMIF('Ventas Salidas'!$C$5:$C$504,A416,'Ventas Salidas'!$E$5:$E$504))</f>
        <v/>
      </c>
      <c r="I416" s="13" t="str">
        <f t="shared" si="21"/>
        <v/>
      </c>
      <c r="J416" s="13" t="str">
        <f t="shared" si="22"/>
        <v/>
      </c>
      <c r="K416" s="13" t="str">
        <f t="shared" si="23"/>
        <v/>
      </c>
      <c r="L416" s="22"/>
      <c r="M416" s="22" t="str">
        <f>IF(A416="","",IF(OR(J416="Bajo stock",J416="Sin stock"),COUNTIFS($J$5:$J416,"Bajo stock")+COUNTIFS($J$5:$J416,"Sin stock"),""))</f>
        <v/>
      </c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s="13" customFormat="1" ht="21.75" customHeight="1" x14ac:dyDescent="0.25">
      <c r="A417" s="13" t="str">
        <f>IF(Productos!A417="","",Productos!A417)</f>
        <v/>
      </c>
      <c r="B417" s="13" t="str">
        <f>IF(Productos!A417="","",Productos!B417)</f>
        <v/>
      </c>
      <c r="C417" s="13" t="str">
        <f>IF(Productos!A417="","",Productos!C417)</f>
        <v/>
      </c>
      <c r="D417" s="13" t="str">
        <f>IF(Productos!A417="","",Productos!D417)</f>
        <v/>
      </c>
      <c r="E417" s="13" t="str">
        <f>IF(Productos!A417="","",Productos!E417)</f>
        <v/>
      </c>
      <c r="F417" s="13" t="str">
        <f>IF(Productos!A417="","",Productos!F417)</f>
        <v/>
      </c>
      <c r="G417" s="13" t="str">
        <f>IF(A417="","",SUMIF('Compras Entradas'!$C$5:$C$504,A417,'Compras Entradas'!$E$5:$E$504))</f>
        <v/>
      </c>
      <c r="H417" s="13" t="str">
        <f>IF(A417="","",SUMIF('Ventas Salidas'!$C$5:$C$504,A417,'Ventas Salidas'!$E$5:$E$504))</f>
        <v/>
      </c>
      <c r="I417" s="13" t="str">
        <f t="shared" si="21"/>
        <v/>
      </c>
      <c r="J417" s="13" t="str">
        <f t="shared" si="22"/>
        <v/>
      </c>
      <c r="K417" s="13" t="str">
        <f t="shared" si="23"/>
        <v/>
      </c>
      <c r="L417" s="22"/>
      <c r="M417" s="22" t="str">
        <f>IF(A417="","",IF(OR(J417="Bajo stock",J417="Sin stock"),COUNTIFS($J$5:$J417,"Bajo stock")+COUNTIFS($J$5:$J417,"Sin stock"),""))</f>
        <v/>
      </c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s="13" customFormat="1" ht="21.75" customHeight="1" x14ac:dyDescent="0.25">
      <c r="A418" s="13" t="str">
        <f>IF(Productos!A418="","",Productos!A418)</f>
        <v/>
      </c>
      <c r="B418" s="13" t="str">
        <f>IF(Productos!A418="","",Productos!B418)</f>
        <v/>
      </c>
      <c r="C418" s="13" t="str">
        <f>IF(Productos!A418="","",Productos!C418)</f>
        <v/>
      </c>
      <c r="D418" s="13" t="str">
        <f>IF(Productos!A418="","",Productos!D418)</f>
        <v/>
      </c>
      <c r="E418" s="13" t="str">
        <f>IF(Productos!A418="","",Productos!E418)</f>
        <v/>
      </c>
      <c r="F418" s="13" t="str">
        <f>IF(Productos!A418="","",Productos!F418)</f>
        <v/>
      </c>
      <c r="G418" s="13" t="str">
        <f>IF(A418="","",SUMIF('Compras Entradas'!$C$5:$C$504,A418,'Compras Entradas'!$E$5:$E$504))</f>
        <v/>
      </c>
      <c r="H418" s="13" t="str">
        <f>IF(A418="","",SUMIF('Ventas Salidas'!$C$5:$C$504,A418,'Ventas Salidas'!$E$5:$E$504))</f>
        <v/>
      </c>
      <c r="I418" s="13" t="str">
        <f t="shared" si="21"/>
        <v/>
      </c>
      <c r="J418" s="13" t="str">
        <f t="shared" si="22"/>
        <v/>
      </c>
      <c r="K418" s="13" t="str">
        <f t="shared" si="23"/>
        <v/>
      </c>
      <c r="L418" s="22"/>
      <c r="M418" s="22" t="str">
        <f>IF(A418="","",IF(OR(J418="Bajo stock",J418="Sin stock"),COUNTIFS($J$5:$J418,"Bajo stock")+COUNTIFS($J$5:$J418,"Sin stock"),""))</f>
        <v/>
      </c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s="13" customFormat="1" ht="21.75" customHeight="1" x14ac:dyDescent="0.25">
      <c r="A419" s="13" t="str">
        <f>IF(Productos!A419="","",Productos!A419)</f>
        <v/>
      </c>
      <c r="B419" s="13" t="str">
        <f>IF(Productos!A419="","",Productos!B419)</f>
        <v/>
      </c>
      <c r="C419" s="13" t="str">
        <f>IF(Productos!A419="","",Productos!C419)</f>
        <v/>
      </c>
      <c r="D419" s="13" t="str">
        <f>IF(Productos!A419="","",Productos!D419)</f>
        <v/>
      </c>
      <c r="E419" s="13" t="str">
        <f>IF(Productos!A419="","",Productos!E419)</f>
        <v/>
      </c>
      <c r="F419" s="13" t="str">
        <f>IF(Productos!A419="","",Productos!F419)</f>
        <v/>
      </c>
      <c r="G419" s="13" t="str">
        <f>IF(A419="","",SUMIF('Compras Entradas'!$C$5:$C$504,A419,'Compras Entradas'!$E$5:$E$504))</f>
        <v/>
      </c>
      <c r="H419" s="13" t="str">
        <f>IF(A419="","",SUMIF('Ventas Salidas'!$C$5:$C$504,A419,'Ventas Salidas'!$E$5:$E$504))</f>
        <v/>
      </c>
      <c r="I419" s="13" t="str">
        <f t="shared" si="21"/>
        <v/>
      </c>
      <c r="J419" s="13" t="str">
        <f t="shared" si="22"/>
        <v/>
      </c>
      <c r="K419" s="13" t="str">
        <f t="shared" si="23"/>
        <v/>
      </c>
      <c r="L419" s="22"/>
      <c r="M419" s="22" t="str">
        <f>IF(A419="","",IF(OR(J419="Bajo stock",J419="Sin stock"),COUNTIFS($J$5:$J419,"Bajo stock")+COUNTIFS($J$5:$J419,"Sin stock"),""))</f>
        <v/>
      </c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s="13" customFormat="1" ht="21.75" customHeight="1" x14ac:dyDescent="0.25">
      <c r="A420" s="13" t="str">
        <f>IF(Productos!A420="","",Productos!A420)</f>
        <v/>
      </c>
      <c r="B420" s="13" t="str">
        <f>IF(Productos!A420="","",Productos!B420)</f>
        <v/>
      </c>
      <c r="C420" s="13" t="str">
        <f>IF(Productos!A420="","",Productos!C420)</f>
        <v/>
      </c>
      <c r="D420" s="13" t="str">
        <f>IF(Productos!A420="","",Productos!D420)</f>
        <v/>
      </c>
      <c r="E420" s="13" t="str">
        <f>IF(Productos!A420="","",Productos!E420)</f>
        <v/>
      </c>
      <c r="F420" s="13" t="str">
        <f>IF(Productos!A420="","",Productos!F420)</f>
        <v/>
      </c>
      <c r="G420" s="13" t="str">
        <f>IF(A420="","",SUMIF('Compras Entradas'!$C$5:$C$504,A420,'Compras Entradas'!$E$5:$E$504))</f>
        <v/>
      </c>
      <c r="H420" s="13" t="str">
        <f>IF(A420="","",SUMIF('Ventas Salidas'!$C$5:$C$504,A420,'Ventas Salidas'!$E$5:$E$504))</f>
        <v/>
      </c>
      <c r="I420" s="13" t="str">
        <f t="shared" si="21"/>
        <v/>
      </c>
      <c r="J420" s="13" t="str">
        <f t="shared" si="22"/>
        <v/>
      </c>
      <c r="K420" s="13" t="str">
        <f t="shared" si="23"/>
        <v/>
      </c>
      <c r="L420" s="22"/>
      <c r="M420" s="22" t="str">
        <f>IF(A420="","",IF(OR(J420="Bajo stock",J420="Sin stock"),COUNTIFS($J$5:$J420,"Bajo stock")+COUNTIFS($J$5:$J420,"Sin stock"),""))</f>
        <v/>
      </c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s="13" customFormat="1" ht="21.75" customHeight="1" x14ac:dyDescent="0.25">
      <c r="A421" s="13" t="str">
        <f>IF(Productos!A421="","",Productos!A421)</f>
        <v/>
      </c>
      <c r="B421" s="13" t="str">
        <f>IF(Productos!A421="","",Productos!B421)</f>
        <v/>
      </c>
      <c r="C421" s="13" t="str">
        <f>IF(Productos!A421="","",Productos!C421)</f>
        <v/>
      </c>
      <c r="D421" s="13" t="str">
        <f>IF(Productos!A421="","",Productos!D421)</f>
        <v/>
      </c>
      <c r="E421" s="13" t="str">
        <f>IF(Productos!A421="","",Productos!E421)</f>
        <v/>
      </c>
      <c r="F421" s="13" t="str">
        <f>IF(Productos!A421="","",Productos!F421)</f>
        <v/>
      </c>
      <c r="G421" s="13" t="str">
        <f>IF(A421="","",SUMIF('Compras Entradas'!$C$5:$C$504,A421,'Compras Entradas'!$E$5:$E$504))</f>
        <v/>
      </c>
      <c r="H421" s="13" t="str">
        <f>IF(A421="","",SUMIF('Ventas Salidas'!$C$5:$C$504,A421,'Ventas Salidas'!$E$5:$E$504))</f>
        <v/>
      </c>
      <c r="I421" s="13" t="str">
        <f t="shared" si="21"/>
        <v/>
      </c>
      <c r="J421" s="13" t="str">
        <f t="shared" si="22"/>
        <v/>
      </c>
      <c r="K421" s="13" t="str">
        <f t="shared" si="23"/>
        <v/>
      </c>
      <c r="L421" s="22"/>
      <c r="M421" s="22" t="str">
        <f>IF(A421="","",IF(OR(J421="Bajo stock",J421="Sin stock"),COUNTIFS($J$5:$J421,"Bajo stock")+COUNTIFS($J$5:$J421,"Sin stock"),""))</f>
        <v/>
      </c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s="13" customFormat="1" ht="21.75" customHeight="1" x14ac:dyDescent="0.25">
      <c r="A422" s="13" t="str">
        <f>IF(Productos!A422="","",Productos!A422)</f>
        <v/>
      </c>
      <c r="B422" s="13" t="str">
        <f>IF(Productos!A422="","",Productos!B422)</f>
        <v/>
      </c>
      <c r="C422" s="13" t="str">
        <f>IF(Productos!A422="","",Productos!C422)</f>
        <v/>
      </c>
      <c r="D422" s="13" t="str">
        <f>IF(Productos!A422="","",Productos!D422)</f>
        <v/>
      </c>
      <c r="E422" s="13" t="str">
        <f>IF(Productos!A422="","",Productos!E422)</f>
        <v/>
      </c>
      <c r="F422" s="13" t="str">
        <f>IF(Productos!A422="","",Productos!F422)</f>
        <v/>
      </c>
      <c r="G422" s="13" t="str">
        <f>IF(A422="","",SUMIF('Compras Entradas'!$C$5:$C$504,A422,'Compras Entradas'!$E$5:$E$504))</f>
        <v/>
      </c>
      <c r="H422" s="13" t="str">
        <f>IF(A422="","",SUMIF('Ventas Salidas'!$C$5:$C$504,A422,'Ventas Salidas'!$E$5:$E$504))</f>
        <v/>
      </c>
      <c r="I422" s="13" t="str">
        <f t="shared" si="21"/>
        <v/>
      </c>
      <c r="J422" s="13" t="str">
        <f t="shared" si="22"/>
        <v/>
      </c>
      <c r="K422" s="13" t="str">
        <f t="shared" si="23"/>
        <v/>
      </c>
      <c r="L422" s="22"/>
      <c r="M422" s="22" t="str">
        <f>IF(A422="","",IF(OR(J422="Bajo stock",J422="Sin stock"),COUNTIFS($J$5:$J422,"Bajo stock")+COUNTIFS($J$5:$J422,"Sin stock"),""))</f>
        <v/>
      </c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s="13" customFormat="1" ht="21.75" customHeight="1" x14ac:dyDescent="0.25">
      <c r="A423" s="13" t="str">
        <f>IF(Productos!A423="","",Productos!A423)</f>
        <v/>
      </c>
      <c r="B423" s="13" t="str">
        <f>IF(Productos!A423="","",Productos!B423)</f>
        <v/>
      </c>
      <c r="C423" s="13" t="str">
        <f>IF(Productos!A423="","",Productos!C423)</f>
        <v/>
      </c>
      <c r="D423" s="13" t="str">
        <f>IF(Productos!A423="","",Productos!D423)</f>
        <v/>
      </c>
      <c r="E423" s="13" t="str">
        <f>IF(Productos!A423="","",Productos!E423)</f>
        <v/>
      </c>
      <c r="F423" s="13" t="str">
        <f>IF(Productos!A423="","",Productos!F423)</f>
        <v/>
      </c>
      <c r="G423" s="13" t="str">
        <f>IF(A423="","",SUMIF('Compras Entradas'!$C$5:$C$504,A423,'Compras Entradas'!$E$5:$E$504))</f>
        <v/>
      </c>
      <c r="H423" s="13" t="str">
        <f>IF(A423="","",SUMIF('Ventas Salidas'!$C$5:$C$504,A423,'Ventas Salidas'!$E$5:$E$504))</f>
        <v/>
      </c>
      <c r="I423" s="13" t="str">
        <f t="shared" si="21"/>
        <v/>
      </c>
      <c r="J423" s="13" t="str">
        <f t="shared" si="22"/>
        <v/>
      </c>
      <c r="K423" s="13" t="str">
        <f t="shared" si="23"/>
        <v/>
      </c>
      <c r="L423" s="22"/>
      <c r="M423" s="22" t="str">
        <f>IF(A423="","",IF(OR(J423="Bajo stock",J423="Sin stock"),COUNTIFS($J$5:$J423,"Bajo stock")+COUNTIFS($J$5:$J423,"Sin stock"),""))</f>
        <v/>
      </c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s="13" customFormat="1" ht="21.75" customHeight="1" x14ac:dyDescent="0.25">
      <c r="A424" s="13" t="str">
        <f>IF(Productos!A424="","",Productos!A424)</f>
        <v/>
      </c>
      <c r="B424" s="13" t="str">
        <f>IF(Productos!A424="","",Productos!B424)</f>
        <v/>
      </c>
      <c r="C424" s="13" t="str">
        <f>IF(Productos!A424="","",Productos!C424)</f>
        <v/>
      </c>
      <c r="D424" s="13" t="str">
        <f>IF(Productos!A424="","",Productos!D424)</f>
        <v/>
      </c>
      <c r="E424" s="13" t="str">
        <f>IF(Productos!A424="","",Productos!E424)</f>
        <v/>
      </c>
      <c r="F424" s="13" t="str">
        <f>IF(Productos!A424="","",Productos!F424)</f>
        <v/>
      </c>
      <c r="G424" s="13" t="str">
        <f>IF(A424="","",SUMIF('Compras Entradas'!$C$5:$C$504,A424,'Compras Entradas'!$E$5:$E$504))</f>
        <v/>
      </c>
      <c r="H424" s="13" t="str">
        <f>IF(A424="","",SUMIF('Ventas Salidas'!$C$5:$C$504,A424,'Ventas Salidas'!$E$5:$E$504))</f>
        <v/>
      </c>
      <c r="I424" s="13" t="str">
        <f t="shared" si="21"/>
        <v/>
      </c>
      <c r="J424" s="13" t="str">
        <f t="shared" si="22"/>
        <v/>
      </c>
      <c r="K424" s="13" t="str">
        <f t="shared" si="23"/>
        <v/>
      </c>
      <c r="L424" s="22"/>
      <c r="M424" s="22" t="str">
        <f>IF(A424="","",IF(OR(J424="Bajo stock",J424="Sin stock"),COUNTIFS($J$5:$J424,"Bajo stock")+COUNTIFS($J$5:$J424,"Sin stock"),""))</f>
        <v/>
      </c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s="13" customFormat="1" ht="21.75" customHeight="1" x14ac:dyDescent="0.25">
      <c r="A425" s="13" t="str">
        <f>IF(Productos!A425="","",Productos!A425)</f>
        <v/>
      </c>
      <c r="B425" s="13" t="str">
        <f>IF(Productos!A425="","",Productos!B425)</f>
        <v/>
      </c>
      <c r="C425" s="13" t="str">
        <f>IF(Productos!A425="","",Productos!C425)</f>
        <v/>
      </c>
      <c r="D425" s="13" t="str">
        <f>IF(Productos!A425="","",Productos!D425)</f>
        <v/>
      </c>
      <c r="E425" s="13" t="str">
        <f>IF(Productos!A425="","",Productos!E425)</f>
        <v/>
      </c>
      <c r="F425" s="13" t="str">
        <f>IF(Productos!A425="","",Productos!F425)</f>
        <v/>
      </c>
      <c r="G425" s="13" t="str">
        <f>IF(A425="","",SUMIF('Compras Entradas'!$C$5:$C$504,A425,'Compras Entradas'!$E$5:$E$504))</f>
        <v/>
      </c>
      <c r="H425" s="13" t="str">
        <f>IF(A425="","",SUMIF('Ventas Salidas'!$C$5:$C$504,A425,'Ventas Salidas'!$E$5:$E$504))</f>
        <v/>
      </c>
      <c r="I425" s="13" t="str">
        <f t="shared" si="21"/>
        <v/>
      </c>
      <c r="J425" s="13" t="str">
        <f t="shared" si="22"/>
        <v/>
      </c>
      <c r="K425" s="13" t="str">
        <f t="shared" si="23"/>
        <v/>
      </c>
      <c r="L425" s="22"/>
      <c r="M425" s="22" t="str">
        <f>IF(A425="","",IF(OR(J425="Bajo stock",J425="Sin stock"),COUNTIFS($J$5:$J425,"Bajo stock")+COUNTIFS($J$5:$J425,"Sin stock"),""))</f>
        <v/>
      </c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s="13" customFormat="1" ht="21.75" customHeight="1" x14ac:dyDescent="0.25">
      <c r="A426" s="13" t="str">
        <f>IF(Productos!A426="","",Productos!A426)</f>
        <v/>
      </c>
      <c r="B426" s="13" t="str">
        <f>IF(Productos!A426="","",Productos!B426)</f>
        <v/>
      </c>
      <c r="C426" s="13" t="str">
        <f>IF(Productos!A426="","",Productos!C426)</f>
        <v/>
      </c>
      <c r="D426" s="13" t="str">
        <f>IF(Productos!A426="","",Productos!D426)</f>
        <v/>
      </c>
      <c r="E426" s="13" t="str">
        <f>IF(Productos!A426="","",Productos!E426)</f>
        <v/>
      </c>
      <c r="F426" s="13" t="str">
        <f>IF(Productos!A426="","",Productos!F426)</f>
        <v/>
      </c>
      <c r="G426" s="13" t="str">
        <f>IF(A426="","",SUMIF('Compras Entradas'!$C$5:$C$504,A426,'Compras Entradas'!$E$5:$E$504))</f>
        <v/>
      </c>
      <c r="H426" s="13" t="str">
        <f>IF(A426="","",SUMIF('Ventas Salidas'!$C$5:$C$504,A426,'Ventas Salidas'!$E$5:$E$504))</f>
        <v/>
      </c>
      <c r="I426" s="13" t="str">
        <f t="shared" si="21"/>
        <v/>
      </c>
      <c r="J426" s="13" t="str">
        <f t="shared" si="22"/>
        <v/>
      </c>
      <c r="K426" s="13" t="str">
        <f t="shared" si="23"/>
        <v/>
      </c>
      <c r="L426" s="22"/>
      <c r="M426" s="22" t="str">
        <f>IF(A426="","",IF(OR(J426="Bajo stock",J426="Sin stock"),COUNTIFS($J$5:$J426,"Bajo stock")+COUNTIFS($J$5:$J426,"Sin stock"),""))</f>
        <v/>
      </c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s="13" customFormat="1" ht="21.75" customHeight="1" x14ac:dyDescent="0.25">
      <c r="A427" s="13" t="str">
        <f>IF(Productos!A427="","",Productos!A427)</f>
        <v/>
      </c>
      <c r="B427" s="13" t="str">
        <f>IF(Productos!A427="","",Productos!B427)</f>
        <v/>
      </c>
      <c r="C427" s="13" t="str">
        <f>IF(Productos!A427="","",Productos!C427)</f>
        <v/>
      </c>
      <c r="D427" s="13" t="str">
        <f>IF(Productos!A427="","",Productos!D427)</f>
        <v/>
      </c>
      <c r="E427" s="13" t="str">
        <f>IF(Productos!A427="","",Productos!E427)</f>
        <v/>
      </c>
      <c r="F427" s="13" t="str">
        <f>IF(Productos!A427="","",Productos!F427)</f>
        <v/>
      </c>
      <c r="G427" s="13" t="str">
        <f>IF(A427="","",SUMIF('Compras Entradas'!$C$5:$C$504,A427,'Compras Entradas'!$E$5:$E$504))</f>
        <v/>
      </c>
      <c r="H427" s="13" t="str">
        <f>IF(A427="","",SUMIF('Ventas Salidas'!$C$5:$C$504,A427,'Ventas Salidas'!$E$5:$E$504))</f>
        <v/>
      </c>
      <c r="I427" s="13" t="str">
        <f t="shared" si="21"/>
        <v/>
      </c>
      <c r="J427" s="13" t="str">
        <f t="shared" si="22"/>
        <v/>
      </c>
      <c r="K427" s="13" t="str">
        <f t="shared" si="23"/>
        <v/>
      </c>
      <c r="L427" s="22"/>
      <c r="M427" s="22" t="str">
        <f>IF(A427="","",IF(OR(J427="Bajo stock",J427="Sin stock"),COUNTIFS($J$5:$J427,"Bajo stock")+COUNTIFS($J$5:$J427,"Sin stock"),""))</f>
        <v/>
      </c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s="13" customFormat="1" ht="21.75" customHeight="1" x14ac:dyDescent="0.25">
      <c r="A428" s="13" t="str">
        <f>IF(Productos!A428="","",Productos!A428)</f>
        <v/>
      </c>
      <c r="B428" s="13" t="str">
        <f>IF(Productos!A428="","",Productos!B428)</f>
        <v/>
      </c>
      <c r="C428" s="13" t="str">
        <f>IF(Productos!A428="","",Productos!C428)</f>
        <v/>
      </c>
      <c r="D428" s="13" t="str">
        <f>IF(Productos!A428="","",Productos!D428)</f>
        <v/>
      </c>
      <c r="E428" s="13" t="str">
        <f>IF(Productos!A428="","",Productos!E428)</f>
        <v/>
      </c>
      <c r="F428" s="13" t="str">
        <f>IF(Productos!A428="","",Productos!F428)</f>
        <v/>
      </c>
      <c r="G428" s="13" t="str">
        <f>IF(A428="","",SUMIF('Compras Entradas'!$C$5:$C$504,A428,'Compras Entradas'!$E$5:$E$504))</f>
        <v/>
      </c>
      <c r="H428" s="13" t="str">
        <f>IF(A428="","",SUMIF('Ventas Salidas'!$C$5:$C$504,A428,'Ventas Salidas'!$E$5:$E$504))</f>
        <v/>
      </c>
      <c r="I428" s="13" t="str">
        <f t="shared" si="21"/>
        <v/>
      </c>
      <c r="J428" s="13" t="str">
        <f t="shared" si="22"/>
        <v/>
      </c>
      <c r="K428" s="13" t="str">
        <f t="shared" si="23"/>
        <v/>
      </c>
      <c r="L428" s="22"/>
      <c r="M428" s="22" t="str">
        <f>IF(A428="","",IF(OR(J428="Bajo stock",J428="Sin stock"),COUNTIFS($J$5:$J428,"Bajo stock")+COUNTIFS($J$5:$J428,"Sin stock"),""))</f>
        <v/>
      </c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s="13" customFormat="1" ht="21.75" customHeight="1" x14ac:dyDescent="0.25">
      <c r="A429" s="13" t="str">
        <f>IF(Productos!A429="","",Productos!A429)</f>
        <v/>
      </c>
      <c r="B429" s="13" t="str">
        <f>IF(Productos!A429="","",Productos!B429)</f>
        <v/>
      </c>
      <c r="C429" s="13" t="str">
        <f>IF(Productos!A429="","",Productos!C429)</f>
        <v/>
      </c>
      <c r="D429" s="13" t="str">
        <f>IF(Productos!A429="","",Productos!D429)</f>
        <v/>
      </c>
      <c r="E429" s="13" t="str">
        <f>IF(Productos!A429="","",Productos!E429)</f>
        <v/>
      </c>
      <c r="F429" s="13" t="str">
        <f>IF(Productos!A429="","",Productos!F429)</f>
        <v/>
      </c>
      <c r="G429" s="13" t="str">
        <f>IF(A429="","",SUMIF('Compras Entradas'!$C$5:$C$504,A429,'Compras Entradas'!$E$5:$E$504))</f>
        <v/>
      </c>
      <c r="H429" s="13" t="str">
        <f>IF(A429="","",SUMIF('Ventas Salidas'!$C$5:$C$504,A429,'Ventas Salidas'!$E$5:$E$504))</f>
        <v/>
      </c>
      <c r="I429" s="13" t="str">
        <f t="shared" si="21"/>
        <v/>
      </c>
      <c r="J429" s="13" t="str">
        <f t="shared" si="22"/>
        <v/>
      </c>
      <c r="K429" s="13" t="str">
        <f t="shared" si="23"/>
        <v/>
      </c>
      <c r="L429" s="22"/>
      <c r="M429" s="22" t="str">
        <f>IF(A429="","",IF(OR(J429="Bajo stock",J429="Sin stock"),COUNTIFS($J$5:$J429,"Bajo stock")+COUNTIFS($J$5:$J429,"Sin stock"),""))</f>
        <v/>
      </c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s="13" customFormat="1" ht="21.75" customHeight="1" x14ac:dyDescent="0.25">
      <c r="A430" s="13" t="str">
        <f>IF(Productos!A430="","",Productos!A430)</f>
        <v/>
      </c>
      <c r="B430" s="13" t="str">
        <f>IF(Productos!A430="","",Productos!B430)</f>
        <v/>
      </c>
      <c r="C430" s="13" t="str">
        <f>IF(Productos!A430="","",Productos!C430)</f>
        <v/>
      </c>
      <c r="D430" s="13" t="str">
        <f>IF(Productos!A430="","",Productos!D430)</f>
        <v/>
      </c>
      <c r="E430" s="13" t="str">
        <f>IF(Productos!A430="","",Productos!E430)</f>
        <v/>
      </c>
      <c r="F430" s="13" t="str">
        <f>IF(Productos!A430="","",Productos!F430)</f>
        <v/>
      </c>
      <c r="G430" s="13" t="str">
        <f>IF(A430="","",SUMIF('Compras Entradas'!$C$5:$C$504,A430,'Compras Entradas'!$E$5:$E$504))</f>
        <v/>
      </c>
      <c r="H430" s="13" t="str">
        <f>IF(A430="","",SUMIF('Ventas Salidas'!$C$5:$C$504,A430,'Ventas Salidas'!$E$5:$E$504))</f>
        <v/>
      </c>
      <c r="I430" s="13" t="str">
        <f t="shared" si="21"/>
        <v/>
      </c>
      <c r="J430" s="13" t="str">
        <f t="shared" si="22"/>
        <v/>
      </c>
      <c r="K430" s="13" t="str">
        <f t="shared" si="23"/>
        <v/>
      </c>
      <c r="L430" s="22"/>
      <c r="M430" s="22" t="str">
        <f>IF(A430="","",IF(OR(J430="Bajo stock",J430="Sin stock"),COUNTIFS($J$5:$J430,"Bajo stock")+COUNTIFS($J$5:$J430,"Sin stock"),""))</f>
        <v/>
      </c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s="13" customFormat="1" ht="21.75" customHeight="1" x14ac:dyDescent="0.25">
      <c r="A431" s="13" t="str">
        <f>IF(Productos!A431="","",Productos!A431)</f>
        <v/>
      </c>
      <c r="B431" s="13" t="str">
        <f>IF(Productos!A431="","",Productos!B431)</f>
        <v/>
      </c>
      <c r="C431" s="13" t="str">
        <f>IF(Productos!A431="","",Productos!C431)</f>
        <v/>
      </c>
      <c r="D431" s="13" t="str">
        <f>IF(Productos!A431="","",Productos!D431)</f>
        <v/>
      </c>
      <c r="E431" s="13" t="str">
        <f>IF(Productos!A431="","",Productos!E431)</f>
        <v/>
      </c>
      <c r="F431" s="13" t="str">
        <f>IF(Productos!A431="","",Productos!F431)</f>
        <v/>
      </c>
      <c r="G431" s="13" t="str">
        <f>IF(A431="","",SUMIF('Compras Entradas'!$C$5:$C$504,A431,'Compras Entradas'!$E$5:$E$504))</f>
        <v/>
      </c>
      <c r="H431" s="13" t="str">
        <f>IF(A431="","",SUMIF('Ventas Salidas'!$C$5:$C$504,A431,'Ventas Salidas'!$E$5:$E$504))</f>
        <v/>
      </c>
      <c r="I431" s="13" t="str">
        <f t="shared" si="21"/>
        <v/>
      </c>
      <c r="J431" s="13" t="str">
        <f t="shared" si="22"/>
        <v/>
      </c>
      <c r="K431" s="13" t="str">
        <f t="shared" si="23"/>
        <v/>
      </c>
      <c r="L431" s="22"/>
      <c r="M431" s="22" t="str">
        <f>IF(A431="","",IF(OR(J431="Bajo stock",J431="Sin stock"),COUNTIFS($J$5:$J431,"Bajo stock")+COUNTIFS($J$5:$J431,"Sin stock"),""))</f>
        <v/>
      </c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s="13" customFormat="1" ht="21.75" customHeight="1" x14ac:dyDescent="0.25">
      <c r="A432" s="13" t="str">
        <f>IF(Productos!A432="","",Productos!A432)</f>
        <v/>
      </c>
      <c r="B432" s="13" t="str">
        <f>IF(Productos!A432="","",Productos!B432)</f>
        <v/>
      </c>
      <c r="C432" s="13" t="str">
        <f>IF(Productos!A432="","",Productos!C432)</f>
        <v/>
      </c>
      <c r="D432" s="13" t="str">
        <f>IF(Productos!A432="","",Productos!D432)</f>
        <v/>
      </c>
      <c r="E432" s="13" t="str">
        <f>IF(Productos!A432="","",Productos!E432)</f>
        <v/>
      </c>
      <c r="F432" s="13" t="str">
        <f>IF(Productos!A432="","",Productos!F432)</f>
        <v/>
      </c>
      <c r="G432" s="13" t="str">
        <f>IF(A432="","",SUMIF('Compras Entradas'!$C$5:$C$504,A432,'Compras Entradas'!$E$5:$E$504))</f>
        <v/>
      </c>
      <c r="H432" s="13" t="str">
        <f>IF(A432="","",SUMIF('Ventas Salidas'!$C$5:$C$504,A432,'Ventas Salidas'!$E$5:$E$504))</f>
        <v/>
      </c>
      <c r="I432" s="13" t="str">
        <f t="shared" si="21"/>
        <v/>
      </c>
      <c r="J432" s="13" t="str">
        <f t="shared" si="22"/>
        <v/>
      </c>
      <c r="K432" s="13" t="str">
        <f t="shared" si="23"/>
        <v/>
      </c>
      <c r="L432" s="22"/>
      <c r="M432" s="22" t="str">
        <f>IF(A432="","",IF(OR(J432="Bajo stock",J432="Sin stock"),COUNTIFS($J$5:$J432,"Bajo stock")+COUNTIFS($J$5:$J432,"Sin stock"),""))</f>
        <v/>
      </c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s="13" customFormat="1" ht="21.75" customHeight="1" x14ac:dyDescent="0.25">
      <c r="A433" s="13" t="str">
        <f>IF(Productos!A433="","",Productos!A433)</f>
        <v/>
      </c>
      <c r="B433" s="13" t="str">
        <f>IF(Productos!A433="","",Productos!B433)</f>
        <v/>
      </c>
      <c r="C433" s="13" t="str">
        <f>IF(Productos!A433="","",Productos!C433)</f>
        <v/>
      </c>
      <c r="D433" s="13" t="str">
        <f>IF(Productos!A433="","",Productos!D433)</f>
        <v/>
      </c>
      <c r="E433" s="13" t="str">
        <f>IF(Productos!A433="","",Productos!E433)</f>
        <v/>
      </c>
      <c r="F433" s="13" t="str">
        <f>IF(Productos!A433="","",Productos!F433)</f>
        <v/>
      </c>
      <c r="G433" s="13" t="str">
        <f>IF(A433="","",SUMIF('Compras Entradas'!$C$5:$C$504,A433,'Compras Entradas'!$E$5:$E$504))</f>
        <v/>
      </c>
      <c r="H433" s="13" t="str">
        <f>IF(A433="","",SUMIF('Ventas Salidas'!$C$5:$C$504,A433,'Ventas Salidas'!$E$5:$E$504))</f>
        <v/>
      </c>
      <c r="I433" s="13" t="str">
        <f t="shared" si="21"/>
        <v/>
      </c>
      <c r="J433" s="13" t="str">
        <f t="shared" si="22"/>
        <v/>
      </c>
      <c r="K433" s="13" t="str">
        <f t="shared" si="23"/>
        <v/>
      </c>
      <c r="L433" s="22"/>
      <c r="M433" s="22" t="str">
        <f>IF(A433="","",IF(OR(J433="Bajo stock",J433="Sin stock"),COUNTIFS($J$5:$J433,"Bajo stock")+COUNTIFS($J$5:$J433,"Sin stock"),""))</f>
        <v/>
      </c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s="13" customFormat="1" ht="21.75" customHeight="1" x14ac:dyDescent="0.25">
      <c r="A434" s="13" t="str">
        <f>IF(Productos!A434="","",Productos!A434)</f>
        <v/>
      </c>
      <c r="B434" s="13" t="str">
        <f>IF(Productos!A434="","",Productos!B434)</f>
        <v/>
      </c>
      <c r="C434" s="13" t="str">
        <f>IF(Productos!A434="","",Productos!C434)</f>
        <v/>
      </c>
      <c r="D434" s="13" t="str">
        <f>IF(Productos!A434="","",Productos!D434)</f>
        <v/>
      </c>
      <c r="E434" s="13" t="str">
        <f>IF(Productos!A434="","",Productos!E434)</f>
        <v/>
      </c>
      <c r="F434" s="13" t="str">
        <f>IF(Productos!A434="","",Productos!F434)</f>
        <v/>
      </c>
      <c r="G434" s="13" t="str">
        <f>IF(A434="","",SUMIF('Compras Entradas'!$C$5:$C$504,A434,'Compras Entradas'!$E$5:$E$504))</f>
        <v/>
      </c>
      <c r="H434" s="13" t="str">
        <f>IF(A434="","",SUMIF('Ventas Salidas'!$C$5:$C$504,A434,'Ventas Salidas'!$E$5:$E$504))</f>
        <v/>
      </c>
      <c r="I434" s="13" t="str">
        <f t="shared" si="21"/>
        <v/>
      </c>
      <c r="J434" s="13" t="str">
        <f t="shared" si="22"/>
        <v/>
      </c>
      <c r="K434" s="13" t="str">
        <f t="shared" si="23"/>
        <v/>
      </c>
      <c r="L434" s="22"/>
      <c r="M434" s="22" t="str">
        <f>IF(A434="","",IF(OR(J434="Bajo stock",J434="Sin stock"),COUNTIFS($J$5:$J434,"Bajo stock")+COUNTIFS($J$5:$J434,"Sin stock"),""))</f>
        <v/>
      </c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s="13" customFormat="1" ht="21.75" customHeight="1" x14ac:dyDescent="0.25">
      <c r="A435" s="13" t="str">
        <f>IF(Productos!A435="","",Productos!A435)</f>
        <v/>
      </c>
      <c r="B435" s="13" t="str">
        <f>IF(Productos!A435="","",Productos!B435)</f>
        <v/>
      </c>
      <c r="C435" s="13" t="str">
        <f>IF(Productos!A435="","",Productos!C435)</f>
        <v/>
      </c>
      <c r="D435" s="13" t="str">
        <f>IF(Productos!A435="","",Productos!D435)</f>
        <v/>
      </c>
      <c r="E435" s="13" t="str">
        <f>IF(Productos!A435="","",Productos!E435)</f>
        <v/>
      </c>
      <c r="F435" s="13" t="str">
        <f>IF(Productos!A435="","",Productos!F435)</f>
        <v/>
      </c>
      <c r="G435" s="13" t="str">
        <f>IF(A435="","",SUMIF('Compras Entradas'!$C$5:$C$504,A435,'Compras Entradas'!$E$5:$E$504))</f>
        <v/>
      </c>
      <c r="H435" s="13" t="str">
        <f>IF(A435="","",SUMIF('Ventas Salidas'!$C$5:$C$504,A435,'Ventas Salidas'!$E$5:$E$504))</f>
        <v/>
      </c>
      <c r="I435" s="13" t="str">
        <f t="shared" si="21"/>
        <v/>
      </c>
      <c r="J435" s="13" t="str">
        <f t="shared" si="22"/>
        <v/>
      </c>
      <c r="K435" s="13" t="str">
        <f t="shared" si="23"/>
        <v/>
      </c>
      <c r="L435" s="22"/>
      <c r="M435" s="22" t="str">
        <f>IF(A435="","",IF(OR(J435="Bajo stock",J435="Sin stock"),COUNTIFS($J$5:$J435,"Bajo stock")+COUNTIFS($J$5:$J435,"Sin stock"),""))</f>
        <v/>
      </c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s="13" customFormat="1" ht="21.75" customHeight="1" x14ac:dyDescent="0.25">
      <c r="A436" s="13" t="str">
        <f>IF(Productos!A436="","",Productos!A436)</f>
        <v/>
      </c>
      <c r="B436" s="13" t="str">
        <f>IF(Productos!A436="","",Productos!B436)</f>
        <v/>
      </c>
      <c r="C436" s="13" t="str">
        <f>IF(Productos!A436="","",Productos!C436)</f>
        <v/>
      </c>
      <c r="D436" s="13" t="str">
        <f>IF(Productos!A436="","",Productos!D436)</f>
        <v/>
      </c>
      <c r="E436" s="13" t="str">
        <f>IF(Productos!A436="","",Productos!E436)</f>
        <v/>
      </c>
      <c r="F436" s="13" t="str">
        <f>IF(Productos!A436="","",Productos!F436)</f>
        <v/>
      </c>
      <c r="G436" s="13" t="str">
        <f>IF(A436="","",SUMIF('Compras Entradas'!$C$5:$C$504,A436,'Compras Entradas'!$E$5:$E$504))</f>
        <v/>
      </c>
      <c r="H436" s="13" t="str">
        <f>IF(A436="","",SUMIF('Ventas Salidas'!$C$5:$C$504,A436,'Ventas Salidas'!$E$5:$E$504))</f>
        <v/>
      </c>
      <c r="I436" s="13" t="str">
        <f t="shared" si="21"/>
        <v/>
      </c>
      <c r="J436" s="13" t="str">
        <f t="shared" si="22"/>
        <v/>
      </c>
      <c r="K436" s="13" t="str">
        <f t="shared" si="23"/>
        <v/>
      </c>
      <c r="L436" s="22"/>
      <c r="M436" s="22" t="str">
        <f>IF(A436="","",IF(OR(J436="Bajo stock",J436="Sin stock"),COUNTIFS($J$5:$J436,"Bajo stock")+COUNTIFS($J$5:$J436,"Sin stock"),""))</f>
        <v/>
      </c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s="13" customFormat="1" ht="21.75" customHeight="1" x14ac:dyDescent="0.25">
      <c r="A437" s="13" t="str">
        <f>IF(Productos!A437="","",Productos!A437)</f>
        <v/>
      </c>
      <c r="B437" s="13" t="str">
        <f>IF(Productos!A437="","",Productos!B437)</f>
        <v/>
      </c>
      <c r="C437" s="13" t="str">
        <f>IF(Productos!A437="","",Productos!C437)</f>
        <v/>
      </c>
      <c r="D437" s="13" t="str">
        <f>IF(Productos!A437="","",Productos!D437)</f>
        <v/>
      </c>
      <c r="E437" s="13" t="str">
        <f>IF(Productos!A437="","",Productos!E437)</f>
        <v/>
      </c>
      <c r="F437" s="13" t="str">
        <f>IF(Productos!A437="","",Productos!F437)</f>
        <v/>
      </c>
      <c r="G437" s="13" t="str">
        <f>IF(A437="","",SUMIF('Compras Entradas'!$C$5:$C$504,A437,'Compras Entradas'!$E$5:$E$504))</f>
        <v/>
      </c>
      <c r="H437" s="13" t="str">
        <f>IF(A437="","",SUMIF('Ventas Salidas'!$C$5:$C$504,A437,'Ventas Salidas'!$E$5:$E$504))</f>
        <v/>
      </c>
      <c r="I437" s="13" t="str">
        <f t="shared" si="21"/>
        <v/>
      </c>
      <c r="J437" s="13" t="str">
        <f t="shared" si="22"/>
        <v/>
      </c>
      <c r="K437" s="13" t="str">
        <f t="shared" si="23"/>
        <v/>
      </c>
      <c r="L437" s="22"/>
      <c r="M437" s="22" t="str">
        <f>IF(A437="","",IF(OR(J437="Bajo stock",J437="Sin stock"),COUNTIFS($J$5:$J437,"Bajo stock")+COUNTIFS($J$5:$J437,"Sin stock"),""))</f>
        <v/>
      </c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s="13" customFormat="1" ht="21.75" customHeight="1" x14ac:dyDescent="0.25">
      <c r="A438" s="13" t="str">
        <f>IF(Productos!A438="","",Productos!A438)</f>
        <v/>
      </c>
      <c r="B438" s="13" t="str">
        <f>IF(Productos!A438="","",Productos!B438)</f>
        <v/>
      </c>
      <c r="C438" s="13" t="str">
        <f>IF(Productos!A438="","",Productos!C438)</f>
        <v/>
      </c>
      <c r="D438" s="13" t="str">
        <f>IF(Productos!A438="","",Productos!D438)</f>
        <v/>
      </c>
      <c r="E438" s="13" t="str">
        <f>IF(Productos!A438="","",Productos!E438)</f>
        <v/>
      </c>
      <c r="F438" s="13" t="str">
        <f>IF(Productos!A438="","",Productos!F438)</f>
        <v/>
      </c>
      <c r="G438" s="13" t="str">
        <f>IF(A438="","",SUMIF('Compras Entradas'!$C$5:$C$504,A438,'Compras Entradas'!$E$5:$E$504))</f>
        <v/>
      </c>
      <c r="H438" s="13" t="str">
        <f>IF(A438="","",SUMIF('Ventas Salidas'!$C$5:$C$504,A438,'Ventas Salidas'!$E$5:$E$504))</f>
        <v/>
      </c>
      <c r="I438" s="13" t="str">
        <f t="shared" si="21"/>
        <v/>
      </c>
      <c r="J438" s="13" t="str">
        <f t="shared" si="22"/>
        <v/>
      </c>
      <c r="K438" s="13" t="str">
        <f t="shared" si="23"/>
        <v/>
      </c>
      <c r="L438" s="22"/>
      <c r="M438" s="22" t="str">
        <f>IF(A438="","",IF(OR(J438="Bajo stock",J438="Sin stock"),COUNTIFS($J$5:$J438,"Bajo stock")+COUNTIFS($J$5:$J438,"Sin stock"),""))</f>
        <v/>
      </c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s="13" customFormat="1" ht="21.75" customHeight="1" x14ac:dyDescent="0.25">
      <c r="A439" s="13" t="str">
        <f>IF(Productos!A439="","",Productos!A439)</f>
        <v/>
      </c>
      <c r="B439" s="13" t="str">
        <f>IF(Productos!A439="","",Productos!B439)</f>
        <v/>
      </c>
      <c r="C439" s="13" t="str">
        <f>IF(Productos!A439="","",Productos!C439)</f>
        <v/>
      </c>
      <c r="D439" s="13" t="str">
        <f>IF(Productos!A439="","",Productos!D439)</f>
        <v/>
      </c>
      <c r="E439" s="13" t="str">
        <f>IF(Productos!A439="","",Productos!E439)</f>
        <v/>
      </c>
      <c r="F439" s="13" t="str">
        <f>IF(Productos!A439="","",Productos!F439)</f>
        <v/>
      </c>
      <c r="G439" s="13" t="str">
        <f>IF(A439="","",SUMIF('Compras Entradas'!$C$5:$C$504,A439,'Compras Entradas'!$E$5:$E$504))</f>
        <v/>
      </c>
      <c r="H439" s="13" t="str">
        <f>IF(A439="","",SUMIF('Ventas Salidas'!$C$5:$C$504,A439,'Ventas Salidas'!$E$5:$E$504))</f>
        <v/>
      </c>
      <c r="I439" s="13" t="str">
        <f t="shared" si="21"/>
        <v/>
      </c>
      <c r="J439" s="13" t="str">
        <f t="shared" si="22"/>
        <v/>
      </c>
      <c r="K439" s="13" t="str">
        <f t="shared" si="23"/>
        <v/>
      </c>
      <c r="L439" s="22"/>
      <c r="M439" s="22" t="str">
        <f>IF(A439="","",IF(OR(J439="Bajo stock",J439="Sin stock"),COUNTIFS($J$5:$J439,"Bajo stock")+COUNTIFS($J$5:$J439,"Sin stock"),""))</f>
        <v/>
      </c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s="13" customFormat="1" ht="21.75" customHeight="1" x14ac:dyDescent="0.25">
      <c r="A440" s="13" t="str">
        <f>IF(Productos!A440="","",Productos!A440)</f>
        <v/>
      </c>
      <c r="B440" s="13" t="str">
        <f>IF(Productos!A440="","",Productos!B440)</f>
        <v/>
      </c>
      <c r="C440" s="13" t="str">
        <f>IF(Productos!A440="","",Productos!C440)</f>
        <v/>
      </c>
      <c r="D440" s="13" t="str">
        <f>IF(Productos!A440="","",Productos!D440)</f>
        <v/>
      </c>
      <c r="E440" s="13" t="str">
        <f>IF(Productos!A440="","",Productos!E440)</f>
        <v/>
      </c>
      <c r="F440" s="13" t="str">
        <f>IF(Productos!A440="","",Productos!F440)</f>
        <v/>
      </c>
      <c r="G440" s="13" t="str">
        <f>IF(A440="","",SUMIF('Compras Entradas'!$C$5:$C$504,A440,'Compras Entradas'!$E$5:$E$504))</f>
        <v/>
      </c>
      <c r="H440" s="13" t="str">
        <f>IF(A440="","",SUMIF('Ventas Salidas'!$C$5:$C$504,A440,'Ventas Salidas'!$E$5:$E$504))</f>
        <v/>
      </c>
      <c r="I440" s="13" t="str">
        <f t="shared" si="21"/>
        <v/>
      </c>
      <c r="J440" s="13" t="str">
        <f t="shared" si="22"/>
        <v/>
      </c>
      <c r="K440" s="13" t="str">
        <f t="shared" si="23"/>
        <v/>
      </c>
      <c r="L440" s="22"/>
      <c r="M440" s="22" t="str">
        <f>IF(A440="","",IF(OR(J440="Bajo stock",J440="Sin stock"),COUNTIFS($J$5:$J440,"Bajo stock")+COUNTIFS($J$5:$J440,"Sin stock"),""))</f>
        <v/>
      </c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s="13" customFormat="1" ht="21.75" customHeight="1" x14ac:dyDescent="0.25">
      <c r="A441" s="13" t="str">
        <f>IF(Productos!A441="","",Productos!A441)</f>
        <v/>
      </c>
      <c r="B441" s="13" t="str">
        <f>IF(Productos!A441="","",Productos!B441)</f>
        <v/>
      </c>
      <c r="C441" s="13" t="str">
        <f>IF(Productos!A441="","",Productos!C441)</f>
        <v/>
      </c>
      <c r="D441" s="13" t="str">
        <f>IF(Productos!A441="","",Productos!D441)</f>
        <v/>
      </c>
      <c r="E441" s="13" t="str">
        <f>IF(Productos!A441="","",Productos!E441)</f>
        <v/>
      </c>
      <c r="F441" s="13" t="str">
        <f>IF(Productos!A441="","",Productos!F441)</f>
        <v/>
      </c>
      <c r="G441" s="13" t="str">
        <f>IF(A441="","",SUMIF('Compras Entradas'!$C$5:$C$504,A441,'Compras Entradas'!$E$5:$E$504))</f>
        <v/>
      </c>
      <c r="H441" s="13" t="str">
        <f>IF(A441="","",SUMIF('Ventas Salidas'!$C$5:$C$504,A441,'Ventas Salidas'!$E$5:$E$504))</f>
        <v/>
      </c>
      <c r="I441" s="13" t="str">
        <f t="shared" si="21"/>
        <v/>
      </c>
      <c r="J441" s="13" t="str">
        <f t="shared" si="22"/>
        <v/>
      </c>
      <c r="K441" s="13" t="str">
        <f t="shared" si="23"/>
        <v/>
      </c>
      <c r="L441" s="22"/>
      <c r="M441" s="22" t="str">
        <f>IF(A441="","",IF(OR(J441="Bajo stock",J441="Sin stock"),COUNTIFS($J$5:$J441,"Bajo stock")+COUNTIFS($J$5:$J441,"Sin stock"),""))</f>
        <v/>
      </c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s="13" customFormat="1" ht="21.75" customHeight="1" x14ac:dyDescent="0.25">
      <c r="A442" s="13" t="str">
        <f>IF(Productos!A442="","",Productos!A442)</f>
        <v/>
      </c>
      <c r="B442" s="13" t="str">
        <f>IF(Productos!A442="","",Productos!B442)</f>
        <v/>
      </c>
      <c r="C442" s="13" t="str">
        <f>IF(Productos!A442="","",Productos!C442)</f>
        <v/>
      </c>
      <c r="D442" s="13" t="str">
        <f>IF(Productos!A442="","",Productos!D442)</f>
        <v/>
      </c>
      <c r="E442" s="13" t="str">
        <f>IF(Productos!A442="","",Productos!E442)</f>
        <v/>
      </c>
      <c r="F442" s="13" t="str">
        <f>IF(Productos!A442="","",Productos!F442)</f>
        <v/>
      </c>
      <c r="G442" s="13" t="str">
        <f>IF(A442="","",SUMIF('Compras Entradas'!$C$5:$C$504,A442,'Compras Entradas'!$E$5:$E$504))</f>
        <v/>
      </c>
      <c r="H442" s="13" t="str">
        <f>IF(A442="","",SUMIF('Ventas Salidas'!$C$5:$C$504,A442,'Ventas Salidas'!$E$5:$E$504))</f>
        <v/>
      </c>
      <c r="I442" s="13" t="str">
        <f t="shared" si="21"/>
        <v/>
      </c>
      <c r="J442" s="13" t="str">
        <f t="shared" si="22"/>
        <v/>
      </c>
      <c r="K442" s="13" t="str">
        <f t="shared" si="23"/>
        <v/>
      </c>
      <c r="L442" s="22"/>
      <c r="M442" s="22" t="str">
        <f>IF(A442="","",IF(OR(J442="Bajo stock",J442="Sin stock"),COUNTIFS($J$5:$J442,"Bajo stock")+COUNTIFS($J$5:$J442,"Sin stock"),""))</f>
        <v/>
      </c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s="13" customFormat="1" ht="21.75" customHeight="1" x14ac:dyDescent="0.25">
      <c r="A443" s="13" t="str">
        <f>IF(Productos!A443="","",Productos!A443)</f>
        <v/>
      </c>
      <c r="B443" s="13" t="str">
        <f>IF(Productos!A443="","",Productos!B443)</f>
        <v/>
      </c>
      <c r="C443" s="13" t="str">
        <f>IF(Productos!A443="","",Productos!C443)</f>
        <v/>
      </c>
      <c r="D443" s="13" t="str">
        <f>IF(Productos!A443="","",Productos!D443)</f>
        <v/>
      </c>
      <c r="E443" s="13" t="str">
        <f>IF(Productos!A443="","",Productos!E443)</f>
        <v/>
      </c>
      <c r="F443" s="13" t="str">
        <f>IF(Productos!A443="","",Productos!F443)</f>
        <v/>
      </c>
      <c r="G443" s="13" t="str">
        <f>IF(A443="","",SUMIF('Compras Entradas'!$C$5:$C$504,A443,'Compras Entradas'!$E$5:$E$504))</f>
        <v/>
      </c>
      <c r="H443" s="13" t="str">
        <f>IF(A443="","",SUMIF('Ventas Salidas'!$C$5:$C$504,A443,'Ventas Salidas'!$E$5:$E$504))</f>
        <v/>
      </c>
      <c r="I443" s="13" t="str">
        <f t="shared" si="21"/>
        <v/>
      </c>
      <c r="J443" s="13" t="str">
        <f t="shared" si="22"/>
        <v/>
      </c>
      <c r="K443" s="13" t="str">
        <f t="shared" si="23"/>
        <v/>
      </c>
      <c r="L443" s="22"/>
      <c r="M443" s="22" t="str">
        <f>IF(A443="","",IF(OR(J443="Bajo stock",J443="Sin stock"),COUNTIFS($J$5:$J443,"Bajo stock")+COUNTIFS($J$5:$J443,"Sin stock"),""))</f>
        <v/>
      </c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s="13" customFormat="1" ht="21.75" customHeight="1" x14ac:dyDescent="0.25">
      <c r="A444" s="13" t="str">
        <f>IF(Productos!A444="","",Productos!A444)</f>
        <v/>
      </c>
      <c r="B444" s="13" t="str">
        <f>IF(Productos!A444="","",Productos!B444)</f>
        <v/>
      </c>
      <c r="C444" s="13" t="str">
        <f>IF(Productos!A444="","",Productos!C444)</f>
        <v/>
      </c>
      <c r="D444" s="13" t="str">
        <f>IF(Productos!A444="","",Productos!D444)</f>
        <v/>
      </c>
      <c r="E444" s="13" t="str">
        <f>IF(Productos!A444="","",Productos!E444)</f>
        <v/>
      </c>
      <c r="F444" s="13" t="str">
        <f>IF(Productos!A444="","",Productos!F444)</f>
        <v/>
      </c>
      <c r="G444" s="13" t="str">
        <f>IF(A444="","",SUMIF('Compras Entradas'!$C$5:$C$504,A444,'Compras Entradas'!$E$5:$E$504))</f>
        <v/>
      </c>
      <c r="H444" s="13" t="str">
        <f>IF(A444="","",SUMIF('Ventas Salidas'!$C$5:$C$504,A444,'Ventas Salidas'!$E$5:$E$504))</f>
        <v/>
      </c>
      <c r="I444" s="13" t="str">
        <f t="shared" si="21"/>
        <v/>
      </c>
      <c r="J444" s="13" t="str">
        <f t="shared" si="22"/>
        <v/>
      </c>
      <c r="K444" s="13" t="str">
        <f t="shared" si="23"/>
        <v/>
      </c>
      <c r="L444" s="22"/>
      <c r="M444" s="22" t="str">
        <f>IF(A444="","",IF(OR(J444="Bajo stock",J444="Sin stock"),COUNTIFS($J$5:$J444,"Bajo stock")+COUNTIFS($J$5:$J444,"Sin stock"),""))</f>
        <v/>
      </c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s="13" customFormat="1" ht="21.75" customHeight="1" x14ac:dyDescent="0.25">
      <c r="A445" s="13" t="str">
        <f>IF(Productos!A445="","",Productos!A445)</f>
        <v/>
      </c>
      <c r="B445" s="13" t="str">
        <f>IF(Productos!A445="","",Productos!B445)</f>
        <v/>
      </c>
      <c r="C445" s="13" t="str">
        <f>IF(Productos!A445="","",Productos!C445)</f>
        <v/>
      </c>
      <c r="D445" s="13" t="str">
        <f>IF(Productos!A445="","",Productos!D445)</f>
        <v/>
      </c>
      <c r="E445" s="13" t="str">
        <f>IF(Productos!A445="","",Productos!E445)</f>
        <v/>
      </c>
      <c r="F445" s="13" t="str">
        <f>IF(Productos!A445="","",Productos!F445)</f>
        <v/>
      </c>
      <c r="G445" s="13" t="str">
        <f>IF(A445="","",SUMIF('Compras Entradas'!$C$5:$C$504,A445,'Compras Entradas'!$E$5:$E$504))</f>
        <v/>
      </c>
      <c r="H445" s="13" t="str">
        <f>IF(A445="","",SUMIF('Ventas Salidas'!$C$5:$C$504,A445,'Ventas Salidas'!$E$5:$E$504))</f>
        <v/>
      </c>
      <c r="I445" s="13" t="str">
        <f t="shared" si="21"/>
        <v/>
      </c>
      <c r="J445" s="13" t="str">
        <f t="shared" si="22"/>
        <v/>
      </c>
      <c r="K445" s="13" t="str">
        <f t="shared" si="23"/>
        <v/>
      </c>
      <c r="L445" s="22"/>
      <c r="M445" s="22" t="str">
        <f>IF(A445="","",IF(OR(J445="Bajo stock",J445="Sin stock"),COUNTIFS($J$5:$J445,"Bajo stock")+COUNTIFS($J$5:$J445,"Sin stock"),""))</f>
        <v/>
      </c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s="13" customFormat="1" ht="21.75" customHeight="1" x14ac:dyDescent="0.25">
      <c r="A446" s="13" t="str">
        <f>IF(Productos!A446="","",Productos!A446)</f>
        <v/>
      </c>
      <c r="B446" s="13" t="str">
        <f>IF(Productos!A446="","",Productos!B446)</f>
        <v/>
      </c>
      <c r="C446" s="13" t="str">
        <f>IF(Productos!A446="","",Productos!C446)</f>
        <v/>
      </c>
      <c r="D446" s="13" t="str">
        <f>IF(Productos!A446="","",Productos!D446)</f>
        <v/>
      </c>
      <c r="E446" s="13" t="str">
        <f>IF(Productos!A446="","",Productos!E446)</f>
        <v/>
      </c>
      <c r="F446" s="13" t="str">
        <f>IF(Productos!A446="","",Productos!F446)</f>
        <v/>
      </c>
      <c r="G446" s="13" t="str">
        <f>IF(A446="","",SUMIF('Compras Entradas'!$C$5:$C$504,A446,'Compras Entradas'!$E$5:$E$504))</f>
        <v/>
      </c>
      <c r="H446" s="13" t="str">
        <f>IF(A446="","",SUMIF('Ventas Salidas'!$C$5:$C$504,A446,'Ventas Salidas'!$E$5:$E$504))</f>
        <v/>
      </c>
      <c r="I446" s="13" t="str">
        <f t="shared" si="21"/>
        <v/>
      </c>
      <c r="J446" s="13" t="str">
        <f t="shared" si="22"/>
        <v/>
      </c>
      <c r="K446" s="13" t="str">
        <f t="shared" si="23"/>
        <v/>
      </c>
      <c r="L446" s="22"/>
      <c r="M446" s="22" t="str">
        <f>IF(A446="","",IF(OR(J446="Bajo stock",J446="Sin stock"),COUNTIFS($J$5:$J446,"Bajo stock")+COUNTIFS($J$5:$J446,"Sin stock"),""))</f>
        <v/>
      </c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s="13" customFormat="1" ht="21.75" customHeight="1" x14ac:dyDescent="0.25">
      <c r="A447" s="13" t="str">
        <f>IF(Productos!A447="","",Productos!A447)</f>
        <v/>
      </c>
      <c r="B447" s="13" t="str">
        <f>IF(Productos!A447="","",Productos!B447)</f>
        <v/>
      </c>
      <c r="C447" s="13" t="str">
        <f>IF(Productos!A447="","",Productos!C447)</f>
        <v/>
      </c>
      <c r="D447" s="13" t="str">
        <f>IF(Productos!A447="","",Productos!D447)</f>
        <v/>
      </c>
      <c r="E447" s="13" t="str">
        <f>IF(Productos!A447="","",Productos!E447)</f>
        <v/>
      </c>
      <c r="F447" s="13" t="str">
        <f>IF(Productos!A447="","",Productos!F447)</f>
        <v/>
      </c>
      <c r="G447" s="13" t="str">
        <f>IF(A447="","",SUMIF('Compras Entradas'!$C$5:$C$504,A447,'Compras Entradas'!$E$5:$E$504))</f>
        <v/>
      </c>
      <c r="H447" s="13" t="str">
        <f>IF(A447="","",SUMIF('Ventas Salidas'!$C$5:$C$504,A447,'Ventas Salidas'!$E$5:$E$504))</f>
        <v/>
      </c>
      <c r="I447" s="13" t="str">
        <f t="shared" si="21"/>
        <v/>
      </c>
      <c r="J447" s="13" t="str">
        <f t="shared" si="22"/>
        <v/>
      </c>
      <c r="K447" s="13" t="str">
        <f t="shared" si="23"/>
        <v/>
      </c>
      <c r="L447" s="22"/>
      <c r="M447" s="22" t="str">
        <f>IF(A447="","",IF(OR(J447="Bajo stock",J447="Sin stock"),COUNTIFS($J$5:$J447,"Bajo stock")+COUNTIFS($J$5:$J447,"Sin stock"),""))</f>
        <v/>
      </c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s="13" customFormat="1" ht="21.75" customHeight="1" x14ac:dyDescent="0.25">
      <c r="A448" s="13" t="str">
        <f>IF(Productos!A448="","",Productos!A448)</f>
        <v/>
      </c>
      <c r="B448" s="13" t="str">
        <f>IF(Productos!A448="","",Productos!B448)</f>
        <v/>
      </c>
      <c r="C448" s="13" t="str">
        <f>IF(Productos!A448="","",Productos!C448)</f>
        <v/>
      </c>
      <c r="D448" s="13" t="str">
        <f>IF(Productos!A448="","",Productos!D448)</f>
        <v/>
      </c>
      <c r="E448" s="13" t="str">
        <f>IF(Productos!A448="","",Productos!E448)</f>
        <v/>
      </c>
      <c r="F448" s="13" t="str">
        <f>IF(Productos!A448="","",Productos!F448)</f>
        <v/>
      </c>
      <c r="G448" s="13" t="str">
        <f>IF(A448="","",SUMIF('Compras Entradas'!$C$5:$C$504,A448,'Compras Entradas'!$E$5:$E$504))</f>
        <v/>
      </c>
      <c r="H448" s="13" t="str">
        <f>IF(A448="","",SUMIF('Ventas Salidas'!$C$5:$C$504,A448,'Ventas Salidas'!$E$5:$E$504))</f>
        <v/>
      </c>
      <c r="I448" s="13" t="str">
        <f t="shared" si="21"/>
        <v/>
      </c>
      <c r="J448" s="13" t="str">
        <f t="shared" si="22"/>
        <v/>
      </c>
      <c r="K448" s="13" t="str">
        <f t="shared" si="23"/>
        <v/>
      </c>
      <c r="L448" s="22"/>
      <c r="M448" s="22" t="str">
        <f>IF(A448="","",IF(OR(J448="Bajo stock",J448="Sin stock"),COUNTIFS($J$5:$J448,"Bajo stock")+COUNTIFS($J$5:$J448,"Sin stock"),""))</f>
        <v/>
      </c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s="13" customFormat="1" ht="21.75" customHeight="1" x14ac:dyDescent="0.25">
      <c r="A449" s="13" t="str">
        <f>IF(Productos!A449="","",Productos!A449)</f>
        <v/>
      </c>
      <c r="B449" s="13" t="str">
        <f>IF(Productos!A449="","",Productos!B449)</f>
        <v/>
      </c>
      <c r="C449" s="13" t="str">
        <f>IF(Productos!A449="","",Productos!C449)</f>
        <v/>
      </c>
      <c r="D449" s="13" t="str">
        <f>IF(Productos!A449="","",Productos!D449)</f>
        <v/>
      </c>
      <c r="E449" s="13" t="str">
        <f>IF(Productos!A449="","",Productos!E449)</f>
        <v/>
      </c>
      <c r="F449" s="13" t="str">
        <f>IF(Productos!A449="","",Productos!F449)</f>
        <v/>
      </c>
      <c r="G449" s="13" t="str">
        <f>IF(A449="","",SUMIF('Compras Entradas'!$C$5:$C$504,A449,'Compras Entradas'!$E$5:$E$504))</f>
        <v/>
      </c>
      <c r="H449" s="13" t="str">
        <f>IF(A449="","",SUMIF('Ventas Salidas'!$C$5:$C$504,A449,'Ventas Salidas'!$E$5:$E$504))</f>
        <v/>
      </c>
      <c r="I449" s="13" t="str">
        <f t="shared" si="21"/>
        <v/>
      </c>
      <c r="J449" s="13" t="str">
        <f t="shared" si="22"/>
        <v/>
      </c>
      <c r="K449" s="13" t="str">
        <f t="shared" si="23"/>
        <v/>
      </c>
      <c r="L449" s="22"/>
      <c r="M449" s="22" t="str">
        <f>IF(A449="","",IF(OR(J449="Bajo stock",J449="Sin stock"),COUNTIFS($J$5:$J449,"Bajo stock")+COUNTIFS($J$5:$J449,"Sin stock"),""))</f>
        <v/>
      </c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s="13" customFormat="1" ht="21.75" customHeight="1" x14ac:dyDescent="0.25">
      <c r="A450" s="13" t="str">
        <f>IF(Productos!A450="","",Productos!A450)</f>
        <v/>
      </c>
      <c r="B450" s="13" t="str">
        <f>IF(Productos!A450="","",Productos!B450)</f>
        <v/>
      </c>
      <c r="C450" s="13" t="str">
        <f>IF(Productos!A450="","",Productos!C450)</f>
        <v/>
      </c>
      <c r="D450" s="13" t="str">
        <f>IF(Productos!A450="","",Productos!D450)</f>
        <v/>
      </c>
      <c r="E450" s="13" t="str">
        <f>IF(Productos!A450="","",Productos!E450)</f>
        <v/>
      </c>
      <c r="F450" s="13" t="str">
        <f>IF(Productos!A450="","",Productos!F450)</f>
        <v/>
      </c>
      <c r="G450" s="13" t="str">
        <f>IF(A450="","",SUMIF('Compras Entradas'!$C$5:$C$504,A450,'Compras Entradas'!$E$5:$E$504))</f>
        <v/>
      </c>
      <c r="H450" s="13" t="str">
        <f>IF(A450="","",SUMIF('Ventas Salidas'!$C$5:$C$504,A450,'Ventas Salidas'!$E$5:$E$504))</f>
        <v/>
      </c>
      <c r="I450" s="13" t="str">
        <f t="shared" si="21"/>
        <v/>
      </c>
      <c r="J450" s="13" t="str">
        <f t="shared" si="22"/>
        <v/>
      </c>
      <c r="K450" s="13" t="str">
        <f t="shared" si="23"/>
        <v/>
      </c>
      <c r="L450" s="22"/>
      <c r="M450" s="22" t="str">
        <f>IF(A450="","",IF(OR(J450="Bajo stock",J450="Sin stock"),COUNTIFS($J$5:$J450,"Bajo stock")+COUNTIFS($J$5:$J450,"Sin stock"),""))</f>
        <v/>
      </c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s="13" customFormat="1" ht="21.75" customHeight="1" x14ac:dyDescent="0.25">
      <c r="A451" s="13" t="str">
        <f>IF(Productos!A451="","",Productos!A451)</f>
        <v/>
      </c>
      <c r="B451" s="13" t="str">
        <f>IF(Productos!A451="","",Productos!B451)</f>
        <v/>
      </c>
      <c r="C451" s="13" t="str">
        <f>IF(Productos!A451="","",Productos!C451)</f>
        <v/>
      </c>
      <c r="D451" s="13" t="str">
        <f>IF(Productos!A451="","",Productos!D451)</f>
        <v/>
      </c>
      <c r="E451" s="13" t="str">
        <f>IF(Productos!A451="","",Productos!E451)</f>
        <v/>
      </c>
      <c r="F451" s="13" t="str">
        <f>IF(Productos!A451="","",Productos!F451)</f>
        <v/>
      </c>
      <c r="G451" s="13" t="str">
        <f>IF(A451="","",SUMIF('Compras Entradas'!$C$5:$C$504,A451,'Compras Entradas'!$E$5:$E$504))</f>
        <v/>
      </c>
      <c r="H451" s="13" t="str">
        <f>IF(A451="","",SUMIF('Ventas Salidas'!$C$5:$C$504,A451,'Ventas Salidas'!$E$5:$E$504))</f>
        <v/>
      </c>
      <c r="I451" s="13" t="str">
        <f t="shared" si="21"/>
        <v/>
      </c>
      <c r="J451" s="13" t="str">
        <f t="shared" si="22"/>
        <v/>
      </c>
      <c r="K451" s="13" t="str">
        <f t="shared" si="23"/>
        <v/>
      </c>
      <c r="L451" s="22"/>
      <c r="M451" s="22" t="str">
        <f>IF(A451="","",IF(OR(J451="Bajo stock",J451="Sin stock"),COUNTIFS($J$5:$J451,"Bajo stock")+COUNTIFS($J$5:$J451,"Sin stock"),""))</f>
        <v/>
      </c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s="13" customFormat="1" ht="21.75" customHeight="1" x14ac:dyDescent="0.25">
      <c r="A452" s="13" t="str">
        <f>IF(Productos!A452="","",Productos!A452)</f>
        <v/>
      </c>
      <c r="B452" s="13" t="str">
        <f>IF(Productos!A452="","",Productos!B452)</f>
        <v/>
      </c>
      <c r="C452" s="13" t="str">
        <f>IF(Productos!A452="","",Productos!C452)</f>
        <v/>
      </c>
      <c r="D452" s="13" t="str">
        <f>IF(Productos!A452="","",Productos!D452)</f>
        <v/>
      </c>
      <c r="E452" s="13" t="str">
        <f>IF(Productos!A452="","",Productos!E452)</f>
        <v/>
      </c>
      <c r="F452" s="13" t="str">
        <f>IF(Productos!A452="","",Productos!F452)</f>
        <v/>
      </c>
      <c r="G452" s="13" t="str">
        <f>IF(A452="","",SUMIF('Compras Entradas'!$C$5:$C$504,A452,'Compras Entradas'!$E$5:$E$504))</f>
        <v/>
      </c>
      <c r="H452" s="13" t="str">
        <f>IF(A452="","",SUMIF('Ventas Salidas'!$C$5:$C$504,A452,'Ventas Salidas'!$E$5:$E$504))</f>
        <v/>
      </c>
      <c r="I452" s="13" t="str">
        <f t="shared" si="21"/>
        <v/>
      </c>
      <c r="J452" s="13" t="str">
        <f t="shared" si="22"/>
        <v/>
      </c>
      <c r="K452" s="13" t="str">
        <f t="shared" si="23"/>
        <v/>
      </c>
      <c r="L452" s="22"/>
      <c r="M452" s="22" t="str">
        <f>IF(A452="","",IF(OR(J452="Bajo stock",J452="Sin stock"),COUNTIFS($J$5:$J452,"Bajo stock")+COUNTIFS($J$5:$J452,"Sin stock"),""))</f>
        <v/>
      </c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s="13" customFormat="1" ht="21.75" customHeight="1" x14ac:dyDescent="0.25">
      <c r="A453" s="13" t="str">
        <f>IF(Productos!A453="","",Productos!A453)</f>
        <v/>
      </c>
      <c r="B453" s="13" t="str">
        <f>IF(Productos!A453="","",Productos!B453)</f>
        <v/>
      </c>
      <c r="C453" s="13" t="str">
        <f>IF(Productos!A453="","",Productos!C453)</f>
        <v/>
      </c>
      <c r="D453" s="13" t="str">
        <f>IF(Productos!A453="","",Productos!D453)</f>
        <v/>
      </c>
      <c r="E453" s="13" t="str">
        <f>IF(Productos!A453="","",Productos!E453)</f>
        <v/>
      </c>
      <c r="F453" s="13" t="str">
        <f>IF(Productos!A453="","",Productos!F453)</f>
        <v/>
      </c>
      <c r="G453" s="13" t="str">
        <f>IF(A453="","",SUMIF('Compras Entradas'!$C$5:$C$504,A453,'Compras Entradas'!$E$5:$E$504))</f>
        <v/>
      </c>
      <c r="H453" s="13" t="str">
        <f>IF(A453="","",SUMIF('Ventas Salidas'!$C$5:$C$504,A453,'Ventas Salidas'!$E$5:$E$504))</f>
        <v/>
      </c>
      <c r="I453" s="13" t="str">
        <f t="shared" ref="I453:I504" si="24">IF(A453="","",F453+G453-H453)</f>
        <v/>
      </c>
      <c r="J453" s="13" t="str">
        <f t="shared" ref="J453:J504" si="25">IF(A453="","",IF(I453&lt;=0,"Sin stock",IF(I453&lt;E453,"Bajo stock","OK")))</f>
        <v/>
      </c>
      <c r="K453" s="13" t="str">
        <f t="shared" ref="K453:K504" si="26">IF(A453="","",IF(I453&lt;=0,"Comprar urgente",IF(I453&lt;E453,"Reponer pronto","Stock suficiente")))</f>
        <v/>
      </c>
      <c r="L453" s="22"/>
      <c r="M453" s="22" t="str">
        <f>IF(A453="","",IF(OR(J453="Bajo stock",J453="Sin stock"),COUNTIFS($J$5:$J453,"Bajo stock")+COUNTIFS($J$5:$J453,"Sin stock"),""))</f>
        <v/>
      </c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s="13" customFormat="1" ht="21.75" customHeight="1" x14ac:dyDescent="0.25">
      <c r="A454" s="13" t="str">
        <f>IF(Productos!A454="","",Productos!A454)</f>
        <v/>
      </c>
      <c r="B454" s="13" t="str">
        <f>IF(Productos!A454="","",Productos!B454)</f>
        <v/>
      </c>
      <c r="C454" s="13" t="str">
        <f>IF(Productos!A454="","",Productos!C454)</f>
        <v/>
      </c>
      <c r="D454" s="13" t="str">
        <f>IF(Productos!A454="","",Productos!D454)</f>
        <v/>
      </c>
      <c r="E454" s="13" t="str">
        <f>IF(Productos!A454="","",Productos!E454)</f>
        <v/>
      </c>
      <c r="F454" s="13" t="str">
        <f>IF(Productos!A454="","",Productos!F454)</f>
        <v/>
      </c>
      <c r="G454" s="13" t="str">
        <f>IF(A454="","",SUMIF('Compras Entradas'!$C$5:$C$504,A454,'Compras Entradas'!$E$5:$E$504))</f>
        <v/>
      </c>
      <c r="H454" s="13" t="str">
        <f>IF(A454="","",SUMIF('Ventas Salidas'!$C$5:$C$504,A454,'Ventas Salidas'!$E$5:$E$504))</f>
        <v/>
      </c>
      <c r="I454" s="13" t="str">
        <f t="shared" si="24"/>
        <v/>
      </c>
      <c r="J454" s="13" t="str">
        <f t="shared" si="25"/>
        <v/>
      </c>
      <c r="K454" s="13" t="str">
        <f t="shared" si="26"/>
        <v/>
      </c>
      <c r="L454" s="22"/>
      <c r="M454" s="22" t="str">
        <f>IF(A454="","",IF(OR(J454="Bajo stock",J454="Sin stock"),COUNTIFS($J$5:$J454,"Bajo stock")+COUNTIFS($J$5:$J454,"Sin stock"),""))</f>
        <v/>
      </c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s="13" customFormat="1" ht="21.75" customHeight="1" x14ac:dyDescent="0.25">
      <c r="A455" s="13" t="str">
        <f>IF(Productos!A455="","",Productos!A455)</f>
        <v/>
      </c>
      <c r="B455" s="13" t="str">
        <f>IF(Productos!A455="","",Productos!B455)</f>
        <v/>
      </c>
      <c r="C455" s="13" t="str">
        <f>IF(Productos!A455="","",Productos!C455)</f>
        <v/>
      </c>
      <c r="D455" s="13" t="str">
        <f>IF(Productos!A455="","",Productos!D455)</f>
        <v/>
      </c>
      <c r="E455" s="13" t="str">
        <f>IF(Productos!A455="","",Productos!E455)</f>
        <v/>
      </c>
      <c r="F455" s="13" t="str">
        <f>IF(Productos!A455="","",Productos!F455)</f>
        <v/>
      </c>
      <c r="G455" s="13" t="str">
        <f>IF(A455="","",SUMIF('Compras Entradas'!$C$5:$C$504,A455,'Compras Entradas'!$E$5:$E$504))</f>
        <v/>
      </c>
      <c r="H455" s="13" t="str">
        <f>IF(A455="","",SUMIF('Ventas Salidas'!$C$5:$C$504,A455,'Ventas Salidas'!$E$5:$E$504))</f>
        <v/>
      </c>
      <c r="I455" s="13" t="str">
        <f t="shared" si="24"/>
        <v/>
      </c>
      <c r="J455" s="13" t="str">
        <f t="shared" si="25"/>
        <v/>
      </c>
      <c r="K455" s="13" t="str">
        <f t="shared" si="26"/>
        <v/>
      </c>
      <c r="L455" s="22"/>
      <c r="M455" s="22" t="str">
        <f>IF(A455="","",IF(OR(J455="Bajo stock",J455="Sin stock"),COUNTIFS($J$5:$J455,"Bajo stock")+COUNTIFS($J$5:$J455,"Sin stock"),""))</f>
        <v/>
      </c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s="13" customFormat="1" ht="21.75" customHeight="1" x14ac:dyDescent="0.25">
      <c r="A456" s="13" t="str">
        <f>IF(Productos!A456="","",Productos!A456)</f>
        <v/>
      </c>
      <c r="B456" s="13" t="str">
        <f>IF(Productos!A456="","",Productos!B456)</f>
        <v/>
      </c>
      <c r="C456" s="13" t="str">
        <f>IF(Productos!A456="","",Productos!C456)</f>
        <v/>
      </c>
      <c r="D456" s="13" t="str">
        <f>IF(Productos!A456="","",Productos!D456)</f>
        <v/>
      </c>
      <c r="E456" s="13" t="str">
        <f>IF(Productos!A456="","",Productos!E456)</f>
        <v/>
      </c>
      <c r="F456" s="13" t="str">
        <f>IF(Productos!A456="","",Productos!F456)</f>
        <v/>
      </c>
      <c r="G456" s="13" t="str">
        <f>IF(A456="","",SUMIF('Compras Entradas'!$C$5:$C$504,A456,'Compras Entradas'!$E$5:$E$504))</f>
        <v/>
      </c>
      <c r="H456" s="13" t="str">
        <f>IF(A456="","",SUMIF('Ventas Salidas'!$C$5:$C$504,A456,'Ventas Salidas'!$E$5:$E$504))</f>
        <v/>
      </c>
      <c r="I456" s="13" t="str">
        <f t="shared" si="24"/>
        <v/>
      </c>
      <c r="J456" s="13" t="str">
        <f t="shared" si="25"/>
        <v/>
      </c>
      <c r="K456" s="13" t="str">
        <f t="shared" si="26"/>
        <v/>
      </c>
      <c r="L456" s="22"/>
      <c r="M456" s="22" t="str">
        <f>IF(A456="","",IF(OR(J456="Bajo stock",J456="Sin stock"),COUNTIFS($J$5:$J456,"Bajo stock")+COUNTIFS($J$5:$J456,"Sin stock"),""))</f>
        <v/>
      </c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s="13" customFormat="1" ht="21.75" customHeight="1" x14ac:dyDescent="0.25">
      <c r="A457" s="13" t="str">
        <f>IF(Productos!A457="","",Productos!A457)</f>
        <v/>
      </c>
      <c r="B457" s="13" t="str">
        <f>IF(Productos!A457="","",Productos!B457)</f>
        <v/>
      </c>
      <c r="C457" s="13" t="str">
        <f>IF(Productos!A457="","",Productos!C457)</f>
        <v/>
      </c>
      <c r="D457" s="13" t="str">
        <f>IF(Productos!A457="","",Productos!D457)</f>
        <v/>
      </c>
      <c r="E457" s="13" t="str">
        <f>IF(Productos!A457="","",Productos!E457)</f>
        <v/>
      </c>
      <c r="F457" s="13" t="str">
        <f>IF(Productos!A457="","",Productos!F457)</f>
        <v/>
      </c>
      <c r="G457" s="13" t="str">
        <f>IF(A457="","",SUMIF('Compras Entradas'!$C$5:$C$504,A457,'Compras Entradas'!$E$5:$E$504))</f>
        <v/>
      </c>
      <c r="H457" s="13" t="str">
        <f>IF(A457="","",SUMIF('Ventas Salidas'!$C$5:$C$504,A457,'Ventas Salidas'!$E$5:$E$504))</f>
        <v/>
      </c>
      <c r="I457" s="13" t="str">
        <f t="shared" si="24"/>
        <v/>
      </c>
      <c r="J457" s="13" t="str">
        <f t="shared" si="25"/>
        <v/>
      </c>
      <c r="K457" s="13" t="str">
        <f t="shared" si="26"/>
        <v/>
      </c>
      <c r="L457" s="22"/>
      <c r="M457" s="22" t="str">
        <f>IF(A457="","",IF(OR(J457="Bajo stock",J457="Sin stock"),COUNTIFS($J$5:$J457,"Bajo stock")+COUNTIFS($J$5:$J457,"Sin stock"),""))</f>
        <v/>
      </c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s="13" customFormat="1" ht="21.75" customHeight="1" x14ac:dyDescent="0.25">
      <c r="A458" s="13" t="str">
        <f>IF(Productos!A458="","",Productos!A458)</f>
        <v/>
      </c>
      <c r="B458" s="13" t="str">
        <f>IF(Productos!A458="","",Productos!B458)</f>
        <v/>
      </c>
      <c r="C458" s="13" t="str">
        <f>IF(Productos!A458="","",Productos!C458)</f>
        <v/>
      </c>
      <c r="D458" s="13" t="str">
        <f>IF(Productos!A458="","",Productos!D458)</f>
        <v/>
      </c>
      <c r="E458" s="13" t="str">
        <f>IF(Productos!A458="","",Productos!E458)</f>
        <v/>
      </c>
      <c r="F458" s="13" t="str">
        <f>IF(Productos!A458="","",Productos!F458)</f>
        <v/>
      </c>
      <c r="G458" s="13" t="str">
        <f>IF(A458="","",SUMIF('Compras Entradas'!$C$5:$C$504,A458,'Compras Entradas'!$E$5:$E$504))</f>
        <v/>
      </c>
      <c r="H458" s="13" t="str">
        <f>IF(A458="","",SUMIF('Ventas Salidas'!$C$5:$C$504,A458,'Ventas Salidas'!$E$5:$E$504))</f>
        <v/>
      </c>
      <c r="I458" s="13" t="str">
        <f t="shared" si="24"/>
        <v/>
      </c>
      <c r="J458" s="13" t="str">
        <f t="shared" si="25"/>
        <v/>
      </c>
      <c r="K458" s="13" t="str">
        <f t="shared" si="26"/>
        <v/>
      </c>
      <c r="L458" s="22"/>
      <c r="M458" s="22" t="str">
        <f>IF(A458="","",IF(OR(J458="Bajo stock",J458="Sin stock"),COUNTIFS($J$5:$J458,"Bajo stock")+COUNTIFS($J$5:$J458,"Sin stock"),""))</f>
        <v/>
      </c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s="13" customFormat="1" ht="21.75" customHeight="1" x14ac:dyDescent="0.25">
      <c r="A459" s="13" t="str">
        <f>IF(Productos!A459="","",Productos!A459)</f>
        <v/>
      </c>
      <c r="B459" s="13" t="str">
        <f>IF(Productos!A459="","",Productos!B459)</f>
        <v/>
      </c>
      <c r="C459" s="13" t="str">
        <f>IF(Productos!A459="","",Productos!C459)</f>
        <v/>
      </c>
      <c r="D459" s="13" t="str">
        <f>IF(Productos!A459="","",Productos!D459)</f>
        <v/>
      </c>
      <c r="E459" s="13" t="str">
        <f>IF(Productos!A459="","",Productos!E459)</f>
        <v/>
      </c>
      <c r="F459" s="13" t="str">
        <f>IF(Productos!A459="","",Productos!F459)</f>
        <v/>
      </c>
      <c r="G459" s="13" t="str">
        <f>IF(A459="","",SUMIF('Compras Entradas'!$C$5:$C$504,A459,'Compras Entradas'!$E$5:$E$504))</f>
        <v/>
      </c>
      <c r="H459" s="13" t="str">
        <f>IF(A459="","",SUMIF('Ventas Salidas'!$C$5:$C$504,A459,'Ventas Salidas'!$E$5:$E$504))</f>
        <v/>
      </c>
      <c r="I459" s="13" t="str">
        <f t="shared" si="24"/>
        <v/>
      </c>
      <c r="J459" s="13" t="str">
        <f t="shared" si="25"/>
        <v/>
      </c>
      <c r="K459" s="13" t="str">
        <f t="shared" si="26"/>
        <v/>
      </c>
      <c r="L459" s="22"/>
      <c r="M459" s="22" t="str">
        <f>IF(A459="","",IF(OR(J459="Bajo stock",J459="Sin stock"),COUNTIFS($J$5:$J459,"Bajo stock")+COUNTIFS($J$5:$J459,"Sin stock"),""))</f>
        <v/>
      </c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s="13" customFormat="1" ht="21.75" customHeight="1" x14ac:dyDescent="0.25">
      <c r="A460" s="13" t="str">
        <f>IF(Productos!A460="","",Productos!A460)</f>
        <v/>
      </c>
      <c r="B460" s="13" t="str">
        <f>IF(Productos!A460="","",Productos!B460)</f>
        <v/>
      </c>
      <c r="C460" s="13" t="str">
        <f>IF(Productos!A460="","",Productos!C460)</f>
        <v/>
      </c>
      <c r="D460" s="13" t="str">
        <f>IF(Productos!A460="","",Productos!D460)</f>
        <v/>
      </c>
      <c r="E460" s="13" t="str">
        <f>IF(Productos!A460="","",Productos!E460)</f>
        <v/>
      </c>
      <c r="F460" s="13" t="str">
        <f>IF(Productos!A460="","",Productos!F460)</f>
        <v/>
      </c>
      <c r="G460" s="13" t="str">
        <f>IF(A460="","",SUMIF('Compras Entradas'!$C$5:$C$504,A460,'Compras Entradas'!$E$5:$E$504))</f>
        <v/>
      </c>
      <c r="H460" s="13" t="str">
        <f>IF(A460="","",SUMIF('Ventas Salidas'!$C$5:$C$504,A460,'Ventas Salidas'!$E$5:$E$504))</f>
        <v/>
      </c>
      <c r="I460" s="13" t="str">
        <f t="shared" si="24"/>
        <v/>
      </c>
      <c r="J460" s="13" t="str">
        <f t="shared" si="25"/>
        <v/>
      </c>
      <c r="K460" s="13" t="str">
        <f t="shared" si="26"/>
        <v/>
      </c>
      <c r="L460" s="22"/>
      <c r="M460" s="22" t="str">
        <f>IF(A460="","",IF(OR(J460="Bajo stock",J460="Sin stock"),COUNTIFS($J$5:$J460,"Bajo stock")+COUNTIFS($J$5:$J460,"Sin stock"),""))</f>
        <v/>
      </c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s="13" customFormat="1" ht="21.75" customHeight="1" x14ac:dyDescent="0.25">
      <c r="A461" s="13" t="str">
        <f>IF(Productos!A461="","",Productos!A461)</f>
        <v/>
      </c>
      <c r="B461" s="13" t="str">
        <f>IF(Productos!A461="","",Productos!B461)</f>
        <v/>
      </c>
      <c r="C461" s="13" t="str">
        <f>IF(Productos!A461="","",Productos!C461)</f>
        <v/>
      </c>
      <c r="D461" s="13" t="str">
        <f>IF(Productos!A461="","",Productos!D461)</f>
        <v/>
      </c>
      <c r="E461" s="13" t="str">
        <f>IF(Productos!A461="","",Productos!E461)</f>
        <v/>
      </c>
      <c r="F461" s="13" t="str">
        <f>IF(Productos!A461="","",Productos!F461)</f>
        <v/>
      </c>
      <c r="G461" s="13" t="str">
        <f>IF(A461="","",SUMIF('Compras Entradas'!$C$5:$C$504,A461,'Compras Entradas'!$E$5:$E$504))</f>
        <v/>
      </c>
      <c r="H461" s="13" t="str">
        <f>IF(A461="","",SUMIF('Ventas Salidas'!$C$5:$C$504,A461,'Ventas Salidas'!$E$5:$E$504))</f>
        <v/>
      </c>
      <c r="I461" s="13" t="str">
        <f t="shared" si="24"/>
        <v/>
      </c>
      <c r="J461" s="13" t="str">
        <f t="shared" si="25"/>
        <v/>
      </c>
      <c r="K461" s="13" t="str">
        <f t="shared" si="26"/>
        <v/>
      </c>
      <c r="L461" s="22"/>
      <c r="M461" s="22" t="str">
        <f>IF(A461="","",IF(OR(J461="Bajo stock",J461="Sin stock"),COUNTIFS($J$5:$J461,"Bajo stock")+COUNTIFS($J$5:$J461,"Sin stock"),""))</f>
        <v/>
      </c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s="13" customFormat="1" ht="21.75" customHeight="1" x14ac:dyDescent="0.25">
      <c r="A462" s="13" t="str">
        <f>IF(Productos!A462="","",Productos!A462)</f>
        <v/>
      </c>
      <c r="B462" s="13" t="str">
        <f>IF(Productos!A462="","",Productos!B462)</f>
        <v/>
      </c>
      <c r="C462" s="13" t="str">
        <f>IF(Productos!A462="","",Productos!C462)</f>
        <v/>
      </c>
      <c r="D462" s="13" t="str">
        <f>IF(Productos!A462="","",Productos!D462)</f>
        <v/>
      </c>
      <c r="E462" s="13" t="str">
        <f>IF(Productos!A462="","",Productos!E462)</f>
        <v/>
      </c>
      <c r="F462" s="13" t="str">
        <f>IF(Productos!A462="","",Productos!F462)</f>
        <v/>
      </c>
      <c r="G462" s="13" t="str">
        <f>IF(A462="","",SUMIF('Compras Entradas'!$C$5:$C$504,A462,'Compras Entradas'!$E$5:$E$504))</f>
        <v/>
      </c>
      <c r="H462" s="13" t="str">
        <f>IF(A462="","",SUMIF('Ventas Salidas'!$C$5:$C$504,A462,'Ventas Salidas'!$E$5:$E$504))</f>
        <v/>
      </c>
      <c r="I462" s="13" t="str">
        <f t="shared" si="24"/>
        <v/>
      </c>
      <c r="J462" s="13" t="str">
        <f t="shared" si="25"/>
        <v/>
      </c>
      <c r="K462" s="13" t="str">
        <f t="shared" si="26"/>
        <v/>
      </c>
      <c r="L462" s="22"/>
      <c r="M462" s="22" t="str">
        <f>IF(A462="","",IF(OR(J462="Bajo stock",J462="Sin stock"),COUNTIFS($J$5:$J462,"Bajo stock")+COUNTIFS($J$5:$J462,"Sin stock"),""))</f>
        <v/>
      </c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s="13" customFormat="1" ht="21.75" customHeight="1" x14ac:dyDescent="0.25">
      <c r="A463" s="13" t="str">
        <f>IF(Productos!A463="","",Productos!A463)</f>
        <v/>
      </c>
      <c r="B463" s="13" t="str">
        <f>IF(Productos!A463="","",Productos!B463)</f>
        <v/>
      </c>
      <c r="C463" s="13" t="str">
        <f>IF(Productos!A463="","",Productos!C463)</f>
        <v/>
      </c>
      <c r="D463" s="13" t="str">
        <f>IF(Productos!A463="","",Productos!D463)</f>
        <v/>
      </c>
      <c r="E463" s="13" t="str">
        <f>IF(Productos!A463="","",Productos!E463)</f>
        <v/>
      </c>
      <c r="F463" s="13" t="str">
        <f>IF(Productos!A463="","",Productos!F463)</f>
        <v/>
      </c>
      <c r="G463" s="13" t="str">
        <f>IF(A463="","",SUMIF('Compras Entradas'!$C$5:$C$504,A463,'Compras Entradas'!$E$5:$E$504))</f>
        <v/>
      </c>
      <c r="H463" s="13" t="str">
        <f>IF(A463="","",SUMIF('Ventas Salidas'!$C$5:$C$504,A463,'Ventas Salidas'!$E$5:$E$504))</f>
        <v/>
      </c>
      <c r="I463" s="13" t="str">
        <f t="shared" si="24"/>
        <v/>
      </c>
      <c r="J463" s="13" t="str">
        <f t="shared" si="25"/>
        <v/>
      </c>
      <c r="K463" s="13" t="str">
        <f t="shared" si="26"/>
        <v/>
      </c>
      <c r="L463" s="22"/>
      <c r="M463" s="22" t="str">
        <f>IF(A463="","",IF(OR(J463="Bajo stock",J463="Sin stock"),COUNTIFS($J$5:$J463,"Bajo stock")+COUNTIFS($J$5:$J463,"Sin stock"),""))</f>
        <v/>
      </c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s="13" customFormat="1" ht="21.75" customHeight="1" x14ac:dyDescent="0.25">
      <c r="A464" s="13" t="str">
        <f>IF(Productos!A464="","",Productos!A464)</f>
        <v/>
      </c>
      <c r="B464" s="13" t="str">
        <f>IF(Productos!A464="","",Productos!B464)</f>
        <v/>
      </c>
      <c r="C464" s="13" t="str">
        <f>IF(Productos!A464="","",Productos!C464)</f>
        <v/>
      </c>
      <c r="D464" s="13" t="str">
        <f>IF(Productos!A464="","",Productos!D464)</f>
        <v/>
      </c>
      <c r="E464" s="13" t="str">
        <f>IF(Productos!A464="","",Productos!E464)</f>
        <v/>
      </c>
      <c r="F464" s="13" t="str">
        <f>IF(Productos!A464="","",Productos!F464)</f>
        <v/>
      </c>
      <c r="G464" s="13" t="str">
        <f>IF(A464="","",SUMIF('Compras Entradas'!$C$5:$C$504,A464,'Compras Entradas'!$E$5:$E$504))</f>
        <v/>
      </c>
      <c r="H464" s="13" t="str">
        <f>IF(A464="","",SUMIF('Ventas Salidas'!$C$5:$C$504,A464,'Ventas Salidas'!$E$5:$E$504))</f>
        <v/>
      </c>
      <c r="I464" s="13" t="str">
        <f t="shared" si="24"/>
        <v/>
      </c>
      <c r="J464" s="13" t="str">
        <f t="shared" si="25"/>
        <v/>
      </c>
      <c r="K464" s="13" t="str">
        <f t="shared" si="26"/>
        <v/>
      </c>
      <c r="L464" s="22"/>
      <c r="M464" s="22" t="str">
        <f>IF(A464="","",IF(OR(J464="Bajo stock",J464="Sin stock"),COUNTIFS($J$5:$J464,"Bajo stock")+COUNTIFS($J$5:$J464,"Sin stock"),""))</f>
        <v/>
      </c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s="13" customFormat="1" ht="21.75" customHeight="1" x14ac:dyDescent="0.25">
      <c r="A465" s="13" t="str">
        <f>IF(Productos!A465="","",Productos!A465)</f>
        <v/>
      </c>
      <c r="B465" s="13" t="str">
        <f>IF(Productos!A465="","",Productos!B465)</f>
        <v/>
      </c>
      <c r="C465" s="13" t="str">
        <f>IF(Productos!A465="","",Productos!C465)</f>
        <v/>
      </c>
      <c r="D465" s="13" t="str">
        <f>IF(Productos!A465="","",Productos!D465)</f>
        <v/>
      </c>
      <c r="E465" s="13" t="str">
        <f>IF(Productos!A465="","",Productos!E465)</f>
        <v/>
      </c>
      <c r="F465" s="13" t="str">
        <f>IF(Productos!A465="","",Productos!F465)</f>
        <v/>
      </c>
      <c r="G465" s="13" t="str">
        <f>IF(A465="","",SUMIF('Compras Entradas'!$C$5:$C$504,A465,'Compras Entradas'!$E$5:$E$504))</f>
        <v/>
      </c>
      <c r="H465" s="13" t="str">
        <f>IF(A465="","",SUMIF('Ventas Salidas'!$C$5:$C$504,A465,'Ventas Salidas'!$E$5:$E$504))</f>
        <v/>
      </c>
      <c r="I465" s="13" t="str">
        <f t="shared" si="24"/>
        <v/>
      </c>
      <c r="J465" s="13" t="str">
        <f t="shared" si="25"/>
        <v/>
      </c>
      <c r="K465" s="13" t="str">
        <f t="shared" si="26"/>
        <v/>
      </c>
      <c r="L465" s="22"/>
      <c r="M465" s="22" t="str">
        <f>IF(A465="","",IF(OR(J465="Bajo stock",J465="Sin stock"),COUNTIFS($J$5:$J465,"Bajo stock")+COUNTIFS($J$5:$J465,"Sin stock"),""))</f>
        <v/>
      </c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s="13" customFormat="1" ht="21.75" customHeight="1" x14ac:dyDescent="0.25">
      <c r="A466" s="13" t="str">
        <f>IF(Productos!A466="","",Productos!A466)</f>
        <v/>
      </c>
      <c r="B466" s="13" t="str">
        <f>IF(Productos!A466="","",Productos!B466)</f>
        <v/>
      </c>
      <c r="C466" s="13" t="str">
        <f>IF(Productos!A466="","",Productos!C466)</f>
        <v/>
      </c>
      <c r="D466" s="13" t="str">
        <f>IF(Productos!A466="","",Productos!D466)</f>
        <v/>
      </c>
      <c r="E466" s="13" t="str">
        <f>IF(Productos!A466="","",Productos!E466)</f>
        <v/>
      </c>
      <c r="F466" s="13" t="str">
        <f>IF(Productos!A466="","",Productos!F466)</f>
        <v/>
      </c>
      <c r="G466" s="13" t="str">
        <f>IF(A466="","",SUMIF('Compras Entradas'!$C$5:$C$504,A466,'Compras Entradas'!$E$5:$E$504))</f>
        <v/>
      </c>
      <c r="H466" s="13" t="str">
        <f>IF(A466="","",SUMIF('Ventas Salidas'!$C$5:$C$504,A466,'Ventas Salidas'!$E$5:$E$504))</f>
        <v/>
      </c>
      <c r="I466" s="13" t="str">
        <f t="shared" si="24"/>
        <v/>
      </c>
      <c r="J466" s="13" t="str">
        <f t="shared" si="25"/>
        <v/>
      </c>
      <c r="K466" s="13" t="str">
        <f t="shared" si="26"/>
        <v/>
      </c>
      <c r="L466" s="22"/>
      <c r="M466" s="22" t="str">
        <f>IF(A466="","",IF(OR(J466="Bajo stock",J466="Sin stock"),COUNTIFS($J$5:$J466,"Bajo stock")+COUNTIFS($J$5:$J466,"Sin stock"),""))</f>
        <v/>
      </c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s="13" customFormat="1" ht="21.75" customHeight="1" x14ac:dyDescent="0.25">
      <c r="A467" s="13" t="str">
        <f>IF(Productos!A467="","",Productos!A467)</f>
        <v/>
      </c>
      <c r="B467" s="13" t="str">
        <f>IF(Productos!A467="","",Productos!B467)</f>
        <v/>
      </c>
      <c r="C467" s="13" t="str">
        <f>IF(Productos!A467="","",Productos!C467)</f>
        <v/>
      </c>
      <c r="D467" s="13" t="str">
        <f>IF(Productos!A467="","",Productos!D467)</f>
        <v/>
      </c>
      <c r="E467" s="13" t="str">
        <f>IF(Productos!A467="","",Productos!E467)</f>
        <v/>
      </c>
      <c r="F467" s="13" t="str">
        <f>IF(Productos!A467="","",Productos!F467)</f>
        <v/>
      </c>
      <c r="G467" s="13" t="str">
        <f>IF(A467="","",SUMIF('Compras Entradas'!$C$5:$C$504,A467,'Compras Entradas'!$E$5:$E$504))</f>
        <v/>
      </c>
      <c r="H467" s="13" t="str">
        <f>IF(A467="","",SUMIF('Ventas Salidas'!$C$5:$C$504,A467,'Ventas Salidas'!$E$5:$E$504))</f>
        <v/>
      </c>
      <c r="I467" s="13" t="str">
        <f t="shared" si="24"/>
        <v/>
      </c>
      <c r="J467" s="13" t="str">
        <f t="shared" si="25"/>
        <v/>
      </c>
      <c r="K467" s="13" t="str">
        <f t="shared" si="26"/>
        <v/>
      </c>
      <c r="L467" s="22"/>
      <c r="M467" s="22" t="str">
        <f>IF(A467="","",IF(OR(J467="Bajo stock",J467="Sin stock"),COUNTIFS($J$5:$J467,"Bajo stock")+COUNTIFS($J$5:$J467,"Sin stock"),""))</f>
        <v/>
      </c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s="13" customFormat="1" ht="21.75" customHeight="1" x14ac:dyDescent="0.25">
      <c r="A468" s="13" t="str">
        <f>IF(Productos!A468="","",Productos!A468)</f>
        <v/>
      </c>
      <c r="B468" s="13" t="str">
        <f>IF(Productos!A468="","",Productos!B468)</f>
        <v/>
      </c>
      <c r="C468" s="13" t="str">
        <f>IF(Productos!A468="","",Productos!C468)</f>
        <v/>
      </c>
      <c r="D468" s="13" t="str">
        <f>IF(Productos!A468="","",Productos!D468)</f>
        <v/>
      </c>
      <c r="E468" s="13" t="str">
        <f>IF(Productos!A468="","",Productos!E468)</f>
        <v/>
      </c>
      <c r="F468" s="13" t="str">
        <f>IF(Productos!A468="","",Productos!F468)</f>
        <v/>
      </c>
      <c r="G468" s="13" t="str">
        <f>IF(A468="","",SUMIF('Compras Entradas'!$C$5:$C$504,A468,'Compras Entradas'!$E$5:$E$504))</f>
        <v/>
      </c>
      <c r="H468" s="13" t="str">
        <f>IF(A468="","",SUMIF('Ventas Salidas'!$C$5:$C$504,A468,'Ventas Salidas'!$E$5:$E$504))</f>
        <v/>
      </c>
      <c r="I468" s="13" t="str">
        <f t="shared" si="24"/>
        <v/>
      </c>
      <c r="J468" s="13" t="str">
        <f t="shared" si="25"/>
        <v/>
      </c>
      <c r="K468" s="13" t="str">
        <f t="shared" si="26"/>
        <v/>
      </c>
      <c r="L468" s="22"/>
      <c r="M468" s="22" t="str">
        <f>IF(A468="","",IF(OR(J468="Bajo stock",J468="Sin stock"),COUNTIFS($J$5:$J468,"Bajo stock")+COUNTIFS($J$5:$J468,"Sin stock"),""))</f>
        <v/>
      </c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s="13" customFormat="1" ht="21.75" customHeight="1" x14ac:dyDescent="0.25">
      <c r="A469" s="13" t="str">
        <f>IF(Productos!A469="","",Productos!A469)</f>
        <v/>
      </c>
      <c r="B469" s="13" t="str">
        <f>IF(Productos!A469="","",Productos!B469)</f>
        <v/>
      </c>
      <c r="C469" s="13" t="str">
        <f>IF(Productos!A469="","",Productos!C469)</f>
        <v/>
      </c>
      <c r="D469" s="13" t="str">
        <f>IF(Productos!A469="","",Productos!D469)</f>
        <v/>
      </c>
      <c r="E469" s="13" t="str">
        <f>IF(Productos!A469="","",Productos!E469)</f>
        <v/>
      </c>
      <c r="F469" s="13" t="str">
        <f>IF(Productos!A469="","",Productos!F469)</f>
        <v/>
      </c>
      <c r="G469" s="13" t="str">
        <f>IF(A469="","",SUMIF('Compras Entradas'!$C$5:$C$504,A469,'Compras Entradas'!$E$5:$E$504))</f>
        <v/>
      </c>
      <c r="H469" s="13" t="str">
        <f>IF(A469="","",SUMIF('Ventas Salidas'!$C$5:$C$504,A469,'Ventas Salidas'!$E$5:$E$504))</f>
        <v/>
      </c>
      <c r="I469" s="13" t="str">
        <f t="shared" si="24"/>
        <v/>
      </c>
      <c r="J469" s="13" t="str">
        <f t="shared" si="25"/>
        <v/>
      </c>
      <c r="K469" s="13" t="str">
        <f t="shared" si="26"/>
        <v/>
      </c>
      <c r="L469" s="22"/>
      <c r="M469" s="22" t="str">
        <f>IF(A469="","",IF(OR(J469="Bajo stock",J469="Sin stock"),COUNTIFS($J$5:$J469,"Bajo stock")+COUNTIFS($J$5:$J469,"Sin stock"),""))</f>
        <v/>
      </c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s="13" customFormat="1" ht="21.75" customHeight="1" x14ac:dyDescent="0.25">
      <c r="A470" s="13" t="str">
        <f>IF(Productos!A470="","",Productos!A470)</f>
        <v/>
      </c>
      <c r="B470" s="13" t="str">
        <f>IF(Productos!A470="","",Productos!B470)</f>
        <v/>
      </c>
      <c r="C470" s="13" t="str">
        <f>IF(Productos!A470="","",Productos!C470)</f>
        <v/>
      </c>
      <c r="D470" s="13" t="str">
        <f>IF(Productos!A470="","",Productos!D470)</f>
        <v/>
      </c>
      <c r="E470" s="13" t="str">
        <f>IF(Productos!A470="","",Productos!E470)</f>
        <v/>
      </c>
      <c r="F470" s="13" t="str">
        <f>IF(Productos!A470="","",Productos!F470)</f>
        <v/>
      </c>
      <c r="G470" s="13" t="str">
        <f>IF(A470="","",SUMIF('Compras Entradas'!$C$5:$C$504,A470,'Compras Entradas'!$E$5:$E$504))</f>
        <v/>
      </c>
      <c r="H470" s="13" t="str">
        <f>IF(A470="","",SUMIF('Ventas Salidas'!$C$5:$C$504,A470,'Ventas Salidas'!$E$5:$E$504))</f>
        <v/>
      </c>
      <c r="I470" s="13" t="str">
        <f t="shared" si="24"/>
        <v/>
      </c>
      <c r="J470" s="13" t="str">
        <f t="shared" si="25"/>
        <v/>
      </c>
      <c r="K470" s="13" t="str">
        <f t="shared" si="26"/>
        <v/>
      </c>
      <c r="L470" s="22"/>
      <c r="M470" s="22" t="str">
        <f>IF(A470="","",IF(OR(J470="Bajo stock",J470="Sin stock"),COUNTIFS($J$5:$J470,"Bajo stock")+COUNTIFS($J$5:$J470,"Sin stock"),""))</f>
        <v/>
      </c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s="13" customFormat="1" ht="21.75" customHeight="1" x14ac:dyDescent="0.25">
      <c r="A471" s="13" t="str">
        <f>IF(Productos!A471="","",Productos!A471)</f>
        <v/>
      </c>
      <c r="B471" s="13" t="str">
        <f>IF(Productos!A471="","",Productos!B471)</f>
        <v/>
      </c>
      <c r="C471" s="13" t="str">
        <f>IF(Productos!A471="","",Productos!C471)</f>
        <v/>
      </c>
      <c r="D471" s="13" t="str">
        <f>IF(Productos!A471="","",Productos!D471)</f>
        <v/>
      </c>
      <c r="E471" s="13" t="str">
        <f>IF(Productos!A471="","",Productos!E471)</f>
        <v/>
      </c>
      <c r="F471" s="13" t="str">
        <f>IF(Productos!A471="","",Productos!F471)</f>
        <v/>
      </c>
      <c r="G471" s="13" t="str">
        <f>IF(A471="","",SUMIF('Compras Entradas'!$C$5:$C$504,A471,'Compras Entradas'!$E$5:$E$504))</f>
        <v/>
      </c>
      <c r="H471" s="13" t="str">
        <f>IF(A471="","",SUMIF('Ventas Salidas'!$C$5:$C$504,A471,'Ventas Salidas'!$E$5:$E$504))</f>
        <v/>
      </c>
      <c r="I471" s="13" t="str">
        <f t="shared" si="24"/>
        <v/>
      </c>
      <c r="J471" s="13" t="str">
        <f t="shared" si="25"/>
        <v/>
      </c>
      <c r="K471" s="13" t="str">
        <f t="shared" si="26"/>
        <v/>
      </c>
      <c r="L471" s="22"/>
      <c r="M471" s="22" t="str">
        <f>IF(A471="","",IF(OR(J471="Bajo stock",J471="Sin stock"),COUNTIFS($J$5:$J471,"Bajo stock")+COUNTIFS($J$5:$J471,"Sin stock"),""))</f>
        <v/>
      </c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s="13" customFormat="1" ht="21.75" customHeight="1" x14ac:dyDescent="0.25">
      <c r="A472" s="13" t="str">
        <f>IF(Productos!A472="","",Productos!A472)</f>
        <v/>
      </c>
      <c r="B472" s="13" t="str">
        <f>IF(Productos!A472="","",Productos!B472)</f>
        <v/>
      </c>
      <c r="C472" s="13" t="str">
        <f>IF(Productos!A472="","",Productos!C472)</f>
        <v/>
      </c>
      <c r="D472" s="13" t="str">
        <f>IF(Productos!A472="","",Productos!D472)</f>
        <v/>
      </c>
      <c r="E472" s="13" t="str">
        <f>IF(Productos!A472="","",Productos!E472)</f>
        <v/>
      </c>
      <c r="F472" s="13" t="str">
        <f>IF(Productos!A472="","",Productos!F472)</f>
        <v/>
      </c>
      <c r="G472" s="13" t="str">
        <f>IF(A472="","",SUMIF('Compras Entradas'!$C$5:$C$504,A472,'Compras Entradas'!$E$5:$E$504))</f>
        <v/>
      </c>
      <c r="H472" s="13" t="str">
        <f>IF(A472="","",SUMIF('Ventas Salidas'!$C$5:$C$504,A472,'Ventas Salidas'!$E$5:$E$504))</f>
        <v/>
      </c>
      <c r="I472" s="13" t="str">
        <f t="shared" si="24"/>
        <v/>
      </c>
      <c r="J472" s="13" t="str">
        <f t="shared" si="25"/>
        <v/>
      </c>
      <c r="K472" s="13" t="str">
        <f t="shared" si="26"/>
        <v/>
      </c>
      <c r="L472" s="22"/>
      <c r="M472" s="22" t="str">
        <f>IF(A472="","",IF(OR(J472="Bajo stock",J472="Sin stock"),COUNTIFS($J$5:$J472,"Bajo stock")+COUNTIFS($J$5:$J472,"Sin stock"),""))</f>
        <v/>
      </c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s="13" customFormat="1" ht="21.75" customHeight="1" x14ac:dyDescent="0.25">
      <c r="A473" s="13" t="str">
        <f>IF(Productos!A473="","",Productos!A473)</f>
        <v/>
      </c>
      <c r="B473" s="13" t="str">
        <f>IF(Productos!A473="","",Productos!B473)</f>
        <v/>
      </c>
      <c r="C473" s="13" t="str">
        <f>IF(Productos!A473="","",Productos!C473)</f>
        <v/>
      </c>
      <c r="D473" s="13" t="str">
        <f>IF(Productos!A473="","",Productos!D473)</f>
        <v/>
      </c>
      <c r="E473" s="13" t="str">
        <f>IF(Productos!A473="","",Productos!E473)</f>
        <v/>
      </c>
      <c r="F473" s="13" t="str">
        <f>IF(Productos!A473="","",Productos!F473)</f>
        <v/>
      </c>
      <c r="G473" s="13" t="str">
        <f>IF(A473="","",SUMIF('Compras Entradas'!$C$5:$C$504,A473,'Compras Entradas'!$E$5:$E$504))</f>
        <v/>
      </c>
      <c r="H473" s="13" t="str">
        <f>IF(A473="","",SUMIF('Ventas Salidas'!$C$5:$C$504,A473,'Ventas Salidas'!$E$5:$E$504))</f>
        <v/>
      </c>
      <c r="I473" s="13" t="str">
        <f t="shared" si="24"/>
        <v/>
      </c>
      <c r="J473" s="13" t="str">
        <f t="shared" si="25"/>
        <v/>
      </c>
      <c r="K473" s="13" t="str">
        <f t="shared" si="26"/>
        <v/>
      </c>
      <c r="L473" s="22"/>
      <c r="M473" s="22" t="str">
        <f>IF(A473="","",IF(OR(J473="Bajo stock",J473="Sin stock"),COUNTIFS($J$5:$J473,"Bajo stock")+COUNTIFS($J$5:$J473,"Sin stock"),""))</f>
        <v/>
      </c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s="13" customFormat="1" ht="21.75" customHeight="1" x14ac:dyDescent="0.25">
      <c r="A474" s="13" t="str">
        <f>IF(Productos!A474="","",Productos!A474)</f>
        <v/>
      </c>
      <c r="B474" s="13" t="str">
        <f>IF(Productos!A474="","",Productos!B474)</f>
        <v/>
      </c>
      <c r="C474" s="13" t="str">
        <f>IF(Productos!A474="","",Productos!C474)</f>
        <v/>
      </c>
      <c r="D474" s="13" t="str">
        <f>IF(Productos!A474="","",Productos!D474)</f>
        <v/>
      </c>
      <c r="E474" s="13" t="str">
        <f>IF(Productos!A474="","",Productos!E474)</f>
        <v/>
      </c>
      <c r="F474" s="13" t="str">
        <f>IF(Productos!A474="","",Productos!F474)</f>
        <v/>
      </c>
      <c r="G474" s="13" t="str">
        <f>IF(A474="","",SUMIF('Compras Entradas'!$C$5:$C$504,A474,'Compras Entradas'!$E$5:$E$504))</f>
        <v/>
      </c>
      <c r="H474" s="13" t="str">
        <f>IF(A474="","",SUMIF('Ventas Salidas'!$C$5:$C$504,A474,'Ventas Salidas'!$E$5:$E$504))</f>
        <v/>
      </c>
      <c r="I474" s="13" t="str">
        <f t="shared" si="24"/>
        <v/>
      </c>
      <c r="J474" s="13" t="str">
        <f t="shared" si="25"/>
        <v/>
      </c>
      <c r="K474" s="13" t="str">
        <f t="shared" si="26"/>
        <v/>
      </c>
      <c r="L474" s="22"/>
      <c r="M474" s="22" t="str">
        <f>IF(A474="","",IF(OR(J474="Bajo stock",J474="Sin stock"),COUNTIFS($J$5:$J474,"Bajo stock")+COUNTIFS($J$5:$J474,"Sin stock"),""))</f>
        <v/>
      </c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s="13" customFormat="1" ht="21.75" customHeight="1" x14ac:dyDescent="0.25">
      <c r="A475" s="13" t="str">
        <f>IF(Productos!A475="","",Productos!A475)</f>
        <v/>
      </c>
      <c r="B475" s="13" t="str">
        <f>IF(Productos!A475="","",Productos!B475)</f>
        <v/>
      </c>
      <c r="C475" s="13" t="str">
        <f>IF(Productos!A475="","",Productos!C475)</f>
        <v/>
      </c>
      <c r="D475" s="13" t="str">
        <f>IF(Productos!A475="","",Productos!D475)</f>
        <v/>
      </c>
      <c r="E475" s="13" t="str">
        <f>IF(Productos!A475="","",Productos!E475)</f>
        <v/>
      </c>
      <c r="F475" s="13" t="str">
        <f>IF(Productos!A475="","",Productos!F475)</f>
        <v/>
      </c>
      <c r="G475" s="13" t="str">
        <f>IF(A475="","",SUMIF('Compras Entradas'!$C$5:$C$504,A475,'Compras Entradas'!$E$5:$E$504))</f>
        <v/>
      </c>
      <c r="H475" s="13" t="str">
        <f>IF(A475="","",SUMIF('Ventas Salidas'!$C$5:$C$504,A475,'Ventas Salidas'!$E$5:$E$504))</f>
        <v/>
      </c>
      <c r="I475" s="13" t="str">
        <f t="shared" si="24"/>
        <v/>
      </c>
      <c r="J475" s="13" t="str">
        <f t="shared" si="25"/>
        <v/>
      </c>
      <c r="K475" s="13" t="str">
        <f t="shared" si="26"/>
        <v/>
      </c>
      <c r="L475" s="22"/>
      <c r="M475" s="22" t="str">
        <f>IF(A475="","",IF(OR(J475="Bajo stock",J475="Sin stock"),COUNTIFS($J$5:$J475,"Bajo stock")+COUNTIFS($J$5:$J475,"Sin stock"),""))</f>
        <v/>
      </c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s="13" customFormat="1" ht="21.75" customHeight="1" x14ac:dyDescent="0.25">
      <c r="A476" s="13" t="str">
        <f>IF(Productos!A476="","",Productos!A476)</f>
        <v/>
      </c>
      <c r="B476" s="13" t="str">
        <f>IF(Productos!A476="","",Productos!B476)</f>
        <v/>
      </c>
      <c r="C476" s="13" t="str">
        <f>IF(Productos!A476="","",Productos!C476)</f>
        <v/>
      </c>
      <c r="D476" s="13" t="str">
        <f>IF(Productos!A476="","",Productos!D476)</f>
        <v/>
      </c>
      <c r="E476" s="13" t="str">
        <f>IF(Productos!A476="","",Productos!E476)</f>
        <v/>
      </c>
      <c r="F476" s="13" t="str">
        <f>IF(Productos!A476="","",Productos!F476)</f>
        <v/>
      </c>
      <c r="G476" s="13" t="str">
        <f>IF(A476="","",SUMIF('Compras Entradas'!$C$5:$C$504,A476,'Compras Entradas'!$E$5:$E$504))</f>
        <v/>
      </c>
      <c r="H476" s="13" t="str">
        <f>IF(A476="","",SUMIF('Ventas Salidas'!$C$5:$C$504,A476,'Ventas Salidas'!$E$5:$E$504))</f>
        <v/>
      </c>
      <c r="I476" s="13" t="str">
        <f t="shared" si="24"/>
        <v/>
      </c>
      <c r="J476" s="13" t="str">
        <f t="shared" si="25"/>
        <v/>
      </c>
      <c r="K476" s="13" t="str">
        <f t="shared" si="26"/>
        <v/>
      </c>
      <c r="L476" s="22"/>
      <c r="M476" s="22" t="str">
        <f>IF(A476="","",IF(OR(J476="Bajo stock",J476="Sin stock"),COUNTIFS($J$5:$J476,"Bajo stock")+COUNTIFS($J$5:$J476,"Sin stock"),""))</f>
        <v/>
      </c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s="13" customFormat="1" ht="21.75" customHeight="1" x14ac:dyDescent="0.25">
      <c r="A477" s="13" t="str">
        <f>IF(Productos!A477="","",Productos!A477)</f>
        <v/>
      </c>
      <c r="B477" s="13" t="str">
        <f>IF(Productos!A477="","",Productos!B477)</f>
        <v/>
      </c>
      <c r="C477" s="13" t="str">
        <f>IF(Productos!A477="","",Productos!C477)</f>
        <v/>
      </c>
      <c r="D477" s="13" t="str">
        <f>IF(Productos!A477="","",Productos!D477)</f>
        <v/>
      </c>
      <c r="E477" s="13" t="str">
        <f>IF(Productos!A477="","",Productos!E477)</f>
        <v/>
      </c>
      <c r="F477" s="13" t="str">
        <f>IF(Productos!A477="","",Productos!F477)</f>
        <v/>
      </c>
      <c r="G477" s="13" t="str">
        <f>IF(A477="","",SUMIF('Compras Entradas'!$C$5:$C$504,A477,'Compras Entradas'!$E$5:$E$504))</f>
        <v/>
      </c>
      <c r="H477" s="13" t="str">
        <f>IF(A477="","",SUMIF('Ventas Salidas'!$C$5:$C$504,A477,'Ventas Salidas'!$E$5:$E$504))</f>
        <v/>
      </c>
      <c r="I477" s="13" t="str">
        <f t="shared" si="24"/>
        <v/>
      </c>
      <c r="J477" s="13" t="str">
        <f t="shared" si="25"/>
        <v/>
      </c>
      <c r="K477" s="13" t="str">
        <f t="shared" si="26"/>
        <v/>
      </c>
      <c r="L477" s="22"/>
      <c r="M477" s="22" t="str">
        <f>IF(A477="","",IF(OR(J477="Bajo stock",J477="Sin stock"),COUNTIFS($J$5:$J477,"Bajo stock")+COUNTIFS($J$5:$J477,"Sin stock"),""))</f>
        <v/>
      </c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s="13" customFormat="1" ht="21.75" customHeight="1" x14ac:dyDescent="0.25">
      <c r="A478" s="13" t="str">
        <f>IF(Productos!A478="","",Productos!A478)</f>
        <v/>
      </c>
      <c r="B478" s="13" t="str">
        <f>IF(Productos!A478="","",Productos!B478)</f>
        <v/>
      </c>
      <c r="C478" s="13" t="str">
        <f>IF(Productos!A478="","",Productos!C478)</f>
        <v/>
      </c>
      <c r="D478" s="13" t="str">
        <f>IF(Productos!A478="","",Productos!D478)</f>
        <v/>
      </c>
      <c r="E478" s="13" t="str">
        <f>IF(Productos!A478="","",Productos!E478)</f>
        <v/>
      </c>
      <c r="F478" s="13" t="str">
        <f>IF(Productos!A478="","",Productos!F478)</f>
        <v/>
      </c>
      <c r="G478" s="13" t="str">
        <f>IF(A478="","",SUMIF('Compras Entradas'!$C$5:$C$504,A478,'Compras Entradas'!$E$5:$E$504))</f>
        <v/>
      </c>
      <c r="H478" s="13" t="str">
        <f>IF(A478="","",SUMIF('Ventas Salidas'!$C$5:$C$504,A478,'Ventas Salidas'!$E$5:$E$504))</f>
        <v/>
      </c>
      <c r="I478" s="13" t="str">
        <f t="shared" si="24"/>
        <v/>
      </c>
      <c r="J478" s="13" t="str">
        <f t="shared" si="25"/>
        <v/>
      </c>
      <c r="K478" s="13" t="str">
        <f t="shared" si="26"/>
        <v/>
      </c>
      <c r="L478" s="22"/>
      <c r="M478" s="22" t="str">
        <f>IF(A478="","",IF(OR(J478="Bajo stock",J478="Sin stock"),COUNTIFS($J$5:$J478,"Bajo stock")+COUNTIFS($J$5:$J478,"Sin stock"),""))</f>
        <v/>
      </c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s="13" customFormat="1" ht="21.75" customHeight="1" x14ac:dyDescent="0.25">
      <c r="A479" s="13" t="str">
        <f>IF(Productos!A479="","",Productos!A479)</f>
        <v/>
      </c>
      <c r="B479" s="13" t="str">
        <f>IF(Productos!A479="","",Productos!B479)</f>
        <v/>
      </c>
      <c r="C479" s="13" t="str">
        <f>IF(Productos!A479="","",Productos!C479)</f>
        <v/>
      </c>
      <c r="D479" s="13" t="str">
        <f>IF(Productos!A479="","",Productos!D479)</f>
        <v/>
      </c>
      <c r="E479" s="13" t="str">
        <f>IF(Productos!A479="","",Productos!E479)</f>
        <v/>
      </c>
      <c r="F479" s="13" t="str">
        <f>IF(Productos!A479="","",Productos!F479)</f>
        <v/>
      </c>
      <c r="G479" s="13" t="str">
        <f>IF(A479="","",SUMIF('Compras Entradas'!$C$5:$C$504,A479,'Compras Entradas'!$E$5:$E$504))</f>
        <v/>
      </c>
      <c r="H479" s="13" t="str">
        <f>IF(A479="","",SUMIF('Ventas Salidas'!$C$5:$C$504,A479,'Ventas Salidas'!$E$5:$E$504))</f>
        <v/>
      </c>
      <c r="I479" s="13" t="str">
        <f t="shared" si="24"/>
        <v/>
      </c>
      <c r="J479" s="13" t="str">
        <f t="shared" si="25"/>
        <v/>
      </c>
      <c r="K479" s="13" t="str">
        <f t="shared" si="26"/>
        <v/>
      </c>
      <c r="L479" s="22"/>
      <c r="M479" s="22" t="str">
        <f>IF(A479="","",IF(OR(J479="Bajo stock",J479="Sin stock"),COUNTIFS($J$5:$J479,"Bajo stock")+COUNTIFS($J$5:$J479,"Sin stock"),""))</f>
        <v/>
      </c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s="13" customFormat="1" ht="21.75" customHeight="1" x14ac:dyDescent="0.25">
      <c r="A480" s="13" t="str">
        <f>IF(Productos!A480="","",Productos!A480)</f>
        <v/>
      </c>
      <c r="B480" s="13" t="str">
        <f>IF(Productos!A480="","",Productos!B480)</f>
        <v/>
      </c>
      <c r="C480" s="13" t="str">
        <f>IF(Productos!A480="","",Productos!C480)</f>
        <v/>
      </c>
      <c r="D480" s="13" t="str">
        <f>IF(Productos!A480="","",Productos!D480)</f>
        <v/>
      </c>
      <c r="E480" s="13" t="str">
        <f>IF(Productos!A480="","",Productos!E480)</f>
        <v/>
      </c>
      <c r="F480" s="13" t="str">
        <f>IF(Productos!A480="","",Productos!F480)</f>
        <v/>
      </c>
      <c r="G480" s="13" t="str">
        <f>IF(A480="","",SUMIF('Compras Entradas'!$C$5:$C$504,A480,'Compras Entradas'!$E$5:$E$504))</f>
        <v/>
      </c>
      <c r="H480" s="13" t="str">
        <f>IF(A480="","",SUMIF('Ventas Salidas'!$C$5:$C$504,A480,'Ventas Salidas'!$E$5:$E$504))</f>
        <v/>
      </c>
      <c r="I480" s="13" t="str">
        <f t="shared" si="24"/>
        <v/>
      </c>
      <c r="J480" s="13" t="str">
        <f t="shared" si="25"/>
        <v/>
      </c>
      <c r="K480" s="13" t="str">
        <f t="shared" si="26"/>
        <v/>
      </c>
      <c r="L480" s="22"/>
      <c r="M480" s="22" t="str">
        <f>IF(A480="","",IF(OR(J480="Bajo stock",J480="Sin stock"),COUNTIFS($J$5:$J480,"Bajo stock")+COUNTIFS($J$5:$J480,"Sin stock"),""))</f>
        <v/>
      </c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s="13" customFormat="1" ht="21.75" customHeight="1" x14ac:dyDescent="0.25">
      <c r="A481" s="13" t="str">
        <f>IF(Productos!A481="","",Productos!A481)</f>
        <v/>
      </c>
      <c r="B481" s="13" t="str">
        <f>IF(Productos!A481="","",Productos!B481)</f>
        <v/>
      </c>
      <c r="C481" s="13" t="str">
        <f>IF(Productos!A481="","",Productos!C481)</f>
        <v/>
      </c>
      <c r="D481" s="13" t="str">
        <f>IF(Productos!A481="","",Productos!D481)</f>
        <v/>
      </c>
      <c r="E481" s="13" t="str">
        <f>IF(Productos!A481="","",Productos!E481)</f>
        <v/>
      </c>
      <c r="F481" s="13" t="str">
        <f>IF(Productos!A481="","",Productos!F481)</f>
        <v/>
      </c>
      <c r="G481" s="13" t="str">
        <f>IF(A481="","",SUMIF('Compras Entradas'!$C$5:$C$504,A481,'Compras Entradas'!$E$5:$E$504))</f>
        <v/>
      </c>
      <c r="H481" s="13" t="str">
        <f>IF(A481="","",SUMIF('Ventas Salidas'!$C$5:$C$504,A481,'Ventas Salidas'!$E$5:$E$504))</f>
        <v/>
      </c>
      <c r="I481" s="13" t="str">
        <f t="shared" si="24"/>
        <v/>
      </c>
      <c r="J481" s="13" t="str">
        <f t="shared" si="25"/>
        <v/>
      </c>
      <c r="K481" s="13" t="str">
        <f t="shared" si="26"/>
        <v/>
      </c>
      <c r="L481" s="22"/>
      <c r="M481" s="22" t="str">
        <f>IF(A481="","",IF(OR(J481="Bajo stock",J481="Sin stock"),COUNTIFS($J$5:$J481,"Bajo stock")+COUNTIFS($J$5:$J481,"Sin stock"),""))</f>
        <v/>
      </c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s="13" customFormat="1" ht="21.75" customHeight="1" x14ac:dyDescent="0.25">
      <c r="A482" s="13" t="str">
        <f>IF(Productos!A482="","",Productos!A482)</f>
        <v/>
      </c>
      <c r="B482" s="13" t="str">
        <f>IF(Productos!A482="","",Productos!B482)</f>
        <v/>
      </c>
      <c r="C482" s="13" t="str">
        <f>IF(Productos!A482="","",Productos!C482)</f>
        <v/>
      </c>
      <c r="D482" s="13" t="str">
        <f>IF(Productos!A482="","",Productos!D482)</f>
        <v/>
      </c>
      <c r="E482" s="13" t="str">
        <f>IF(Productos!A482="","",Productos!E482)</f>
        <v/>
      </c>
      <c r="F482" s="13" t="str">
        <f>IF(Productos!A482="","",Productos!F482)</f>
        <v/>
      </c>
      <c r="G482" s="13" t="str">
        <f>IF(A482="","",SUMIF('Compras Entradas'!$C$5:$C$504,A482,'Compras Entradas'!$E$5:$E$504))</f>
        <v/>
      </c>
      <c r="H482" s="13" t="str">
        <f>IF(A482="","",SUMIF('Ventas Salidas'!$C$5:$C$504,A482,'Ventas Salidas'!$E$5:$E$504))</f>
        <v/>
      </c>
      <c r="I482" s="13" t="str">
        <f t="shared" si="24"/>
        <v/>
      </c>
      <c r="J482" s="13" t="str">
        <f t="shared" si="25"/>
        <v/>
      </c>
      <c r="K482" s="13" t="str">
        <f t="shared" si="26"/>
        <v/>
      </c>
      <c r="L482" s="22"/>
      <c r="M482" s="22" t="str">
        <f>IF(A482="","",IF(OR(J482="Bajo stock",J482="Sin stock"),COUNTIFS($J$5:$J482,"Bajo stock")+COUNTIFS($J$5:$J482,"Sin stock"),""))</f>
        <v/>
      </c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s="13" customFormat="1" ht="21.75" customHeight="1" x14ac:dyDescent="0.25">
      <c r="A483" s="13" t="str">
        <f>IF(Productos!A483="","",Productos!A483)</f>
        <v/>
      </c>
      <c r="B483" s="13" t="str">
        <f>IF(Productos!A483="","",Productos!B483)</f>
        <v/>
      </c>
      <c r="C483" s="13" t="str">
        <f>IF(Productos!A483="","",Productos!C483)</f>
        <v/>
      </c>
      <c r="D483" s="13" t="str">
        <f>IF(Productos!A483="","",Productos!D483)</f>
        <v/>
      </c>
      <c r="E483" s="13" t="str">
        <f>IF(Productos!A483="","",Productos!E483)</f>
        <v/>
      </c>
      <c r="F483" s="13" t="str">
        <f>IF(Productos!A483="","",Productos!F483)</f>
        <v/>
      </c>
      <c r="G483" s="13" t="str">
        <f>IF(A483="","",SUMIF('Compras Entradas'!$C$5:$C$504,A483,'Compras Entradas'!$E$5:$E$504))</f>
        <v/>
      </c>
      <c r="H483" s="13" t="str">
        <f>IF(A483="","",SUMIF('Ventas Salidas'!$C$5:$C$504,A483,'Ventas Salidas'!$E$5:$E$504))</f>
        <v/>
      </c>
      <c r="I483" s="13" t="str">
        <f t="shared" si="24"/>
        <v/>
      </c>
      <c r="J483" s="13" t="str">
        <f t="shared" si="25"/>
        <v/>
      </c>
      <c r="K483" s="13" t="str">
        <f t="shared" si="26"/>
        <v/>
      </c>
      <c r="L483" s="22"/>
      <c r="M483" s="22" t="str">
        <f>IF(A483="","",IF(OR(J483="Bajo stock",J483="Sin stock"),COUNTIFS($J$5:$J483,"Bajo stock")+COUNTIFS($J$5:$J483,"Sin stock"),""))</f>
        <v/>
      </c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s="13" customFormat="1" ht="21.75" customHeight="1" x14ac:dyDescent="0.25">
      <c r="A484" s="13" t="str">
        <f>IF(Productos!A484="","",Productos!A484)</f>
        <v/>
      </c>
      <c r="B484" s="13" t="str">
        <f>IF(Productos!A484="","",Productos!B484)</f>
        <v/>
      </c>
      <c r="C484" s="13" t="str">
        <f>IF(Productos!A484="","",Productos!C484)</f>
        <v/>
      </c>
      <c r="D484" s="13" t="str">
        <f>IF(Productos!A484="","",Productos!D484)</f>
        <v/>
      </c>
      <c r="E484" s="13" t="str">
        <f>IF(Productos!A484="","",Productos!E484)</f>
        <v/>
      </c>
      <c r="F484" s="13" t="str">
        <f>IF(Productos!A484="","",Productos!F484)</f>
        <v/>
      </c>
      <c r="G484" s="13" t="str">
        <f>IF(A484="","",SUMIF('Compras Entradas'!$C$5:$C$504,A484,'Compras Entradas'!$E$5:$E$504))</f>
        <v/>
      </c>
      <c r="H484" s="13" t="str">
        <f>IF(A484="","",SUMIF('Ventas Salidas'!$C$5:$C$504,A484,'Ventas Salidas'!$E$5:$E$504))</f>
        <v/>
      </c>
      <c r="I484" s="13" t="str">
        <f t="shared" si="24"/>
        <v/>
      </c>
      <c r="J484" s="13" t="str">
        <f t="shared" si="25"/>
        <v/>
      </c>
      <c r="K484" s="13" t="str">
        <f t="shared" si="26"/>
        <v/>
      </c>
      <c r="L484" s="22"/>
      <c r="M484" s="22" t="str">
        <f>IF(A484="","",IF(OR(J484="Bajo stock",J484="Sin stock"),COUNTIFS($J$5:$J484,"Bajo stock")+COUNTIFS($J$5:$J484,"Sin stock"),""))</f>
        <v/>
      </c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s="13" customFormat="1" ht="21.75" customHeight="1" x14ac:dyDescent="0.25">
      <c r="A485" s="13" t="str">
        <f>IF(Productos!A485="","",Productos!A485)</f>
        <v/>
      </c>
      <c r="B485" s="13" t="str">
        <f>IF(Productos!A485="","",Productos!B485)</f>
        <v/>
      </c>
      <c r="C485" s="13" t="str">
        <f>IF(Productos!A485="","",Productos!C485)</f>
        <v/>
      </c>
      <c r="D485" s="13" t="str">
        <f>IF(Productos!A485="","",Productos!D485)</f>
        <v/>
      </c>
      <c r="E485" s="13" t="str">
        <f>IF(Productos!A485="","",Productos!E485)</f>
        <v/>
      </c>
      <c r="F485" s="13" t="str">
        <f>IF(Productos!A485="","",Productos!F485)</f>
        <v/>
      </c>
      <c r="G485" s="13" t="str">
        <f>IF(A485="","",SUMIF('Compras Entradas'!$C$5:$C$504,A485,'Compras Entradas'!$E$5:$E$504))</f>
        <v/>
      </c>
      <c r="H485" s="13" t="str">
        <f>IF(A485="","",SUMIF('Ventas Salidas'!$C$5:$C$504,A485,'Ventas Salidas'!$E$5:$E$504))</f>
        <v/>
      </c>
      <c r="I485" s="13" t="str">
        <f t="shared" si="24"/>
        <v/>
      </c>
      <c r="J485" s="13" t="str">
        <f t="shared" si="25"/>
        <v/>
      </c>
      <c r="K485" s="13" t="str">
        <f t="shared" si="26"/>
        <v/>
      </c>
      <c r="L485" s="22"/>
      <c r="M485" s="22" t="str">
        <f>IF(A485="","",IF(OR(J485="Bajo stock",J485="Sin stock"),COUNTIFS($J$5:$J485,"Bajo stock")+COUNTIFS($J$5:$J485,"Sin stock"),""))</f>
        <v/>
      </c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s="13" customFormat="1" ht="21.75" customHeight="1" x14ac:dyDescent="0.25">
      <c r="A486" s="13" t="str">
        <f>IF(Productos!A486="","",Productos!A486)</f>
        <v/>
      </c>
      <c r="B486" s="13" t="str">
        <f>IF(Productos!A486="","",Productos!B486)</f>
        <v/>
      </c>
      <c r="C486" s="13" t="str">
        <f>IF(Productos!A486="","",Productos!C486)</f>
        <v/>
      </c>
      <c r="D486" s="13" t="str">
        <f>IF(Productos!A486="","",Productos!D486)</f>
        <v/>
      </c>
      <c r="E486" s="13" t="str">
        <f>IF(Productos!A486="","",Productos!E486)</f>
        <v/>
      </c>
      <c r="F486" s="13" t="str">
        <f>IF(Productos!A486="","",Productos!F486)</f>
        <v/>
      </c>
      <c r="G486" s="13" t="str">
        <f>IF(A486="","",SUMIF('Compras Entradas'!$C$5:$C$504,A486,'Compras Entradas'!$E$5:$E$504))</f>
        <v/>
      </c>
      <c r="H486" s="13" t="str">
        <f>IF(A486="","",SUMIF('Ventas Salidas'!$C$5:$C$504,A486,'Ventas Salidas'!$E$5:$E$504))</f>
        <v/>
      </c>
      <c r="I486" s="13" t="str">
        <f t="shared" si="24"/>
        <v/>
      </c>
      <c r="J486" s="13" t="str">
        <f t="shared" si="25"/>
        <v/>
      </c>
      <c r="K486" s="13" t="str">
        <f t="shared" si="26"/>
        <v/>
      </c>
      <c r="L486" s="22"/>
      <c r="M486" s="22" t="str">
        <f>IF(A486="","",IF(OR(J486="Bajo stock",J486="Sin stock"),COUNTIFS($J$5:$J486,"Bajo stock")+COUNTIFS($J$5:$J486,"Sin stock"),""))</f>
        <v/>
      </c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s="13" customFormat="1" ht="21.75" customHeight="1" x14ac:dyDescent="0.25">
      <c r="A487" s="13" t="str">
        <f>IF(Productos!A487="","",Productos!A487)</f>
        <v/>
      </c>
      <c r="B487" s="13" t="str">
        <f>IF(Productos!A487="","",Productos!B487)</f>
        <v/>
      </c>
      <c r="C487" s="13" t="str">
        <f>IF(Productos!A487="","",Productos!C487)</f>
        <v/>
      </c>
      <c r="D487" s="13" t="str">
        <f>IF(Productos!A487="","",Productos!D487)</f>
        <v/>
      </c>
      <c r="E487" s="13" t="str">
        <f>IF(Productos!A487="","",Productos!E487)</f>
        <v/>
      </c>
      <c r="F487" s="13" t="str">
        <f>IF(Productos!A487="","",Productos!F487)</f>
        <v/>
      </c>
      <c r="G487" s="13" t="str">
        <f>IF(A487="","",SUMIF('Compras Entradas'!$C$5:$C$504,A487,'Compras Entradas'!$E$5:$E$504))</f>
        <v/>
      </c>
      <c r="H487" s="13" t="str">
        <f>IF(A487="","",SUMIF('Ventas Salidas'!$C$5:$C$504,A487,'Ventas Salidas'!$E$5:$E$504))</f>
        <v/>
      </c>
      <c r="I487" s="13" t="str">
        <f t="shared" si="24"/>
        <v/>
      </c>
      <c r="J487" s="13" t="str">
        <f t="shared" si="25"/>
        <v/>
      </c>
      <c r="K487" s="13" t="str">
        <f t="shared" si="26"/>
        <v/>
      </c>
      <c r="L487" s="22"/>
      <c r="M487" s="22" t="str">
        <f>IF(A487="","",IF(OR(J487="Bajo stock",J487="Sin stock"),COUNTIFS($J$5:$J487,"Bajo stock")+COUNTIFS($J$5:$J487,"Sin stock"),""))</f>
        <v/>
      </c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s="13" customFormat="1" ht="21.75" customHeight="1" x14ac:dyDescent="0.25">
      <c r="A488" s="13" t="str">
        <f>IF(Productos!A488="","",Productos!A488)</f>
        <v/>
      </c>
      <c r="B488" s="13" t="str">
        <f>IF(Productos!A488="","",Productos!B488)</f>
        <v/>
      </c>
      <c r="C488" s="13" t="str">
        <f>IF(Productos!A488="","",Productos!C488)</f>
        <v/>
      </c>
      <c r="D488" s="13" t="str">
        <f>IF(Productos!A488="","",Productos!D488)</f>
        <v/>
      </c>
      <c r="E488" s="13" t="str">
        <f>IF(Productos!A488="","",Productos!E488)</f>
        <v/>
      </c>
      <c r="F488" s="13" t="str">
        <f>IF(Productos!A488="","",Productos!F488)</f>
        <v/>
      </c>
      <c r="G488" s="13" t="str">
        <f>IF(A488="","",SUMIF('Compras Entradas'!$C$5:$C$504,A488,'Compras Entradas'!$E$5:$E$504))</f>
        <v/>
      </c>
      <c r="H488" s="13" t="str">
        <f>IF(A488="","",SUMIF('Ventas Salidas'!$C$5:$C$504,A488,'Ventas Salidas'!$E$5:$E$504))</f>
        <v/>
      </c>
      <c r="I488" s="13" t="str">
        <f t="shared" si="24"/>
        <v/>
      </c>
      <c r="J488" s="13" t="str">
        <f t="shared" si="25"/>
        <v/>
      </c>
      <c r="K488" s="13" t="str">
        <f t="shared" si="26"/>
        <v/>
      </c>
      <c r="L488" s="22"/>
      <c r="M488" s="22" t="str">
        <f>IF(A488="","",IF(OR(J488="Bajo stock",J488="Sin stock"),COUNTIFS($J$5:$J488,"Bajo stock")+COUNTIFS($J$5:$J488,"Sin stock"),""))</f>
        <v/>
      </c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s="13" customFormat="1" ht="21.75" customHeight="1" x14ac:dyDescent="0.25">
      <c r="A489" s="13" t="str">
        <f>IF(Productos!A489="","",Productos!A489)</f>
        <v/>
      </c>
      <c r="B489" s="13" t="str">
        <f>IF(Productos!A489="","",Productos!B489)</f>
        <v/>
      </c>
      <c r="C489" s="13" t="str">
        <f>IF(Productos!A489="","",Productos!C489)</f>
        <v/>
      </c>
      <c r="D489" s="13" t="str">
        <f>IF(Productos!A489="","",Productos!D489)</f>
        <v/>
      </c>
      <c r="E489" s="13" t="str">
        <f>IF(Productos!A489="","",Productos!E489)</f>
        <v/>
      </c>
      <c r="F489" s="13" t="str">
        <f>IF(Productos!A489="","",Productos!F489)</f>
        <v/>
      </c>
      <c r="G489" s="13" t="str">
        <f>IF(A489="","",SUMIF('Compras Entradas'!$C$5:$C$504,A489,'Compras Entradas'!$E$5:$E$504))</f>
        <v/>
      </c>
      <c r="H489" s="13" t="str">
        <f>IF(A489="","",SUMIF('Ventas Salidas'!$C$5:$C$504,A489,'Ventas Salidas'!$E$5:$E$504))</f>
        <v/>
      </c>
      <c r="I489" s="13" t="str">
        <f t="shared" si="24"/>
        <v/>
      </c>
      <c r="J489" s="13" t="str">
        <f t="shared" si="25"/>
        <v/>
      </c>
      <c r="K489" s="13" t="str">
        <f t="shared" si="26"/>
        <v/>
      </c>
      <c r="L489" s="22"/>
      <c r="M489" s="22" t="str">
        <f>IF(A489="","",IF(OR(J489="Bajo stock",J489="Sin stock"),COUNTIFS($J$5:$J489,"Bajo stock")+COUNTIFS($J$5:$J489,"Sin stock"),""))</f>
        <v/>
      </c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s="13" customFormat="1" ht="21.75" customHeight="1" x14ac:dyDescent="0.25">
      <c r="A490" s="13" t="str">
        <f>IF(Productos!A490="","",Productos!A490)</f>
        <v/>
      </c>
      <c r="B490" s="13" t="str">
        <f>IF(Productos!A490="","",Productos!B490)</f>
        <v/>
      </c>
      <c r="C490" s="13" t="str">
        <f>IF(Productos!A490="","",Productos!C490)</f>
        <v/>
      </c>
      <c r="D490" s="13" t="str">
        <f>IF(Productos!A490="","",Productos!D490)</f>
        <v/>
      </c>
      <c r="E490" s="13" t="str">
        <f>IF(Productos!A490="","",Productos!E490)</f>
        <v/>
      </c>
      <c r="F490" s="13" t="str">
        <f>IF(Productos!A490="","",Productos!F490)</f>
        <v/>
      </c>
      <c r="G490" s="13" t="str">
        <f>IF(A490="","",SUMIF('Compras Entradas'!$C$5:$C$504,A490,'Compras Entradas'!$E$5:$E$504))</f>
        <v/>
      </c>
      <c r="H490" s="13" t="str">
        <f>IF(A490="","",SUMIF('Ventas Salidas'!$C$5:$C$504,A490,'Ventas Salidas'!$E$5:$E$504))</f>
        <v/>
      </c>
      <c r="I490" s="13" t="str">
        <f t="shared" si="24"/>
        <v/>
      </c>
      <c r="J490" s="13" t="str">
        <f t="shared" si="25"/>
        <v/>
      </c>
      <c r="K490" s="13" t="str">
        <f t="shared" si="26"/>
        <v/>
      </c>
      <c r="L490" s="22"/>
      <c r="M490" s="22" t="str">
        <f>IF(A490="","",IF(OR(J490="Bajo stock",J490="Sin stock"),COUNTIFS($J$5:$J490,"Bajo stock")+COUNTIFS($J$5:$J490,"Sin stock"),""))</f>
        <v/>
      </c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s="13" customFormat="1" ht="21.75" customHeight="1" x14ac:dyDescent="0.25">
      <c r="A491" s="13" t="str">
        <f>IF(Productos!A491="","",Productos!A491)</f>
        <v/>
      </c>
      <c r="B491" s="13" t="str">
        <f>IF(Productos!A491="","",Productos!B491)</f>
        <v/>
      </c>
      <c r="C491" s="13" t="str">
        <f>IF(Productos!A491="","",Productos!C491)</f>
        <v/>
      </c>
      <c r="D491" s="13" t="str">
        <f>IF(Productos!A491="","",Productos!D491)</f>
        <v/>
      </c>
      <c r="E491" s="13" t="str">
        <f>IF(Productos!A491="","",Productos!E491)</f>
        <v/>
      </c>
      <c r="F491" s="13" t="str">
        <f>IF(Productos!A491="","",Productos!F491)</f>
        <v/>
      </c>
      <c r="G491" s="13" t="str">
        <f>IF(A491="","",SUMIF('Compras Entradas'!$C$5:$C$504,A491,'Compras Entradas'!$E$5:$E$504))</f>
        <v/>
      </c>
      <c r="H491" s="13" t="str">
        <f>IF(A491="","",SUMIF('Ventas Salidas'!$C$5:$C$504,A491,'Ventas Salidas'!$E$5:$E$504))</f>
        <v/>
      </c>
      <c r="I491" s="13" t="str">
        <f t="shared" si="24"/>
        <v/>
      </c>
      <c r="J491" s="13" t="str">
        <f t="shared" si="25"/>
        <v/>
      </c>
      <c r="K491" s="13" t="str">
        <f t="shared" si="26"/>
        <v/>
      </c>
      <c r="L491" s="22"/>
      <c r="M491" s="22" t="str">
        <f>IF(A491="","",IF(OR(J491="Bajo stock",J491="Sin stock"),COUNTIFS($J$5:$J491,"Bajo stock")+COUNTIFS($J$5:$J491,"Sin stock"),""))</f>
        <v/>
      </c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s="13" customFormat="1" ht="21.75" customHeight="1" x14ac:dyDescent="0.25">
      <c r="A492" s="13" t="str">
        <f>IF(Productos!A492="","",Productos!A492)</f>
        <v/>
      </c>
      <c r="B492" s="13" t="str">
        <f>IF(Productos!A492="","",Productos!B492)</f>
        <v/>
      </c>
      <c r="C492" s="13" t="str">
        <f>IF(Productos!A492="","",Productos!C492)</f>
        <v/>
      </c>
      <c r="D492" s="13" t="str">
        <f>IF(Productos!A492="","",Productos!D492)</f>
        <v/>
      </c>
      <c r="E492" s="13" t="str">
        <f>IF(Productos!A492="","",Productos!E492)</f>
        <v/>
      </c>
      <c r="F492" s="13" t="str">
        <f>IF(Productos!A492="","",Productos!F492)</f>
        <v/>
      </c>
      <c r="G492" s="13" t="str">
        <f>IF(A492="","",SUMIF('Compras Entradas'!$C$5:$C$504,A492,'Compras Entradas'!$E$5:$E$504))</f>
        <v/>
      </c>
      <c r="H492" s="13" t="str">
        <f>IF(A492="","",SUMIF('Ventas Salidas'!$C$5:$C$504,A492,'Ventas Salidas'!$E$5:$E$504))</f>
        <v/>
      </c>
      <c r="I492" s="13" t="str">
        <f t="shared" si="24"/>
        <v/>
      </c>
      <c r="J492" s="13" t="str">
        <f t="shared" si="25"/>
        <v/>
      </c>
      <c r="K492" s="13" t="str">
        <f t="shared" si="26"/>
        <v/>
      </c>
      <c r="L492" s="22"/>
      <c r="M492" s="22" t="str">
        <f>IF(A492="","",IF(OR(J492="Bajo stock",J492="Sin stock"),COUNTIFS($J$5:$J492,"Bajo stock")+COUNTIFS($J$5:$J492,"Sin stock"),""))</f>
        <v/>
      </c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s="13" customFormat="1" ht="21.75" customHeight="1" x14ac:dyDescent="0.25">
      <c r="A493" s="13" t="str">
        <f>IF(Productos!A493="","",Productos!A493)</f>
        <v/>
      </c>
      <c r="B493" s="13" t="str">
        <f>IF(Productos!A493="","",Productos!B493)</f>
        <v/>
      </c>
      <c r="C493" s="13" t="str">
        <f>IF(Productos!A493="","",Productos!C493)</f>
        <v/>
      </c>
      <c r="D493" s="13" t="str">
        <f>IF(Productos!A493="","",Productos!D493)</f>
        <v/>
      </c>
      <c r="E493" s="13" t="str">
        <f>IF(Productos!A493="","",Productos!E493)</f>
        <v/>
      </c>
      <c r="F493" s="13" t="str">
        <f>IF(Productos!A493="","",Productos!F493)</f>
        <v/>
      </c>
      <c r="G493" s="13" t="str">
        <f>IF(A493="","",SUMIF('Compras Entradas'!$C$5:$C$504,A493,'Compras Entradas'!$E$5:$E$504))</f>
        <v/>
      </c>
      <c r="H493" s="13" t="str">
        <f>IF(A493="","",SUMIF('Ventas Salidas'!$C$5:$C$504,A493,'Ventas Salidas'!$E$5:$E$504))</f>
        <v/>
      </c>
      <c r="I493" s="13" t="str">
        <f t="shared" si="24"/>
        <v/>
      </c>
      <c r="J493" s="13" t="str">
        <f t="shared" si="25"/>
        <v/>
      </c>
      <c r="K493" s="13" t="str">
        <f t="shared" si="26"/>
        <v/>
      </c>
      <c r="L493" s="22"/>
      <c r="M493" s="22" t="str">
        <f>IF(A493="","",IF(OR(J493="Bajo stock",J493="Sin stock"),COUNTIFS($J$5:$J493,"Bajo stock")+COUNTIFS($J$5:$J493,"Sin stock"),""))</f>
        <v/>
      </c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s="13" customFormat="1" ht="21.75" customHeight="1" x14ac:dyDescent="0.25">
      <c r="A494" s="13" t="str">
        <f>IF(Productos!A494="","",Productos!A494)</f>
        <v/>
      </c>
      <c r="B494" s="13" t="str">
        <f>IF(Productos!A494="","",Productos!B494)</f>
        <v/>
      </c>
      <c r="C494" s="13" t="str">
        <f>IF(Productos!A494="","",Productos!C494)</f>
        <v/>
      </c>
      <c r="D494" s="13" t="str">
        <f>IF(Productos!A494="","",Productos!D494)</f>
        <v/>
      </c>
      <c r="E494" s="13" t="str">
        <f>IF(Productos!A494="","",Productos!E494)</f>
        <v/>
      </c>
      <c r="F494" s="13" t="str">
        <f>IF(Productos!A494="","",Productos!F494)</f>
        <v/>
      </c>
      <c r="G494" s="13" t="str">
        <f>IF(A494="","",SUMIF('Compras Entradas'!$C$5:$C$504,A494,'Compras Entradas'!$E$5:$E$504))</f>
        <v/>
      </c>
      <c r="H494" s="13" t="str">
        <f>IF(A494="","",SUMIF('Ventas Salidas'!$C$5:$C$504,A494,'Ventas Salidas'!$E$5:$E$504))</f>
        <v/>
      </c>
      <c r="I494" s="13" t="str">
        <f t="shared" si="24"/>
        <v/>
      </c>
      <c r="J494" s="13" t="str">
        <f t="shared" si="25"/>
        <v/>
      </c>
      <c r="K494" s="13" t="str">
        <f t="shared" si="26"/>
        <v/>
      </c>
      <c r="L494" s="22"/>
      <c r="M494" s="22" t="str">
        <f>IF(A494="","",IF(OR(J494="Bajo stock",J494="Sin stock"),COUNTIFS($J$5:$J494,"Bajo stock")+COUNTIFS($J$5:$J494,"Sin stock"),""))</f>
        <v/>
      </c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s="13" customFormat="1" ht="21.75" customHeight="1" x14ac:dyDescent="0.25">
      <c r="A495" s="13" t="str">
        <f>IF(Productos!A495="","",Productos!A495)</f>
        <v/>
      </c>
      <c r="B495" s="13" t="str">
        <f>IF(Productos!A495="","",Productos!B495)</f>
        <v/>
      </c>
      <c r="C495" s="13" t="str">
        <f>IF(Productos!A495="","",Productos!C495)</f>
        <v/>
      </c>
      <c r="D495" s="13" t="str">
        <f>IF(Productos!A495="","",Productos!D495)</f>
        <v/>
      </c>
      <c r="E495" s="13" t="str">
        <f>IF(Productos!A495="","",Productos!E495)</f>
        <v/>
      </c>
      <c r="F495" s="13" t="str">
        <f>IF(Productos!A495="","",Productos!F495)</f>
        <v/>
      </c>
      <c r="G495" s="13" t="str">
        <f>IF(A495="","",SUMIF('Compras Entradas'!$C$5:$C$504,A495,'Compras Entradas'!$E$5:$E$504))</f>
        <v/>
      </c>
      <c r="H495" s="13" t="str">
        <f>IF(A495="","",SUMIF('Ventas Salidas'!$C$5:$C$504,A495,'Ventas Salidas'!$E$5:$E$504))</f>
        <v/>
      </c>
      <c r="I495" s="13" t="str">
        <f t="shared" si="24"/>
        <v/>
      </c>
      <c r="J495" s="13" t="str">
        <f t="shared" si="25"/>
        <v/>
      </c>
      <c r="K495" s="13" t="str">
        <f t="shared" si="26"/>
        <v/>
      </c>
      <c r="L495" s="22"/>
      <c r="M495" s="22" t="str">
        <f>IF(A495="","",IF(OR(J495="Bajo stock",J495="Sin stock"),COUNTIFS($J$5:$J495,"Bajo stock")+COUNTIFS($J$5:$J495,"Sin stock"),""))</f>
        <v/>
      </c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s="13" customFormat="1" ht="21.75" customHeight="1" x14ac:dyDescent="0.25">
      <c r="A496" s="13" t="str">
        <f>IF(Productos!A496="","",Productos!A496)</f>
        <v/>
      </c>
      <c r="B496" s="13" t="str">
        <f>IF(Productos!A496="","",Productos!B496)</f>
        <v/>
      </c>
      <c r="C496" s="13" t="str">
        <f>IF(Productos!A496="","",Productos!C496)</f>
        <v/>
      </c>
      <c r="D496" s="13" t="str">
        <f>IF(Productos!A496="","",Productos!D496)</f>
        <v/>
      </c>
      <c r="E496" s="13" t="str">
        <f>IF(Productos!A496="","",Productos!E496)</f>
        <v/>
      </c>
      <c r="F496" s="13" t="str">
        <f>IF(Productos!A496="","",Productos!F496)</f>
        <v/>
      </c>
      <c r="G496" s="13" t="str">
        <f>IF(A496="","",SUMIF('Compras Entradas'!$C$5:$C$504,A496,'Compras Entradas'!$E$5:$E$504))</f>
        <v/>
      </c>
      <c r="H496" s="13" t="str">
        <f>IF(A496="","",SUMIF('Ventas Salidas'!$C$5:$C$504,A496,'Ventas Salidas'!$E$5:$E$504))</f>
        <v/>
      </c>
      <c r="I496" s="13" t="str">
        <f t="shared" si="24"/>
        <v/>
      </c>
      <c r="J496" s="13" t="str">
        <f t="shared" si="25"/>
        <v/>
      </c>
      <c r="K496" s="13" t="str">
        <f t="shared" si="26"/>
        <v/>
      </c>
      <c r="L496" s="22"/>
      <c r="M496" s="22" t="str">
        <f>IF(A496="","",IF(OR(J496="Bajo stock",J496="Sin stock"),COUNTIFS($J$5:$J496,"Bajo stock")+COUNTIFS($J$5:$J496,"Sin stock"),""))</f>
        <v/>
      </c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21.75" customHeight="1" x14ac:dyDescent="0.25">
      <c r="A497" t="str">
        <f>IF(Productos!A497="","",Productos!A497)</f>
        <v/>
      </c>
      <c r="B497" t="str">
        <f>IF(Productos!A497="","",Productos!B497)</f>
        <v/>
      </c>
      <c r="C497" t="str">
        <f>IF(Productos!A497="","",Productos!C497)</f>
        <v/>
      </c>
      <c r="D497" t="str">
        <f>IF(Productos!A497="","",Productos!D497)</f>
        <v/>
      </c>
      <c r="E497" t="str">
        <f>IF(Productos!A497="","",Productos!E497)</f>
        <v/>
      </c>
      <c r="F497" t="str">
        <f>IF(Productos!A497="","",Productos!F497)</f>
        <v/>
      </c>
      <c r="G497" t="str">
        <f>IF(A497="","",SUMIF('Compras Entradas'!$C$5:$C$504,A497,'Compras Entradas'!$E$5:$E$504))</f>
        <v/>
      </c>
      <c r="H497" t="str">
        <f>IF(A497="","",SUMIF('Ventas Salidas'!$C$5:$C$504,A497,'Ventas Salidas'!$E$5:$E$504))</f>
        <v/>
      </c>
      <c r="I497" t="str">
        <f t="shared" si="24"/>
        <v/>
      </c>
      <c r="J497" t="str">
        <f t="shared" si="25"/>
        <v/>
      </c>
      <c r="K497" t="str">
        <f t="shared" si="26"/>
        <v/>
      </c>
      <c r="L497" s="22"/>
      <c r="M497" s="22" t="str">
        <f>IF(A497="","",IF(OR(J497="Bajo stock",J497="Sin stock"),COUNTIFS($J$5:$J497,"Bajo stock")+COUNTIFS($J$5:$J497,"Sin stock"),""))</f>
        <v/>
      </c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21.75" customHeight="1" x14ac:dyDescent="0.25">
      <c r="A498" t="str">
        <f>IF(Productos!A498="","",Productos!A498)</f>
        <v/>
      </c>
      <c r="B498" t="str">
        <f>IF(Productos!A498="","",Productos!B498)</f>
        <v/>
      </c>
      <c r="C498" t="str">
        <f>IF(Productos!A498="","",Productos!C498)</f>
        <v/>
      </c>
      <c r="D498" t="str">
        <f>IF(Productos!A498="","",Productos!D498)</f>
        <v/>
      </c>
      <c r="E498" t="str">
        <f>IF(Productos!A498="","",Productos!E498)</f>
        <v/>
      </c>
      <c r="F498" t="str">
        <f>IF(Productos!A498="","",Productos!F498)</f>
        <v/>
      </c>
      <c r="G498" t="str">
        <f>IF(A498="","",SUMIF('Compras Entradas'!$C$5:$C$504,A498,'Compras Entradas'!$E$5:$E$504))</f>
        <v/>
      </c>
      <c r="H498" t="str">
        <f>IF(A498="","",SUMIF('Ventas Salidas'!$C$5:$C$504,A498,'Ventas Salidas'!$E$5:$E$504))</f>
        <v/>
      </c>
      <c r="I498" t="str">
        <f t="shared" si="24"/>
        <v/>
      </c>
      <c r="J498" t="str">
        <f t="shared" si="25"/>
        <v/>
      </c>
      <c r="K498" t="str">
        <f t="shared" si="26"/>
        <v/>
      </c>
      <c r="L498" s="22"/>
      <c r="M498" s="22" t="str">
        <f>IF(A498="","",IF(OR(J498="Bajo stock",J498="Sin stock"),COUNTIFS($J$5:$J498,"Bajo stock")+COUNTIFS($J$5:$J498,"Sin stock"),""))</f>
        <v/>
      </c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21.75" customHeight="1" x14ac:dyDescent="0.25">
      <c r="A499" t="str">
        <f>IF(Productos!A499="","",Productos!A499)</f>
        <v/>
      </c>
      <c r="B499" t="str">
        <f>IF(Productos!A499="","",Productos!B499)</f>
        <v/>
      </c>
      <c r="C499" t="str">
        <f>IF(Productos!A499="","",Productos!C499)</f>
        <v/>
      </c>
      <c r="D499" t="str">
        <f>IF(Productos!A499="","",Productos!D499)</f>
        <v/>
      </c>
      <c r="E499" t="str">
        <f>IF(Productos!A499="","",Productos!E499)</f>
        <v/>
      </c>
      <c r="F499" t="str">
        <f>IF(Productos!A499="","",Productos!F499)</f>
        <v/>
      </c>
      <c r="G499" t="str">
        <f>IF(A499="","",SUMIF('Compras Entradas'!$C$5:$C$504,A499,'Compras Entradas'!$E$5:$E$504))</f>
        <v/>
      </c>
      <c r="H499" t="str">
        <f>IF(A499="","",SUMIF('Ventas Salidas'!$C$5:$C$504,A499,'Ventas Salidas'!$E$5:$E$504))</f>
        <v/>
      </c>
      <c r="I499" t="str">
        <f t="shared" si="24"/>
        <v/>
      </c>
      <c r="J499" t="str">
        <f t="shared" si="25"/>
        <v/>
      </c>
      <c r="K499" t="str">
        <f t="shared" si="26"/>
        <v/>
      </c>
      <c r="L499" s="22"/>
      <c r="M499" s="22" t="str">
        <f>IF(A499="","",IF(OR(J499="Bajo stock",J499="Sin stock"),COUNTIFS($J$5:$J499,"Bajo stock")+COUNTIFS($J$5:$J499,"Sin stock"),""))</f>
        <v/>
      </c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21.75" customHeight="1" x14ac:dyDescent="0.25">
      <c r="A500" t="str">
        <f>IF(Productos!A500="","",Productos!A500)</f>
        <v/>
      </c>
      <c r="B500" t="str">
        <f>IF(Productos!A500="","",Productos!B500)</f>
        <v/>
      </c>
      <c r="C500" t="str">
        <f>IF(Productos!A500="","",Productos!C500)</f>
        <v/>
      </c>
      <c r="D500" t="str">
        <f>IF(Productos!A500="","",Productos!D500)</f>
        <v/>
      </c>
      <c r="E500" t="str">
        <f>IF(Productos!A500="","",Productos!E500)</f>
        <v/>
      </c>
      <c r="F500" t="str">
        <f>IF(Productos!A500="","",Productos!F500)</f>
        <v/>
      </c>
      <c r="G500" t="str">
        <f>IF(A500="","",SUMIF('Compras Entradas'!$C$5:$C$504,A500,'Compras Entradas'!$E$5:$E$504))</f>
        <v/>
      </c>
      <c r="H500" t="str">
        <f>IF(A500="","",SUMIF('Ventas Salidas'!$C$5:$C$504,A500,'Ventas Salidas'!$E$5:$E$504))</f>
        <v/>
      </c>
      <c r="I500" t="str">
        <f t="shared" si="24"/>
        <v/>
      </c>
      <c r="J500" t="str">
        <f t="shared" si="25"/>
        <v/>
      </c>
      <c r="K500" t="str">
        <f t="shared" si="26"/>
        <v/>
      </c>
      <c r="L500" s="22"/>
      <c r="M500" s="22" t="str">
        <f>IF(A500="","",IF(OR(J500="Bajo stock",J500="Sin stock"),COUNTIFS($J$5:$J500,"Bajo stock")+COUNTIFS($J$5:$J500,"Sin stock"),""))</f>
        <v/>
      </c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21.75" customHeight="1" x14ac:dyDescent="0.25">
      <c r="A501" t="str">
        <f>IF(Productos!A501="","",Productos!A501)</f>
        <v/>
      </c>
      <c r="B501" t="str">
        <f>IF(Productos!A501="","",Productos!B501)</f>
        <v/>
      </c>
      <c r="C501" t="str">
        <f>IF(Productos!A501="","",Productos!C501)</f>
        <v/>
      </c>
      <c r="D501" t="str">
        <f>IF(Productos!A501="","",Productos!D501)</f>
        <v/>
      </c>
      <c r="E501" t="str">
        <f>IF(Productos!A501="","",Productos!E501)</f>
        <v/>
      </c>
      <c r="F501" t="str">
        <f>IF(Productos!A501="","",Productos!F501)</f>
        <v/>
      </c>
      <c r="G501" t="str">
        <f>IF(A501="","",SUMIF('Compras Entradas'!$C$5:$C$504,A501,'Compras Entradas'!$E$5:$E$504))</f>
        <v/>
      </c>
      <c r="H501" t="str">
        <f>IF(A501="","",SUMIF('Ventas Salidas'!$C$5:$C$504,A501,'Ventas Salidas'!$E$5:$E$504))</f>
        <v/>
      </c>
      <c r="I501" t="str">
        <f t="shared" si="24"/>
        <v/>
      </c>
      <c r="J501" t="str">
        <f t="shared" si="25"/>
        <v/>
      </c>
      <c r="K501" t="str">
        <f t="shared" si="26"/>
        <v/>
      </c>
      <c r="L501" s="22"/>
      <c r="M501" s="22" t="str">
        <f>IF(A501="","",IF(OR(J501="Bajo stock",J501="Sin stock"),COUNTIFS($J$5:$J501,"Bajo stock")+COUNTIFS($J$5:$J501,"Sin stock"),""))</f>
        <v/>
      </c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21.75" customHeight="1" x14ac:dyDescent="0.25">
      <c r="A502" t="str">
        <f>IF(Productos!A502="","",Productos!A502)</f>
        <v/>
      </c>
      <c r="B502" t="str">
        <f>IF(Productos!A502="","",Productos!B502)</f>
        <v/>
      </c>
      <c r="C502" t="str">
        <f>IF(Productos!A502="","",Productos!C502)</f>
        <v/>
      </c>
      <c r="D502" t="str">
        <f>IF(Productos!A502="","",Productos!D502)</f>
        <v/>
      </c>
      <c r="E502" t="str">
        <f>IF(Productos!A502="","",Productos!E502)</f>
        <v/>
      </c>
      <c r="F502" t="str">
        <f>IF(Productos!A502="","",Productos!F502)</f>
        <v/>
      </c>
      <c r="G502" t="str">
        <f>IF(A502="","",SUMIF('Compras Entradas'!$C$5:$C$504,A502,'Compras Entradas'!$E$5:$E$504))</f>
        <v/>
      </c>
      <c r="H502" t="str">
        <f>IF(A502="","",SUMIF('Ventas Salidas'!$C$5:$C$504,A502,'Ventas Salidas'!$E$5:$E$504))</f>
        <v/>
      </c>
      <c r="I502" t="str">
        <f t="shared" si="24"/>
        <v/>
      </c>
      <c r="J502" t="str">
        <f t="shared" si="25"/>
        <v/>
      </c>
      <c r="K502" t="str">
        <f t="shared" si="26"/>
        <v/>
      </c>
      <c r="L502" s="22"/>
      <c r="M502" s="22" t="str">
        <f>IF(A502="","",IF(OR(J502="Bajo stock",J502="Sin stock"),COUNTIFS($J$5:$J502,"Bajo stock")+COUNTIFS($J$5:$J502,"Sin stock"),""))</f>
        <v/>
      </c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21.75" customHeight="1" x14ac:dyDescent="0.25">
      <c r="A503" t="str">
        <f>IF(Productos!A503="","",Productos!A503)</f>
        <v/>
      </c>
      <c r="B503" t="str">
        <f>IF(Productos!A503="","",Productos!B503)</f>
        <v/>
      </c>
      <c r="C503" t="str">
        <f>IF(Productos!A503="","",Productos!C503)</f>
        <v/>
      </c>
      <c r="D503" t="str">
        <f>IF(Productos!A503="","",Productos!D503)</f>
        <v/>
      </c>
      <c r="E503" t="str">
        <f>IF(Productos!A503="","",Productos!E503)</f>
        <v/>
      </c>
      <c r="F503" t="str">
        <f>IF(Productos!A503="","",Productos!F503)</f>
        <v/>
      </c>
      <c r="G503" t="str">
        <f>IF(A503="","",SUMIF('Compras Entradas'!$C$5:$C$504,A503,'Compras Entradas'!$E$5:$E$504))</f>
        <v/>
      </c>
      <c r="H503" t="str">
        <f>IF(A503="","",SUMIF('Ventas Salidas'!$C$5:$C$504,A503,'Ventas Salidas'!$E$5:$E$504))</f>
        <v/>
      </c>
      <c r="I503" t="str">
        <f t="shared" si="24"/>
        <v/>
      </c>
      <c r="J503" t="str">
        <f t="shared" si="25"/>
        <v/>
      </c>
      <c r="K503" t="str">
        <f t="shared" si="26"/>
        <v/>
      </c>
      <c r="L503" s="22"/>
      <c r="M503" s="22" t="str">
        <f>IF(A503="","",IF(OR(J503="Bajo stock",J503="Sin stock"),COUNTIFS($J$5:$J503,"Bajo stock")+COUNTIFS($J$5:$J503,"Sin stock"),""))</f>
        <v/>
      </c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21.75" customHeight="1" x14ac:dyDescent="0.25">
      <c r="A504" t="str">
        <f>IF(Productos!A504="","",Productos!A504)</f>
        <v/>
      </c>
      <c r="B504" t="str">
        <f>IF(Productos!A504="","",Productos!B504)</f>
        <v/>
      </c>
      <c r="C504" t="str">
        <f>IF(Productos!A504="","",Productos!C504)</f>
        <v/>
      </c>
      <c r="D504" t="str">
        <f>IF(Productos!A504="","",Productos!D504)</f>
        <v/>
      </c>
      <c r="E504" t="str">
        <f>IF(Productos!A504="","",Productos!E504)</f>
        <v/>
      </c>
      <c r="F504" t="str">
        <f>IF(Productos!A504="","",Productos!F504)</f>
        <v/>
      </c>
      <c r="G504" t="str">
        <f>IF(A504="","",SUMIF('Compras Entradas'!$C$5:$C$504,A504,'Compras Entradas'!$E$5:$E$504))</f>
        <v/>
      </c>
      <c r="H504" t="str">
        <f>IF(A504="","",SUMIF('Ventas Salidas'!$C$5:$C$504,A504,'Ventas Salidas'!$E$5:$E$504))</f>
        <v/>
      </c>
      <c r="I504" t="str">
        <f t="shared" si="24"/>
        <v/>
      </c>
      <c r="J504" t="str">
        <f t="shared" si="25"/>
        <v/>
      </c>
      <c r="K504" t="str">
        <f t="shared" si="26"/>
        <v/>
      </c>
      <c r="L504" s="22"/>
      <c r="M504" s="22" t="str">
        <f>IF(A504="","",IF(OR(J504="Bajo stock",J504="Sin stock"),COUNTIFS($J$5:$J504,"Bajo stock")+COUNTIFS($J$5:$J504,"Sin stock"),""))</f>
        <v/>
      </c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21.75" customHeight="1" x14ac:dyDescent="0.25"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21.75" customHeight="1" x14ac:dyDescent="0.25"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21.75" customHeight="1" x14ac:dyDescent="0.25"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21.75" customHeight="1" x14ac:dyDescent="0.25"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21.75" customHeight="1" x14ac:dyDescent="0.25"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21.75" customHeight="1" x14ac:dyDescent="0.25"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21.75" customHeight="1" x14ac:dyDescent="0.25"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21.75" customHeight="1" x14ac:dyDescent="0.25"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2:29" ht="21.75" customHeight="1" x14ac:dyDescent="0.25"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2:29" ht="21.75" customHeight="1" x14ac:dyDescent="0.25"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2:29" ht="21.75" customHeight="1" x14ac:dyDescent="0.25"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2:29" ht="21.75" customHeight="1" x14ac:dyDescent="0.25"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2:29" ht="21.75" customHeight="1" x14ac:dyDescent="0.25"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2:29" ht="21.75" customHeight="1" x14ac:dyDescent="0.25"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2:29" ht="21.75" customHeight="1" x14ac:dyDescent="0.25"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2:29" ht="21.75" customHeight="1" x14ac:dyDescent="0.25"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2:29" ht="21.75" customHeight="1" x14ac:dyDescent="0.25"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2:29" ht="21.75" customHeight="1" x14ac:dyDescent="0.25"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2:29" ht="21.75" customHeight="1" x14ac:dyDescent="0.25"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2:29" ht="21.75" customHeight="1" x14ac:dyDescent="0.25"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2:29" ht="21.75" customHeight="1" x14ac:dyDescent="0.25"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2:29" ht="21.75" customHeight="1" x14ac:dyDescent="0.25"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2:29" ht="21.75" customHeight="1" x14ac:dyDescent="0.25"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2:29" ht="21.75" customHeight="1" x14ac:dyDescent="0.25"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2:29" ht="21.75" customHeight="1" x14ac:dyDescent="0.25"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2:29" ht="21.75" customHeight="1" x14ac:dyDescent="0.25"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2:29" ht="21.75" customHeight="1" x14ac:dyDescent="0.25"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2:29" ht="21.75" customHeight="1" x14ac:dyDescent="0.25"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2:29" ht="21.75" customHeight="1" x14ac:dyDescent="0.25"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2:29" ht="21.75" customHeight="1" x14ac:dyDescent="0.25"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2:29" ht="21.75" customHeight="1" x14ac:dyDescent="0.25"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2:29" ht="21.75" customHeight="1" x14ac:dyDescent="0.25"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2:29" ht="21.75" customHeight="1" x14ac:dyDescent="0.25"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2:29" ht="21.75" customHeight="1" x14ac:dyDescent="0.25"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2:29" ht="21.75" customHeight="1" x14ac:dyDescent="0.25"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2:29" ht="21.75" customHeight="1" x14ac:dyDescent="0.25"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2:29" ht="21.75" customHeight="1" x14ac:dyDescent="0.25"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2:29" ht="21.75" customHeight="1" x14ac:dyDescent="0.25"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2:29" ht="21.75" customHeight="1" x14ac:dyDescent="0.25"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2:29" ht="21.75" customHeight="1" x14ac:dyDescent="0.25"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2:29" ht="21.75" customHeight="1" x14ac:dyDescent="0.25"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2:29" ht="21.75" customHeight="1" x14ac:dyDescent="0.25"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2:29" ht="21.75" customHeight="1" x14ac:dyDescent="0.25"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2:29" ht="21.75" customHeight="1" x14ac:dyDescent="0.25"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2:29" ht="21.75" customHeight="1" x14ac:dyDescent="0.25"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2:29" ht="21.75" customHeight="1" x14ac:dyDescent="0.25"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2:29" ht="21.75" customHeight="1" x14ac:dyDescent="0.25"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2:29" ht="21.75" customHeight="1" x14ac:dyDescent="0.25"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2:29" ht="21.75" customHeight="1" x14ac:dyDescent="0.25"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2:29" ht="21.75" customHeight="1" x14ac:dyDescent="0.25"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2:29" ht="21.75" customHeight="1" x14ac:dyDescent="0.25"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2:29" ht="21.75" customHeight="1" x14ac:dyDescent="0.25"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2:29" ht="21.75" customHeight="1" x14ac:dyDescent="0.25"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2:29" ht="21.75" customHeight="1" x14ac:dyDescent="0.25"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2:29" ht="21.75" customHeight="1" x14ac:dyDescent="0.25"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2:29" ht="21.75" customHeight="1" x14ac:dyDescent="0.25"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2:29" ht="21.75" customHeight="1" x14ac:dyDescent="0.25"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2:29" ht="21.75" customHeight="1" x14ac:dyDescent="0.25"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2:29" ht="21.75" customHeight="1" x14ac:dyDescent="0.25"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2:29" ht="21.75" customHeight="1" x14ac:dyDescent="0.25"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2:29" ht="21.75" customHeight="1" x14ac:dyDescent="0.25"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2:29" ht="21.75" customHeight="1" x14ac:dyDescent="0.25"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2:29" ht="21.75" customHeight="1" x14ac:dyDescent="0.25"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2:29" ht="21.75" customHeight="1" x14ac:dyDescent="0.25"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2:29" ht="21.75" customHeight="1" x14ac:dyDescent="0.25"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2:29" ht="21.75" customHeight="1" x14ac:dyDescent="0.25"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2:29" ht="21.75" customHeight="1" x14ac:dyDescent="0.25"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2:29" ht="21.75" customHeight="1" x14ac:dyDescent="0.25"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2:29" ht="21.75" customHeight="1" x14ac:dyDescent="0.25"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2:29" ht="21.75" customHeight="1" x14ac:dyDescent="0.25"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2:29" ht="21.75" customHeight="1" x14ac:dyDescent="0.25"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2:29" ht="21.75" customHeight="1" x14ac:dyDescent="0.25"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2:29" ht="21.75" customHeight="1" x14ac:dyDescent="0.25"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2:29" ht="21.75" customHeight="1" x14ac:dyDescent="0.25"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2:29" ht="21.75" customHeight="1" x14ac:dyDescent="0.25"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2:29" ht="21.75" customHeight="1" x14ac:dyDescent="0.25"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2:29" ht="21.75" customHeight="1" x14ac:dyDescent="0.25"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2:29" ht="21.75" customHeight="1" x14ac:dyDescent="0.25"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2:29" ht="21.75" customHeight="1" x14ac:dyDescent="0.25"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2:29" ht="21.75" customHeight="1" x14ac:dyDescent="0.25"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2:29" ht="21.75" customHeight="1" x14ac:dyDescent="0.25"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2:29" ht="21.75" customHeight="1" x14ac:dyDescent="0.25"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2:29" ht="21.75" customHeight="1" x14ac:dyDescent="0.25"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2:29" ht="21.75" customHeight="1" x14ac:dyDescent="0.25"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2:29" ht="21.75" customHeight="1" x14ac:dyDescent="0.25"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2:29" ht="21.75" customHeight="1" x14ac:dyDescent="0.25"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2:29" ht="21.75" customHeight="1" x14ac:dyDescent="0.25"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2:29" ht="21.75" customHeight="1" x14ac:dyDescent="0.25"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2:29" ht="21.75" customHeight="1" x14ac:dyDescent="0.25"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2:29" ht="21.75" customHeight="1" x14ac:dyDescent="0.25"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2:29" ht="21.75" customHeight="1" x14ac:dyDescent="0.25"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2:29" ht="21.75" customHeight="1" x14ac:dyDescent="0.25"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2:29" ht="21.75" customHeight="1" x14ac:dyDescent="0.25"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2:29" ht="21.75" customHeight="1" x14ac:dyDescent="0.25"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2:29" ht="21.75" customHeight="1" x14ac:dyDescent="0.25"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2:29" ht="21.75" customHeight="1" x14ac:dyDescent="0.25"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2:29" ht="21.75" customHeight="1" x14ac:dyDescent="0.25"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2:29" ht="21.75" customHeight="1" x14ac:dyDescent="0.25"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2:29" ht="21.75" customHeight="1" x14ac:dyDescent="0.25"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2:29" ht="21.75" customHeight="1" x14ac:dyDescent="0.25"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2:29" ht="21.75" customHeight="1" x14ac:dyDescent="0.25"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2:29" ht="21.75" customHeight="1" x14ac:dyDescent="0.25"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2:29" ht="21.75" customHeight="1" x14ac:dyDescent="0.25"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2:29" ht="21.75" customHeight="1" x14ac:dyDescent="0.25"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2:29" ht="21.75" customHeight="1" x14ac:dyDescent="0.25"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2:29" ht="21.75" customHeight="1" x14ac:dyDescent="0.25"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2:29" ht="21.75" customHeight="1" x14ac:dyDescent="0.25"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2:29" ht="21.75" customHeight="1" x14ac:dyDescent="0.25"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2:29" ht="21.75" customHeight="1" x14ac:dyDescent="0.25"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2:29" ht="21.75" customHeight="1" x14ac:dyDescent="0.25"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2:29" ht="21.75" customHeight="1" x14ac:dyDescent="0.25"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2:29" ht="21.75" customHeight="1" x14ac:dyDescent="0.25"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2:29" ht="21.75" customHeight="1" x14ac:dyDescent="0.25"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2:29" ht="21.75" customHeight="1" x14ac:dyDescent="0.25"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2:29" ht="21.75" customHeight="1" x14ac:dyDescent="0.25"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2:29" ht="21.75" customHeight="1" x14ac:dyDescent="0.25"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2:29" ht="21.75" customHeight="1" x14ac:dyDescent="0.25"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2:29" ht="21.75" customHeight="1" x14ac:dyDescent="0.25"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2:29" ht="21.75" customHeight="1" x14ac:dyDescent="0.25"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2:29" ht="21.75" customHeight="1" x14ac:dyDescent="0.25"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2:29" ht="21.75" customHeight="1" x14ac:dyDescent="0.25"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2:29" ht="21.75" customHeight="1" x14ac:dyDescent="0.25"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2:29" ht="21.75" customHeight="1" x14ac:dyDescent="0.25"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2:29" ht="21.75" customHeight="1" x14ac:dyDescent="0.25"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2:29" ht="21.75" customHeight="1" x14ac:dyDescent="0.25"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2:29" ht="21.75" customHeight="1" x14ac:dyDescent="0.25"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2:29" ht="21.75" customHeight="1" x14ac:dyDescent="0.25"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2:29" ht="21.75" customHeight="1" x14ac:dyDescent="0.25"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2:29" ht="21.75" customHeight="1" x14ac:dyDescent="0.25"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2:29" ht="21.75" customHeight="1" x14ac:dyDescent="0.25"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2:29" ht="21.75" customHeight="1" x14ac:dyDescent="0.25"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2:29" ht="21.75" customHeight="1" x14ac:dyDescent="0.25"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2:29" ht="21.75" customHeight="1" x14ac:dyDescent="0.25"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2:29" ht="21.75" customHeight="1" x14ac:dyDescent="0.25"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2:29" ht="21.75" customHeight="1" x14ac:dyDescent="0.25"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2:29" ht="21.75" customHeight="1" x14ac:dyDescent="0.25"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2:29" ht="21.75" customHeight="1" x14ac:dyDescent="0.25"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2:29" ht="21.75" customHeight="1" x14ac:dyDescent="0.25"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2:29" ht="21.75" customHeight="1" x14ac:dyDescent="0.25"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2:29" ht="21.75" customHeight="1" x14ac:dyDescent="0.25"/>
  </sheetData>
  <mergeCells count="2">
    <mergeCell ref="A1:K1"/>
    <mergeCell ref="A2:K2"/>
  </mergeCells>
  <conditionalFormatting sqref="J5:J204">
    <cfRule type="cellIs" dxfId="42" priority="2" operator="equal">
      <formula>"Sin stock"</formula>
    </cfRule>
    <cfRule type="cellIs" dxfId="41" priority="3" operator="equal">
      <formula>"Bajo stock"</formula>
    </cfRule>
    <cfRule type="cellIs" dxfId="40" priority="4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Dashboard</vt:lpstr>
      <vt:lpstr>Productos</vt:lpstr>
      <vt:lpstr>Compras Entradas</vt:lpstr>
      <vt:lpstr>Ventas Salidas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202437656</cp:lastModifiedBy>
  <cp:revision>3</cp:revision>
  <dcterms:created xsi:type="dcterms:W3CDTF">2026-06-02T22:23:57Z</dcterms:created>
  <dcterms:modified xsi:type="dcterms:W3CDTF">2026-06-21T18:42:13Z</dcterms:modified>
  <dc:language>en-US</dc:language>
</cp:coreProperties>
</file>