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/>
  <mc:AlternateContent xmlns:mc="http://schemas.openxmlformats.org/markup-compatibility/2006">
    <mc:Choice Requires="x15">
      <x15ac:absPath xmlns:x15ac="http://schemas.microsoft.com/office/spreadsheetml/2010/11/ac" url="C:\Users\UsuarioCompuElite\Downloads\"/>
    </mc:Choice>
  </mc:AlternateContent>
  <xr:revisionPtr revIDLastSave="0" documentId="13_ncr:1_{407671E4-A0F4-4352-9445-2E1B8DD80A3E}" xr6:coauthVersionLast="36" xr6:coauthVersionMax="36" xr10:uidLastSave="{00000000-0000-0000-0000-000000000000}"/>
  <bookViews>
    <workbookView xWindow="0" yWindow="0" windowWidth="28800" windowHeight="12105" activeTab="4" xr2:uid="{00000000-000D-0000-FFFF-FFFF00000000}"/>
  </bookViews>
  <sheets>
    <sheet name="Inicio" sheetId="1" r:id="rId1"/>
    <sheet name="Registro Mensual" sheetId="2" r:id="rId2"/>
    <sheet name="Categorias" sheetId="3" r:id="rId3"/>
    <sheet name="Dashboard" sheetId="4" r:id="rId4"/>
    <sheet name="Resumen Mensual" sheetId="5" r:id="rId5"/>
  </sheets>
  <calcPr calcId="191029" forceFullCalc="1"/>
</workbook>
</file>

<file path=xl/calcChain.xml><?xml version="1.0" encoding="utf-8"?>
<calcChain xmlns="http://schemas.openxmlformats.org/spreadsheetml/2006/main">
  <c r="Z200" i="3" l="1"/>
  <c r="Z199" i="3"/>
  <c r="Z198" i="3"/>
  <c r="Z197" i="3"/>
  <c r="Z196" i="3"/>
  <c r="Z195" i="3"/>
  <c r="Z194" i="3"/>
  <c r="Z193" i="3"/>
  <c r="Z192" i="3"/>
  <c r="Z191" i="3"/>
  <c r="Z190" i="3"/>
  <c r="Z189" i="3"/>
  <c r="Z188" i="3"/>
  <c r="Z187" i="3"/>
  <c r="Z186" i="3"/>
  <c r="Z185" i="3"/>
  <c r="Z184" i="3"/>
  <c r="Z183" i="3"/>
  <c r="Z182" i="3"/>
  <c r="Z181" i="3"/>
  <c r="Z180" i="3"/>
  <c r="Z179" i="3"/>
  <c r="Z178" i="3"/>
  <c r="Z177" i="3"/>
  <c r="Z176" i="3"/>
  <c r="Z175" i="3"/>
  <c r="Z174" i="3"/>
  <c r="Z173" i="3"/>
  <c r="Z172" i="3"/>
  <c r="Z171" i="3"/>
  <c r="Z170" i="3"/>
  <c r="Z169" i="3"/>
  <c r="Z168" i="3"/>
  <c r="Z167" i="3"/>
  <c r="Z166" i="3"/>
  <c r="Z165" i="3"/>
  <c r="Z164" i="3"/>
  <c r="Z163" i="3"/>
  <c r="Z162" i="3"/>
  <c r="Z161" i="3"/>
  <c r="Z160" i="3"/>
  <c r="Z159" i="3"/>
  <c r="Z158" i="3"/>
  <c r="Z157" i="3"/>
  <c r="Z156" i="3"/>
  <c r="Z155" i="3"/>
  <c r="Z154" i="3"/>
  <c r="Z153" i="3"/>
  <c r="Z152" i="3"/>
  <c r="Z151" i="3"/>
  <c r="Z150" i="3"/>
  <c r="Z149" i="3"/>
  <c r="Z148" i="3"/>
  <c r="Z147" i="3"/>
  <c r="Z146" i="3"/>
  <c r="Z145" i="3"/>
  <c r="Z144" i="3"/>
  <c r="Z143" i="3"/>
  <c r="Z142" i="3"/>
  <c r="Z141" i="3"/>
  <c r="Z140" i="3"/>
  <c r="Z139" i="3"/>
  <c r="Z138" i="3"/>
  <c r="Z137" i="3"/>
  <c r="Z136" i="3"/>
  <c r="Z135" i="3"/>
  <c r="Z134" i="3"/>
  <c r="Z133" i="3"/>
  <c r="Z132" i="3"/>
  <c r="Z131" i="3"/>
  <c r="Z130" i="3"/>
  <c r="Z129" i="3"/>
  <c r="Z128" i="3"/>
  <c r="Z127" i="3"/>
  <c r="Z126" i="3"/>
  <c r="Z125" i="3"/>
  <c r="Z124" i="3"/>
  <c r="Z123" i="3"/>
  <c r="Z122" i="3"/>
  <c r="Z121" i="3"/>
  <c r="Z120" i="3"/>
  <c r="Z119" i="3"/>
  <c r="Z118" i="3"/>
  <c r="Z117" i="3"/>
  <c r="Z116" i="3"/>
  <c r="Z115" i="3"/>
  <c r="Z114" i="3"/>
  <c r="Z113" i="3"/>
  <c r="Z112" i="3"/>
  <c r="Z111" i="3"/>
  <c r="Z110" i="3"/>
  <c r="Z109" i="3"/>
  <c r="Z108" i="3"/>
  <c r="Z107" i="3"/>
  <c r="Z106" i="3"/>
  <c r="Z105" i="3"/>
  <c r="Z104" i="3"/>
  <c r="Z103" i="3"/>
  <c r="Z102" i="3"/>
  <c r="Z101" i="3"/>
  <c r="Z100" i="3"/>
  <c r="Z99" i="3"/>
  <c r="Z98" i="3"/>
  <c r="Z97" i="3"/>
  <c r="Z96" i="3"/>
  <c r="Z95" i="3"/>
  <c r="Z94" i="3"/>
  <c r="Z93" i="3"/>
  <c r="Z92" i="3"/>
  <c r="Z91" i="3"/>
  <c r="Z90" i="3"/>
  <c r="Z89" i="3"/>
  <c r="Z88" i="3"/>
  <c r="Z87" i="3"/>
  <c r="Z86" i="3"/>
  <c r="Z85" i="3"/>
  <c r="Z84" i="3"/>
  <c r="Z83" i="3"/>
  <c r="Z82" i="3"/>
  <c r="Z81" i="3"/>
  <c r="Z80" i="3"/>
  <c r="Z79" i="3"/>
  <c r="Z78" i="3"/>
  <c r="Z77" i="3"/>
  <c r="Z76" i="3"/>
  <c r="Z75" i="3"/>
  <c r="Z74" i="3"/>
  <c r="Z73" i="3"/>
  <c r="Z72" i="3"/>
  <c r="Z71" i="3"/>
  <c r="Z70" i="3"/>
  <c r="Z69" i="3"/>
  <c r="Z68" i="3"/>
  <c r="Z67" i="3"/>
  <c r="Z66" i="3"/>
  <c r="Z65" i="3"/>
  <c r="Z64" i="3"/>
  <c r="Z63" i="3"/>
  <c r="Z62" i="3"/>
  <c r="Z61" i="3"/>
  <c r="Z60" i="3"/>
  <c r="Z59" i="3"/>
  <c r="Z58" i="3"/>
  <c r="Z57" i="3"/>
  <c r="Z56" i="3"/>
  <c r="Z55" i="3"/>
  <c r="Z54" i="3"/>
  <c r="Z53" i="3"/>
  <c r="Z52" i="3"/>
  <c r="Z51" i="3"/>
  <c r="Z50" i="3"/>
  <c r="Z49" i="3"/>
  <c r="Z48" i="3"/>
  <c r="Z47" i="3"/>
  <c r="Z46" i="3"/>
  <c r="Z45" i="3"/>
  <c r="Z44" i="3"/>
  <c r="Z43" i="3"/>
  <c r="Z42" i="3"/>
  <c r="Z41" i="3"/>
  <c r="Z40" i="3"/>
  <c r="Z39" i="3"/>
  <c r="Z38" i="3"/>
  <c r="Z37" i="3"/>
  <c r="Z36" i="3"/>
  <c r="Z35" i="3"/>
  <c r="Z34" i="3"/>
  <c r="Z33" i="3"/>
  <c r="Z32" i="3"/>
  <c r="Z31" i="3"/>
  <c r="Z30" i="3"/>
  <c r="Z29" i="3"/>
  <c r="Z28" i="3"/>
  <c r="Z27" i="3"/>
  <c r="Z26" i="3"/>
  <c r="Z25" i="3"/>
  <c r="Z24" i="3"/>
  <c r="Z23" i="3"/>
  <c r="Z9" i="3"/>
  <c r="Z8" i="3"/>
  <c r="Z7" i="3"/>
  <c r="Z6" i="3"/>
  <c r="Z5" i="3"/>
  <c r="E1008" i="2"/>
  <c r="I1008" i="2" s="1"/>
  <c r="C1008" i="2"/>
  <c r="E1007" i="2"/>
  <c r="C1007" i="2"/>
  <c r="E1006" i="2"/>
  <c r="H1006" i="2" s="1"/>
  <c r="C1006" i="2"/>
  <c r="E1005" i="2"/>
  <c r="C1005" i="2"/>
  <c r="E1004" i="2"/>
  <c r="J1004" i="2" s="1"/>
  <c r="C1004" i="2"/>
  <c r="E1003" i="2"/>
  <c r="C1003" i="2"/>
  <c r="E1002" i="2"/>
  <c r="I1002" i="2" s="1"/>
  <c r="C1002" i="2"/>
  <c r="E1001" i="2"/>
  <c r="H1001" i="2" s="1"/>
  <c r="C1001" i="2"/>
  <c r="E1000" i="2"/>
  <c r="C1000" i="2"/>
  <c r="E999" i="2"/>
  <c r="J999" i="2" s="1"/>
  <c r="C999" i="2"/>
  <c r="E998" i="2"/>
  <c r="C998" i="2"/>
  <c r="E997" i="2"/>
  <c r="H997" i="2" s="1"/>
  <c r="C997" i="2"/>
  <c r="E996" i="2"/>
  <c r="I996" i="2" s="1"/>
  <c r="C996" i="2"/>
  <c r="E995" i="2"/>
  <c r="C995" i="2"/>
  <c r="E994" i="2"/>
  <c r="J994" i="2" s="1"/>
  <c r="C994" i="2"/>
  <c r="E993" i="2"/>
  <c r="H993" i="2" s="1"/>
  <c r="C993" i="2"/>
  <c r="E992" i="2"/>
  <c r="J992" i="2" s="1"/>
  <c r="C992" i="2"/>
  <c r="E991" i="2"/>
  <c r="C991" i="2"/>
  <c r="E990" i="2"/>
  <c r="J990" i="2" s="1"/>
  <c r="C990" i="2"/>
  <c r="E989" i="2"/>
  <c r="H989" i="2" s="1"/>
  <c r="C989" i="2"/>
  <c r="E988" i="2"/>
  <c r="C988" i="2"/>
  <c r="E987" i="2"/>
  <c r="C987" i="2"/>
  <c r="E986" i="2"/>
  <c r="H986" i="2" s="1"/>
  <c r="C986" i="2"/>
  <c r="E985" i="2"/>
  <c r="I985" i="2" s="1"/>
  <c r="C985" i="2"/>
  <c r="E984" i="2"/>
  <c r="I984" i="2" s="1"/>
  <c r="C984" i="2"/>
  <c r="E983" i="2"/>
  <c r="H983" i="2" s="1"/>
  <c r="C983" i="2"/>
  <c r="E982" i="2"/>
  <c r="I982" i="2" s="1"/>
  <c r="C982" i="2"/>
  <c r="E981" i="2"/>
  <c r="C981" i="2"/>
  <c r="E980" i="2"/>
  <c r="C980" i="2"/>
  <c r="E979" i="2"/>
  <c r="I979" i="2" s="1"/>
  <c r="C979" i="2"/>
  <c r="E978" i="2"/>
  <c r="C978" i="2"/>
  <c r="E977" i="2"/>
  <c r="C977" i="2"/>
  <c r="E976" i="2"/>
  <c r="J976" i="2" s="1"/>
  <c r="C976" i="2"/>
  <c r="E975" i="2"/>
  <c r="I975" i="2" s="1"/>
  <c r="C975" i="2"/>
  <c r="E974" i="2"/>
  <c r="C974" i="2"/>
  <c r="E973" i="2"/>
  <c r="C973" i="2"/>
  <c r="E972" i="2"/>
  <c r="I972" i="2" s="1"/>
  <c r="C972" i="2"/>
  <c r="E971" i="2"/>
  <c r="C971" i="2"/>
  <c r="E970" i="2"/>
  <c r="C970" i="2"/>
  <c r="E969" i="2"/>
  <c r="J969" i="2" s="1"/>
  <c r="C969" i="2"/>
  <c r="E968" i="2"/>
  <c r="J968" i="2" s="1"/>
  <c r="C968" i="2"/>
  <c r="E967" i="2"/>
  <c r="C967" i="2"/>
  <c r="E966" i="2"/>
  <c r="I966" i="2" s="1"/>
  <c r="C966" i="2"/>
  <c r="E965" i="2"/>
  <c r="C965" i="2"/>
  <c r="E964" i="2"/>
  <c r="C964" i="2"/>
  <c r="E963" i="2"/>
  <c r="C963" i="2"/>
  <c r="E962" i="2"/>
  <c r="C962" i="2"/>
  <c r="E961" i="2"/>
  <c r="I961" i="2" s="1"/>
  <c r="C961" i="2"/>
  <c r="E960" i="2"/>
  <c r="C960" i="2"/>
  <c r="E959" i="2"/>
  <c r="J959" i="2" s="1"/>
  <c r="C959" i="2"/>
  <c r="E958" i="2"/>
  <c r="C958" i="2"/>
  <c r="E957" i="2"/>
  <c r="J957" i="2" s="1"/>
  <c r="C957" i="2"/>
  <c r="E956" i="2"/>
  <c r="C956" i="2"/>
  <c r="E955" i="2"/>
  <c r="C955" i="2"/>
  <c r="E954" i="2"/>
  <c r="H954" i="2" s="1"/>
  <c r="C954" i="2"/>
  <c r="E953" i="2"/>
  <c r="C953" i="2"/>
  <c r="E952" i="2"/>
  <c r="J952" i="2" s="1"/>
  <c r="C952" i="2"/>
  <c r="E951" i="2"/>
  <c r="H951" i="2" s="1"/>
  <c r="C951" i="2"/>
  <c r="E950" i="2"/>
  <c r="C950" i="2"/>
  <c r="E949" i="2"/>
  <c r="I949" i="2" s="1"/>
  <c r="C949" i="2"/>
  <c r="E948" i="2"/>
  <c r="I948" i="2" s="1"/>
  <c r="C948" i="2"/>
  <c r="E947" i="2"/>
  <c r="C947" i="2"/>
  <c r="E946" i="2"/>
  <c r="J946" i="2" s="1"/>
  <c r="C946" i="2"/>
  <c r="E945" i="2"/>
  <c r="C945" i="2"/>
  <c r="E944" i="2"/>
  <c r="H944" i="2" s="1"/>
  <c r="C944" i="2"/>
  <c r="E943" i="2"/>
  <c r="C943" i="2"/>
  <c r="E942" i="2"/>
  <c r="J942" i="2" s="1"/>
  <c r="C942" i="2"/>
  <c r="E941" i="2"/>
  <c r="H941" i="2" s="1"/>
  <c r="C941" i="2"/>
  <c r="E940" i="2"/>
  <c r="J940" i="2" s="1"/>
  <c r="C940" i="2"/>
  <c r="E939" i="2"/>
  <c r="J939" i="2" s="1"/>
  <c r="C939" i="2"/>
  <c r="E938" i="2"/>
  <c r="H938" i="2" s="1"/>
  <c r="C938" i="2"/>
  <c r="E937" i="2"/>
  <c r="C937" i="2"/>
  <c r="E936" i="2"/>
  <c r="I936" i="2" s="1"/>
  <c r="C936" i="2"/>
  <c r="E935" i="2"/>
  <c r="J935" i="2" s="1"/>
  <c r="C935" i="2"/>
  <c r="E934" i="2"/>
  <c r="J934" i="2" s="1"/>
  <c r="C934" i="2"/>
  <c r="E933" i="2"/>
  <c r="J933" i="2" s="1"/>
  <c r="C933" i="2"/>
  <c r="E932" i="2"/>
  <c r="J932" i="2" s="1"/>
  <c r="C932" i="2"/>
  <c r="E931" i="2"/>
  <c r="C931" i="2"/>
  <c r="E930" i="2"/>
  <c r="J930" i="2" s="1"/>
  <c r="C930" i="2"/>
  <c r="E929" i="2"/>
  <c r="H929" i="2" s="1"/>
  <c r="C929" i="2"/>
  <c r="E928" i="2"/>
  <c r="C928" i="2"/>
  <c r="E927" i="2"/>
  <c r="J927" i="2" s="1"/>
  <c r="C927" i="2"/>
  <c r="E926" i="2"/>
  <c r="C926" i="2"/>
  <c r="E925" i="2"/>
  <c r="C925" i="2"/>
  <c r="E924" i="2"/>
  <c r="I924" i="2" s="1"/>
  <c r="C924" i="2"/>
  <c r="E923" i="2"/>
  <c r="J923" i="2" s="1"/>
  <c r="C923" i="2"/>
  <c r="E922" i="2"/>
  <c r="J922" i="2" s="1"/>
  <c r="C922" i="2"/>
  <c r="E921" i="2"/>
  <c r="I921" i="2" s="1"/>
  <c r="C921" i="2"/>
  <c r="E920" i="2"/>
  <c r="J920" i="2" s="1"/>
  <c r="C920" i="2"/>
  <c r="E919" i="2"/>
  <c r="C919" i="2"/>
  <c r="E918" i="2"/>
  <c r="H918" i="2" s="1"/>
  <c r="C918" i="2"/>
  <c r="E917" i="2"/>
  <c r="H917" i="2" s="1"/>
  <c r="C917" i="2"/>
  <c r="E916" i="2"/>
  <c r="J916" i="2" s="1"/>
  <c r="C916" i="2"/>
  <c r="E915" i="2"/>
  <c r="J915" i="2" s="1"/>
  <c r="C915" i="2"/>
  <c r="E914" i="2"/>
  <c r="C914" i="2"/>
  <c r="E913" i="2"/>
  <c r="H913" i="2" s="1"/>
  <c r="C913" i="2"/>
  <c r="E912" i="2"/>
  <c r="I912" i="2" s="1"/>
  <c r="C912" i="2"/>
  <c r="E911" i="2"/>
  <c r="J911" i="2" s="1"/>
  <c r="C911" i="2"/>
  <c r="E910" i="2"/>
  <c r="J910" i="2" s="1"/>
  <c r="C910" i="2"/>
  <c r="E909" i="2"/>
  <c r="J909" i="2" s="1"/>
  <c r="C909" i="2"/>
  <c r="E908" i="2"/>
  <c r="C908" i="2"/>
  <c r="E907" i="2"/>
  <c r="I907" i="2" s="1"/>
  <c r="C907" i="2"/>
  <c r="E906" i="2"/>
  <c r="J906" i="2" s="1"/>
  <c r="C906" i="2"/>
  <c r="E905" i="2"/>
  <c r="H905" i="2" s="1"/>
  <c r="C905" i="2"/>
  <c r="E904" i="2"/>
  <c r="J904" i="2" s="1"/>
  <c r="C904" i="2"/>
  <c r="E903" i="2"/>
  <c r="C903" i="2"/>
  <c r="E902" i="2"/>
  <c r="C902" i="2"/>
  <c r="E901" i="2"/>
  <c r="C901" i="2"/>
  <c r="E900" i="2"/>
  <c r="I900" i="2" s="1"/>
  <c r="C900" i="2"/>
  <c r="E899" i="2"/>
  <c r="I899" i="2" s="1"/>
  <c r="C899" i="2"/>
  <c r="E898" i="2"/>
  <c r="I898" i="2" s="1"/>
  <c r="C898" i="2"/>
  <c r="E897" i="2"/>
  <c r="J897" i="2" s="1"/>
  <c r="C897" i="2"/>
  <c r="E896" i="2"/>
  <c r="C896" i="2"/>
  <c r="E895" i="2"/>
  <c r="C895" i="2"/>
  <c r="E894" i="2"/>
  <c r="C894" i="2"/>
  <c r="E893" i="2"/>
  <c r="H893" i="2" s="1"/>
  <c r="C893" i="2"/>
  <c r="E892" i="2"/>
  <c r="I892" i="2" s="1"/>
  <c r="C892" i="2"/>
  <c r="E891" i="2"/>
  <c r="H891" i="2" s="1"/>
  <c r="C891" i="2"/>
  <c r="E890" i="2"/>
  <c r="C890" i="2"/>
  <c r="E889" i="2"/>
  <c r="C889" i="2"/>
  <c r="E888" i="2"/>
  <c r="I888" i="2" s="1"/>
  <c r="C888" i="2"/>
  <c r="E887" i="2"/>
  <c r="J887" i="2" s="1"/>
  <c r="C887" i="2"/>
  <c r="E886" i="2"/>
  <c r="J886" i="2" s="1"/>
  <c r="C886" i="2"/>
  <c r="E885" i="2"/>
  <c r="H885" i="2" s="1"/>
  <c r="C885" i="2"/>
  <c r="E884" i="2"/>
  <c r="C884" i="2"/>
  <c r="E883" i="2"/>
  <c r="C883" i="2"/>
  <c r="E882" i="2"/>
  <c r="C882" i="2"/>
  <c r="E881" i="2"/>
  <c r="H881" i="2" s="1"/>
  <c r="C881" i="2"/>
  <c r="E880" i="2"/>
  <c r="H880" i="2" s="1"/>
  <c r="C880" i="2"/>
  <c r="E879" i="2"/>
  <c r="I879" i="2" s="1"/>
  <c r="C879" i="2"/>
  <c r="E878" i="2"/>
  <c r="C878" i="2"/>
  <c r="E877" i="2"/>
  <c r="J877" i="2" s="1"/>
  <c r="C877" i="2"/>
  <c r="E876" i="2"/>
  <c r="I876" i="2" s="1"/>
  <c r="C876" i="2"/>
  <c r="E875" i="2"/>
  <c r="J875" i="2" s="1"/>
  <c r="C875" i="2"/>
  <c r="E874" i="2"/>
  <c r="C874" i="2"/>
  <c r="E873" i="2"/>
  <c r="C873" i="2"/>
  <c r="E872" i="2"/>
  <c r="C872" i="2"/>
  <c r="E871" i="2"/>
  <c r="C871" i="2"/>
  <c r="E870" i="2"/>
  <c r="C870" i="2"/>
  <c r="E869" i="2"/>
  <c r="J869" i="2" s="1"/>
  <c r="C869" i="2"/>
  <c r="E868" i="2"/>
  <c r="J868" i="2" s="1"/>
  <c r="C868" i="2"/>
  <c r="E867" i="2"/>
  <c r="I867" i="2" s="1"/>
  <c r="C867" i="2"/>
  <c r="E866" i="2"/>
  <c r="H866" i="2" s="1"/>
  <c r="C866" i="2"/>
  <c r="E865" i="2"/>
  <c r="C865" i="2"/>
  <c r="E864" i="2"/>
  <c r="I864" i="2" s="1"/>
  <c r="C864" i="2"/>
  <c r="E863" i="2"/>
  <c r="C863" i="2"/>
  <c r="E862" i="2"/>
  <c r="C862" i="2"/>
  <c r="E861" i="2"/>
  <c r="C861" i="2"/>
  <c r="E860" i="2"/>
  <c r="C860" i="2"/>
  <c r="E859" i="2"/>
  <c r="I859" i="2" s="1"/>
  <c r="C859" i="2"/>
  <c r="E858" i="2"/>
  <c r="H858" i="2" s="1"/>
  <c r="C858" i="2"/>
  <c r="E857" i="2"/>
  <c r="C857" i="2"/>
  <c r="E856" i="2"/>
  <c r="C856" i="2"/>
  <c r="E855" i="2"/>
  <c r="C855" i="2"/>
  <c r="E854" i="2"/>
  <c r="I854" i="2" s="1"/>
  <c r="C854" i="2"/>
  <c r="E853" i="2"/>
  <c r="C853" i="2"/>
  <c r="E852" i="2"/>
  <c r="I852" i="2" s="1"/>
  <c r="C852" i="2"/>
  <c r="E851" i="2"/>
  <c r="H851" i="2" s="1"/>
  <c r="C851" i="2"/>
  <c r="E850" i="2"/>
  <c r="J850" i="2" s="1"/>
  <c r="C850" i="2"/>
  <c r="E849" i="2"/>
  <c r="C849" i="2"/>
  <c r="E848" i="2"/>
  <c r="I848" i="2" s="1"/>
  <c r="C848" i="2"/>
  <c r="E847" i="2"/>
  <c r="C847" i="2"/>
  <c r="E846" i="2"/>
  <c r="C846" i="2"/>
  <c r="E845" i="2"/>
  <c r="C845" i="2"/>
  <c r="E844" i="2"/>
  <c r="H844" i="2" s="1"/>
  <c r="C844" i="2"/>
  <c r="E843" i="2"/>
  <c r="J843" i="2" s="1"/>
  <c r="C843" i="2"/>
  <c r="E842" i="2"/>
  <c r="I842" i="2" s="1"/>
  <c r="C842" i="2"/>
  <c r="E841" i="2"/>
  <c r="H841" i="2" s="1"/>
  <c r="C841" i="2"/>
  <c r="E840" i="2"/>
  <c r="C840" i="2"/>
  <c r="E839" i="2"/>
  <c r="C839" i="2"/>
  <c r="E838" i="2"/>
  <c r="I838" i="2" s="1"/>
  <c r="C838" i="2"/>
  <c r="E837" i="2"/>
  <c r="H837" i="2" s="1"/>
  <c r="C837" i="2"/>
  <c r="E836" i="2"/>
  <c r="C836" i="2"/>
  <c r="E835" i="2"/>
  <c r="C835" i="2"/>
  <c r="E834" i="2"/>
  <c r="C834" i="2"/>
  <c r="E833" i="2"/>
  <c r="H833" i="2" s="1"/>
  <c r="C833" i="2"/>
  <c r="E832" i="2"/>
  <c r="J832" i="2" s="1"/>
  <c r="C832" i="2"/>
  <c r="E831" i="2"/>
  <c r="C831" i="2"/>
  <c r="E830" i="2"/>
  <c r="I830" i="2" s="1"/>
  <c r="C830" i="2"/>
  <c r="E829" i="2"/>
  <c r="J829" i="2" s="1"/>
  <c r="C829" i="2"/>
  <c r="E828" i="2"/>
  <c r="C828" i="2"/>
  <c r="E827" i="2"/>
  <c r="J827" i="2" s="1"/>
  <c r="C827" i="2"/>
  <c r="E826" i="2"/>
  <c r="I826" i="2" s="1"/>
  <c r="C826" i="2"/>
  <c r="E825" i="2"/>
  <c r="J825" i="2" s="1"/>
  <c r="C825" i="2"/>
  <c r="E824" i="2"/>
  <c r="C824" i="2"/>
  <c r="E823" i="2"/>
  <c r="I823" i="2" s="1"/>
  <c r="C823" i="2"/>
  <c r="E822" i="2"/>
  <c r="H822" i="2" s="1"/>
  <c r="C822" i="2"/>
  <c r="E821" i="2"/>
  <c r="C821" i="2"/>
  <c r="E820" i="2"/>
  <c r="H820" i="2" s="1"/>
  <c r="C820" i="2"/>
  <c r="E819" i="2"/>
  <c r="H819" i="2" s="1"/>
  <c r="C819" i="2"/>
  <c r="E818" i="2"/>
  <c r="C818" i="2"/>
  <c r="E817" i="2"/>
  <c r="C817" i="2"/>
  <c r="E816" i="2"/>
  <c r="I816" i="2" s="1"/>
  <c r="C816" i="2"/>
  <c r="E815" i="2"/>
  <c r="J815" i="2" s="1"/>
  <c r="C815" i="2"/>
  <c r="E814" i="2"/>
  <c r="H814" i="2" s="1"/>
  <c r="C814" i="2"/>
  <c r="E813" i="2"/>
  <c r="C813" i="2"/>
  <c r="E812" i="2"/>
  <c r="J812" i="2" s="1"/>
  <c r="C812" i="2"/>
  <c r="E811" i="2"/>
  <c r="C811" i="2"/>
  <c r="E810" i="2"/>
  <c r="J810" i="2" s="1"/>
  <c r="C810" i="2"/>
  <c r="E809" i="2"/>
  <c r="C809" i="2"/>
  <c r="E808" i="2"/>
  <c r="H808" i="2" s="1"/>
  <c r="C808" i="2"/>
  <c r="E807" i="2"/>
  <c r="J807" i="2" s="1"/>
  <c r="C807" i="2"/>
  <c r="E806" i="2"/>
  <c r="H806" i="2" s="1"/>
  <c r="C806" i="2"/>
  <c r="E805" i="2"/>
  <c r="C805" i="2"/>
  <c r="E804" i="2"/>
  <c r="I804" i="2" s="1"/>
  <c r="C804" i="2"/>
  <c r="E803" i="2"/>
  <c r="I803" i="2" s="1"/>
  <c r="C803" i="2"/>
  <c r="E802" i="2"/>
  <c r="H802" i="2" s="1"/>
  <c r="C802" i="2"/>
  <c r="E801" i="2"/>
  <c r="J801" i="2" s="1"/>
  <c r="C801" i="2"/>
  <c r="E800" i="2"/>
  <c r="H800" i="2" s="1"/>
  <c r="C800" i="2"/>
  <c r="E799" i="2"/>
  <c r="C799" i="2"/>
  <c r="E798" i="2"/>
  <c r="C798" i="2"/>
  <c r="E797" i="2"/>
  <c r="I797" i="2" s="1"/>
  <c r="C797" i="2"/>
  <c r="E796" i="2"/>
  <c r="C796" i="2"/>
  <c r="E795" i="2"/>
  <c r="J795" i="2" s="1"/>
  <c r="C795" i="2"/>
  <c r="E794" i="2"/>
  <c r="I794" i="2" s="1"/>
  <c r="C794" i="2"/>
  <c r="E793" i="2"/>
  <c r="J793" i="2" s="1"/>
  <c r="C793" i="2"/>
  <c r="E792" i="2"/>
  <c r="I792" i="2" s="1"/>
  <c r="C792" i="2"/>
  <c r="E791" i="2"/>
  <c r="H791" i="2" s="1"/>
  <c r="C791" i="2"/>
  <c r="E790" i="2"/>
  <c r="C790" i="2"/>
  <c r="E789" i="2"/>
  <c r="H789" i="2" s="1"/>
  <c r="C789" i="2"/>
  <c r="E788" i="2"/>
  <c r="C788" i="2"/>
  <c r="E787" i="2"/>
  <c r="C787" i="2"/>
  <c r="E786" i="2"/>
  <c r="H786" i="2" s="1"/>
  <c r="C786" i="2"/>
  <c r="E785" i="2"/>
  <c r="C785" i="2"/>
  <c r="E784" i="2"/>
  <c r="J784" i="2" s="1"/>
  <c r="C784" i="2"/>
  <c r="E783" i="2"/>
  <c r="J783" i="2" s="1"/>
  <c r="C783" i="2"/>
  <c r="E782" i="2"/>
  <c r="I782" i="2" s="1"/>
  <c r="C782" i="2"/>
  <c r="E781" i="2"/>
  <c r="J781" i="2" s="1"/>
  <c r="C781" i="2"/>
  <c r="E780" i="2"/>
  <c r="I780" i="2" s="1"/>
  <c r="C780" i="2"/>
  <c r="E779" i="2"/>
  <c r="H779" i="2" s="1"/>
  <c r="C779" i="2"/>
  <c r="E778" i="2"/>
  <c r="C778" i="2"/>
  <c r="E777" i="2"/>
  <c r="C777" i="2"/>
  <c r="E776" i="2"/>
  <c r="C776" i="2"/>
  <c r="E775" i="2"/>
  <c r="C775" i="2"/>
  <c r="E774" i="2"/>
  <c r="C774" i="2"/>
  <c r="E773" i="2"/>
  <c r="C773" i="2"/>
  <c r="E772" i="2"/>
  <c r="H772" i="2" s="1"/>
  <c r="C772" i="2"/>
  <c r="E771" i="2"/>
  <c r="H771" i="2" s="1"/>
  <c r="C771" i="2"/>
  <c r="E770" i="2"/>
  <c r="I770" i="2" s="1"/>
  <c r="C770" i="2"/>
  <c r="E769" i="2"/>
  <c r="H769" i="2" s="1"/>
  <c r="C769" i="2"/>
  <c r="E768" i="2"/>
  <c r="J768" i="2" s="1"/>
  <c r="C768" i="2"/>
  <c r="E767" i="2"/>
  <c r="I767" i="2" s="1"/>
  <c r="C767" i="2"/>
  <c r="E766" i="2"/>
  <c r="J766" i="2" s="1"/>
  <c r="C766" i="2"/>
  <c r="E765" i="2"/>
  <c r="J765" i="2" s="1"/>
  <c r="C765" i="2"/>
  <c r="E764" i="2"/>
  <c r="J764" i="2" s="1"/>
  <c r="C764" i="2"/>
  <c r="E763" i="2"/>
  <c r="C763" i="2"/>
  <c r="E762" i="2"/>
  <c r="C762" i="2"/>
  <c r="E761" i="2"/>
  <c r="C761" i="2"/>
  <c r="E760" i="2"/>
  <c r="J760" i="2" s="1"/>
  <c r="C760" i="2"/>
  <c r="E759" i="2"/>
  <c r="H759" i="2" s="1"/>
  <c r="C759" i="2"/>
  <c r="E758" i="2"/>
  <c r="C758" i="2"/>
  <c r="E757" i="2"/>
  <c r="I757" i="2" s="1"/>
  <c r="C757" i="2"/>
  <c r="E756" i="2"/>
  <c r="I756" i="2" s="1"/>
  <c r="C756" i="2"/>
  <c r="E755" i="2"/>
  <c r="I755" i="2" s="1"/>
  <c r="C755" i="2"/>
  <c r="E754" i="2"/>
  <c r="H754" i="2" s="1"/>
  <c r="C754" i="2"/>
  <c r="E753" i="2"/>
  <c r="J753" i="2" s="1"/>
  <c r="C753" i="2"/>
  <c r="E752" i="2"/>
  <c r="J752" i="2" s="1"/>
  <c r="C752" i="2"/>
  <c r="E751" i="2"/>
  <c r="J751" i="2" s="1"/>
  <c r="C751" i="2"/>
  <c r="E750" i="2"/>
  <c r="C750" i="2"/>
  <c r="E749" i="2"/>
  <c r="J749" i="2" s="1"/>
  <c r="C749" i="2"/>
  <c r="E748" i="2"/>
  <c r="C748" i="2"/>
  <c r="E747" i="2"/>
  <c r="C747" i="2"/>
  <c r="E746" i="2"/>
  <c r="J746" i="2" s="1"/>
  <c r="C746" i="2"/>
  <c r="E745" i="2"/>
  <c r="I745" i="2" s="1"/>
  <c r="C745" i="2"/>
  <c r="E744" i="2"/>
  <c r="J744" i="2" s="1"/>
  <c r="C744" i="2"/>
  <c r="E743" i="2"/>
  <c r="H743" i="2" s="1"/>
  <c r="C743" i="2"/>
  <c r="E742" i="2"/>
  <c r="J742" i="2" s="1"/>
  <c r="C742" i="2"/>
  <c r="E741" i="2"/>
  <c r="J741" i="2" s="1"/>
  <c r="C741" i="2"/>
  <c r="E740" i="2"/>
  <c r="C740" i="2"/>
  <c r="E739" i="2"/>
  <c r="J739" i="2" s="1"/>
  <c r="C739" i="2"/>
  <c r="E738" i="2"/>
  <c r="J738" i="2" s="1"/>
  <c r="C738" i="2"/>
  <c r="E737" i="2"/>
  <c r="C737" i="2"/>
  <c r="E736" i="2"/>
  <c r="J736" i="2" s="1"/>
  <c r="C736" i="2"/>
  <c r="E735" i="2"/>
  <c r="J735" i="2" s="1"/>
  <c r="C735" i="2"/>
  <c r="E734" i="2"/>
  <c r="C734" i="2"/>
  <c r="E733" i="2"/>
  <c r="H733" i="2" s="1"/>
  <c r="C733" i="2"/>
  <c r="E732" i="2"/>
  <c r="H732" i="2" s="1"/>
  <c r="C732" i="2"/>
  <c r="E731" i="2"/>
  <c r="I731" i="2" s="1"/>
  <c r="C731" i="2"/>
  <c r="E730" i="2"/>
  <c r="J730" i="2" s="1"/>
  <c r="C730" i="2"/>
  <c r="E729" i="2"/>
  <c r="I729" i="2" s="1"/>
  <c r="C729" i="2"/>
  <c r="E728" i="2"/>
  <c r="H728" i="2" s="1"/>
  <c r="C728" i="2"/>
  <c r="E727" i="2"/>
  <c r="J727" i="2" s="1"/>
  <c r="C727" i="2"/>
  <c r="E726" i="2"/>
  <c r="J726" i="2" s="1"/>
  <c r="C726" i="2"/>
  <c r="E725" i="2"/>
  <c r="C725" i="2"/>
  <c r="E724" i="2"/>
  <c r="J724" i="2" s="1"/>
  <c r="C724" i="2"/>
  <c r="E723" i="2"/>
  <c r="J723" i="2" s="1"/>
  <c r="C723" i="2"/>
  <c r="E722" i="2"/>
  <c r="J722" i="2" s="1"/>
  <c r="C722" i="2"/>
  <c r="E721" i="2"/>
  <c r="J721" i="2" s="1"/>
  <c r="C721" i="2"/>
  <c r="E720" i="2"/>
  <c r="J720" i="2" s="1"/>
  <c r="C720" i="2"/>
  <c r="E719" i="2"/>
  <c r="J719" i="2" s="1"/>
  <c r="C719" i="2"/>
  <c r="E718" i="2"/>
  <c r="J718" i="2" s="1"/>
  <c r="C718" i="2"/>
  <c r="E717" i="2"/>
  <c r="C717" i="2"/>
  <c r="E716" i="2"/>
  <c r="J716" i="2" s="1"/>
  <c r="C716" i="2"/>
  <c r="E715" i="2"/>
  <c r="H715" i="2" s="1"/>
  <c r="C715" i="2"/>
  <c r="E714" i="2"/>
  <c r="J714" i="2" s="1"/>
  <c r="C714" i="2"/>
  <c r="E713" i="2"/>
  <c r="C713" i="2"/>
  <c r="E712" i="2"/>
  <c r="J712" i="2" s="1"/>
  <c r="C712" i="2"/>
  <c r="E711" i="2"/>
  <c r="C711" i="2"/>
  <c r="E710" i="2"/>
  <c r="J710" i="2" s="1"/>
  <c r="C710" i="2"/>
  <c r="E709" i="2"/>
  <c r="J709" i="2" s="1"/>
  <c r="C709" i="2"/>
  <c r="E708" i="2"/>
  <c r="J708" i="2" s="1"/>
  <c r="C708" i="2"/>
  <c r="E707" i="2"/>
  <c r="J707" i="2" s="1"/>
  <c r="C707" i="2"/>
  <c r="E706" i="2"/>
  <c r="I706" i="2" s="1"/>
  <c r="C706" i="2"/>
  <c r="E705" i="2"/>
  <c r="J705" i="2" s="1"/>
  <c r="C705" i="2"/>
  <c r="E704" i="2"/>
  <c r="C704" i="2"/>
  <c r="E703" i="2"/>
  <c r="C703" i="2"/>
  <c r="E702" i="2"/>
  <c r="H702" i="2" s="1"/>
  <c r="C702" i="2"/>
  <c r="E701" i="2"/>
  <c r="J701" i="2" s="1"/>
  <c r="C701" i="2"/>
  <c r="E700" i="2"/>
  <c r="H700" i="2" s="1"/>
  <c r="C700" i="2"/>
  <c r="E699" i="2"/>
  <c r="C699" i="2"/>
  <c r="E698" i="2"/>
  <c r="C698" i="2"/>
  <c r="E697" i="2"/>
  <c r="C697" i="2"/>
  <c r="E696" i="2"/>
  <c r="J696" i="2" s="1"/>
  <c r="C696" i="2"/>
  <c r="E695" i="2"/>
  <c r="C695" i="2"/>
  <c r="E694" i="2"/>
  <c r="H694" i="2" s="1"/>
  <c r="C694" i="2"/>
  <c r="E693" i="2"/>
  <c r="C693" i="2"/>
  <c r="E692" i="2"/>
  <c r="I692" i="2" s="1"/>
  <c r="C692" i="2"/>
  <c r="E691" i="2"/>
  <c r="I691" i="2" s="1"/>
  <c r="C691" i="2"/>
  <c r="E690" i="2"/>
  <c r="C690" i="2"/>
  <c r="E689" i="2"/>
  <c r="C689" i="2"/>
  <c r="E688" i="2"/>
  <c r="I688" i="2" s="1"/>
  <c r="C688" i="2"/>
  <c r="E687" i="2"/>
  <c r="H687" i="2" s="1"/>
  <c r="C687" i="2"/>
  <c r="E686" i="2"/>
  <c r="I686" i="2" s="1"/>
  <c r="C686" i="2"/>
  <c r="E685" i="2"/>
  <c r="J685" i="2" s="1"/>
  <c r="C685" i="2"/>
  <c r="E684" i="2"/>
  <c r="I684" i="2" s="1"/>
  <c r="C684" i="2"/>
  <c r="E683" i="2"/>
  <c r="I683" i="2" s="1"/>
  <c r="C683" i="2"/>
  <c r="E682" i="2"/>
  <c r="I682" i="2" s="1"/>
  <c r="C682" i="2"/>
  <c r="E681" i="2"/>
  <c r="C681" i="2"/>
  <c r="E680" i="2"/>
  <c r="C680" i="2"/>
  <c r="E679" i="2"/>
  <c r="J679" i="2" s="1"/>
  <c r="C679" i="2"/>
  <c r="E678" i="2"/>
  <c r="J678" i="2" s="1"/>
  <c r="C678" i="2"/>
  <c r="E677" i="2"/>
  <c r="C677" i="2"/>
  <c r="E676" i="2"/>
  <c r="C676" i="2"/>
  <c r="E675" i="2"/>
  <c r="C675" i="2"/>
  <c r="E674" i="2"/>
  <c r="I674" i="2" s="1"/>
  <c r="C674" i="2"/>
  <c r="E673" i="2"/>
  <c r="C673" i="2"/>
  <c r="E672" i="2"/>
  <c r="C672" i="2"/>
  <c r="E671" i="2"/>
  <c r="J671" i="2" s="1"/>
  <c r="C671" i="2"/>
  <c r="E670" i="2"/>
  <c r="I670" i="2" s="1"/>
  <c r="C670" i="2"/>
  <c r="E669" i="2"/>
  <c r="J669" i="2" s="1"/>
  <c r="C669" i="2"/>
  <c r="E668" i="2"/>
  <c r="C668" i="2"/>
  <c r="E667" i="2"/>
  <c r="C667" i="2"/>
  <c r="E666" i="2"/>
  <c r="C666" i="2"/>
  <c r="E665" i="2"/>
  <c r="C665" i="2"/>
  <c r="E664" i="2"/>
  <c r="C664" i="2"/>
  <c r="E663" i="2"/>
  <c r="J663" i="2" s="1"/>
  <c r="C663" i="2"/>
  <c r="E662" i="2"/>
  <c r="C662" i="2"/>
  <c r="E661" i="2"/>
  <c r="J661" i="2" s="1"/>
  <c r="C661" i="2"/>
  <c r="E660" i="2"/>
  <c r="J660" i="2" s="1"/>
  <c r="C660" i="2"/>
  <c r="E659" i="2"/>
  <c r="C659" i="2"/>
  <c r="E658" i="2"/>
  <c r="I658" i="2" s="1"/>
  <c r="C658" i="2"/>
  <c r="E657" i="2"/>
  <c r="H657" i="2" s="1"/>
  <c r="C657" i="2"/>
  <c r="E656" i="2"/>
  <c r="C656" i="2"/>
  <c r="E655" i="2"/>
  <c r="I655" i="2" s="1"/>
  <c r="C655" i="2"/>
  <c r="E654" i="2"/>
  <c r="C654" i="2"/>
  <c r="E653" i="2"/>
  <c r="J653" i="2" s="1"/>
  <c r="C653" i="2"/>
  <c r="E652" i="2"/>
  <c r="C652" i="2"/>
  <c r="E651" i="2"/>
  <c r="J651" i="2" s="1"/>
  <c r="C651" i="2"/>
  <c r="E650" i="2"/>
  <c r="J650" i="2" s="1"/>
  <c r="C650" i="2"/>
  <c r="E649" i="2"/>
  <c r="C649" i="2"/>
  <c r="E648" i="2"/>
  <c r="J648" i="2" s="1"/>
  <c r="C648" i="2"/>
  <c r="E647" i="2"/>
  <c r="C647" i="2"/>
  <c r="E646" i="2"/>
  <c r="C646" i="2"/>
  <c r="E645" i="2"/>
  <c r="I645" i="2" s="1"/>
  <c r="C645" i="2"/>
  <c r="E644" i="2"/>
  <c r="C644" i="2"/>
  <c r="E643" i="2"/>
  <c r="C643" i="2"/>
  <c r="E642" i="2"/>
  <c r="J642" i="2" s="1"/>
  <c r="C642" i="2"/>
  <c r="E641" i="2"/>
  <c r="H641" i="2" s="1"/>
  <c r="C641" i="2"/>
  <c r="E640" i="2"/>
  <c r="I640" i="2" s="1"/>
  <c r="C640" i="2"/>
  <c r="E639" i="2"/>
  <c r="J639" i="2" s="1"/>
  <c r="C639" i="2"/>
  <c r="E638" i="2"/>
  <c r="H638" i="2" s="1"/>
  <c r="C638" i="2"/>
  <c r="E637" i="2"/>
  <c r="C637" i="2"/>
  <c r="E636" i="2"/>
  <c r="C636" i="2"/>
  <c r="E635" i="2"/>
  <c r="C635" i="2"/>
  <c r="E634" i="2"/>
  <c r="J634" i="2" s="1"/>
  <c r="C634" i="2"/>
  <c r="E633" i="2"/>
  <c r="H633" i="2" s="1"/>
  <c r="C633" i="2"/>
  <c r="E632" i="2"/>
  <c r="C632" i="2"/>
  <c r="E631" i="2"/>
  <c r="J631" i="2" s="1"/>
  <c r="C631" i="2"/>
  <c r="E630" i="2"/>
  <c r="J630" i="2" s="1"/>
  <c r="C630" i="2"/>
  <c r="E629" i="2"/>
  <c r="I629" i="2" s="1"/>
  <c r="C629" i="2"/>
  <c r="E628" i="2"/>
  <c r="C628" i="2"/>
  <c r="E627" i="2"/>
  <c r="H627" i="2" s="1"/>
  <c r="C627" i="2"/>
  <c r="E626" i="2"/>
  <c r="I626" i="2" s="1"/>
  <c r="C626" i="2"/>
  <c r="E625" i="2"/>
  <c r="C625" i="2"/>
  <c r="E624" i="2"/>
  <c r="C624" i="2"/>
  <c r="E623" i="2"/>
  <c r="J623" i="2" s="1"/>
  <c r="C623" i="2"/>
  <c r="E622" i="2"/>
  <c r="H622" i="2" s="1"/>
  <c r="C622" i="2"/>
  <c r="E621" i="2"/>
  <c r="H621" i="2" s="1"/>
  <c r="C621" i="2"/>
  <c r="E620" i="2"/>
  <c r="C620" i="2"/>
  <c r="E619" i="2"/>
  <c r="I619" i="2" s="1"/>
  <c r="C619" i="2"/>
  <c r="E618" i="2"/>
  <c r="H618" i="2" s="1"/>
  <c r="C618" i="2"/>
  <c r="E617" i="2"/>
  <c r="I617" i="2" s="1"/>
  <c r="C617" i="2"/>
  <c r="E616" i="2"/>
  <c r="H616" i="2" s="1"/>
  <c r="C616" i="2"/>
  <c r="E615" i="2"/>
  <c r="H615" i="2" s="1"/>
  <c r="C615" i="2"/>
  <c r="E614" i="2"/>
  <c r="C614" i="2"/>
  <c r="E613" i="2"/>
  <c r="J613" i="2" s="1"/>
  <c r="C613" i="2"/>
  <c r="E612" i="2"/>
  <c r="C612" i="2"/>
  <c r="E611" i="2"/>
  <c r="I611" i="2" s="1"/>
  <c r="C611" i="2"/>
  <c r="E610" i="2"/>
  <c r="C610" i="2"/>
  <c r="E609" i="2"/>
  <c r="C609" i="2"/>
  <c r="E608" i="2"/>
  <c r="C608" i="2"/>
  <c r="E607" i="2"/>
  <c r="H607" i="2" s="1"/>
  <c r="C607" i="2"/>
  <c r="E606" i="2"/>
  <c r="C606" i="2"/>
  <c r="E605" i="2"/>
  <c r="J605" i="2" s="1"/>
  <c r="C605" i="2"/>
  <c r="E604" i="2"/>
  <c r="I604" i="2" s="1"/>
  <c r="C604" i="2"/>
  <c r="E603" i="2"/>
  <c r="J603" i="2" s="1"/>
  <c r="C603" i="2"/>
  <c r="E602" i="2"/>
  <c r="I602" i="2" s="1"/>
  <c r="C602" i="2"/>
  <c r="E601" i="2"/>
  <c r="H601" i="2" s="1"/>
  <c r="C601" i="2"/>
  <c r="E600" i="2"/>
  <c r="C600" i="2"/>
  <c r="E599" i="2"/>
  <c r="J599" i="2" s="1"/>
  <c r="C599" i="2"/>
  <c r="E598" i="2"/>
  <c r="C598" i="2"/>
  <c r="E597" i="2"/>
  <c r="I597" i="2" s="1"/>
  <c r="C597" i="2"/>
  <c r="E596" i="2"/>
  <c r="C596" i="2"/>
  <c r="E595" i="2"/>
  <c r="I595" i="2" s="1"/>
  <c r="C595" i="2"/>
  <c r="E594" i="2"/>
  <c r="H594" i="2" s="1"/>
  <c r="C594" i="2"/>
  <c r="E593" i="2"/>
  <c r="J593" i="2" s="1"/>
  <c r="C593" i="2"/>
  <c r="E592" i="2"/>
  <c r="H592" i="2" s="1"/>
  <c r="C592" i="2"/>
  <c r="E591" i="2"/>
  <c r="C591" i="2"/>
  <c r="E590" i="2"/>
  <c r="H590" i="2" s="1"/>
  <c r="C590" i="2"/>
  <c r="E589" i="2"/>
  <c r="H589" i="2" s="1"/>
  <c r="C589" i="2"/>
  <c r="E588" i="2"/>
  <c r="C588" i="2"/>
  <c r="E587" i="2"/>
  <c r="I587" i="2" s="1"/>
  <c r="C587" i="2"/>
  <c r="E586" i="2"/>
  <c r="C586" i="2"/>
  <c r="E585" i="2"/>
  <c r="H585" i="2" s="1"/>
  <c r="C585" i="2"/>
  <c r="E584" i="2"/>
  <c r="J584" i="2" s="1"/>
  <c r="C584" i="2"/>
  <c r="E583" i="2"/>
  <c r="C583" i="2"/>
  <c r="E582" i="2"/>
  <c r="C582" i="2"/>
  <c r="E581" i="2"/>
  <c r="H581" i="2" s="1"/>
  <c r="C581" i="2"/>
  <c r="E580" i="2"/>
  <c r="I580" i="2" s="1"/>
  <c r="C580" i="2"/>
  <c r="E579" i="2"/>
  <c r="I579" i="2" s="1"/>
  <c r="C579" i="2"/>
  <c r="E578" i="2"/>
  <c r="I578" i="2" s="1"/>
  <c r="C578" i="2"/>
  <c r="E577" i="2"/>
  <c r="J577" i="2" s="1"/>
  <c r="C577" i="2"/>
  <c r="E576" i="2"/>
  <c r="H576" i="2" s="1"/>
  <c r="C576" i="2"/>
  <c r="E575" i="2"/>
  <c r="J575" i="2" s="1"/>
  <c r="C575" i="2"/>
  <c r="E574" i="2"/>
  <c r="I574" i="2" s="1"/>
  <c r="C574" i="2"/>
  <c r="E573" i="2"/>
  <c r="J573" i="2" s="1"/>
  <c r="C573" i="2"/>
  <c r="E572" i="2"/>
  <c r="C572" i="2"/>
  <c r="E571" i="2"/>
  <c r="H571" i="2" s="1"/>
  <c r="C571" i="2"/>
  <c r="E570" i="2"/>
  <c r="J570" i="2" s="1"/>
  <c r="C570" i="2"/>
  <c r="E569" i="2"/>
  <c r="C569" i="2"/>
  <c r="E568" i="2"/>
  <c r="H568" i="2" s="1"/>
  <c r="C568" i="2"/>
  <c r="E567" i="2"/>
  <c r="J567" i="2" s="1"/>
  <c r="C567" i="2"/>
  <c r="E566" i="2"/>
  <c r="J566" i="2" s="1"/>
  <c r="C566" i="2"/>
  <c r="E565" i="2"/>
  <c r="C565" i="2"/>
  <c r="E564" i="2"/>
  <c r="H564" i="2" s="1"/>
  <c r="C564" i="2"/>
  <c r="E563" i="2"/>
  <c r="I563" i="2" s="1"/>
  <c r="C563" i="2"/>
  <c r="E562" i="2"/>
  <c r="J562" i="2" s="1"/>
  <c r="C562" i="2"/>
  <c r="E561" i="2"/>
  <c r="H561" i="2" s="1"/>
  <c r="C561" i="2"/>
  <c r="E560" i="2"/>
  <c r="J560" i="2" s="1"/>
  <c r="C560" i="2"/>
  <c r="E559" i="2"/>
  <c r="C559" i="2"/>
  <c r="E558" i="2"/>
  <c r="J558" i="2" s="1"/>
  <c r="C558" i="2"/>
  <c r="E557" i="2"/>
  <c r="C557" i="2"/>
  <c r="E556" i="2"/>
  <c r="C556" i="2"/>
  <c r="E555" i="2"/>
  <c r="C555" i="2"/>
  <c r="E554" i="2"/>
  <c r="J554" i="2" s="1"/>
  <c r="C554" i="2"/>
  <c r="E553" i="2"/>
  <c r="J553" i="2" s="1"/>
  <c r="C553" i="2"/>
  <c r="E552" i="2"/>
  <c r="C552" i="2"/>
  <c r="E551" i="2"/>
  <c r="H551" i="2" s="1"/>
  <c r="C551" i="2"/>
  <c r="E550" i="2"/>
  <c r="C550" i="2"/>
  <c r="E549" i="2"/>
  <c r="H549" i="2" s="1"/>
  <c r="C549" i="2"/>
  <c r="E548" i="2"/>
  <c r="J548" i="2" s="1"/>
  <c r="C548" i="2"/>
  <c r="E547" i="2"/>
  <c r="I547" i="2" s="1"/>
  <c r="C547" i="2"/>
  <c r="E546" i="2"/>
  <c r="C546" i="2"/>
  <c r="E545" i="2"/>
  <c r="J545" i="2" s="1"/>
  <c r="C545" i="2"/>
  <c r="E544" i="2"/>
  <c r="C544" i="2"/>
  <c r="E543" i="2"/>
  <c r="C543" i="2"/>
  <c r="E542" i="2"/>
  <c r="I542" i="2" s="1"/>
  <c r="C542" i="2"/>
  <c r="E541" i="2"/>
  <c r="H541" i="2" s="1"/>
  <c r="C541" i="2"/>
  <c r="E540" i="2"/>
  <c r="H540" i="2" s="1"/>
  <c r="C540" i="2"/>
  <c r="E539" i="2"/>
  <c r="I539" i="2" s="1"/>
  <c r="C539" i="2"/>
  <c r="E538" i="2"/>
  <c r="J538" i="2" s="1"/>
  <c r="C538" i="2"/>
  <c r="E537" i="2"/>
  <c r="H537" i="2" s="1"/>
  <c r="C537" i="2"/>
  <c r="E536" i="2"/>
  <c r="I536" i="2" s="1"/>
  <c r="C536" i="2"/>
  <c r="E535" i="2"/>
  <c r="J535" i="2" s="1"/>
  <c r="C535" i="2"/>
  <c r="E534" i="2"/>
  <c r="C534" i="2"/>
  <c r="E533" i="2"/>
  <c r="I533" i="2" s="1"/>
  <c r="C533" i="2"/>
  <c r="E532" i="2"/>
  <c r="J532" i="2" s="1"/>
  <c r="C532" i="2"/>
  <c r="E531" i="2"/>
  <c r="I531" i="2" s="1"/>
  <c r="C531" i="2"/>
  <c r="E530" i="2"/>
  <c r="C530" i="2"/>
  <c r="E529" i="2"/>
  <c r="I529" i="2" s="1"/>
  <c r="C529" i="2"/>
  <c r="E528" i="2"/>
  <c r="J528" i="2" s="1"/>
  <c r="C528" i="2"/>
  <c r="E527" i="2"/>
  <c r="C527" i="2"/>
  <c r="E526" i="2"/>
  <c r="C526" i="2"/>
  <c r="E525" i="2"/>
  <c r="J525" i="2" s="1"/>
  <c r="C525" i="2"/>
  <c r="E524" i="2"/>
  <c r="C524" i="2"/>
  <c r="E523" i="2"/>
  <c r="I523" i="2" s="1"/>
  <c r="C523" i="2"/>
  <c r="E522" i="2"/>
  <c r="C522" i="2"/>
  <c r="E521" i="2"/>
  <c r="I521" i="2" s="1"/>
  <c r="C521" i="2"/>
  <c r="E520" i="2"/>
  <c r="H520" i="2" s="1"/>
  <c r="C520" i="2"/>
  <c r="E519" i="2"/>
  <c r="C519" i="2"/>
  <c r="E518" i="2"/>
  <c r="C518" i="2"/>
  <c r="E517" i="2"/>
  <c r="C517" i="2"/>
  <c r="E516" i="2"/>
  <c r="J516" i="2" s="1"/>
  <c r="C516" i="2"/>
  <c r="E515" i="2"/>
  <c r="I515" i="2" s="1"/>
  <c r="C515" i="2"/>
  <c r="E514" i="2"/>
  <c r="C514" i="2"/>
  <c r="E513" i="2"/>
  <c r="C513" i="2"/>
  <c r="E512" i="2"/>
  <c r="I512" i="2" s="1"/>
  <c r="C512" i="2"/>
  <c r="E511" i="2"/>
  <c r="J511" i="2" s="1"/>
  <c r="C511" i="2"/>
  <c r="E510" i="2"/>
  <c r="J510" i="2" s="1"/>
  <c r="C510" i="2"/>
  <c r="E509" i="2"/>
  <c r="H509" i="2" s="1"/>
  <c r="C509" i="2"/>
  <c r="E508" i="2"/>
  <c r="I508" i="2" s="1"/>
  <c r="C508" i="2"/>
  <c r="E507" i="2"/>
  <c r="H507" i="2" s="1"/>
  <c r="C507" i="2"/>
  <c r="E506" i="2"/>
  <c r="C506" i="2"/>
  <c r="E505" i="2"/>
  <c r="C505" i="2"/>
  <c r="E504" i="2"/>
  <c r="C504" i="2"/>
  <c r="E503" i="2"/>
  <c r="C503" i="2"/>
  <c r="E502" i="2"/>
  <c r="I502" i="2" s="1"/>
  <c r="C502" i="2"/>
  <c r="E501" i="2"/>
  <c r="C501" i="2"/>
  <c r="E500" i="2"/>
  <c r="H500" i="2" s="1"/>
  <c r="C500" i="2"/>
  <c r="E499" i="2"/>
  <c r="C499" i="2"/>
  <c r="E498" i="2"/>
  <c r="J498" i="2" s="1"/>
  <c r="C498" i="2"/>
  <c r="E497" i="2"/>
  <c r="H497" i="2" s="1"/>
  <c r="C497" i="2"/>
  <c r="E496" i="2"/>
  <c r="C496" i="2"/>
  <c r="E495" i="2"/>
  <c r="C495" i="2"/>
  <c r="E494" i="2"/>
  <c r="H494" i="2" s="1"/>
  <c r="C494" i="2"/>
  <c r="E493" i="2"/>
  <c r="J493" i="2" s="1"/>
  <c r="C493" i="2"/>
  <c r="E492" i="2"/>
  <c r="H492" i="2" s="1"/>
  <c r="C492" i="2"/>
  <c r="E491" i="2"/>
  <c r="I491" i="2" s="1"/>
  <c r="C491" i="2"/>
  <c r="E490" i="2"/>
  <c r="H490" i="2" s="1"/>
  <c r="C490" i="2"/>
  <c r="E489" i="2"/>
  <c r="C489" i="2"/>
  <c r="E488" i="2"/>
  <c r="J488" i="2" s="1"/>
  <c r="C488" i="2"/>
  <c r="E487" i="2"/>
  <c r="C487" i="2"/>
  <c r="E486" i="2"/>
  <c r="J486" i="2" s="1"/>
  <c r="C486" i="2"/>
  <c r="E485" i="2"/>
  <c r="C485" i="2"/>
  <c r="E484" i="2"/>
  <c r="I484" i="2" s="1"/>
  <c r="C484" i="2"/>
  <c r="E483" i="2"/>
  <c r="H483" i="2" s="1"/>
  <c r="C483" i="2"/>
  <c r="E482" i="2"/>
  <c r="C482" i="2"/>
  <c r="E481" i="2"/>
  <c r="C481" i="2"/>
  <c r="E480" i="2"/>
  <c r="I480" i="2" s="1"/>
  <c r="C480" i="2"/>
  <c r="E479" i="2"/>
  <c r="C479" i="2"/>
  <c r="E478" i="2"/>
  <c r="H478" i="2" s="1"/>
  <c r="C478" i="2"/>
  <c r="E477" i="2"/>
  <c r="J477" i="2" s="1"/>
  <c r="C477" i="2"/>
  <c r="E476" i="2"/>
  <c r="J476" i="2" s="1"/>
  <c r="C476" i="2"/>
  <c r="E475" i="2"/>
  <c r="I475" i="2" s="1"/>
  <c r="C475" i="2"/>
  <c r="E474" i="2"/>
  <c r="J474" i="2" s="1"/>
  <c r="C474" i="2"/>
  <c r="E473" i="2"/>
  <c r="J473" i="2" s="1"/>
  <c r="C473" i="2"/>
  <c r="E472" i="2"/>
  <c r="C472" i="2"/>
  <c r="E471" i="2"/>
  <c r="I471" i="2" s="1"/>
  <c r="C471" i="2"/>
  <c r="E470" i="2"/>
  <c r="C470" i="2"/>
  <c r="E469" i="2"/>
  <c r="C469" i="2"/>
  <c r="E468" i="2"/>
  <c r="H468" i="2" s="1"/>
  <c r="C468" i="2"/>
  <c r="E467" i="2"/>
  <c r="C467" i="2"/>
  <c r="E466" i="2"/>
  <c r="C466" i="2"/>
  <c r="E465" i="2"/>
  <c r="J465" i="2" s="1"/>
  <c r="C465" i="2"/>
  <c r="E464" i="2"/>
  <c r="J464" i="2" s="1"/>
  <c r="C464" i="2"/>
  <c r="E463" i="2"/>
  <c r="J463" i="2" s="1"/>
  <c r="C463" i="2"/>
  <c r="E462" i="2"/>
  <c r="H462" i="2" s="1"/>
  <c r="C462" i="2"/>
  <c r="E461" i="2"/>
  <c r="H461" i="2" s="1"/>
  <c r="C461" i="2"/>
  <c r="E460" i="2"/>
  <c r="H460" i="2" s="1"/>
  <c r="C460" i="2"/>
  <c r="E459" i="2"/>
  <c r="C459" i="2"/>
  <c r="E458" i="2"/>
  <c r="C458" i="2"/>
  <c r="E457" i="2"/>
  <c r="J457" i="2" s="1"/>
  <c r="C457" i="2"/>
  <c r="E456" i="2"/>
  <c r="J456" i="2" s="1"/>
  <c r="C456" i="2"/>
  <c r="E455" i="2"/>
  <c r="C455" i="2"/>
  <c r="E454" i="2"/>
  <c r="J454" i="2" s="1"/>
  <c r="C454" i="2"/>
  <c r="E453" i="2"/>
  <c r="C453" i="2"/>
  <c r="E452" i="2"/>
  <c r="C452" i="2"/>
  <c r="E451" i="2"/>
  <c r="J451" i="2" s="1"/>
  <c r="C451" i="2"/>
  <c r="E450" i="2"/>
  <c r="J450" i="2" s="1"/>
  <c r="C450" i="2"/>
  <c r="E449" i="2"/>
  <c r="H449" i="2" s="1"/>
  <c r="C449" i="2"/>
  <c r="E448" i="2"/>
  <c r="C448" i="2"/>
  <c r="E447" i="2"/>
  <c r="J447" i="2" s="1"/>
  <c r="C447" i="2"/>
  <c r="E446" i="2"/>
  <c r="I446" i="2" s="1"/>
  <c r="C446" i="2"/>
  <c r="E445" i="2"/>
  <c r="C445" i="2"/>
  <c r="E444" i="2"/>
  <c r="C444" i="2"/>
  <c r="E443" i="2"/>
  <c r="C443" i="2"/>
  <c r="E442" i="2"/>
  <c r="H442" i="2" s="1"/>
  <c r="C442" i="2"/>
  <c r="E441" i="2"/>
  <c r="I441" i="2" s="1"/>
  <c r="C441" i="2"/>
  <c r="E440" i="2"/>
  <c r="H440" i="2" s="1"/>
  <c r="C440" i="2"/>
  <c r="E439" i="2"/>
  <c r="C439" i="2"/>
  <c r="E438" i="2"/>
  <c r="C438" i="2"/>
  <c r="E437" i="2"/>
  <c r="H437" i="2" s="1"/>
  <c r="C437" i="2"/>
  <c r="E436" i="2"/>
  <c r="C436" i="2"/>
  <c r="E435" i="2"/>
  <c r="J435" i="2" s="1"/>
  <c r="C435" i="2"/>
  <c r="E434" i="2"/>
  <c r="J434" i="2" s="1"/>
  <c r="C434" i="2"/>
  <c r="E433" i="2"/>
  <c r="H433" i="2" s="1"/>
  <c r="C433" i="2"/>
  <c r="E432" i="2"/>
  <c r="C432" i="2"/>
  <c r="E431" i="2"/>
  <c r="H431" i="2" s="1"/>
  <c r="C431" i="2"/>
  <c r="E430" i="2"/>
  <c r="H430" i="2" s="1"/>
  <c r="C430" i="2"/>
  <c r="E429" i="2"/>
  <c r="H429" i="2" s="1"/>
  <c r="C429" i="2"/>
  <c r="E428" i="2"/>
  <c r="C428" i="2"/>
  <c r="E427" i="2"/>
  <c r="H427" i="2" s="1"/>
  <c r="C427" i="2"/>
  <c r="E426" i="2"/>
  <c r="I426" i="2" s="1"/>
  <c r="C426" i="2"/>
  <c r="E425" i="2"/>
  <c r="H425" i="2" s="1"/>
  <c r="C425" i="2"/>
  <c r="E424" i="2"/>
  <c r="H424" i="2" s="1"/>
  <c r="C424" i="2"/>
  <c r="E423" i="2"/>
  <c r="H423" i="2" s="1"/>
  <c r="C423" i="2"/>
  <c r="E422" i="2"/>
  <c r="C422" i="2"/>
  <c r="E421" i="2"/>
  <c r="I421" i="2" s="1"/>
  <c r="C421" i="2"/>
  <c r="E420" i="2"/>
  <c r="I420" i="2" s="1"/>
  <c r="C420" i="2"/>
  <c r="E419" i="2"/>
  <c r="I419" i="2" s="1"/>
  <c r="C419" i="2"/>
  <c r="E418" i="2"/>
  <c r="C418" i="2"/>
  <c r="E417" i="2"/>
  <c r="C417" i="2"/>
  <c r="E416" i="2"/>
  <c r="C416" i="2"/>
  <c r="E415" i="2"/>
  <c r="C415" i="2"/>
  <c r="E414" i="2"/>
  <c r="C414" i="2"/>
  <c r="E413" i="2"/>
  <c r="H413" i="2" s="1"/>
  <c r="C413" i="2"/>
  <c r="E412" i="2"/>
  <c r="H412" i="2" s="1"/>
  <c r="C412" i="2"/>
  <c r="E411" i="2"/>
  <c r="J411" i="2" s="1"/>
  <c r="C411" i="2"/>
  <c r="E410" i="2"/>
  <c r="J410" i="2" s="1"/>
  <c r="C410" i="2"/>
  <c r="E409" i="2"/>
  <c r="I409" i="2" s="1"/>
  <c r="C409" i="2"/>
  <c r="E408" i="2"/>
  <c r="C408" i="2"/>
  <c r="E407" i="2"/>
  <c r="C407" i="2"/>
  <c r="E406" i="2"/>
  <c r="C406" i="2"/>
  <c r="E405" i="2"/>
  <c r="J405" i="2" s="1"/>
  <c r="C405" i="2"/>
  <c r="E404" i="2"/>
  <c r="I404" i="2" s="1"/>
  <c r="C404" i="2"/>
  <c r="E403" i="2"/>
  <c r="H403" i="2" s="1"/>
  <c r="C403" i="2"/>
  <c r="E402" i="2"/>
  <c r="H402" i="2" s="1"/>
  <c r="C402" i="2"/>
  <c r="E401" i="2"/>
  <c r="J401" i="2" s="1"/>
  <c r="C401" i="2"/>
  <c r="E400" i="2"/>
  <c r="C400" i="2"/>
  <c r="E399" i="2"/>
  <c r="H399" i="2" s="1"/>
  <c r="C399" i="2"/>
  <c r="E398" i="2"/>
  <c r="C398" i="2"/>
  <c r="E397" i="2"/>
  <c r="H397" i="2" s="1"/>
  <c r="C397" i="2"/>
  <c r="E396" i="2"/>
  <c r="C396" i="2"/>
  <c r="E395" i="2"/>
  <c r="C395" i="2"/>
  <c r="E394" i="2"/>
  <c r="I394" i="2" s="1"/>
  <c r="C394" i="2"/>
  <c r="E393" i="2"/>
  <c r="J393" i="2" s="1"/>
  <c r="C393" i="2"/>
  <c r="E392" i="2"/>
  <c r="I392" i="2" s="1"/>
  <c r="C392" i="2"/>
  <c r="E391" i="2"/>
  <c r="H391" i="2" s="1"/>
  <c r="C391" i="2"/>
  <c r="E390" i="2"/>
  <c r="J390" i="2" s="1"/>
  <c r="C390" i="2"/>
  <c r="E389" i="2"/>
  <c r="J389" i="2" s="1"/>
  <c r="C389" i="2"/>
  <c r="E388" i="2"/>
  <c r="J388" i="2" s="1"/>
  <c r="C388" i="2"/>
  <c r="E387" i="2"/>
  <c r="J387" i="2" s="1"/>
  <c r="C387" i="2"/>
  <c r="E386" i="2"/>
  <c r="H386" i="2" s="1"/>
  <c r="C386" i="2"/>
  <c r="E385" i="2"/>
  <c r="J385" i="2" s="1"/>
  <c r="C385" i="2"/>
  <c r="E384" i="2"/>
  <c r="C384" i="2"/>
  <c r="E383" i="2"/>
  <c r="I383" i="2" s="1"/>
  <c r="C383" i="2"/>
  <c r="E382" i="2"/>
  <c r="C382" i="2"/>
  <c r="E381" i="2"/>
  <c r="H381" i="2" s="1"/>
  <c r="C381" i="2"/>
  <c r="E380" i="2"/>
  <c r="C380" i="2"/>
  <c r="E379" i="2"/>
  <c r="I379" i="2" s="1"/>
  <c r="C379" i="2"/>
  <c r="E378" i="2"/>
  <c r="I378" i="2" s="1"/>
  <c r="C378" i="2"/>
  <c r="E377" i="2"/>
  <c r="C377" i="2"/>
  <c r="E376" i="2"/>
  <c r="C376" i="2"/>
  <c r="E375" i="2"/>
  <c r="C375" i="2"/>
  <c r="E374" i="2"/>
  <c r="J374" i="2" s="1"/>
  <c r="C374" i="2"/>
  <c r="E373" i="2"/>
  <c r="I373" i="2" s="1"/>
  <c r="C373" i="2"/>
  <c r="E372" i="2"/>
  <c r="I372" i="2" s="1"/>
  <c r="C372" i="2"/>
  <c r="E371" i="2"/>
  <c r="C371" i="2"/>
  <c r="E370" i="2"/>
  <c r="C370" i="2"/>
  <c r="E369" i="2"/>
  <c r="J369" i="2" s="1"/>
  <c r="C369" i="2"/>
  <c r="E368" i="2"/>
  <c r="H368" i="2" s="1"/>
  <c r="C368" i="2"/>
  <c r="E367" i="2"/>
  <c r="J367" i="2" s="1"/>
  <c r="C367" i="2"/>
  <c r="E366" i="2"/>
  <c r="J366" i="2" s="1"/>
  <c r="C366" i="2"/>
  <c r="E365" i="2"/>
  <c r="H365" i="2" s="1"/>
  <c r="C365" i="2"/>
  <c r="E364" i="2"/>
  <c r="C364" i="2"/>
  <c r="E363" i="2"/>
  <c r="J363" i="2" s="1"/>
  <c r="C363" i="2"/>
  <c r="E362" i="2"/>
  <c r="C362" i="2"/>
  <c r="E361" i="2"/>
  <c r="C361" i="2"/>
  <c r="E360" i="2"/>
  <c r="I360" i="2" s="1"/>
  <c r="C360" i="2"/>
  <c r="E359" i="2"/>
  <c r="H359" i="2" s="1"/>
  <c r="C359" i="2"/>
  <c r="E358" i="2"/>
  <c r="I358" i="2" s="1"/>
  <c r="C358" i="2"/>
  <c r="E357" i="2"/>
  <c r="J357" i="2" s="1"/>
  <c r="C357" i="2"/>
  <c r="E356" i="2"/>
  <c r="H356" i="2" s="1"/>
  <c r="C356" i="2"/>
  <c r="E355" i="2"/>
  <c r="I355" i="2" s="1"/>
  <c r="C355" i="2"/>
  <c r="E354" i="2"/>
  <c r="I354" i="2" s="1"/>
  <c r="C354" i="2"/>
  <c r="E353" i="2"/>
  <c r="J353" i="2" s="1"/>
  <c r="C353" i="2"/>
  <c r="E352" i="2"/>
  <c r="H352" i="2" s="1"/>
  <c r="C352" i="2"/>
  <c r="E351" i="2"/>
  <c r="I351" i="2" s="1"/>
  <c r="C351" i="2"/>
  <c r="E350" i="2"/>
  <c r="C350" i="2"/>
  <c r="E349" i="2"/>
  <c r="C349" i="2"/>
  <c r="E348" i="2"/>
  <c r="I348" i="2" s="1"/>
  <c r="C348" i="2"/>
  <c r="E347" i="2"/>
  <c r="C347" i="2"/>
  <c r="E346" i="2"/>
  <c r="C346" i="2"/>
  <c r="E345" i="2"/>
  <c r="J345" i="2" s="1"/>
  <c r="C345" i="2"/>
  <c r="E344" i="2"/>
  <c r="C344" i="2"/>
  <c r="E343" i="2"/>
  <c r="H343" i="2" s="1"/>
  <c r="C343" i="2"/>
  <c r="E342" i="2"/>
  <c r="J342" i="2" s="1"/>
  <c r="C342" i="2"/>
  <c r="E341" i="2"/>
  <c r="H341" i="2" s="1"/>
  <c r="C341" i="2"/>
  <c r="E340" i="2"/>
  <c r="J340" i="2" s="1"/>
  <c r="C340" i="2"/>
  <c r="E339" i="2"/>
  <c r="C339" i="2"/>
  <c r="E338" i="2"/>
  <c r="C338" i="2"/>
  <c r="E337" i="2"/>
  <c r="C337" i="2"/>
  <c r="E336" i="2"/>
  <c r="C336" i="2"/>
  <c r="E335" i="2"/>
  <c r="C335" i="2"/>
  <c r="E334" i="2"/>
  <c r="C334" i="2"/>
  <c r="E333" i="2"/>
  <c r="J333" i="2" s="1"/>
  <c r="C333" i="2"/>
  <c r="E332" i="2"/>
  <c r="J332" i="2" s="1"/>
  <c r="C332" i="2"/>
  <c r="E331" i="2"/>
  <c r="J331" i="2" s="1"/>
  <c r="C331" i="2"/>
  <c r="E330" i="2"/>
  <c r="C330" i="2"/>
  <c r="E329" i="2"/>
  <c r="C329" i="2"/>
  <c r="E328" i="2"/>
  <c r="C328" i="2"/>
  <c r="E327" i="2"/>
  <c r="C327" i="2"/>
  <c r="E326" i="2"/>
  <c r="C326" i="2"/>
  <c r="E325" i="2"/>
  <c r="C325" i="2"/>
  <c r="E324" i="2"/>
  <c r="I324" i="2" s="1"/>
  <c r="C324" i="2"/>
  <c r="E323" i="2"/>
  <c r="I323" i="2" s="1"/>
  <c r="C323" i="2"/>
  <c r="E322" i="2"/>
  <c r="I322" i="2" s="1"/>
  <c r="C322" i="2"/>
  <c r="E321" i="2"/>
  <c r="C321" i="2"/>
  <c r="E320" i="2"/>
  <c r="I320" i="2" s="1"/>
  <c r="C320" i="2"/>
  <c r="E319" i="2"/>
  <c r="C319" i="2"/>
  <c r="E318" i="2"/>
  <c r="J318" i="2" s="1"/>
  <c r="C318" i="2"/>
  <c r="E317" i="2"/>
  <c r="I317" i="2" s="1"/>
  <c r="C317" i="2"/>
  <c r="E316" i="2"/>
  <c r="I316" i="2" s="1"/>
  <c r="C316" i="2"/>
  <c r="E315" i="2"/>
  <c r="I315" i="2" s="1"/>
  <c r="C315" i="2"/>
  <c r="E314" i="2"/>
  <c r="I314" i="2" s="1"/>
  <c r="C314" i="2"/>
  <c r="E313" i="2"/>
  <c r="J313" i="2" s="1"/>
  <c r="C313" i="2"/>
  <c r="E312" i="2"/>
  <c r="J312" i="2" s="1"/>
  <c r="C312" i="2"/>
  <c r="E311" i="2"/>
  <c r="C311" i="2"/>
  <c r="E310" i="2"/>
  <c r="J310" i="2" s="1"/>
  <c r="C310" i="2"/>
  <c r="E309" i="2"/>
  <c r="H309" i="2" s="1"/>
  <c r="C309" i="2"/>
  <c r="E308" i="2"/>
  <c r="J308" i="2" s="1"/>
  <c r="C308" i="2"/>
  <c r="E307" i="2"/>
  <c r="I307" i="2" s="1"/>
  <c r="C307" i="2"/>
  <c r="E306" i="2"/>
  <c r="I306" i="2" s="1"/>
  <c r="C306" i="2"/>
  <c r="E305" i="2"/>
  <c r="C305" i="2"/>
  <c r="E304" i="2"/>
  <c r="C304" i="2"/>
  <c r="E303" i="2"/>
  <c r="J303" i="2" s="1"/>
  <c r="C303" i="2"/>
  <c r="E302" i="2"/>
  <c r="H302" i="2" s="1"/>
  <c r="C302" i="2"/>
  <c r="E301" i="2"/>
  <c r="I301" i="2" s="1"/>
  <c r="C301" i="2"/>
  <c r="E300" i="2"/>
  <c r="C300" i="2"/>
  <c r="E299" i="2"/>
  <c r="I299" i="2" s="1"/>
  <c r="C299" i="2"/>
  <c r="E298" i="2"/>
  <c r="J298" i="2" s="1"/>
  <c r="C298" i="2"/>
  <c r="E297" i="2"/>
  <c r="J297" i="2" s="1"/>
  <c r="C297" i="2"/>
  <c r="E296" i="2"/>
  <c r="I296" i="2" s="1"/>
  <c r="C296" i="2"/>
  <c r="E295" i="2"/>
  <c r="I295" i="2" s="1"/>
  <c r="C295" i="2"/>
  <c r="E294" i="2"/>
  <c r="J294" i="2" s="1"/>
  <c r="C294" i="2"/>
  <c r="E293" i="2"/>
  <c r="J293" i="2" s="1"/>
  <c r="C293" i="2"/>
  <c r="E292" i="2"/>
  <c r="C292" i="2"/>
  <c r="E291" i="2"/>
  <c r="I291" i="2" s="1"/>
  <c r="C291" i="2"/>
  <c r="E290" i="2"/>
  <c r="J290" i="2" s="1"/>
  <c r="C290" i="2"/>
  <c r="E289" i="2"/>
  <c r="H289" i="2" s="1"/>
  <c r="C289" i="2"/>
  <c r="E288" i="2"/>
  <c r="C288" i="2"/>
  <c r="E287" i="2"/>
  <c r="J287" i="2" s="1"/>
  <c r="C287" i="2"/>
  <c r="E286" i="2"/>
  <c r="J286" i="2" s="1"/>
  <c r="C286" i="2"/>
  <c r="E285" i="2"/>
  <c r="H285" i="2" s="1"/>
  <c r="C285" i="2"/>
  <c r="E284" i="2"/>
  <c r="C284" i="2"/>
  <c r="E283" i="2"/>
  <c r="J283" i="2" s="1"/>
  <c r="C283" i="2"/>
  <c r="E282" i="2"/>
  <c r="I282" i="2" s="1"/>
  <c r="C282" i="2"/>
  <c r="E281" i="2"/>
  <c r="C281" i="2"/>
  <c r="E280" i="2"/>
  <c r="H280" i="2" s="1"/>
  <c r="C280" i="2"/>
  <c r="E279" i="2"/>
  <c r="I279" i="2" s="1"/>
  <c r="C279" i="2"/>
  <c r="E278" i="2"/>
  <c r="J278" i="2" s="1"/>
  <c r="C278" i="2"/>
  <c r="E277" i="2"/>
  <c r="C277" i="2"/>
  <c r="E276" i="2"/>
  <c r="H276" i="2" s="1"/>
  <c r="C276" i="2"/>
  <c r="E275" i="2"/>
  <c r="I275" i="2" s="1"/>
  <c r="C275" i="2"/>
  <c r="E274" i="2"/>
  <c r="H274" i="2" s="1"/>
  <c r="C274" i="2"/>
  <c r="E273" i="2"/>
  <c r="C273" i="2"/>
  <c r="E272" i="2"/>
  <c r="H272" i="2" s="1"/>
  <c r="C272" i="2"/>
  <c r="E271" i="2"/>
  <c r="C271" i="2"/>
  <c r="E270" i="2"/>
  <c r="J270" i="2" s="1"/>
  <c r="C270" i="2"/>
  <c r="E269" i="2"/>
  <c r="I269" i="2" s="1"/>
  <c r="C269" i="2"/>
  <c r="E268" i="2"/>
  <c r="C268" i="2"/>
  <c r="E267" i="2"/>
  <c r="I267" i="2" s="1"/>
  <c r="C267" i="2"/>
  <c r="E266" i="2"/>
  <c r="H266" i="2" s="1"/>
  <c r="C266" i="2"/>
  <c r="E265" i="2"/>
  <c r="J265" i="2" s="1"/>
  <c r="C265" i="2"/>
  <c r="E264" i="2"/>
  <c r="C264" i="2"/>
  <c r="E263" i="2"/>
  <c r="J263" i="2" s="1"/>
  <c r="C263" i="2"/>
  <c r="E262" i="2"/>
  <c r="C262" i="2"/>
  <c r="E261" i="2"/>
  <c r="C261" i="2"/>
  <c r="E260" i="2"/>
  <c r="J260" i="2" s="1"/>
  <c r="C260" i="2"/>
  <c r="E259" i="2"/>
  <c r="H259" i="2" s="1"/>
  <c r="C259" i="2"/>
  <c r="E258" i="2"/>
  <c r="C258" i="2"/>
  <c r="E257" i="2"/>
  <c r="J257" i="2" s="1"/>
  <c r="C257" i="2"/>
  <c r="E256" i="2"/>
  <c r="I256" i="2" s="1"/>
  <c r="C256" i="2"/>
  <c r="E255" i="2"/>
  <c r="C255" i="2"/>
  <c r="E254" i="2"/>
  <c r="I254" i="2" s="1"/>
  <c r="C254" i="2"/>
  <c r="E253" i="2"/>
  <c r="J253" i="2" s="1"/>
  <c r="C253" i="2"/>
  <c r="E252" i="2"/>
  <c r="J252" i="2" s="1"/>
  <c r="C252" i="2"/>
  <c r="E251" i="2"/>
  <c r="C251" i="2"/>
  <c r="E250" i="2"/>
  <c r="H250" i="2" s="1"/>
  <c r="C250" i="2"/>
  <c r="E249" i="2"/>
  <c r="C249" i="2"/>
  <c r="E248" i="2"/>
  <c r="H248" i="2" s="1"/>
  <c r="C248" i="2"/>
  <c r="E247" i="2"/>
  <c r="I247" i="2" s="1"/>
  <c r="C247" i="2"/>
  <c r="E246" i="2"/>
  <c r="C246" i="2"/>
  <c r="E245" i="2"/>
  <c r="C245" i="2"/>
  <c r="E244" i="2"/>
  <c r="H244" i="2" s="1"/>
  <c r="C244" i="2"/>
  <c r="E243" i="2"/>
  <c r="J243" i="2" s="1"/>
  <c r="C243" i="2"/>
  <c r="E242" i="2"/>
  <c r="I242" i="2" s="1"/>
  <c r="C242" i="2"/>
  <c r="E241" i="2"/>
  <c r="J241" i="2" s="1"/>
  <c r="C241" i="2"/>
  <c r="E240" i="2"/>
  <c r="C240" i="2"/>
  <c r="E239" i="2"/>
  <c r="J239" i="2" s="1"/>
  <c r="C239" i="2"/>
  <c r="E238" i="2"/>
  <c r="C238" i="2"/>
  <c r="E237" i="2"/>
  <c r="J237" i="2" s="1"/>
  <c r="C237" i="2"/>
  <c r="E236" i="2"/>
  <c r="H236" i="2" s="1"/>
  <c r="C236" i="2"/>
  <c r="E235" i="2"/>
  <c r="C235" i="2"/>
  <c r="E234" i="2"/>
  <c r="H234" i="2" s="1"/>
  <c r="C234" i="2"/>
  <c r="E233" i="2"/>
  <c r="C233" i="2"/>
  <c r="E232" i="2"/>
  <c r="H232" i="2" s="1"/>
  <c r="C232" i="2"/>
  <c r="E231" i="2"/>
  <c r="J231" i="2" s="1"/>
  <c r="C231" i="2"/>
  <c r="E230" i="2"/>
  <c r="C230" i="2"/>
  <c r="E229" i="2"/>
  <c r="J229" i="2" s="1"/>
  <c r="C229" i="2"/>
  <c r="E228" i="2"/>
  <c r="C228" i="2"/>
  <c r="E227" i="2"/>
  <c r="I227" i="2" s="1"/>
  <c r="C227" i="2"/>
  <c r="E226" i="2"/>
  <c r="J226" i="2" s="1"/>
  <c r="C226" i="2"/>
  <c r="E225" i="2"/>
  <c r="H225" i="2" s="1"/>
  <c r="C225" i="2"/>
  <c r="E224" i="2"/>
  <c r="C224" i="2"/>
  <c r="E223" i="2"/>
  <c r="C223" i="2"/>
  <c r="E222" i="2"/>
  <c r="J222" i="2" s="1"/>
  <c r="C222" i="2"/>
  <c r="E221" i="2"/>
  <c r="J221" i="2" s="1"/>
  <c r="C221" i="2"/>
  <c r="E220" i="2"/>
  <c r="C220" i="2"/>
  <c r="E219" i="2"/>
  <c r="J219" i="2" s="1"/>
  <c r="C219" i="2"/>
  <c r="E218" i="2"/>
  <c r="H218" i="2" s="1"/>
  <c r="C218" i="2"/>
  <c r="E217" i="2"/>
  <c r="J217" i="2" s="1"/>
  <c r="C217" i="2"/>
  <c r="E216" i="2"/>
  <c r="H216" i="2" s="1"/>
  <c r="C216" i="2"/>
  <c r="E215" i="2"/>
  <c r="J215" i="2" s="1"/>
  <c r="C215" i="2"/>
  <c r="E214" i="2"/>
  <c r="H214" i="2" s="1"/>
  <c r="C214" i="2"/>
  <c r="E213" i="2"/>
  <c r="C213" i="2"/>
  <c r="E212" i="2"/>
  <c r="J212" i="2" s="1"/>
  <c r="C212" i="2"/>
  <c r="E211" i="2"/>
  <c r="H211" i="2" s="1"/>
  <c r="C211" i="2"/>
  <c r="E210" i="2"/>
  <c r="I210" i="2" s="1"/>
  <c r="C210" i="2"/>
  <c r="E209" i="2"/>
  <c r="I209" i="2" s="1"/>
  <c r="C209" i="2"/>
  <c r="E208" i="2"/>
  <c r="I208" i="2" s="1"/>
  <c r="C208" i="2"/>
  <c r="E207" i="2"/>
  <c r="I207" i="2" s="1"/>
  <c r="C207" i="2"/>
  <c r="E206" i="2"/>
  <c r="H206" i="2" s="1"/>
  <c r="C206" i="2"/>
  <c r="E205" i="2"/>
  <c r="J205" i="2" s="1"/>
  <c r="C205" i="2"/>
  <c r="E204" i="2"/>
  <c r="J204" i="2" s="1"/>
  <c r="C204" i="2"/>
  <c r="E203" i="2"/>
  <c r="C203" i="2"/>
  <c r="E202" i="2"/>
  <c r="J202" i="2" s="1"/>
  <c r="C202" i="2"/>
  <c r="E201" i="2"/>
  <c r="H201" i="2" s="1"/>
  <c r="C201" i="2"/>
  <c r="E200" i="2"/>
  <c r="J200" i="2" s="1"/>
  <c r="C200" i="2"/>
  <c r="E199" i="2"/>
  <c r="H199" i="2" s="1"/>
  <c r="C199" i="2"/>
  <c r="E198" i="2"/>
  <c r="J198" i="2" s="1"/>
  <c r="C198" i="2"/>
  <c r="E197" i="2"/>
  <c r="C197" i="2"/>
  <c r="E196" i="2"/>
  <c r="H196" i="2" s="1"/>
  <c r="C196" i="2"/>
  <c r="E195" i="2"/>
  <c r="C195" i="2"/>
  <c r="E194" i="2"/>
  <c r="J194" i="2" s="1"/>
  <c r="C194" i="2"/>
  <c r="E193" i="2"/>
  <c r="J193" i="2" s="1"/>
  <c r="C193" i="2"/>
  <c r="E192" i="2"/>
  <c r="C192" i="2"/>
  <c r="E191" i="2"/>
  <c r="J191" i="2" s="1"/>
  <c r="C191" i="2"/>
  <c r="E190" i="2"/>
  <c r="C190" i="2"/>
  <c r="E189" i="2"/>
  <c r="I189" i="2" s="1"/>
  <c r="C189" i="2"/>
  <c r="E188" i="2"/>
  <c r="I188" i="2" s="1"/>
  <c r="C188" i="2"/>
  <c r="E187" i="2"/>
  <c r="J187" i="2" s="1"/>
  <c r="C187" i="2"/>
  <c r="E186" i="2"/>
  <c r="C186" i="2"/>
  <c r="E185" i="2"/>
  <c r="H185" i="2" s="1"/>
  <c r="C185" i="2"/>
  <c r="E184" i="2"/>
  <c r="C184" i="2"/>
  <c r="E183" i="2"/>
  <c r="C183" i="2"/>
  <c r="E182" i="2"/>
  <c r="C182" i="2"/>
  <c r="E181" i="2"/>
  <c r="C181" i="2"/>
  <c r="E180" i="2"/>
  <c r="H180" i="2" s="1"/>
  <c r="C180" i="2"/>
  <c r="E179" i="2"/>
  <c r="I179" i="2" s="1"/>
  <c r="C179" i="2"/>
  <c r="E178" i="2"/>
  <c r="H178" i="2" s="1"/>
  <c r="C178" i="2"/>
  <c r="E177" i="2"/>
  <c r="H177" i="2" s="1"/>
  <c r="C177" i="2"/>
  <c r="E176" i="2"/>
  <c r="C176" i="2"/>
  <c r="E175" i="2"/>
  <c r="C175" i="2"/>
  <c r="E174" i="2"/>
  <c r="C174" i="2"/>
  <c r="E173" i="2"/>
  <c r="C173" i="2"/>
  <c r="E172" i="2"/>
  <c r="I172" i="2" s="1"/>
  <c r="C172" i="2"/>
  <c r="E171" i="2"/>
  <c r="C171" i="2"/>
  <c r="E170" i="2"/>
  <c r="J170" i="2" s="1"/>
  <c r="C170" i="2"/>
  <c r="E169" i="2"/>
  <c r="C169" i="2"/>
  <c r="E168" i="2"/>
  <c r="J168" i="2" s="1"/>
  <c r="C168" i="2"/>
  <c r="E167" i="2"/>
  <c r="J167" i="2" s="1"/>
  <c r="C167" i="2"/>
  <c r="E166" i="2"/>
  <c r="J166" i="2" s="1"/>
  <c r="C166" i="2"/>
  <c r="E165" i="2"/>
  <c r="C165" i="2"/>
  <c r="E164" i="2"/>
  <c r="C164" i="2"/>
  <c r="E163" i="2"/>
  <c r="H163" i="2" s="1"/>
  <c r="C163" i="2"/>
  <c r="E162" i="2"/>
  <c r="I162" i="2" s="1"/>
  <c r="C162" i="2"/>
  <c r="E161" i="2"/>
  <c r="C161" i="2"/>
  <c r="E160" i="2"/>
  <c r="H160" i="2" s="1"/>
  <c r="C160" i="2"/>
  <c r="E159" i="2"/>
  <c r="C159" i="2"/>
  <c r="E158" i="2"/>
  <c r="J158" i="2" s="1"/>
  <c r="C158" i="2"/>
  <c r="E157" i="2"/>
  <c r="C157" i="2"/>
  <c r="E156" i="2"/>
  <c r="I156" i="2" s="1"/>
  <c r="C156" i="2"/>
  <c r="E155" i="2"/>
  <c r="C155" i="2"/>
  <c r="E154" i="2"/>
  <c r="C154" i="2"/>
  <c r="E153" i="2"/>
  <c r="J153" i="2" s="1"/>
  <c r="C153" i="2"/>
  <c r="E152" i="2"/>
  <c r="I152" i="2" s="1"/>
  <c r="C152" i="2"/>
  <c r="E151" i="2"/>
  <c r="J151" i="2" s="1"/>
  <c r="C151" i="2"/>
  <c r="E150" i="2"/>
  <c r="J150" i="2" s="1"/>
  <c r="C150" i="2"/>
  <c r="E149" i="2"/>
  <c r="C149" i="2"/>
  <c r="E148" i="2"/>
  <c r="J148" i="2" s="1"/>
  <c r="C148" i="2"/>
  <c r="E147" i="2"/>
  <c r="J147" i="2" s="1"/>
  <c r="C147" i="2"/>
  <c r="E146" i="2"/>
  <c r="C146" i="2"/>
  <c r="E145" i="2"/>
  <c r="C145" i="2"/>
  <c r="E144" i="2"/>
  <c r="J144" i="2" s="1"/>
  <c r="C144" i="2"/>
  <c r="E143" i="2"/>
  <c r="J143" i="2" s="1"/>
  <c r="C143" i="2"/>
  <c r="E142" i="2"/>
  <c r="H142" i="2" s="1"/>
  <c r="C142" i="2"/>
  <c r="E141" i="2"/>
  <c r="J141" i="2" s="1"/>
  <c r="C141" i="2"/>
  <c r="E140" i="2"/>
  <c r="I140" i="2" s="1"/>
  <c r="C140" i="2"/>
  <c r="E139" i="2"/>
  <c r="H139" i="2" s="1"/>
  <c r="C139" i="2"/>
  <c r="E138" i="2"/>
  <c r="J138" i="2" s="1"/>
  <c r="C138" i="2"/>
  <c r="E137" i="2"/>
  <c r="C137" i="2"/>
  <c r="E136" i="2"/>
  <c r="H136" i="2" s="1"/>
  <c r="C136" i="2"/>
  <c r="E135" i="2"/>
  <c r="J135" i="2" s="1"/>
  <c r="C135" i="2"/>
  <c r="E134" i="2"/>
  <c r="J134" i="2" s="1"/>
  <c r="C134" i="2"/>
  <c r="E133" i="2"/>
  <c r="C133" i="2"/>
  <c r="E132" i="2"/>
  <c r="C132" i="2"/>
  <c r="E131" i="2"/>
  <c r="I131" i="2" s="1"/>
  <c r="C131" i="2"/>
  <c r="E130" i="2"/>
  <c r="J130" i="2" s="1"/>
  <c r="C130" i="2"/>
  <c r="E129" i="2"/>
  <c r="J129" i="2" s="1"/>
  <c r="C129" i="2"/>
  <c r="E128" i="2"/>
  <c r="I128" i="2" s="1"/>
  <c r="C128" i="2"/>
  <c r="E127" i="2"/>
  <c r="J127" i="2" s="1"/>
  <c r="C127" i="2"/>
  <c r="E126" i="2"/>
  <c r="J126" i="2" s="1"/>
  <c r="C126" i="2"/>
  <c r="E125" i="2"/>
  <c r="C125" i="2"/>
  <c r="E124" i="2"/>
  <c r="J124" i="2" s="1"/>
  <c r="C124" i="2"/>
  <c r="E123" i="2"/>
  <c r="I123" i="2" s="1"/>
  <c r="C123" i="2"/>
  <c r="E122" i="2"/>
  <c r="C122" i="2"/>
  <c r="E121" i="2"/>
  <c r="C121" i="2"/>
  <c r="E120" i="2"/>
  <c r="H120" i="2" s="1"/>
  <c r="C120" i="2"/>
  <c r="E119" i="2"/>
  <c r="C119" i="2"/>
  <c r="E118" i="2"/>
  <c r="J118" i="2" s="1"/>
  <c r="C118" i="2"/>
  <c r="E117" i="2"/>
  <c r="C117" i="2"/>
  <c r="E116" i="2"/>
  <c r="J116" i="2" s="1"/>
  <c r="C116" i="2"/>
  <c r="E115" i="2"/>
  <c r="J115" i="2" s="1"/>
  <c r="C115" i="2"/>
  <c r="E114" i="2"/>
  <c r="C114" i="2"/>
  <c r="E113" i="2"/>
  <c r="J113" i="2" s="1"/>
  <c r="C113" i="2"/>
  <c r="E112" i="2"/>
  <c r="I112" i="2" s="1"/>
  <c r="C112" i="2"/>
  <c r="E111" i="2"/>
  <c r="C111" i="2"/>
  <c r="E110" i="2"/>
  <c r="J110" i="2" s="1"/>
  <c r="C110" i="2"/>
  <c r="E109" i="2"/>
  <c r="I109" i="2" s="1"/>
  <c r="C109" i="2"/>
  <c r="E108" i="2"/>
  <c r="C108" i="2"/>
  <c r="E107" i="2"/>
  <c r="C107" i="2"/>
  <c r="E106" i="2"/>
  <c r="I106" i="2" s="1"/>
  <c r="C106" i="2"/>
  <c r="E105" i="2"/>
  <c r="C105" i="2"/>
  <c r="E104" i="2"/>
  <c r="J104" i="2" s="1"/>
  <c r="C104" i="2"/>
  <c r="E103" i="2"/>
  <c r="J103" i="2" s="1"/>
  <c r="C103" i="2"/>
  <c r="E102" i="2"/>
  <c r="C102" i="2"/>
  <c r="E101" i="2"/>
  <c r="C101" i="2"/>
  <c r="E100" i="2"/>
  <c r="J100" i="2" s="1"/>
  <c r="C100" i="2"/>
  <c r="E99" i="2"/>
  <c r="I99" i="2" s="1"/>
  <c r="C99" i="2"/>
  <c r="E98" i="2"/>
  <c r="H98" i="2" s="1"/>
  <c r="C98" i="2"/>
  <c r="E97" i="2"/>
  <c r="C97" i="2"/>
  <c r="E96" i="2"/>
  <c r="H96" i="2" s="1"/>
  <c r="C96" i="2"/>
  <c r="E95" i="2"/>
  <c r="H95" i="2" s="1"/>
  <c r="C95" i="2"/>
  <c r="E94" i="2"/>
  <c r="C94" i="2"/>
  <c r="E93" i="2"/>
  <c r="C93" i="2"/>
  <c r="E92" i="2"/>
  <c r="J92" i="2" s="1"/>
  <c r="C92" i="2"/>
  <c r="E91" i="2"/>
  <c r="J91" i="2" s="1"/>
  <c r="C91" i="2"/>
  <c r="E90" i="2"/>
  <c r="J90" i="2" s="1"/>
  <c r="C90" i="2"/>
  <c r="E89" i="2"/>
  <c r="C89" i="2"/>
  <c r="E88" i="2"/>
  <c r="H88" i="2" s="1"/>
  <c r="C88" i="2"/>
  <c r="E87" i="2"/>
  <c r="J87" i="2" s="1"/>
  <c r="C87" i="2"/>
  <c r="E86" i="2"/>
  <c r="I86" i="2" s="1"/>
  <c r="C86" i="2"/>
  <c r="E85" i="2"/>
  <c r="C85" i="2"/>
  <c r="E84" i="2"/>
  <c r="C84" i="2"/>
  <c r="E83" i="2"/>
  <c r="I83" i="2" s="1"/>
  <c r="C83" i="2"/>
  <c r="E82" i="2"/>
  <c r="I82" i="2" s="1"/>
  <c r="C82" i="2"/>
  <c r="E81" i="2"/>
  <c r="J81" i="2" s="1"/>
  <c r="C81" i="2"/>
  <c r="E80" i="2"/>
  <c r="J80" i="2" s="1"/>
  <c r="C80" i="2"/>
  <c r="E79" i="2"/>
  <c r="J79" i="2" s="1"/>
  <c r="C79" i="2"/>
  <c r="E78" i="2"/>
  <c r="C78" i="2"/>
  <c r="E77" i="2"/>
  <c r="C77" i="2"/>
  <c r="E76" i="2"/>
  <c r="H76" i="2" s="1"/>
  <c r="C76" i="2"/>
  <c r="E75" i="2"/>
  <c r="J75" i="2" s="1"/>
  <c r="C75" i="2"/>
  <c r="E74" i="2"/>
  <c r="C74" i="2"/>
  <c r="E73" i="2"/>
  <c r="H73" i="2" s="1"/>
  <c r="C73" i="2"/>
  <c r="E72" i="2"/>
  <c r="I72" i="2" s="1"/>
  <c r="C72" i="2"/>
  <c r="E71" i="2"/>
  <c r="J71" i="2" s="1"/>
  <c r="C71" i="2"/>
  <c r="E70" i="2"/>
  <c r="J70" i="2" s="1"/>
  <c r="C70" i="2"/>
  <c r="E69" i="2"/>
  <c r="H69" i="2" s="1"/>
  <c r="C69" i="2"/>
  <c r="E68" i="2"/>
  <c r="C68" i="2"/>
  <c r="E67" i="2"/>
  <c r="I67" i="2" s="1"/>
  <c r="C67" i="2"/>
  <c r="E66" i="2"/>
  <c r="H66" i="2" s="1"/>
  <c r="C66" i="2"/>
  <c r="E65" i="2"/>
  <c r="C65" i="2"/>
  <c r="E64" i="2"/>
  <c r="H64" i="2" s="1"/>
  <c r="C64" i="2"/>
  <c r="E63" i="2"/>
  <c r="J63" i="2" s="1"/>
  <c r="C63" i="2"/>
  <c r="E62" i="2"/>
  <c r="I62" i="2" s="1"/>
  <c r="C62" i="2"/>
  <c r="E61" i="2"/>
  <c r="H61" i="2" s="1"/>
  <c r="C61" i="2"/>
  <c r="E60" i="2"/>
  <c r="C60" i="2"/>
  <c r="E59" i="2"/>
  <c r="I59" i="2" s="1"/>
  <c r="C59" i="2"/>
  <c r="E58" i="2"/>
  <c r="C58" i="2"/>
  <c r="E57" i="2"/>
  <c r="C57" i="2"/>
  <c r="E56" i="2"/>
  <c r="H56" i="2" s="1"/>
  <c r="C56" i="2"/>
  <c r="E55" i="2"/>
  <c r="I55" i="2" s="1"/>
  <c r="C55" i="2"/>
  <c r="E54" i="2"/>
  <c r="H54" i="2" s="1"/>
  <c r="C54" i="2"/>
  <c r="E53" i="2"/>
  <c r="C53" i="2"/>
  <c r="E52" i="2"/>
  <c r="H52" i="2" s="1"/>
  <c r="C52" i="2"/>
  <c r="E51" i="2"/>
  <c r="H51" i="2" s="1"/>
  <c r="C51" i="2"/>
  <c r="E50" i="2"/>
  <c r="C50" i="2"/>
  <c r="E49" i="2"/>
  <c r="I49" i="2" s="1"/>
  <c r="C49" i="2"/>
  <c r="E48" i="2"/>
  <c r="H48" i="2" s="1"/>
  <c r="C48" i="2"/>
  <c r="E47" i="2"/>
  <c r="C47" i="2"/>
  <c r="E46" i="2"/>
  <c r="C46" i="2"/>
  <c r="E45" i="2"/>
  <c r="J45" i="2" s="1"/>
  <c r="C45" i="2"/>
  <c r="E44" i="2"/>
  <c r="H44" i="2" s="1"/>
  <c r="C44" i="2"/>
  <c r="E43" i="2"/>
  <c r="C43" i="2"/>
  <c r="E42" i="2"/>
  <c r="C42" i="2"/>
  <c r="E41" i="2"/>
  <c r="H41" i="2" s="1"/>
  <c r="C41" i="2"/>
  <c r="E40" i="2"/>
  <c r="C40" i="2"/>
  <c r="E39" i="2"/>
  <c r="C39" i="2"/>
  <c r="E38" i="2"/>
  <c r="J38" i="2" s="1"/>
  <c r="C38" i="2"/>
  <c r="E37" i="2"/>
  <c r="J37" i="2" s="1"/>
  <c r="C37" i="2"/>
  <c r="E36" i="2"/>
  <c r="C36" i="2"/>
  <c r="E35" i="2"/>
  <c r="I35" i="2" s="1"/>
  <c r="C35" i="2"/>
  <c r="E34" i="2"/>
  <c r="J34" i="2" s="1"/>
  <c r="C34" i="2"/>
  <c r="E33" i="2"/>
  <c r="J33" i="2" s="1"/>
  <c r="C33" i="2"/>
  <c r="E32" i="2"/>
  <c r="H32" i="2" s="1"/>
  <c r="C32" i="2"/>
  <c r="E31" i="2"/>
  <c r="C31" i="2"/>
  <c r="E30" i="2"/>
  <c r="J30" i="2" s="1"/>
  <c r="C30" i="2"/>
  <c r="E29" i="2"/>
  <c r="J29" i="2" s="1"/>
  <c r="C29" i="2"/>
  <c r="E28" i="2"/>
  <c r="J28" i="2" s="1"/>
  <c r="C28" i="2"/>
  <c r="E27" i="2"/>
  <c r="H27" i="2" s="1"/>
  <c r="C27" i="2"/>
  <c r="E26" i="2"/>
  <c r="C26" i="2"/>
  <c r="E25" i="2"/>
  <c r="J25" i="2" s="1"/>
  <c r="C25" i="2"/>
  <c r="E24" i="2"/>
  <c r="J24" i="2" s="1"/>
  <c r="C24" i="2"/>
  <c r="E23" i="2"/>
  <c r="J23" i="2" s="1"/>
  <c r="C23" i="2"/>
  <c r="E22" i="2"/>
  <c r="C22" i="2"/>
  <c r="E21" i="2"/>
  <c r="J21" i="2" s="1"/>
  <c r="C21" i="2"/>
  <c r="E20" i="2"/>
  <c r="H20" i="2" s="1"/>
  <c r="C20" i="2"/>
  <c r="E19" i="2"/>
  <c r="H19" i="2" s="1"/>
  <c r="C19" i="2"/>
  <c r="E18" i="2"/>
  <c r="C18" i="2"/>
  <c r="E17" i="2"/>
  <c r="J17" i="2" s="1"/>
  <c r="C17" i="2"/>
  <c r="E16" i="2"/>
  <c r="I16" i="2" s="1"/>
  <c r="C16" i="2"/>
  <c r="E15" i="2"/>
  <c r="H15" i="2" s="1"/>
  <c r="C15" i="2"/>
  <c r="E14" i="2"/>
  <c r="C14" i="2"/>
  <c r="E13" i="2"/>
  <c r="C13" i="2"/>
  <c r="E12" i="2"/>
  <c r="I12" i="2" s="1"/>
  <c r="C12" i="2"/>
  <c r="E11" i="2"/>
  <c r="I11" i="2" s="1"/>
  <c r="C11" i="2"/>
  <c r="E10" i="2"/>
  <c r="J10" i="2" s="1"/>
  <c r="C10" i="2"/>
  <c r="E9" i="2"/>
  <c r="C9" i="2"/>
  <c r="B5" i="2"/>
  <c r="I478" i="2" l="1"/>
  <c r="J289" i="2"/>
  <c r="J433" i="2"/>
  <c r="J399" i="2"/>
  <c r="I841" i="2"/>
  <c r="H888" i="2"/>
  <c r="J706" i="2"/>
  <c r="I399" i="2"/>
  <c r="J841" i="2"/>
  <c r="I285" i="2"/>
  <c r="I342" i="2"/>
  <c r="H764" i="2"/>
  <c r="J786" i="2"/>
  <c r="H923" i="2"/>
  <c r="I274" i="2"/>
  <c r="I764" i="2"/>
  <c r="J819" i="2"/>
  <c r="J607" i="2"/>
  <c r="H286" i="2"/>
  <c r="I538" i="2"/>
  <c r="I286" i="2"/>
  <c r="I641" i="2"/>
  <c r="H333" i="2"/>
  <c r="J391" i="2"/>
  <c r="J446" i="2"/>
  <c r="J619" i="2"/>
  <c r="J641" i="2"/>
  <c r="H948" i="2"/>
  <c r="H959" i="2"/>
  <c r="J368" i="2"/>
  <c r="J948" i="2"/>
  <c r="I402" i="2"/>
  <c r="J756" i="2"/>
  <c r="H187" i="2"/>
  <c r="J392" i="2"/>
  <c r="J402" i="2"/>
  <c r="J700" i="2"/>
  <c r="I733" i="2"/>
  <c r="I822" i="2"/>
  <c r="I187" i="2"/>
  <c r="I244" i="2"/>
  <c r="J358" i="2"/>
  <c r="I69" i="2"/>
  <c r="J244" i="2"/>
  <c r="J655" i="2"/>
  <c r="J791" i="2"/>
  <c r="I461" i="2"/>
  <c r="J542" i="2"/>
  <c r="H532" i="2"/>
  <c r="J802" i="2"/>
  <c r="J259" i="2"/>
  <c r="J441" i="2"/>
  <c r="I500" i="2"/>
  <c r="J615" i="2"/>
  <c r="I638" i="2"/>
  <c r="H795" i="2"/>
  <c r="J500" i="2"/>
  <c r="J638" i="2"/>
  <c r="H660" i="2"/>
  <c r="H706" i="2"/>
  <c r="I795" i="2"/>
  <c r="H212" i="2"/>
  <c r="J691" i="2"/>
  <c r="I802" i="2"/>
  <c r="I929" i="2"/>
  <c r="I212" i="2"/>
  <c r="J131" i="2"/>
  <c r="J236" i="2"/>
  <c r="H441" i="2"/>
  <c r="I259" i="2"/>
  <c r="J715" i="2"/>
  <c r="I897" i="2"/>
  <c r="J604" i="2"/>
  <c r="I615" i="2"/>
  <c r="I772" i="2"/>
  <c r="I660" i="2"/>
  <c r="J123" i="2"/>
  <c r="J210" i="2"/>
  <c r="J315" i="2"/>
  <c r="H357" i="2"/>
  <c r="H367" i="2"/>
  <c r="I385" i="2"/>
  <c r="J561" i="2"/>
  <c r="I707" i="2"/>
  <c r="H738" i="2"/>
  <c r="J769" i="2"/>
  <c r="J826" i="2"/>
  <c r="I891" i="2"/>
  <c r="I932" i="2"/>
  <c r="I726" i="2"/>
  <c r="I199" i="2"/>
  <c r="H374" i="2"/>
  <c r="J621" i="2"/>
  <c r="I374" i="2"/>
  <c r="J633" i="2"/>
  <c r="H932" i="2"/>
  <c r="I357" i="2"/>
  <c r="I367" i="2"/>
  <c r="I738" i="2"/>
  <c r="J891" i="2"/>
  <c r="J285" i="2"/>
  <c r="I427" i="2"/>
  <c r="J478" i="2"/>
  <c r="I532" i="2"/>
  <c r="H573" i="2"/>
  <c r="J779" i="2"/>
  <c r="J838" i="2"/>
  <c r="I923" i="2"/>
  <c r="J316" i="2"/>
  <c r="I386" i="2"/>
  <c r="J427" i="2"/>
  <c r="H446" i="2"/>
  <c r="I490" i="2"/>
  <c r="H542" i="2"/>
  <c r="I573" i="2"/>
  <c r="H770" i="2"/>
  <c r="I800" i="2"/>
  <c r="H975" i="2"/>
  <c r="J209" i="2"/>
  <c r="H314" i="2"/>
  <c r="J867" i="2"/>
  <c r="J982" i="2"/>
  <c r="J67" i="2"/>
  <c r="H345" i="2"/>
  <c r="J816" i="2"/>
  <c r="I241" i="2"/>
  <c r="I345" i="2"/>
  <c r="H385" i="2"/>
  <c r="J602" i="2"/>
  <c r="I769" i="2"/>
  <c r="J69" i="2"/>
  <c r="J274" i="2"/>
  <c r="J307" i="2"/>
  <c r="I368" i="2"/>
  <c r="J386" i="2"/>
  <c r="J490" i="2"/>
  <c r="H604" i="2"/>
  <c r="J645" i="2"/>
  <c r="I700" i="2"/>
  <c r="J800" i="2"/>
  <c r="I819" i="2"/>
  <c r="J954" i="2"/>
  <c r="J975" i="2"/>
  <c r="I621" i="2"/>
  <c r="J199" i="2"/>
  <c r="J1006" i="2"/>
  <c r="J523" i="2"/>
  <c r="H934" i="2"/>
  <c r="J657" i="2"/>
  <c r="J771" i="2"/>
  <c r="I934" i="2"/>
  <c r="J19" i="2"/>
  <c r="I71" i="2"/>
  <c r="H194" i="2"/>
  <c r="J267" i="2"/>
  <c r="H340" i="2"/>
  <c r="H369" i="2"/>
  <c r="I851" i="2"/>
  <c r="J966" i="2"/>
  <c r="I807" i="2"/>
  <c r="I194" i="2"/>
  <c r="I340" i="2"/>
  <c r="I369" i="2"/>
  <c r="J851" i="2"/>
  <c r="H210" i="2"/>
  <c r="J379" i="2"/>
  <c r="J420" i="2"/>
  <c r="I440" i="2"/>
  <c r="H587" i="2"/>
  <c r="H669" i="2"/>
  <c r="H72" i="2"/>
  <c r="J299" i="2"/>
  <c r="J440" i="2"/>
  <c r="J502" i="2"/>
  <c r="H536" i="2"/>
  <c r="J576" i="2"/>
  <c r="J587" i="2"/>
  <c r="I669" i="2"/>
  <c r="H723" i="2"/>
  <c r="J772" i="2"/>
  <c r="H906" i="2"/>
  <c r="H71" i="2"/>
  <c r="J52" i="2"/>
  <c r="J83" i="2"/>
  <c r="J536" i="2"/>
  <c r="I723" i="2"/>
  <c r="I906" i="2"/>
  <c r="I272" i="2"/>
  <c r="I909" i="2"/>
  <c r="J314" i="2"/>
  <c r="J571" i="2"/>
  <c r="I825" i="2"/>
  <c r="H807" i="2"/>
  <c r="J900" i="2"/>
  <c r="J88" i="2"/>
  <c r="J72" i="2"/>
  <c r="J140" i="2"/>
  <c r="J352" i="2"/>
  <c r="J461" i="2"/>
  <c r="I494" i="2"/>
  <c r="H599" i="2"/>
  <c r="J733" i="2"/>
  <c r="J803" i="2"/>
  <c r="J822" i="2"/>
  <c r="J324" i="2"/>
  <c r="I560" i="2"/>
  <c r="H825" i="2"/>
  <c r="J879" i="2"/>
  <c r="J497" i="2"/>
  <c r="H602" i="2"/>
  <c r="I1006" i="2"/>
  <c r="I51" i="2"/>
  <c r="I771" i="2"/>
  <c r="J494" i="2"/>
  <c r="I599" i="2"/>
  <c r="J189" i="2"/>
  <c r="J426" i="2"/>
  <c r="I561" i="2"/>
  <c r="H707" i="2"/>
  <c r="I657" i="2"/>
  <c r="J51" i="2"/>
  <c r="I44" i="2"/>
  <c r="H45" i="2"/>
  <c r="I814" i="2"/>
  <c r="I52" i="2"/>
  <c r="J162" i="2"/>
  <c r="I96" i="2"/>
  <c r="I141" i="2"/>
  <c r="I216" i="2"/>
  <c r="I412" i="2"/>
  <c r="J814" i="2"/>
  <c r="J888" i="2"/>
  <c r="J929" i="2"/>
  <c r="I959" i="2"/>
  <c r="J272" i="2"/>
  <c r="I464" i="2"/>
  <c r="I810" i="2"/>
  <c r="J44" i="2"/>
  <c r="I45" i="2"/>
  <c r="I66" i="2"/>
  <c r="I333" i="2"/>
  <c r="J66" i="2"/>
  <c r="J96" i="2"/>
  <c r="H131" i="2"/>
  <c r="J216" i="2"/>
  <c r="I239" i="2"/>
  <c r="J412" i="2"/>
  <c r="I433" i="2"/>
  <c r="H538" i="2"/>
  <c r="I715" i="2"/>
  <c r="I786" i="2"/>
  <c r="J844" i="2"/>
  <c r="J898" i="2"/>
  <c r="H24" i="2"/>
  <c r="J142" i="2"/>
  <c r="J152" i="2"/>
  <c r="J172" i="2"/>
  <c r="I309" i="2"/>
  <c r="J475" i="2"/>
  <c r="J504" i="2"/>
  <c r="I504" i="2"/>
  <c r="H504" i="2"/>
  <c r="H784" i="2"/>
  <c r="J792" i="2"/>
  <c r="I24" i="2"/>
  <c r="J93" i="2"/>
  <c r="I93" i="2"/>
  <c r="H93" i="2"/>
  <c r="J183" i="2"/>
  <c r="I183" i="2"/>
  <c r="H183" i="2"/>
  <c r="J309" i="2"/>
  <c r="I592" i="2"/>
  <c r="J767" i="2"/>
  <c r="I784" i="2"/>
  <c r="I801" i="2"/>
  <c r="I880" i="2"/>
  <c r="I918" i="2"/>
  <c r="I163" i="2"/>
  <c r="J592" i="2"/>
  <c r="J610" i="2"/>
  <c r="I610" i="2"/>
  <c r="H610" i="2"/>
  <c r="J880" i="2"/>
  <c r="J918" i="2"/>
  <c r="J125" i="2"/>
  <c r="I125" i="2"/>
  <c r="H153" i="2"/>
  <c r="J163" i="2"/>
  <c r="I261" i="2"/>
  <c r="H261" i="2"/>
  <c r="H271" i="2"/>
  <c r="J271" i="2"/>
  <c r="H300" i="2"/>
  <c r="J300" i="2"/>
  <c r="I300" i="2"/>
  <c r="H376" i="2"/>
  <c r="J376" i="2"/>
  <c r="I376" i="2"/>
  <c r="I431" i="2"/>
  <c r="H584" i="2"/>
  <c r="H716" i="2"/>
  <c r="H1008" i="2"/>
  <c r="H125" i="2"/>
  <c r="H135" i="2"/>
  <c r="I153" i="2"/>
  <c r="J174" i="2"/>
  <c r="I174" i="2"/>
  <c r="J261" i="2"/>
  <c r="J431" i="2"/>
  <c r="I584" i="2"/>
  <c r="I716" i="2"/>
  <c r="I724" i="2"/>
  <c r="H760" i="2"/>
  <c r="H768" i="2"/>
  <c r="I135" i="2"/>
  <c r="J423" i="2"/>
  <c r="I449" i="2"/>
  <c r="I768" i="2"/>
  <c r="J831" i="2"/>
  <c r="I831" i="2"/>
  <c r="H910" i="2"/>
  <c r="I74" i="2"/>
  <c r="J74" i="2"/>
  <c r="H273" i="2"/>
  <c r="J273" i="2"/>
  <c r="I273" i="2"/>
  <c r="H332" i="2"/>
  <c r="H405" i="2"/>
  <c r="J682" i="2"/>
  <c r="H864" i="2"/>
  <c r="J1001" i="2"/>
  <c r="J322" i="2"/>
  <c r="I332" i="2"/>
  <c r="I405" i="2"/>
  <c r="J539" i="2"/>
  <c r="J614" i="2"/>
  <c r="I614" i="2"/>
  <c r="H735" i="2"/>
  <c r="I753" i="2"/>
  <c r="H992" i="2"/>
  <c r="J128" i="2"/>
  <c r="H304" i="2"/>
  <c r="J304" i="2"/>
  <c r="I304" i="2"/>
  <c r="J520" i="2"/>
  <c r="H614" i="2"/>
  <c r="H642" i="2"/>
  <c r="J662" i="2"/>
  <c r="I662" i="2"/>
  <c r="H662" i="2"/>
  <c r="I735" i="2"/>
  <c r="H763" i="2"/>
  <c r="I763" i="2"/>
  <c r="J763" i="2"/>
  <c r="I960" i="2"/>
  <c r="J960" i="2"/>
  <c r="H960" i="2"/>
  <c r="I992" i="2"/>
  <c r="H77" i="2"/>
  <c r="J77" i="2"/>
  <c r="I118" i="2"/>
  <c r="J213" i="2"/>
  <c r="I213" i="2"/>
  <c r="H719" i="2"/>
  <c r="I77" i="2"/>
  <c r="H213" i="2"/>
  <c r="J480" i="2"/>
  <c r="H597" i="2"/>
  <c r="I694" i="2"/>
  <c r="J702" i="2"/>
  <c r="I719" i="2"/>
  <c r="H744" i="2"/>
  <c r="I98" i="2"/>
  <c r="I206" i="2"/>
  <c r="J694" i="2"/>
  <c r="I744" i="2"/>
  <c r="I61" i="2"/>
  <c r="J78" i="2"/>
  <c r="I78" i="2"/>
  <c r="J98" i="2"/>
  <c r="J179" i="2"/>
  <c r="J188" i="2"/>
  <c r="J196" i="2"/>
  <c r="J206" i="2"/>
  <c r="H389" i="2"/>
  <c r="H501" i="2"/>
  <c r="J501" i="2"/>
  <c r="I501" i="2"/>
  <c r="J597" i="2"/>
  <c r="I728" i="2"/>
  <c r="J61" i="2"/>
  <c r="H70" i="2"/>
  <c r="H78" i="2"/>
  <c r="J364" i="2"/>
  <c r="I364" i="2"/>
  <c r="H364" i="2"/>
  <c r="I381" i="2"/>
  <c r="I389" i="2"/>
  <c r="J445" i="2"/>
  <c r="I445" i="2"/>
  <c r="H636" i="2"/>
  <c r="J636" i="2"/>
  <c r="H720" i="2"/>
  <c r="J728" i="2"/>
  <c r="H953" i="2"/>
  <c r="J953" i="2"/>
  <c r="I953" i="2"/>
  <c r="H984" i="2"/>
  <c r="J11" i="2"/>
  <c r="I70" i="2"/>
  <c r="J381" i="2"/>
  <c r="H445" i="2"/>
  <c r="H473" i="2"/>
  <c r="J512" i="2"/>
  <c r="J589" i="2"/>
  <c r="J598" i="2"/>
  <c r="I598" i="2"/>
  <c r="H598" i="2"/>
  <c r="I636" i="2"/>
  <c r="J665" i="2"/>
  <c r="I665" i="2"/>
  <c r="H857" i="2"/>
  <c r="J857" i="2"/>
  <c r="J963" i="2"/>
  <c r="I963" i="2"/>
  <c r="H963" i="2"/>
  <c r="J984" i="2"/>
  <c r="AA150" i="3"/>
  <c r="I180" i="2"/>
  <c r="H189" i="2"/>
  <c r="I215" i="2"/>
  <c r="J296" i="2"/>
  <c r="J355" i="2"/>
  <c r="I473" i="2"/>
  <c r="H502" i="2"/>
  <c r="I581" i="2"/>
  <c r="J656" i="2"/>
  <c r="I656" i="2"/>
  <c r="H665" i="2"/>
  <c r="I33" i="2"/>
  <c r="H327" i="2"/>
  <c r="J327" i="2"/>
  <c r="J336" i="2"/>
  <c r="I336" i="2"/>
  <c r="H465" i="2"/>
  <c r="J582" i="2"/>
  <c r="I582" i="2"/>
  <c r="J608" i="2"/>
  <c r="I608" i="2"/>
  <c r="H152" i="2"/>
  <c r="H172" i="2"/>
  <c r="I327" i="2"/>
  <c r="H456" i="2"/>
  <c r="I465" i="2"/>
  <c r="H582" i="2"/>
  <c r="H608" i="2"/>
  <c r="I618" i="2"/>
  <c r="I889" i="2"/>
  <c r="J889" i="2"/>
  <c r="H946" i="2"/>
  <c r="I142" i="2"/>
  <c r="J269" i="2"/>
  <c r="H279" i="2"/>
  <c r="J279" i="2"/>
  <c r="J317" i="2"/>
  <c r="I456" i="2"/>
  <c r="J564" i="2"/>
  <c r="I564" i="2"/>
  <c r="J618" i="2"/>
  <c r="H767" i="2"/>
  <c r="H792" i="2"/>
  <c r="H889" i="2"/>
  <c r="I946" i="2"/>
  <c r="H801" i="2"/>
  <c r="J839" i="2"/>
  <c r="I839" i="2"/>
  <c r="H839" i="2"/>
  <c r="J862" i="2"/>
  <c r="I862" i="2"/>
  <c r="H862" i="2"/>
  <c r="J1008" i="2"/>
  <c r="I144" i="2"/>
  <c r="I760" i="2"/>
  <c r="J242" i="2"/>
  <c r="J404" i="2"/>
  <c r="I413" i="2"/>
  <c r="H432" i="2"/>
  <c r="J432" i="2"/>
  <c r="I432" i="2"/>
  <c r="J449" i="2"/>
  <c r="J547" i="2"/>
  <c r="H742" i="2"/>
  <c r="H831" i="2"/>
  <c r="I910" i="2"/>
  <c r="J117" i="2"/>
  <c r="I117" i="2"/>
  <c r="J413" i="2"/>
  <c r="H567" i="2"/>
  <c r="H701" i="2"/>
  <c r="J717" i="2"/>
  <c r="I717" i="2"/>
  <c r="H717" i="2"/>
  <c r="I742" i="2"/>
  <c r="J777" i="2"/>
  <c r="I777" i="2"/>
  <c r="J874" i="2"/>
  <c r="I874" i="2"/>
  <c r="J106" i="2"/>
  <c r="H117" i="2"/>
  <c r="I155" i="2"/>
  <c r="J155" i="2"/>
  <c r="H155" i="2"/>
  <c r="J424" i="2"/>
  <c r="I558" i="2"/>
  <c r="I567" i="2"/>
  <c r="H682" i="2"/>
  <c r="I701" i="2"/>
  <c r="H777" i="2"/>
  <c r="H874" i="2"/>
  <c r="H892" i="2"/>
  <c r="J892" i="2"/>
  <c r="I1001" i="2"/>
  <c r="H86" i="2"/>
  <c r="J86" i="2"/>
  <c r="H753" i="2"/>
  <c r="J264" i="2"/>
  <c r="I264" i="2"/>
  <c r="I520" i="2"/>
  <c r="J864" i="2"/>
  <c r="H118" i="2"/>
  <c r="J254" i="2"/>
  <c r="H264" i="2"/>
  <c r="I50" i="2"/>
  <c r="J50" i="2"/>
  <c r="I388" i="2"/>
  <c r="J471" i="2"/>
  <c r="J569" i="2"/>
  <c r="I569" i="2"/>
  <c r="H569" i="2"/>
  <c r="I642" i="2"/>
  <c r="I702" i="2"/>
  <c r="H710" i="2"/>
  <c r="J754" i="2"/>
  <c r="I754" i="2"/>
  <c r="H550" i="2"/>
  <c r="J550" i="2"/>
  <c r="H876" i="2"/>
  <c r="J20" i="2"/>
  <c r="I20" i="2"/>
  <c r="I196" i="2"/>
  <c r="H295" i="2"/>
  <c r="J295" i="2"/>
  <c r="J453" i="2"/>
  <c r="I453" i="2"/>
  <c r="J521" i="2"/>
  <c r="I550" i="2"/>
  <c r="I643" i="2"/>
  <c r="J643" i="2"/>
  <c r="J711" i="2"/>
  <c r="I711" i="2"/>
  <c r="H711" i="2"/>
  <c r="H736" i="2"/>
  <c r="J876" i="2"/>
  <c r="J993" i="2"/>
  <c r="I993" i="2"/>
  <c r="J109" i="2"/>
  <c r="H453" i="2"/>
  <c r="H373" i="2"/>
  <c r="J373" i="2"/>
  <c r="H12" i="2"/>
  <c r="AA15" i="3" s="1"/>
  <c r="J12" i="2"/>
  <c r="J22" i="2"/>
  <c r="F8" i="5" s="1"/>
  <c r="E17" i="4" s="1"/>
  <c r="I22" i="2"/>
  <c r="H22" i="2"/>
  <c r="J180" i="2"/>
  <c r="H513" i="2"/>
  <c r="J513" i="2"/>
  <c r="I513" i="2"/>
  <c r="J581" i="2"/>
  <c r="J590" i="2"/>
  <c r="I590" i="2"/>
  <c r="J626" i="2"/>
  <c r="H656" i="2"/>
  <c r="I791" i="2"/>
  <c r="I954" i="2"/>
  <c r="H65" i="2"/>
  <c r="J65" i="2"/>
  <c r="J165" i="2"/>
  <c r="I165" i="2"/>
  <c r="H165" i="2"/>
  <c r="J292" i="2"/>
  <c r="I292" i="2"/>
  <c r="J407" i="2"/>
  <c r="I407" i="2"/>
  <c r="J416" i="2"/>
  <c r="I416" i="2"/>
  <c r="H416" i="2"/>
  <c r="H877" i="2"/>
  <c r="J903" i="2"/>
  <c r="I903" i="2"/>
  <c r="H976" i="2"/>
  <c r="H17" i="2"/>
  <c r="I65" i="2"/>
  <c r="H90" i="2"/>
  <c r="J99" i="2"/>
  <c r="I120" i="2"/>
  <c r="I138" i="2"/>
  <c r="H147" i="2"/>
  <c r="H217" i="2"/>
  <c r="H237" i="2"/>
  <c r="H292" i="2"/>
  <c r="J301" i="2"/>
  <c r="H407" i="2"/>
  <c r="J459" i="2"/>
  <c r="I459" i="2"/>
  <c r="H577" i="2"/>
  <c r="I877" i="2"/>
  <c r="H903" i="2"/>
  <c r="H957" i="2"/>
  <c r="I976" i="2"/>
  <c r="J985" i="2"/>
  <c r="I17" i="2"/>
  <c r="J55" i="2"/>
  <c r="I90" i="2"/>
  <c r="J120" i="2"/>
  <c r="H130" i="2"/>
  <c r="I147" i="2"/>
  <c r="I217" i="2"/>
  <c r="I237" i="2"/>
  <c r="H310" i="2"/>
  <c r="J337" i="2"/>
  <c r="I337" i="2"/>
  <c r="H337" i="2"/>
  <c r="H390" i="2"/>
  <c r="H435" i="2"/>
  <c r="I442" i="2"/>
  <c r="H450" i="2"/>
  <c r="H459" i="2"/>
  <c r="I577" i="2"/>
  <c r="J849" i="2"/>
  <c r="I849" i="2"/>
  <c r="H849" i="2"/>
  <c r="H886" i="2"/>
  <c r="I957" i="2"/>
  <c r="H994" i="2"/>
  <c r="I130" i="2"/>
  <c r="I310" i="2"/>
  <c r="H319" i="2"/>
  <c r="J319" i="2"/>
  <c r="I390" i="2"/>
  <c r="I435" i="2"/>
  <c r="J442" i="2"/>
  <c r="I450" i="2"/>
  <c r="I697" i="2"/>
  <c r="J697" i="2"/>
  <c r="I840" i="2"/>
  <c r="J840" i="2"/>
  <c r="I878" i="2"/>
  <c r="J878" i="2"/>
  <c r="I886" i="2"/>
  <c r="I994" i="2"/>
  <c r="I37" i="2"/>
  <c r="J82" i="2"/>
  <c r="I177" i="2"/>
  <c r="I211" i="2"/>
  <c r="I319" i="2"/>
  <c r="J383" i="2"/>
  <c r="H545" i="2"/>
  <c r="H562" i="2"/>
  <c r="I586" i="2"/>
  <c r="J586" i="2"/>
  <c r="H780" i="2"/>
  <c r="H832" i="2"/>
  <c r="H840" i="2"/>
  <c r="H878" i="2"/>
  <c r="H922" i="2"/>
  <c r="J958" i="2"/>
  <c r="I958" i="2"/>
  <c r="H977" i="2"/>
  <c r="J977" i="2"/>
  <c r="I27" i="2"/>
  <c r="J177" i="2"/>
  <c r="H204" i="2"/>
  <c r="J211" i="2"/>
  <c r="H229" i="2"/>
  <c r="J247" i="2"/>
  <c r="I311" i="2"/>
  <c r="J311" i="2"/>
  <c r="I507" i="2"/>
  <c r="J518" i="2"/>
  <c r="I518" i="2"/>
  <c r="I545" i="2"/>
  <c r="H554" i="2"/>
  <c r="I562" i="2"/>
  <c r="J595" i="2"/>
  <c r="H630" i="2"/>
  <c r="I639" i="2"/>
  <c r="H766" i="2"/>
  <c r="J780" i="2"/>
  <c r="I832" i="2"/>
  <c r="H850" i="2"/>
  <c r="H870" i="2"/>
  <c r="J870" i="2"/>
  <c r="I922" i="2"/>
  <c r="H958" i="2"/>
  <c r="I977" i="2"/>
  <c r="J27" i="2"/>
  <c r="I8" i="5" s="1"/>
  <c r="E20" i="4" s="1"/>
  <c r="I73" i="2"/>
  <c r="I204" i="2"/>
  <c r="I229" i="2"/>
  <c r="H294" i="2"/>
  <c r="I330" i="2"/>
  <c r="J330" i="2"/>
  <c r="J348" i="2"/>
  <c r="I384" i="2"/>
  <c r="J384" i="2"/>
  <c r="J409" i="2"/>
  <c r="J436" i="2"/>
  <c r="I436" i="2"/>
  <c r="J470" i="2"/>
  <c r="I470" i="2"/>
  <c r="J507" i="2"/>
  <c r="H528" i="2"/>
  <c r="I554" i="2"/>
  <c r="J578" i="2"/>
  <c r="I630" i="2"/>
  <c r="J658" i="2"/>
  <c r="J731" i="2"/>
  <c r="J748" i="2"/>
  <c r="I748" i="2"/>
  <c r="H748" i="2"/>
  <c r="I766" i="2"/>
  <c r="I850" i="2"/>
  <c r="I870" i="2"/>
  <c r="J949" i="2"/>
  <c r="I19" i="2"/>
  <c r="J73" i="2"/>
  <c r="H83" i="2"/>
  <c r="I294" i="2"/>
  <c r="I303" i="2"/>
  <c r="H436" i="2"/>
  <c r="H470" i="2"/>
  <c r="I528" i="2"/>
  <c r="I571" i="2"/>
  <c r="J649" i="2"/>
  <c r="I649" i="2"/>
  <c r="H790" i="2"/>
  <c r="J790" i="2"/>
  <c r="I790" i="2"/>
  <c r="H816" i="2"/>
  <c r="J941" i="2"/>
  <c r="J429" i="2"/>
  <c r="I429" i="2"/>
  <c r="I732" i="2"/>
  <c r="J732" i="2"/>
  <c r="H668" i="2"/>
  <c r="J668" i="2"/>
  <c r="H477" i="2"/>
  <c r="H525" i="2"/>
  <c r="I632" i="2"/>
  <c r="J632" i="2"/>
  <c r="I668" i="2"/>
  <c r="H714" i="2"/>
  <c r="H737" i="2"/>
  <c r="J737" i="2"/>
  <c r="I917" i="2"/>
  <c r="H924" i="2"/>
  <c r="H942" i="2"/>
  <c r="H987" i="2"/>
  <c r="J987" i="2"/>
  <c r="I987" i="2"/>
  <c r="H140" i="2"/>
  <c r="H192" i="2"/>
  <c r="J192" i="2"/>
  <c r="I192" i="2"/>
  <c r="H307" i="2"/>
  <c r="H451" i="2"/>
  <c r="I477" i="2"/>
  <c r="H487" i="2"/>
  <c r="J487" i="2"/>
  <c r="I487" i="2"/>
  <c r="I525" i="2"/>
  <c r="J622" i="2"/>
  <c r="H632" i="2"/>
  <c r="I714" i="2"/>
  <c r="J729" i="2"/>
  <c r="H803" i="2"/>
  <c r="J830" i="2"/>
  <c r="H838" i="2"/>
  <c r="J917" i="2"/>
  <c r="J924" i="2"/>
  <c r="I942" i="2"/>
  <c r="J970" i="2"/>
  <c r="I970" i="2"/>
  <c r="J156" i="2"/>
  <c r="H175" i="2"/>
  <c r="J175" i="2"/>
  <c r="I175" i="2"/>
  <c r="H184" i="2"/>
  <c r="J184" i="2"/>
  <c r="I236" i="2"/>
  <c r="I289" i="2"/>
  <c r="J378" i="2"/>
  <c r="I451" i="2"/>
  <c r="I576" i="2"/>
  <c r="I607" i="2"/>
  <c r="I679" i="2"/>
  <c r="H689" i="2"/>
  <c r="J689" i="2"/>
  <c r="I689" i="2"/>
  <c r="I779" i="2"/>
  <c r="H900" i="2"/>
  <c r="H909" i="2"/>
  <c r="H970" i="2"/>
  <c r="H557" i="2"/>
  <c r="J557" i="2"/>
  <c r="I828" i="2"/>
  <c r="J828" i="2"/>
  <c r="H828" i="2"/>
  <c r="J157" i="2"/>
  <c r="I157" i="2"/>
  <c r="H523" i="2"/>
  <c r="I557" i="2"/>
  <c r="H645" i="2"/>
  <c r="H655" i="2"/>
  <c r="H852" i="2"/>
  <c r="H936" i="2"/>
  <c r="J995" i="2"/>
  <c r="I995" i="2"/>
  <c r="H995" i="2"/>
  <c r="J35" i="2"/>
  <c r="H141" i="2"/>
  <c r="H157" i="2"/>
  <c r="I252" i="2"/>
  <c r="I497" i="2"/>
  <c r="J549" i="2"/>
  <c r="I549" i="2"/>
  <c r="J670" i="2"/>
  <c r="H691" i="2"/>
  <c r="I730" i="2"/>
  <c r="J745" i="2"/>
  <c r="J778" i="2"/>
  <c r="I778" i="2"/>
  <c r="H778" i="2"/>
  <c r="I844" i="2"/>
  <c r="J852" i="2"/>
  <c r="J936" i="2"/>
  <c r="J1005" i="2"/>
  <c r="I1005" i="2"/>
  <c r="H1005" i="2"/>
  <c r="H47" i="2"/>
  <c r="J47" i="2"/>
  <c r="J572" i="2"/>
  <c r="I572" i="2"/>
  <c r="H572" i="2"/>
  <c r="H678" i="2"/>
  <c r="H765" i="2"/>
  <c r="H826" i="2"/>
  <c r="J833" i="2"/>
  <c r="H972" i="2"/>
  <c r="I47" i="2"/>
  <c r="J207" i="2"/>
  <c r="H315" i="2"/>
  <c r="I391" i="2"/>
  <c r="H619" i="2"/>
  <c r="I678" i="2"/>
  <c r="J757" i="2"/>
  <c r="J794" i="2"/>
  <c r="H810" i="2"/>
  <c r="J858" i="2"/>
  <c r="I858" i="2"/>
  <c r="J899" i="2"/>
  <c r="J972" i="2"/>
  <c r="I535" i="2"/>
  <c r="H566" i="2"/>
  <c r="I594" i="2"/>
  <c r="H718" i="2"/>
  <c r="H739" i="2"/>
  <c r="H804" i="2"/>
  <c r="I56" i="2"/>
  <c r="H123" i="2"/>
  <c r="I139" i="2"/>
  <c r="H162" i="2"/>
  <c r="I178" i="2"/>
  <c r="I201" i="2"/>
  <c r="H209" i="2"/>
  <c r="I214" i="2"/>
  <c r="I266" i="2"/>
  <c r="J291" i="2"/>
  <c r="J306" i="2"/>
  <c r="I356" i="2"/>
  <c r="H379" i="2"/>
  <c r="H392" i="2"/>
  <c r="H426" i="2"/>
  <c r="I476" i="2"/>
  <c r="I566" i="2"/>
  <c r="J579" i="2"/>
  <c r="J594" i="2"/>
  <c r="I616" i="2"/>
  <c r="H671" i="2"/>
  <c r="I718" i="2"/>
  <c r="I739" i="2"/>
  <c r="J804" i="2"/>
  <c r="H867" i="2"/>
  <c r="H898" i="2"/>
  <c r="J905" i="2"/>
  <c r="H912" i="2"/>
  <c r="I920" i="2"/>
  <c r="I935" i="2"/>
  <c r="J951" i="2"/>
  <c r="H966" i="2"/>
  <c r="H982" i="2"/>
  <c r="H996" i="2"/>
  <c r="H476" i="2"/>
  <c r="I905" i="2"/>
  <c r="H935" i="2"/>
  <c r="I951" i="2"/>
  <c r="J56" i="2"/>
  <c r="I88" i="2"/>
  <c r="J139" i="2"/>
  <c r="J178" i="2"/>
  <c r="J201" i="2"/>
  <c r="J214" i="2"/>
  <c r="H241" i="2"/>
  <c r="J266" i="2"/>
  <c r="H299" i="2"/>
  <c r="J356" i="2"/>
  <c r="J372" i="2"/>
  <c r="J616" i="2"/>
  <c r="I633" i="2"/>
  <c r="I671" i="2"/>
  <c r="H726" i="2"/>
  <c r="J912" i="2"/>
  <c r="J996" i="2"/>
  <c r="I58" i="2"/>
  <c r="H58" i="2"/>
  <c r="J190" i="2"/>
  <c r="I190" i="2"/>
  <c r="H190" i="2"/>
  <c r="I495" i="2"/>
  <c r="J495" i="2"/>
  <c r="I624" i="2"/>
  <c r="J624" i="2"/>
  <c r="H624" i="2"/>
  <c r="J695" i="2"/>
  <c r="I695" i="2"/>
  <c r="J58" i="2"/>
  <c r="I161" i="2"/>
  <c r="J161" i="2"/>
  <c r="J224" i="2"/>
  <c r="I224" i="2"/>
  <c r="H331" i="2"/>
  <c r="J346" i="2"/>
  <c r="I346" i="2"/>
  <c r="H370" i="2"/>
  <c r="I370" i="2"/>
  <c r="J370" i="2"/>
  <c r="H495" i="2"/>
  <c r="H617" i="2"/>
  <c r="H695" i="2"/>
  <c r="H752" i="2"/>
  <c r="AA122" i="3"/>
  <c r="H34" i="2"/>
  <c r="I132" i="2"/>
  <c r="H132" i="2"/>
  <c r="H161" i="2"/>
  <c r="J176" i="2"/>
  <c r="I176" i="2"/>
  <c r="H176" i="2"/>
  <c r="H224" i="2"/>
  <c r="I258" i="2"/>
  <c r="J258" i="2"/>
  <c r="H258" i="2"/>
  <c r="H265" i="2"/>
  <c r="I331" i="2"/>
  <c r="J338" i="2"/>
  <c r="I338" i="2"/>
  <c r="H338" i="2"/>
  <c r="H346" i="2"/>
  <c r="H421" i="2"/>
  <c r="J617" i="2"/>
  <c r="I625" i="2"/>
  <c r="J625" i="2"/>
  <c r="I752" i="2"/>
  <c r="J817" i="2"/>
  <c r="I817" i="2"/>
  <c r="H817" i="2"/>
  <c r="J1000" i="2"/>
  <c r="H1000" i="2"/>
  <c r="I1000" i="2"/>
  <c r="I34" i="2"/>
  <c r="J94" i="2"/>
  <c r="I94" i="2"/>
  <c r="H94" i="2"/>
  <c r="J111" i="2"/>
  <c r="I111" i="2"/>
  <c r="J132" i="2"/>
  <c r="J233" i="2"/>
  <c r="I233" i="2"/>
  <c r="I265" i="2"/>
  <c r="H287" i="2"/>
  <c r="H293" i="2"/>
  <c r="I371" i="2"/>
  <c r="J371" i="2"/>
  <c r="H371" i="2"/>
  <c r="J421" i="2"/>
  <c r="H625" i="2"/>
  <c r="H809" i="2"/>
  <c r="J809" i="2"/>
  <c r="I809" i="2"/>
  <c r="AA27" i="3"/>
  <c r="AA161" i="3"/>
  <c r="H59" i="2"/>
  <c r="H111" i="2"/>
  <c r="H126" i="2"/>
  <c r="I169" i="2"/>
  <c r="H169" i="2"/>
  <c r="H205" i="2"/>
  <c r="H233" i="2"/>
  <c r="I287" i="2"/>
  <c r="I293" i="2"/>
  <c r="J503" i="2"/>
  <c r="I503" i="2"/>
  <c r="H503" i="2"/>
  <c r="J526" i="2"/>
  <c r="H526" i="2"/>
  <c r="I526" i="2"/>
  <c r="H611" i="2"/>
  <c r="J704" i="2"/>
  <c r="I704" i="2"/>
  <c r="J863" i="2"/>
  <c r="I863" i="2"/>
  <c r="AA197" i="3"/>
  <c r="J59" i="2"/>
  <c r="I126" i="2"/>
  <c r="J169" i="2"/>
  <c r="I205" i="2"/>
  <c r="I422" i="2"/>
  <c r="H422" i="2"/>
  <c r="J422" i="2"/>
  <c r="H511" i="2"/>
  <c r="J583" i="2"/>
  <c r="H583" i="2"/>
  <c r="I583" i="2"/>
  <c r="J611" i="2"/>
  <c r="H664" i="2"/>
  <c r="I664" i="2"/>
  <c r="J664" i="2"/>
  <c r="H680" i="2"/>
  <c r="J680" i="2"/>
  <c r="H704" i="2"/>
  <c r="H863" i="2"/>
  <c r="J414" i="2"/>
  <c r="I414" i="2"/>
  <c r="H414" i="2"/>
  <c r="I479" i="2"/>
  <c r="J479" i="2"/>
  <c r="H479" i="2"/>
  <c r="H489" i="2"/>
  <c r="J489" i="2"/>
  <c r="I489" i="2"/>
  <c r="I511" i="2"/>
  <c r="H605" i="2"/>
  <c r="H650" i="2"/>
  <c r="I680" i="2"/>
  <c r="H856" i="2"/>
  <c r="J856" i="2"/>
  <c r="J871" i="2"/>
  <c r="H871" i="2"/>
  <c r="I871" i="2"/>
  <c r="AA107" i="3"/>
  <c r="H104" i="2"/>
  <c r="H148" i="2"/>
  <c r="H226" i="2"/>
  <c r="I251" i="2"/>
  <c r="J251" i="2"/>
  <c r="H281" i="2"/>
  <c r="J281" i="2"/>
  <c r="I281" i="2"/>
  <c r="H400" i="2"/>
  <c r="J400" i="2"/>
  <c r="I400" i="2"/>
  <c r="I605" i="2"/>
  <c r="I650" i="2"/>
  <c r="I856" i="2"/>
  <c r="I14" i="2"/>
  <c r="H14" i="2"/>
  <c r="H80" i="2"/>
  <c r="I104" i="2"/>
  <c r="I148" i="2"/>
  <c r="J186" i="2"/>
  <c r="I186" i="2"/>
  <c r="H200" i="2"/>
  <c r="I226" i="2"/>
  <c r="H251" i="2"/>
  <c r="I415" i="2"/>
  <c r="J415" i="2"/>
  <c r="I443" i="2"/>
  <c r="H443" i="2"/>
  <c r="J443" i="2"/>
  <c r="I565" i="2"/>
  <c r="J565" i="2"/>
  <c r="H565" i="2"/>
  <c r="I672" i="2"/>
  <c r="H672" i="2"/>
  <c r="I698" i="2"/>
  <c r="J698" i="2"/>
  <c r="H698" i="2"/>
  <c r="J762" i="2"/>
  <c r="I762" i="2"/>
  <c r="H971" i="2"/>
  <c r="J971" i="2"/>
  <c r="I971" i="2"/>
  <c r="J14" i="2"/>
  <c r="I80" i="2"/>
  <c r="J121" i="2"/>
  <c r="I121" i="2"/>
  <c r="H121" i="2"/>
  <c r="H186" i="2"/>
  <c r="I200" i="2"/>
  <c r="I325" i="2"/>
  <c r="H325" i="2"/>
  <c r="J325" i="2"/>
  <c r="I349" i="2"/>
  <c r="J349" i="2"/>
  <c r="H349" i="2"/>
  <c r="H380" i="2"/>
  <c r="I380" i="2"/>
  <c r="J380" i="2"/>
  <c r="H415" i="2"/>
  <c r="J672" i="2"/>
  <c r="H762" i="2"/>
  <c r="H1002" i="2"/>
  <c r="AA51" i="3"/>
  <c r="I68" i="2"/>
  <c r="H68" i="2"/>
  <c r="H267" i="2"/>
  <c r="I408" i="2"/>
  <c r="J408" i="2"/>
  <c r="J444" i="2"/>
  <c r="H444" i="2"/>
  <c r="I444" i="2"/>
  <c r="I559" i="2"/>
  <c r="J559" i="2"/>
  <c r="I628" i="2"/>
  <c r="J628" i="2"/>
  <c r="H628" i="2"/>
  <c r="J1002" i="2"/>
  <c r="AA6" i="3"/>
  <c r="AA33" i="3"/>
  <c r="J15" i="2"/>
  <c r="I15" i="2"/>
  <c r="H37" i="2"/>
  <c r="J68" i="2"/>
  <c r="H114" i="2"/>
  <c r="J114" i="2"/>
  <c r="I114" i="2"/>
  <c r="H252" i="2"/>
  <c r="H350" i="2"/>
  <c r="I350" i="2"/>
  <c r="J350" i="2"/>
  <c r="H408" i="2"/>
  <c r="J437" i="2"/>
  <c r="I437" i="2"/>
  <c r="J466" i="2"/>
  <c r="H466" i="2"/>
  <c r="I466" i="2"/>
  <c r="J481" i="2"/>
  <c r="I481" i="2"/>
  <c r="H481" i="2"/>
  <c r="H505" i="2"/>
  <c r="J505" i="2"/>
  <c r="I505" i="2"/>
  <c r="H559" i="2"/>
  <c r="J820" i="2"/>
  <c r="I820" i="2"/>
  <c r="AA131" i="3"/>
  <c r="J101" i="2"/>
  <c r="H101" i="2"/>
  <c r="I101" i="2"/>
  <c r="J620" i="2"/>
  <c r="I620" i="2"/>
  <c r="H620" i="2"/>
  <c r="J97" i="2"/>
  <c r="H97" i="2"/>
  <c r="I97" i="2"/>
  <c r="H129" i="2"/>
  <c r="I284" i="2"/>
  <c r="H284" i="2"/>
  <c r="H387" i="2"/>
  <c r="H529" i="2"/>
  <c r="J552" i="2"/>
  <c r="I552" i="2"/>
  <c r="J600" i="2"/>
  <c r="I600" i="2"/>
  <c r="H600" i="2"/>
  <c r="J988" i="2"/>
  <c r="H988" i="2"/>
  <c r="I988" i="2"/>
  <c r="AA168" i="3"/>
  <c r="J284" i="2"/>
  <c r="J39" i="2"/>
  <c r="N8" i="5" s="1"/>
  <c r="E25" i="4" s="1"/>
  <c r="I39" i="2"/>
  <c r="H39" i="2"/>
  <c r="J62" i="2"/>
  <c r="I107" i="2"/>
  <c r="J107" i="2"/>
  <c r="I151" i="2"/>
  <c r="J173" i="2"/>
  <c r="I173" i="2"/>
  <c r="H202" i="2"/>
  <c r="J262" i="2"/>
  <c r="I262" i="2"/>
  <c r="H262" i="2"/>
  <c r="J382" i="2"/>
  <c r="I382" i="2"/>
  <c r="H382" i="2"/>
  <c r="J417" i="2"/>
  <c r="I417" i="2"/>
  <c r="H417" i="2"/>
  <c r="AA57" i="3"/>
  <c r="J31" i="2"/>
  <c r="I31" i="2"/>
  <c r="J255" i="2"/>
  <c r="I255" i="2"/>
  <c r="H255" i="2"/>
  <c r="H353" i="2"/>
  <c r="J396" i="2"/>
  <c r="H396" i="2"/>
  <c r="I396" i="2"/>
  <c r="H515" i="2"/>
  <c r="J580" i="2"/>
  <c r="J108" i="2"/>
  <c r="I108" i="2"/>
  <c r="H108" i="2"/>
  <c r="H124" i="2"/>
  <c r="I277" i="2"/>
  <c r="J277" i="2"/>
  <c r="H277" i="2"/>
  <c r="J361" i="2"/>
  <c r="I361" i="2"/>
  <c r="H411" i="2"/>
  <c r="AA78" i="3"/>
  <c r="J145" i="2"/>
  <c r="I145" i="2"/>
  <c r="J223" i="2"/>
  <c r="I223" i="2"/>
  <c r="H278" i="2"/>
  <c r="I313" i="2"/>
  <c r="H384" i="2"/>
  <c r="J508" i="2"/>
  <c r="H548" i="2"/>
  <c r="J574" i="2"/>
  <c r="H640" i="2"/>
  <c r="J640" i="2"/>
  <c r="J647" i="2"/>
  <c r="I647" i="2"/>
  <c r="H647" i="2"/>
  <c r="I998" i="2"/>
  <c r="J998" i="2"/>
  <c r="H998" i="2"/>
  <c r="AA174" i="3"/>
  <c r="I110" i="2"/>
  <c r="H110" i="2"/>
  <c r="J54" i="2"/>
  <c r="I54" i="2"/>
  <c r="J666" i="2"/>
  <c r="H666" i="2"/>
  <c r="I666" i="2"/>
  <c r="J835" i="2"/>
  <c r="H835" i="2"/>
  <c r="I835" i="2"/>
  <c r="I659" i="2"/>
  <c r="J659" i="2"/>
  <c r="H659" i="2"/>
  <c r="AA93" i="3"/>
  <c r="H30" i="2"/>
  <c r="H62" i="2"/>
  <c r="I129" i="2"/>
  <c r="H290" i="2"/>
  <c r="J334" i="2"/>
  <c r="H334" i="2"/>
  <c r="I334" i="2"/>
  <c r="I387" i="2"/>
  <c r="J529" i="2"/>
  <c r="H552" i="2"/>
  <c r="H653" i="2"/>
  <c r="J740" i="2"/>
  <c r="H740" i="2"/>
  <c r="I740" i="2"/>
  <c r="I776" i="2"/>
  <c r="J776" i="2"/>
  <c r="H776" i="2"/>
  <c r="J798" i="2"/>
  <c r="I798" i="2"/>
  <c r="AA132" i="3"/>
  <c r="I30" i="2"/>
  <c r="H151" i="2"/>
  <c r="H208" i="2"/>
  <c r="J208" i="2"/>
  <c r="I290" i="2"/>
  <c r="J460" i="2"/>
  <c r="I460" i="2"/>
  <c r="I492" i="2"/>
  <c r="I653" i="2"/>
  <c r="I675" i="2"/>
  <c r="J675" i="2"/>
  <c r="I734" i="2"/>
  <c r="J734" i="2"/>
  <c r="H798" i="2"/>
  <c r="J220" i="2"/>
  <c r="I220" i="2"/>
  <c r="H220" i="2"/>
  <c r="J452" i="2"/>
  <c r="I452" i="2"/>
  <c r="H452" i="2"/>
  <c r="J492" i="2"/>
  <c r="H514" i="2"/>
  <c r="I514" i="2"/>
  <c r="J514" i="2"/>
  <c r="H675" i="2"/>
  <c r="H734" i="2"/>
  <c r="H23" i="2"/>
  <c r="H91" i="2"/>
  <c r="H107" i="2"/>
  <c r="H173" i="2"/>
  <c r="I202" i="2"/>
  <c r="H328" i="2"/>
  <c r="J328" i="2"/>
  <c r="I328" i="2"/>
  <c r="J469" i="2"/>
  <c r="I469" i="2"/>
  <c r="H484" i="2"/>
  <c r="J484" i="2"/>
  <c r="AA104" i="3"/>
  <c r="G8" i="5"/>
  <c r="E18" i="4" s="1"/>
  <c r="AA44" i="3"/>
  <c r="AA74" i="3"/>
  <c r="AA141" i="3"/>
  <c r="AA98" i="3"/>
  <c r="AA39" i="3"/>
  <c r="AA186" i="3"/>
  <c r="AA68" i="3"/>
  <c r="AA128" i="3"/>
  <c r="AA21" i="3"/>
  <c r="I23" i="2"/>
  <c r="H31" i="2"/>
  <c r="K5" i="5" s="1"/>
  <c r="J48" i="2"/>
  <c r="I48" i="2"/>
  <c r="I76" i="2"/>
  <c r="J76" i="2"/>
  <c r="I91" i="2"/>
  <c r="H418" i="2"/>
  <c r="I418" i="2"/>
  <c r="J418" i="2"/>
  <c r="H469" i="2"/>
  <c r="H580" i="2"/>
  <c r="I676" i="2"/>
  <c r="J676" i="2"/>
  <c r="H676" i="2"/>
  <c r="H10" i="2"/>
  <c r="AA10" i="3" s="1"/>
  <c r="I84" i="2"/>
  <c r="J84" i="2"/>
  <c r="H84" i="2"/>
  <c r="I124" i="2"/>
  <c r="J159" i="2"/>
  <c r="I159" i="2"/>
  <c r="J230" i="2"/>
  <c r="I230" i="2"/>
  <c r="H270" i="2"/>
  <c r="I353" i="2"/>
  <c r="H361" i="2"/>
  <c r="I411" i="2"/>
  <c r="H508" i="2"/>
  <c r="J515" i="2"/>
  <c r="H574" i="2"/>
  <c r="I10" i="2"/>
  <c r="J18" i="2"/>
  <c r="I18" i="2"/>
  <c r="H145" i="2"/>
  <c r="H159" i="2"/>
  <c r="H166" i="2"/>
  <c r="I182" i="2"/>
  <c r="J182" i="2"/>
  <c r="H182" i="2"/>
  <c r="H230" i="2"/>
  <c r="I270" i="2"/>
  <c r="H313" i="2"/>
  <c r="J397" i="2"/>
  <c r="I397" i="2"/>
  <c r="I540" i="2"/>
  <c r="J540" i="2"/>
  <c r="I758" i="2"/>
  <c r="J758" i="2"/>
  <c r="H758" i="2"/>
  <c r="H18" i="2"/>
  <c r="E5" i="5" s="1"/>
  <c r="J85" i="2"/>
  <c r="I85" i="2"/>
  <c r="H85" i="2"/>
  <c r="I166" i="2"/>
  <c r="I197" i="2"/>
  <c r="J197" i="2"/>
  <c r="H197" i="2"/>
  <c r="I42" i="2"/>
  <c r="H42" i="2"/>
  <c r="J42" i="2"/>
  <c r="H223" i="2"/>
  <c r="J248" i="2"/>
  <c r="I248" i="2"/>
  <c r="I278" i="2"/>
  <c r="J377" i="2"/>
  <c r="H377" i="2"/>
  <c r="I377" i="2"/>
  <c r="I548" i="2"/>
  <c r="J555" i="2"/>
  <c r="H555" i="2"/>
  <c r="I555" i="2"/>
  <c r="J687" i="2"/>
  <c r="I687" i="2"/>
  <c r="J759" i="2"/>
  <c r="I759" i="2"/>
  <c r="AA62" i="3"/>
  <c r="AA81" i="3"/>
  <c r="AA138" i="3"/>
  <c r="I105" i="2"/>
  <c r="H105" i="2"/>
  <c r="J836" i="2"/>
  <c r="I836" i="2"/>
  <c r="J914" i="2"/>
  <c r="I914" i="2"/>
  <c r="H914" i="2"/>
  <c r="H167" i="2"/>
  <c r="J245" i="2"/>
  <c r="H245" i="2"/>
  <c r="I245" i="2"/>
  <c r="H298" i="2"/>
  <c r="I347" i="2"/>
  <c r="J347" i="2"/>
  <c r="H448" i="2"/>
  <c r="J448" i="2"/>
  <c r="I448" i="2"/>
  <c r="H524" i="2"/>
  <c r="J524" i="2"/>
  <c r="H746" i="2"/>
  <c r="H836" i="2"/>
  <c r="I964" i="2"/>
  <c r="J964" i="2"/>
  <c r="J60" i="2"/>
  <c r="I60" i="2"/>
  <c r="H60" i="2"/>
  <c r="I137" i="2"/>
  <c r="H137" i="2"/>
  <c r="I238" i="2"/>
  <c r="H238" i="2"/>
  <c r="J530" i="2"/>
  <c r="H530" i="2"/>
  <c r="I530" i="2"/>
  <c r="J546" i="2"/>
  <c r="I546" i="2"/>
  <c r="H964" i="2"/>
  <c r="J105" i="2"/>
  <c r="J137" i="2"/>
  <c r="J238" i="2"/>
  <c r="H260" i="2"/>
  <c r="J305" i="2"/>
  <c r="I305" i="2"/>
  <c r="H305" i="2"/>
  <c r="I467" i="2"/>
  <c r="J467" i="2"/>
  <c r="H467" i="2"/>
  <c r="J517" i="2"/>
  <c r="H517" i="2"/>
  <c r="I517" i="2"/>
  <c r="H546" i="2"/>
  <c r="J673" i="2"/>
  <c r="H673" i="2"/>
  <c r="I673" i="2"/>
  <c r="H722" i="2"/>
  <c r="H829" i="2"/>
  <c r="H887" i="2"/>
  <c r="H952" i="2"/>
  <c r="J978" i="2"/>
  <c r="I978" i="2"/>
  <c r="H978" i="2"/>
  <c r="H25" i="2"/>
  <c r="I53" i="2"/>
  <c r="H53" i="2"/>
  <c r="H113" i="2"/>
  <c r="J119" i="2"/>
  <c r="I119" i="2"/>
  <c r="H143" i="2"/>
  <c r="I167" i="2"/>
  <c r="J181" i="2"/>
  <c r="I181" i="2"/>
  <c r="I195" i="2"/>
  <c r="J195" i="2"/>
  <c r="I260" i="2"/>
  <c r="I298" i="2"/>
  <c r="H312" i="2"/>
  <c r="H318" i="2"/>
  <c r="H347" i="2"/>
  <c r="H454" i="2"/>
  <c r="I524" i="2"/>
  <c r="I627" i="2"/>
  <c r="H634" i="2"/>
  <c r="H661" i="2"/>
  <c r="I722" i="2"/>
  <c r="I746" i="2"/>
  <c r="I829" i="2"/>
  <c r="I887" i="2"/>
  <c r="I893" i="2"/>
  <c r="I901" i="2"/>
  <c r="J901" i="2"/>
  <c r="J931" i="2"/>
  <c r="H931" i="2"/>
  <c r="H937" i="2"/>
  <c r="J937" i="2"/>
  <c r="I952" i="2"/>
  <c r="H965" i="2"/>
  <c r="J965" i="2"/>
  <c r="I25" i="2"/>
  <c r="J53" i="2"/>
  <c r="H67" i="2"/>
  <c r="H99" i="2"/>
  <c r="I113" i="2"/>
  <c r="H119" i="2"/>
  <c r="I143" i="2"/>
  <c r="H150" i="2"/>
  <c r="H156" i="2"/>
  <c r="H181" i="2"/>
  <c r="H195" i="2"/>
  <c r="H207" i="2"/>
  <c r="I232" i="2"/>
  <c r="J246" i="2"/>
  <c r="I246" i="2"/>
  <c r="H246" i="2"/>
  <c r="H254" i="2"/>
  <c r="I312" i="2"/>
  <c r="I318" i="2"/>
  <c r="J362" i="2"/>
  <c r="I362" i="2"/>
  <c r="I395" i="2"/>
  <c r="H395" i="2"/>
  <c r="I430" i="2"/>
  <c r="I454" i="2"/>
  <c r="H498" i="2"/>
  <c r="H593" i="2"/>
  <c r="J627" i="2"/>
  <c r="I634" i="2"/>
  <c r="I661" i="2"/>
  <c r="J690" i="2"/>
  <c r="I690" i="2"/>
  <c r="H729" i="2"/>
  <c r="H741" i="2"/>
  <c r="H793" i="2"/>
  <c r="H843" i="2"/>
  <c r="J865" i="2"/>
  <c r="I865" i="2"/>
  <c r="H865" i="2"/>
  <c r="J893" i="2"/>
  <c r="H901" i="2"/>
  <c r="I931" i="2"/>
  <c r="I937" i="2"/>
  <c r="I965" i="2"/>
  <c r="AA54" i="3"/>
  <c r="I13" i="2"/>
  <c r="J13" i="2"/>
  <c r="H13" i="2"/>
  <c r="AA23" i="3" s="1"/>
  <c r="H33" i="2"/>
  <c r="H40" i="2"/>
  <c r="J40" i="2"/>
  <c r="I40" i="2"/>
  <c r="H138" i="2"/>
  <c r="I150" i="2"/>
  <c r="J218" i="2"/>
  <c r="I218" i="2"/>
  <c r="J232" i="2"/>
  <c r="H239" i="2"/>
  <c r="H362" i="2"/>
  <c r="J395" i="2"/>
  <c r="J403" i="2"/>
  <c r="I403" i="2"/>
  <c r="I424" i="2"/>
  <c r="J430" i="2"/>
  <c r="I498" i="2"/>
  <c r="H518" i="2"/>
  <c r="I593" i="2"/>
  <c r="H690" i="2"/>
  <c r="I741" i="2"/>
  <c r="I793" i="2"/>
  <c r="J823" i="2"/>
  <c r="H823" i="2"/>
  <c r="I843" i="2"/>
  <c r="Z10" i="3"/>
  <c r="AA114" i="3"/>
  <c r="H773" i="2"/>
  <c r="I773" i="2"/>
  <c r="J882" i="2"/>
  <c r="I882" i="2"/>
  <c r="H882" i="2"/>
  <c r="J896" i="2"/>
  <c r="I896" i="2"/>
  <c r="H896" i="2"/>
  <c r="I974" i="2"/>
  <c r="J974" i="2"/>
  <c r="I133" i="2"/>
  <c r="J133" i="2"/>
  <c r="H133" i="2"/>
  <c r="J268" i="2"/>
  <c r="I268" i="2"/>
  <c r="H335" i="2"/>
  <c r="J335" i="2"/>
  <c r="I335" i="2"/>
  <c r="H845" i="2"/>
  <c r="J845" i="2"/>
  <c r="I235" i="2"/>
  <c r="J235" i="2"/>
  <c r="H282" i="2"/>
  <c r="J321" i="2"/>
  <c r="I321" i="2"/>
  <c r="H321" i="2"/>
  <c r="H463" i="2"/>
  <c r="J637" i="2"/>
  <c r="I637" i="2"/>
  <c r="H755" i="2"/>
  <c r="I845" i="2"/>
  <c r="J860" i="2"/>
  <c r="I860" i="2"/>
  <c r="H860" i="2"/>
  <c r="J989" i="2"/>
  <c r="J164" i="2"/>
  <c r="I164" i="2"/>
  <c r="I170" i="2"/>
  <c r="J227" i="2"/>
  <c r="I343" i="2"/>
  <c r="I463" i="2"/>
  <c r="J485" i="2"/>
  <c r="I485" i="2"/>
  <c r="H663" i="2"/>
  <c r="J8" i="5"/>
  <c r="E21" i="4" s="1"/>
  <c r="AA199" i="3"/>
  <c r="AA193" i="3"/>
  <c r="AA187" i="3"/>
  <c r="AA181" i="3"/>
  <c r="AA175" i="3"/>
  <c r="AA169" i="3"/>
  <c r="AA163" i="3"/>
  <c r="AA157" i="3"/>
  <c r="AA151" i="3"/>
  <c r="AA145" i="3"/>
  <c r="AA139" i="3"/>
  <c r="AA133" i="3"/>
  <c r="AA127" i="3"/>
  <c r="AA121" i="3"/>
  <c r="AA115" i="3"/>
  <c r="AA109" i="3"/>
  <c r="AA103" i="3"/>
  <c r="AA97" i="3"/>
  <c r="AA91" i="3"/>
  <c r="AA85" i="3"/>
  <c r="AA79" i="3"/>
  <c r="AA73" i="3"/>
  <c r="AA67" i="3"/>
  <c r="AA61" i="3"/>
  <c r="AA55" i="3"/>
  <c r="AA49" i="3"/>
  <c r="AA43" i="3"/>
  <c r="AA37" i="3"/>
  <c r="AA31" i="3"/>
  <c r="AA25" i="3"/>
  <c r="AA19" i="3"/>
  <c r="AA13" i="3"/>
  <c r="AA7" i="3"/>
  <c r="AA196" i="3"/>
  <c r="AA190" i="3"/>
  <c r="AA184" i="3"/>
  <c r="AA178" i="3"/>
  <c r="AA172" i="3"/>
  <c r="AA166" i="3"/>
  <c r="AA160" i="3"/>
  <c r="AA154" i="3"/>
  <c r="AA148" i="3"/>
  <c r="AA142" i="3"/>
  <c r="AA136" i="3"/>
  <c r="AA130" i="3"/>
  <c r="AA124" i="3"/>
  <c r="AA118" i="3"/>
  <c r="AA112" i="3"/>
  <c r="AA106" i="3"/>
  <c r="AA100" i="3"/>
  <c r="AA94" i="3"/>
  <c r="AA88" i="3"/>
  <c r="AA82" i="3"/>
  <c r="AA76" i="3"/>
  <c r="AA70" i="3"/>
  <c r="AA64" i="3"/>
  <c r="AA58" i="3"/>
  <c r="AA52" i="3"/>
  <c r="AA46" i="3"/>
  <c r="AA40" i="3"/>
  <c r="AA34" i="3"/>
  <c r="AA28" i="3"/>
  <c r="AA22" i="3"/>
  <c r="AA16" i="3"/>
  <c r="AA180" i="3"/>
  <c r="AA173" i="3"/>
  <c r="AA144" i="3"/>
  <c r="AA137" i="3"/>
  <c r="AA108" i="3"/>
  <c r="AA101" i="3"/>
  <c r="AA72" i="3"/>
  <c r="AA65" i="3"/>
  <c r="AA36" i="3"/>
  <c r="AA29" i="3"/>
  <c r="AA192" i="3"/>
  <c r="AA185" i="3"/>
  <c r="AA156" i="3"/>
  <c r="AA149" i="3"/>
  <c r="AA120" i="3"/>
  <c r="AA113" i="3"/>
  <c r="AA84" i="3"/>
  <c r="AA77" i="3"/>
  <c r="AA48" i="3"/>
  <c r="AA41" i="3"/>
  <c r="AA11" i="3"/>
  <c r="AA191" i="3"/>
  <c r="AA159" i="3"/>
  <c r="AA143" i="3"/>
  <c r="AA135" i="3"/>
  <c r="AA119" i="3"/>
  <c r="AA87" i="3"/>
  <c r="AA71" i="3"/>
  <c r="AA63" i="3"/>
  <c r="AA47" i="3"/>
  <c r="L8" i="5"/>
  <c r="E23" i="4" s="1"/>
  <c r="AA167" i="3"/>
  <c r="AA95" i="3"/>
  <c r="AA14" i="3"/>
  <c r="AA164" i="3"/>
  <c r="AA92" i="3"/>
  <c r="AA147" i="3"/>
  <c r="AA75" i="3"/>
  <c r="AA110" i="3"/>
  <c r="AA56" i="3"/>
  <c r="AA20" i="3"/>
  <c r="AA38" i="3"/>
  <c r="AA198" i="3"/>
  <c r="AA18" i="3"/>
  <c r="AA189" i="3"/>
  <c r="AA171" i="3"/>
  <c r="AA162" i="3"/>
  <c r="AA153" i="3"/>
  <c r="AA126" i="3"/>
  <c r="AA8" i="3"/>
  <c r="AA111" i="3"/>
  <c r="AA200" i="3"/>
  <c r="AA50" i="3"/>
  <c r="AA170" i="3"/>
  <c r="AA90" i="3"/>
  <c r="AA80" i="3"/>
  <c r="AA60" i="3"/>
  <c r="AA69" i="3"/>
  <c r="AA66" i="3"/>
  <c r="AA26" i="3"/>
  <c r="AA155" i="3"/>
  <c r="AA134" i="3"/>
  <c r="AA125" i="3"/>
  <c r="AA105" i="3"/>
  <c r="AA195" i="3"/>
  <c r="AA176" i="3"/>
  <c r="AA96" i="3"/>
  <c r="AA86" i="3"/>
  <c r="AA188" i="3"/>
  <c r="AA177" i="3"/>
  <c r="AA165" i="3"/>
  <c r="AA129" i="3"/>
  <c r="AA83" i="3"/>
  <c r="AA24" i="3"/>
  <c r="AA116" i="3"/>
  <c r="AA117" i="3"/>
  <c r="AA59" i="3"/>
  <c r="AA9" i="3"/>
  <c r="AA152" i="3"/>
  <c r="AA35" i="3"/>
  <c r="AA140" i="3"/>
  <c r="AA194" i="3"/>
  <c r="AA102" i="3"/>
  <c r="AA32" i="3"/>
  <c r="AA17" i="3"/>
  <c r="AA123" i="3"/>
  <c r="AA89" i="3"/>
  <c r="AA53" i="3"/>
  <c r="AA182" i="3"/>
  <c r="AA158" i="3"/>
  <c r="AA30" i="3"/>
  <c r="AA183" i="3"/>
  <c r="AA146" i="3"/>
  <c r="AA42" i="3"/>
  <c r="AA99" i="3"/>
  <c r="I116" i="2"/>
  <c r="H134" i="2"/>
  <c r="J146" i="2"/>
  <c r="H146" i="2"/>
  <c r="I146" i="2"/>
  <c r="H158" i="2"/>
  <c r="H164" i="2"/>
  <c r="H221" i="2"/>
  <c r="H257" i="2"/>
  <c r="J282" i="2"/>
  <c r="J343" i="2"/>
  <c r="J438" i="2"/>
  <c r="I438" i="2"/>
  <c r="H438" i="2"/>
  <c r="H457" i="2"/>
  <c r="H485" i="2"/>
  <c r="J527" i="2"/>
  <c r="I527" i="2"/>
  <c r="H570" i="2"/>
  <c r="I575" i="2"/>
  <c r="I596" i="2"/>
  <c r="J596" i="2"/>
  <c r="J644" i="2"/>
  <c r="I644" i="2"/>
  <c r="I663" i="2"/>
  <c r="J692" i="2"/>
  <c r="J725" i="2"/>
  <c r="I725" i="2"/>
  <c r="H725" i="2"/>
  <c r="I743" i="2"/>
  <c r="H749" i="2"/>
  <c r="J846" i="2"/>
  <c r="I846" i="2"/>
  <c r="J884" i="2"/>
  <c r="I884" i="2"/>
  <c r="H904" i="2"/>
  <c r="J955" i="2"/>
  <c r="H955" i="2"/>
  <c r="H961" i="2"/>
  <c r="AA45" i="3"/>
  <c r="J9" i="2"/>
  <c r="I9" i="2"/>
  <c r="I28" i="2"/>
  <c r="J43" i="2"/>
  <c r="I43" i="2"/>
  <c r="H43" i="2"/>
  <c r="H50" i="2"/>
  <c r="I64" i="2"/>
  <c r="J89" i="2"/>
  <c r="I89" i="2"/>
  <c r="J102" i="2"/>
  <c r="I102" i="2"/>
  <c r="I221" i="2"/>
  <c r="H242" i="2"/>
  <c r="I257" i="2"/>
  <c r="H275" i="2"/>
  <c r="H322" i="2"/>
  <c r="H358" i="2"/>
  <c r="I457" i="2"/>
  <c r="H506" i="2"/>
  <c r="J506" i="2"/>
  <c r="I506" i="2"/>
  <c r="H521" i="2"/>
  <c r="H527" i="2"/>
  <c r="I570" i="2"/>
  <c r="H596" i="2"/>
  <c r="H631" i="2"/>
  <c r="H644" i="2"/>
  <c r="H658" i="2"/>
  <c r="H686" i="2"/>
  <c r="J743" i="2"/>
  <c r="I749" i="2"/>
  <c r="I796" i="2"/>
  <c r="H796" i="2"/>
  <c r="H846" i="2"/>
  <c r="H884" i="2"/>
  <c r="I904" i="2"/>
  <c r="H949" i="2"/>
  <c r="I955" i="2"/>
  <c r="J961" i="2"/>
  <c r="AA179" i="3"/>
  <c r="I203" i="2"/>
  <c r="J203" i="2"/>
  <c r="H203" i="2"/>
  <c r="J773" i="2"/>
  <c r="J967" i="2"/>
  <c r="I967" i="2"/>
  <c r="H967" i="2"/>
  <c r="H974" i="2"/>
  <c r="I989" i="2"/>
  <c r="J1003" i="2"/>
  <c r="H1003" i="2"/>
  <c r="I1003" i="2"/>
  <c r="H81" i="2"/>
  <c r="I127" i="2"/>
  <c r="H127" i="2"/>
  <c r="H170" i="2"/>
  <c r="H227" i="2"/>
  <c r="J249" i="2"/>
  <c r="I249" i="2"/>
  <c r="H268" i="2"/>
  <c r="H288" i="2"/>
  <c r="J288" i="2"/>
  <c r="I288" i="2"/>
  <c r="J534" i="2"/>
  <c r="I534" i="2"/>
  <c r="H534" i="2"/>
  <c r="H692" i="2"/>
  <c r="I81" i="2"/>
  <c r="H116" i="2"/>
  <c r="H235" i="2"/>
  <c r="H249" i="2"/>
  <c r="H575" i="2"/>
  <c r="H637" i="2"/>
  <c r="H713" i="2"/>
  <c r="I713" i="2"/>
  <c r="J713" i="2"/>
  <c r="J755" i="2"/>
  <c r="I925" i="2"/>
  <c r="H925" i="2"/>
  <c r="J925" i="2"/>
  <c r="I968" i="2"/>
  <c r="H968" i="2"/>
  <c r="H28" i="2"/>
  <c r="I5" i="5" s="1"/>
  <c r="J36" i="2"/>
  <c r="I36" i="2"/>
  <c r="M6" i="5" s="1"/>
  <c r="D24" i="4" s="1"/>
  <c r="H75" i="2"/>
  <c r="I134" i="2"/>
  <c r="I158" i="2"/>
  <c r="H9" i="2"/>
  <c r="AA5" i="3" s="1"/>
  <c r="H36" i="2"/>
  <c r="I57" i="2"/>
  <c r="H57" i="2"/>
  <c r="J57" i="2"/>
  <c r="J64" i="2"/>
  <c r="I75" i="2"/>
  <c r="H89" i="2"/>
  <c r="H102" i="2"/>
  <c r="H215" i="2"/>
  <c r="J275" i="2"/>
  <c r="J302" i="2"/>
  <c r="I302" i="2"/>
  <c r="J344" i="2"/>
  <c r="H344" i="2"/>
  <c r="I344" i="2"/>
  <c r="J406" i="2"/>
  <c r="I406" i="2"/>
  <c r="H406" i="2"/>
  <c r="H439" i="2"/>
  <c r="J439" i="2"/>
  <c r="I439" i="2"/>
  <c r="J543" i="2"/>
  <c r="I543" i="2"/>
  <c r="H543" i="2"/>
  <c r="I631" i="2"/>
  <c r="J686" i="2"/>
  <c r="J693" i="2"/>
  <c r="H693" i="2"/>
  <c r="I693" i="2"/>
  <c r="I783" i="2"/>
  <c r="H783" i="2"/>
  <c r="J796" i="2"/>
  <c r="I853" i="2"/>
  <c r="H853" i="2"/>
  <c r="J853" i="2"/>
  <c r="H869" i="2"/>
  <c r="I869" i="2"/>
  <c r="I326" i="2"/>
  <c r="J326" i="2"/>
  <c r="H428" i="2"/>
  <c r="I428" i="2"/>
  <c r="J428" i="2"/>
  <c r="I667" i="2"/>
  <c r="H667" i="2"/>
  <c r="I824" i="2"/>
  <c r="J824" i="2"/>
  <c r="H824" i="2"/>
  <c r="H49" i="2"/>
  <c r="H92" i="2"/>
  <c r="H103" i="2"/>
  <c r="J228" i="2"/>
  <c r="I228" i="2"/>
  <c r="H263" i="2"/>
  <c r="H308" i="2"/>
  <c r="H326" i="2"/>
  <c r="H351" i="2"/>
  <c r="H486" i="2"/>
  <c r="J606" i="2"/>
  <c r="I606" i="2"/>
  <c r="H712" i="2"/>
  <c r="I32" i="2"/>
  <c r="I92" i="2"/>
  <c r="I103" i="2"/>
  <c r="I185" i="2"/>
  <c r="H228" i="2"/>
  <c r="I234" i="2"/>
  <c r="J240" i="2"/>
  <c r="H240" i="2"/>
  <c r="I240" i="2"/>
  <c r="I263" i="2"/>
  <c r="I280" i="2"/>
  <c r="I308" i="2"/>
  <c r="H363" i="2"/>
  <c r="J398" i="2"/>
  <c r="I398" i="2"/>
  <c r="I468" i="2"/>
  <c r="H474" i="2"/>
  <c r="I486" i="2"/>
  <c r="H493" i="2"/>
  <c r="H516" i="2"/>
  <c r="I681" i="2"/>
  <c r="J681" i="2"/>
  <c r="I712" i="2"/>
  <c r="I818" i="2"/>
  <c r="J818" i="2"/>
  <c r="H818" i="2"/>
  <c r="I926" i="2"/>
  <c r="J926" i="2"/>
  <c r="J973" i="2"/>
  <c r="I973" i="2"/>
  <c r="H11" i="2"/>
  <c r="AA12" i="3" s="1"/>
  <c r="J16" i="2"/>
  <c r="J32" i="2"/>
  <c r="H38" i="2"/>
  <c r="J49" i="2"/>
  <c r="H55" i="2"/>
  <c r="H82" i="2"/>
  <c r="I87" i="2"/>
  <c r="H109" i="2"/>
  <c r="I136" i="2"/>
  <c r="I168" i="2"/>
  <c r="J185" i="2"/>
  <c r="I222" i="2"/>
  <c r="J234" i="2"/>
  <c r="H247" i="2"/>
  <c r="H253" i="2"/>
  <c r="H269" i="2"/>
  <c r="J280" i="2"/>
  <c r="I297" i="2"/>
  <c r="H320" i="2"/>
  <c r="J351" i="2"/>
  <c r="I363" i="2"/>
  <c r="H375" i="2"/>
  <c r="J375" i="2"/>
  <c r="H398" i="2"/>
  <c r="H410" i="2"/>
  <c r="I434" i="2"/>
  <c r="J468" i="2"/>
  <c r="I474" i="2"/>
  <c r="I493" i="2"/>
  <c r="H510" i="2"/>
  <c r="I516" i="2"/>
  <c r="H595" i="2"/>
  <c r="H613" i="2"/>
  <c r="I651" i="2"/>
  <c r="J674" i="2"/>
  <c r="H681" i="2"/>
  <c r="H761" i="2"/>
  <c r="J761" i="2"/>
  <c r="J799" i="2"/>
  <c r="H799" i="2"/>
  <c r="I812" i="2"/>
  <c r="H926" i="2"/>
  <c r="I940" i="2"/>
  <c r="H973" i="2"/>
  <c r="J26" i="2"/>
  <c r="H8" i="5" s="1"/>
  <c r="E19" i="4" s="1"/>
  <c r="I26" i="2"/>
  <c r="J588" i="2"/>
  <c r="I588" i="2"/>
  <c r="I612" i="2"/>
  <c r="H612" i="2"/>
  <c r="J612" i="2"/>
  <c r="I1007" i="2"/>
  <c r="H1007" i="2"/>
  <c r="J1007" i="2"/>
  <c r="H16" i="2"/>
  <c r="H21" i="2"/>
  <c r="H26" i="2"/>
  <c r="J455" i="2"/>
  <c r="I455" i="2"/>
  <c r="I522" i="2"/>
  <c r="J522" i="2"/>
  <c r="H553" i="2"/>
  <c r="H588" i="2"/>
  <c r="J667" i="2"/>
  <c r="H674" i="2"/>
  <c r="J947" i="2"/>
  <c r="H947" i="2"/>
  <c r="I947" i="2"/>
  <c r="I21" i="2"/>
  <c r="H87" i="2"/>
  <c r="H168" i="2"/>
  <c r="H222" i="2"/>
  <c r="H297" i="2"/>
  <c r="H434" i="2"/>
  <c r="H455" i="2"/>
  <c r="H522" i="2"/>
  <c r="J541" i="2"/>
  <c r="I541" i="2"/>
  <c r="I553" i="2"/>
  <c r="H606" i="2"/>
  <c r="H651" i="2"/>
  <c r="H785" i="2"/>
  <c r="J785" i="2"/>
  <c r="I785" i="2"/>
  <c r="H812" i="2"/>
  <c r="I872" i="2"/>
  <c r="J872" i="2"/>
  <c r="H872" i="2"/>
  <c r="H940" i="2"/>
  <c r="J980" i="2"/>
  <c r="I980" i="2"/>
  <c r="H980" i="2"/>
  <c r="I38" i="2"/>
  <c r="I115" i="2"/>
  <c r="H115" i="2"/>
  <c r="J136" i="2"/>
  <c r="I191" i="2"/>
  <c r="H191" i="2"/>
  <c r="I253" i="2"/>
  <c r="H303" i="2"/>
  <c r="J320" i="2"/>
  <c r="J339" i="2"/>
  <c r="I339" i="2"/>
  <c r="H339" i="2"/>
  <c r="I375" i="2"/>
  <c r="I410" i="2"/>
  <c r="J462" i="2"/>
  <c r="I462" i="2"/>
  <c r="I510" i="2"/>
  <c r="H535" i="2"/>
  <c r="H560" i="2"/>
  <c r="I589" i="2"/>
  <c r="I601" i="2"/>
  <c r="J601" i="2"/>
  <c r="I613" i="2"/>
  <c r="H639" i="2"/>
  <c r="I761" i="2"/>
  <c r="I799" i="2"/>
  <c r="I805" i="2"/>
  <c r="J805" i="2"/>
  <c r="H805" i="2"/>
  <c r="J859" i="2"/>
  <c r="H859" i="2"/>
  <c r="I866" i="2"/>
  <c r="J866" i="2"/>
  <c r="J873" i="2"/>
  <c r="I873" i="2"/>
  <c r="H873" i="2"/>
  <c r="J913" i="2"/>
  <c r="I913" i="2"/>
  <c r="H920" i="2"/>
  <c r="J981" i="2"/>
  <c r="I981" i="2"/>
  <c r="H981" i="2"/>
  <c r="I556" i="2"/>
  <c r="J556" i="2"/>
  <c r="J788" i="2"/>
  <c r="I788" i="2"/>
  <c r="H788" i="2"/>
  <c r="J847" i="2"/>
  <c r="H847" i="2"/>
  <c r="I847" i="2"/>
  <c r="I122" i="2"/>
  <c r="H122" i="2"/>
  <c r="J154" i="2"/>
  <c r="I154" i="2"/>
  <c r="J329" i="2"/>
  <c r="I329" i="2"/>
  <c r="H329" i="2"/>
  <c r="I359" i="2"/>
  <c r="H394" i="2"/>
  <c r="J458" i="2"/>
  <c r="I458" i="2"/>
  <c r="I537" i="2"/>
  <c r="H556" i="2"/>
  <c r="J591" i="2"/>
  <c r="I591" i="2"/>
  <c r="H591" i="2"/>
  <c r="J654" i="2"/>
  <c r="I654" i="2"/>
  <c r="I677" i="2"/>
  <c r="H677" i="2"/>
  <c r="H709" i="2"/>
  <c r="H827" i="2"/>
  <c r="H875" i="2"/>
  <c r="I894" i="2"/>
  <c r="H894" i="2"/>
  <c r="J894" i="2"/>
  <c r="H916" i="2"/>
  <c r="I983" i="2"/>
  <c r="J359" i="2"/>
  <c r="H419" i="2"/>
  <c r="H519" i="2"/>
  <c r="J519" i="2"/>
  <c r="J537" i="2"/>
  <c r="H654" i="2"/>
  <c r="J677" i="2"/>
  <c r="I709" i="2"/>
  <c r="J775" i="2"/>
  <c r="H775" i="2"/>
  <c r="H781" i="2"/>
  <c r="I808" i="2"/>
  <c r="H815" i="2"/>
  <c r="I875" i="2"/>
  <c r="I916" i="2"/>
  <c r="J943" i="2"/>
  <c r="I943" i="2"/>
  <c r="H943" i="2"/>
  <c r="I29" i="2"/>
  <c r="I79" i="2"/>
  <c r="H106" i="2"/>
  <c r="H128" i="2"/>
  <c r="J149" i="2"/>
  <c r="I149" i="2"/>
  <c r="I160" i="2"/>
  <c r="J171" i="2"/>
  <c r="I171" i="2"/>
  <c r="H188" i="2"/>
  <c r="I193" i="2"/>
  <c r="I198" i="2"/>
  <c r="I219" i="2"/>
  <c r="I283" i="2"/>
  <c r="H317" i="2"/>
  <c r="H323" i="2"/>
  <c r="H348" i="2"/>
  <c r="H354" i="2"/>
  <c r="H366" i="2"/>
  <c r="H372" i="2"/>
  <c r="J394" i="2"/>
  <c r="H401" i="2"/>
  <c r="J419" i="2"/>
  <c r="I447" i="2"/>
  <c r="H471" i="2"/>
  <c r="I483" i="2"/>
  <c r="H496" i="2"/>
  <c r="J496" i="2"/>
  <c r="I519" i="2"/>
  <c r="J531" i="2"/>
  <c r="H544" i="2"/>
  <c r="J544" i="2"/>
  <c r="H579" i="2"/>
  <c r="I585" i="2"/>
  <c r="I603" i="2"/>
  <c r="I648" i="2"/>
  <c r="J684" i="2"/>
  <c r="H697" i="2"/>
  <c r="J703" i="2"/>
  <c r="H703" i="2"/>
  <c r="H751" i="2"/>
  <c r="H757" i="2"/>
  <c r="I775" i="2"/>
  <c r="I781" i="2"/>
  <c r="J808" i="2"/>
  <c r="I815" i="2"/>
  <c r="H821" i="2"/>
  <c r="I821" i="2"/>
  <c r="J855" i="2"/>
  <c r="I855" i="2"/>
  <c r="I868" i="2"/>
  <c r="J881" i="2"/>
  <c r="H930" i="2"/>
  <c r="J991" i="2"/>
  <c r="I991" i="2"/>
  <c r="H991" i="2"/>
  <c r="J341" i="2"/>
  <c r="I341" i="2"/>
  <c r="I425" i="2"/>
  <c r="J425" i="2"/>
  <c r="H482" i="2"/>
  <c r="I482" i="2"/>
  <c r="J482" i="2"/>
  <c r="I990" i="2"/>
  <c r="H990" i="2"/>
  <c r="H29" i="2"/>
  <c r="I46" i="2"/>
  <c r="H46" i="2"/>
  <c r="I63" i="2"/>
  <c r="H63" i="2"/>
  <c r="H79" i="2"/>
  <c r="I100" i="2"/>
  <c r="H100" i="2"/>
  <c r="J122" i="2"/>
  <c r="H154" i="2"/>
  <c r="H193" i="2"/>
  <c r="H198" i="2"/>
  <c r="H219" i="2"/>
  <c r="I225" i="2"/>
  <c r="J225" i="2"/>
  <c r="H231" i="2"/>
  <c r="I243" i="2"/>
  <c r="H243" i="2"/>
  <c r="H283" i="2"/>
  <c r="H447" i="2"/>
  <c r="H458" i="2"/>
  <c r="H531" i="2"/>
  <c r="H603" i="2"/>
  <c r="H648" i="2"/>
  <c r="H684" i="2"/>
  <c r="I827" i="2"/>
  <c r="H868" i="2"/>
  <c r="I881" i="2"/>
  <c r="J983" i="2"/>
  <c r="J46" i="2"/>
  <c r="H74" i="2"/>
  <c r="I231" i="2"/>
  <c r="H35" i="2"/>
  <c r="J41" i="2"/>
  <c r="I41" i="2"/>
  <c r="J95" i="2"/>
  <c r="I95" i="2"/>
  <c r="H112" i="2"/>
  <c r="J112" i="2"/>
  <c r="H144" i="2"/>
  <c r="H149" i="2"/>
  <c r="J160" i="2"/>
  <c r="H171" i="2"/>
  <c r="J250" i="2"/>
  <c r="I250" i="2"/>
  <c r="J323" i="2"/>
  <c r="H330" i="2"/>
  <c r="H336" i="2"/>
  <c r="H342" i="2"/>
  <c r="J354" i="2"/>
  <c r="I366" i="2"/>
  <c r="I401" i="2"/>
  <c r="J483" i="2"/>
  <c r="I496" i="2"/>
  <c r="I544" i="2"/>
  <c r="J585" i="2"/>
  <c r="I622" i="2"/>
  <c r="I703" i="2"/>
  <c r="I751" i="2"/>
  <c r="J821" i="2"/>
  <c r="J834" i="2"/>
  <c r="H834" i="2"/>
  <c r="I834" i="2"/>
  <c r="H855" i="2"/>
  <c r="I930" i="2"/>
  <c r="I944" i="2"/>
  <c r="J944" i="2"/>
  <c r="H324" i="2"/>
  <c r="H360" i="2"/>
  <c r="I365" i="2"/>
  <c r="H475" i="2"/>
  <c r="H480" i="2"/>
  <c r="H491" i="2"/>
  <c r="H512" i="2"/>
  <c r="H533" i="2"/>
  <c r="H586" i="2"/>
  <c r="H623" i="2"/>
  <c r="H629" i="2"/>
  <c r="I635" i="2"/>
  <c r="J635" i="2"/>
  <c r="I646" i="2"/>
  <c r="H646" i="2"/>
  <c r="I652" i="2"/>
  <c r="J652" i="2"/>
  <c r="H685" i="2"/>
  <c r="H696" i="2"/>
  <c r="I696" i="2"/>
  <c r="H797" i="2"/>
  <c r="J797" i="2"/>
  <c r="I911" i="2"/>
  <c r="H911" i="2"/>
  <c r="I950" i="2"/>
  <c r="J950" i="2"/>
  <c r="H950" i="2"/>
  <c r="H174" i="2"/>
  <c r="H179" i="2"/>
  <c r="I184" i="2"/>
  <c r="H355" i="2"/>
  <c r="J360" i="2"/>
  <c r="J365" i="2"/>
  <c r="I423" i="2"/>
  <c r="H464" i="2"/>
  <c r="J491" i="2"/>
  <c r="J533" i="2"/>
  <c r="H539" i="2"/>
  <c r="I623" i="2"/>
  <c r="J629" i="2"/>
  <c r="H635" i="2"/>
  <c r="J646" i="2"/>
  <c r="H652" i="2"/>
  <c r="H679" i="2"/>
  <c r="I685" i="2"/>
  <c r="I708" i="2"/>
  <c r="H708" i="2"/>
  <c r="H724" i="2"/>
  <c r="H730" i="2"/>
  <c r="H848" i="2"/>
  <c r="J848" i="2"/>
  <c r="H899" i="2"/>
  <c r="J938" i="2"/>
  <c r="I938" i="2"/>
  <c r="H499" i="2"/>
  <c r="J499" i="2"/>
  <c r="H609" i="2"/>
  <c r="I609" i="2"/>
  <c r="J787" i="2"/>
  <c r="H787" i="2"/>
  <c r="J928" i="2"/>
  <c r="I928" i="2"/>
  <c r="I276" i="2"/>
  <c r="H291" i="2"/>
  <c r="H296" i="2"/>
  <c r="H301" i="2"/>
  <c r="H306" i="2"/>
  <c r="H311" i="2"/>
  <c r="H378" i="2"/>
  <c r="H383" i="2"/>
  <c r="H393" i="2"/>
  <c r="H404" i="2"/>
  <c r="H409" i="2"/>
  <c r="H472" i="2"/>
  <c r="J472" i="2"/>
  <c r="H488" i="2"/>
  <c r="I499" i="2"/>
  <c r="I509" i="2"/>
  <c r="H547" i="2"/>
  <c r="H563" i="2"/>
  <c r="I568" i="2"/>
  <c r="H578" i="2"/>
  <c r="J609" i="2"/>
  <c r="H626" i="2"/>
  <c r="H643" i="2"/>
  <c r="H670" i="2"/>
  <c r="I699" i="2"/>
  <c r="H699" i="2"/>
  <c r="H721" i="2"/>
  <c r="H727" i="2"/>
  <c r="H750" i="2"/>
  <c r="J750" i="2"/>
  <c r="I750" i="2"/>
  <c r="I774" i="2"/>
  <c r="H774" i="2"/>
  <c r="I787" i="2"/>
  <c r="H928" i="2"/>
  <c r="H985" i="2"/>
  <c r="I997" i="2"/>
  <c r="I806" i="2"/>
  <c r="J806" i="2"/>
  <c r="I1004" i="2"/>
  <c r="H1004" i="2"/>
  <c r="H316" i="2"/>
  <c r="H256" i="2"/>
  <c r="J256" i="2"/>
  <c r="I271" i="2"/>
  <c r="J276" i="2"/>
  <c r="I352" i="2"/>
  <c r="H388" i="2"/>
  <c r="I393" i="2"/>
  <c r="H420" i="2"/>
  <c r="I472" i="2"/>
  <c r="I488" i="2"/>
  <c r="J509" i="2"/>
  <c r="H558" i="2"/>
  <c r="J563" i="2"/>
  <c r="J568" i="2"/>
  <c r="H649" i="2"/>
  <c r="J688" i="2"/>
  <c r="H688" i="2"/>
  <c r="J699" i="2"/>
  <c r="I705" i="2"/>
  <c r="H705" i="2"/>
  <c r="I721" i="2"/>
  <c r="I727" i="2"/>
  <c r="J774" i="2"/>
  <c r="I857" i="2"/>
  <c r="J895" i="2"/>
  <c r="I895" i="2"/>
  <c r="H895" i="2"/>
  <c r="I941" i="2"/>
  <c r="J997" i="2"/>
  <c r="I902" i="2"/>
  <c r="J902" i="2"/>
  <c r="I908" i="2"/>
  <c r="H908" i="2"/>
  <c r="H956" i="2"/>
  <c r="J956" i="2"/>
  <c r="J747" i="2"/>
  <c r="I747" i="2"/>
  <c r="H747" i="2"/>
  <c r="J813" i="2"/>
  <c r="I813" i="2"/>
  <c r="H842" i="2"/>
  <c r="H854" i="2"/>
  <c r="J890" i="2"/>
  <c r="I890" i="2"/>
  <c r="H902" i="2"/>
  <c r="J908" i="2"/>
  <c r="H927" i="2"/>
  <c r="H933" i="2"/>
  <c r="J945" i="2"/>
  <c r="I945" i="2"/>
  <c r="I956" i="2"/>
  <c r="J551" i="2"/>
  <c r="I551" i="2"/>
  <c r="I710" i="2"/>
  <c r="I720" i="2"/>
  <c r="H731" i="2"/>
  <c r="I736" i="2"/>
  <c r="I765" i="2"/>
  <c r="J770" i="2"/>
  <c r="H782" i="2"/>
  <c r="H813" i="2"/>
  <c r="J842" i="2"/>
  <c r="J854" i="2"/>
  <c r="H879" i="2"/>
  <c r="H890" i="2"/>
  <c r="H915" i="2"/>
  <c r="J921" i="2"/>
  <c r="H921" i="2"/>
  <c r="I927" i="2"/>
  <c r="I933" i="2"/>
  <c r="H939" i="2"/>
  <c r="H945" i="2"/>
  <c r="H969" i="2"/>
  <c r="H999" i="2"/>
  <c r="J683" i="2"/>
  <c r="H683" i="2"/>
  <c r="J782" i="2"/>
  <c r="J789" i="2"/>
  <c r="I789" i="2"/>
  <c r="J837" i="2"/>
  <c r="I837" i="2"/>
  <c r="J861" i="2"/>
  <c r="I861" i="2"/>
  <c r="H861" i="2"/>
  <c r="J885" i="2"/>
  <c r="I885" i="2"/>
  <c r="I915" i="2"/>
  <c r="I939" i="2"/>
  <c r="I969" i="2"/>
  <c r="I999" i="2"/>
  <c r="J811" i="2"/>
  <c r="H811" i="2"/>
  <c r="J883" i="2"/>
  <c r="H883" i="2"/>
  <c r="J962" i="2"/>
  <c r="I962" i="2"/>
  <c r="H745" i="2"/>
  <c r="H756" i="2"/>
  <c r="H794" i="2"/>
  <c r="I811" i="2"/>
  <c r="I833" i="2"/>
  <c r="I883" i="2"/>
  <c r="H962" i="2"/>
  <c r="J979" i="2"/>
  <c r="H979" i="2"/>
  <c r="J919" i="2"/>
  <c r="I919" i="2"/>
  <c r="H919" i="2"/>
  <c r="I737" i="2"/>
  <c r="H830" i="2"/>
  <c r="H897" i="2"/>
  <c r="J986" i="2"/>
  <c r="I986" i="2"/>
  <c r="J907" i="2"/>
  <c r="H907" i="2"/>
  <c r="M8" i="5" l="1"/>
  <c r="E24" i="4" s="1"/>
  <c r="K8" i="5"/>
  <c r="E22" i="4" s="1"/>
  <c r="M5" i="5"/>
  <c r="M7" i="5" s="1"/>
  <c r="G6" i="5"/>
  <c r="D18" i="4" s="1"/>
  <c r="F6" i="5"/>
  <c r="D17" i="4" s="1"/>
  <c r="E8" i="5"/>
  <c r="E16" i="4" s="1"/>
  <c r="N6" i="5"/>
  <c r="D25" i="4" s="1"/>
  <c r="K6" i="5"/>
  <c r="D22" i="4" s="1"/>
  <c r="F5" i="5"/>
  <c r="L5" i="5"/>
  <c r="C23" i="4" s="1"/>
  <c r="H6" i="5"/>
  <c r="D19" i="4" s="1"/>
  <c r="I6" i="5"/>
  <c r="D20" i="4" s="1"/>
  <c r="D5" i="5"/>
  <c r="C15" i="4" s="1"/>
  <c r="J5" i="5"/>
  <c r="C21" i="4" s="1"/>
  <c r="D6" i="5"/>
  <c r="D15" i="4" s="1"/>
  <c r="G5" i="5"/>
  <c r="C18" i="4" s="1"/>
  <c r="N5" i="5"/>
  <c r="C25" i="4" s="1"/>
  <c r="L6" i="5"/>
  <c r="D23" i="4" s="1"/>
  <c r="C8" i="5"/>
  <c r="E14" i="4" s="1"/>
  <c r="H5" i="5"/>
  <c r="C19" i="4" s="1"/>
  <c r="J6" i="5"/>
  <c r="D21" i="4" s="1"/>
  <c r="E6" i="5"/>
  <c r="D16" i="4" s="1"/>
  <c r="F5" i="2"/>
  <c r="D8" i="5"/>
  <c r="E15" i="4" s="1"/>
  <c r="C22" i="4"/>
  <c r="C20" i="4"/>
  <c r="H5" i="2"/>
  <c r="C6" i="5"/>
  <c r="C16" i="4"/>
  <c r="AB5" i="3"/>
  <c r="D5" i="2"/>
  <c r="Z11" i="3"/>
  <c r="C5" i="5"/>
  <c r="E44" i="4"/>
  <c r="F44" i="4" s="1"/>
  <c r="E38" i="4"/>
  <c r="F38" i="4" s="1"/>
  <c r="E32" i="4"/>
  <c r="F32" i="4" s="1"/>
  <c r="E47" i="4"/>
  <c r="F47" i="4" s="1"/>
  <c r="E41" i="4"/>
  <c r="F41" i="4" s="1"/>
  <c r="E35" i="4"/>
  <c r="F35" i="4" s="1"/>
  <c r="E42" i="4"/>
  <c r="F42" i="4" s="1"/>
  <c r="E49" i="4"/>
  <c r="F49" i="4" s="1"/>
  <c r="E33" i="4"/>
  <c r="F33" i="4" s="1"/>
  <c r="E46" i="4"/>
  <c r="F46" i="4" s="1"/>
  <c r="E43" i="4"/>
  <c r="F43" i="4" s="1"/>
  <c r="E48" i="4"/>
  <c r="F48" i="4" s="1"/>
  <c r="E36" i="4"/>
  <c r="F36" i="4" s="1"/>
  <c r="E31" i="4"/>
  <c r="F31" i="4" s="1"/>
  <c r="E30" i="4"/>
  <c r="F30" i="4" s="1"/>
  <c r="E40" i="4"/>
  <c r="F40" i="4" s="1"/>
  <c r="E34" i="4"/>
  <c r="F34" i="4" s="1"/>
  <c r="E45" i="4"/>
  <c r="F45" i="4" s="1"/>
  <c r="E39" i="4"/>
  <c r="F39" i="4" s="1"/>
  <c r="E37" i="4"/>
  <c r="F37" i="4" s="1"/>
  <c r="M9" i="5" l="1"/>
  <c r="M11" i="5" s="1"/>
  <c r="F7" i="5"/>
  <c r="F9" i="5" s="1"/>
  <c r="F10" i="5" s="1"/>
  <c r="C24" i="4"/>
  <c r="D7" i="5"/>
  <c r="D9" i="5" s="1"/>
  <c r="D11" i="5" s="1"/>
  <c r="C17" i="4"/>
  <c r="K7" i="5"/>
  <c r="K9" i="5" s="1"/>
  <c r="F22" i="4" s="1"/>
  <c r="J7" i="5"/>
  <c r="J9" i="5" s="1"/>
  <c r="J11" i="5" s="1"/>
  <c r="E7" i="5"/>
  <c r="E9" i="5" s="1"/>
  <c r="F16" i="4" s="1"/>
  <c r="H7" i="5"/>
  <c r="H9" i="5" s="1"/>
  <c r="H11" i="5" s="1"/>
  <c r="I7" i="5"/>
  <c r="I9" i="5" s="1"/>
  <c r="I10" i="5" s="1"/>
  <c r="L7" i="5"/>
  <c r="L9" i="5" s="1"/>
  <c r="L11" i="5" s="1"/>
  <c r="O8" i="5"/>
  <c r="B9" i="4" s="1"/>
  <c r="G7" i="5"/>
  <c r="G9" i="5" s="1"/>
  <c r="G11" i="5" s="1"/>
  <c r="P8" i="5"/>
  <c r="N7" i="5"/>
  <c r="N9" i="5" s="1"/>
  <c r="N11" i="5" s="1"/>
  <c r="Z12" i="3"/>
  <c r="P5" i="5"/>
  <c r="O5" i="5"/>
  <c r="E5" i="4" s="1"/>
  <c r="C7" i="5"/>
  <c r="C14" i="4"/>
  <c r="P6" i="5"/>
  <c r="D14" i="4"/>
  <c r="O6" i="5"/>
  <c r="H5" i="4" s="1"/>
  <c r="F50" i="4"/>
  <c r="AC5" i="3"/>
  <c r="B30" i="4"/>
  <c r="C30" i="4" s="1"/>
  <c r="J5" i="2"/>
  <c r="AB6" i="3"/>
  <c r="F24" i="4" l="1"/>
  <c r="M10" i="5"/>
  <c r="F20" i="4"/>
  <c r="F11" i="5"/>
  <c r="F17" i="4"/>
  <c r="F25" i="4"/>
  <c r="N10" i="5"/>
  <c r="L10" i="5"/>
  <c r="F18" i="4"/>
  <c r="G10" i="5"/>
  <c r="F21" i="4"/>
  <c r="F23" i="4"/>
  <c r="F19" i="4"/>
  <c r="J10" i="5"/>
  <c r="E10" i="5"/>
  <c r="K11" i="5"/>
  <c r="E11" i="5"/>
  <c r="K10" i="5"/>
  <c r="D10" i="5"/>
  <c r="I11" i="5"/>
  <c r="H10" i="5"/>
  <c r="F15" i="4"/>
  <c r="Z13" i="3"/>
  <c r="AB8" i="3" s="1"/>
  <c r="AC6" i="3"/>
  <c r="B31" i="4"/>
  <c r="C31" i="4" s="1"/>
  <c r="P7" i="5"/>
  <c r="O7" i="5"/>
  <c r="C9" i="5"/>
  <c r="AB7" i="3"/>
  <c r="Z14" i="3" l="1"/>
  <c r="Z15" i="3" s="1"/>
  <c r="AB10" i="3" s="1"/>
  <c r="C11" i="5"/>
  <c r="H9" i="4"/>
  <c r="P9" i="5"/>
  <c r="C10" i="5"/>
  <c r="P10" i="5" s="1"/>
  <c r="O9" i="5"/>
  <c r="F14" i="4"/>
  <c r="B33" i="4"/>
  <c r="C33" i="4" s="1"/>
  <c r="AC8" i="3"/>
  <c r="AC7" i="3"/>
  <c r="B32" i="4"/>
  <c r="C32" i="4" s="1"/>
  <c r="AB9" i="3" l="1"/>
  <c r="B34" i="4" s="1"/>
  <c r="C34" i="4" s="1"/>
  <c r="Z16" i="3"/>
  <c r="AB11" i="3" s="1"/>
  <c r="B36" i="4" s="1"/>
  <c r="C36" i="4" s="1"/>
  <c r="O10" i="5"/>
  <c r="E9" i="4" s="1"/>
  <c r="K5" i="4"/>
  <c r="P11" i="5"/>
  <c r="O11" i="5"/>
  <c r="K9" i="4"/>
  <c r="AC10" i="3"/>
  <c r="B35" i="4"/>
  <c r="C35" i="4" s="1"/>
  <c r="AC11" i="3" l="1"/>
  <c r="AC9" i="3"/>
  <c r="Z17" i="3"/>
  <c r="Z18" i="3" s="1"/>
  <c r="AB13" i="3" s="1"/>
  <c r="AB12" i="3" l="1"/>
  <c r="AC12" i="3" s="1"/>
  <c r="B38" i="4"/>
  <c r="C38" i="4" s="1"/>
  <c r="AC13" i="3"/>
  <c r="Z19" i="3"/>
  <c r="B37" i="4" l="1"/>
  <c r="C37" i="4" s="1"/>
  <c r="Z20" i="3"/>
  <c r="Z21" i="3" s="1"/>
  <c r="Z22" i="3" s="1"/>
  <c r="AB42" i="3" s="1"/>
  <c r="AC42" i="3" s="1"/>
  <c r="AB104" i="3" l="1"/>
  <c r="AC104" i="3" s="1"/>
  <c r="AB143" i="3"/>
  <c r="AC143" i="3" s="1"/>
  <c r="AB53" i="3"/>
  <c r="AC53" i="3" s="1"/>
  <c r="AB101" i="3"/>
  <c r="AC101" i="3" s="1"/>
  <c r="AB189" i="3"/>
  <c r="AC189" i="3" s="1"/>
  <c r="AB51" i="3"/>
  <c r="AC51" i="3" s="1"/>
  <c r="AB97" i="3"/>
  <c r="AC97" i="3" s="1"/>
  <c r="AB73" i="3"/>
  <c r="AC73" i="3" s="1"/>
  <c r="AB85" i="3"/>
  <c r="AC85" i="3" s="1"/>
  <c r="AB136" i="3"/>
  <c r="AC136" i="3" s="1"/>
  <c r="AB169" i="3"/>
  <c r="AC169" i="3" s="1"/>
  <c r="AB165" i="3"/>
  <c r="AC165" i="3" s="1"/>
  <c r="AB22" i="3"/>
  <c r="AB146" i="3"/>
  <c r="AC146" i="3" s="1"/>
  <c r="AB82" i="3"/>
  <c r="AC82" i="3" s="1"/>
  <c r="AB148" i="3"/>
  <c r="AC148" i="3" s="1"/>
  <c r="AB142" i="3"/>
  <c r="AC142" i="3" s="1"/>
  <c r="AB77" i="3"/>
  <c r="AC77" i="3" s="1"/>
  <c r="AB144" i="3"/>
  <c r="AC144" i="3" s="1"/>
  <c r="AB179" i="3"/>
  <c r="AC179" i="3" s="1"/>
  <c r="AB54" i="3"/>
  <c r="AC54" i="3" s="1"/>
  <c r="AB63" i="3"/>
  <c r="AC63" i="3" s="1"/>
  <c r="AB88" i="3"/>
  <c r="AC88" i="3" s="1"/>
  <c r="AB103" i="3"/>
  <c r="AC103" i="3" s="1"/>
  <c r="AB92" i="3"/>
  <c r="AC92" i="3" s="1"/>
  <c r="AB170" i="3"/>
  <c r="AC170" i="3" s="1"/>
  <c r="AB171" i="3"/>
  <c r="AC171" i="3" s="1"/>
  <c r="AB90" i="3"/>
  <c r="AC90" i="3" s="1"/>
  <c r="AB157" i="3"/>
  <c r="AC157" i="3" s="1"/>
  <c r="AB14" i="3"/>
  <c r="AB89" i="3"/>
  <c r="AC89" i="3" s="1"/>
  <c r="AB122" i="3"/>
  <c r="AC122" i="3" s="1"/>
  <c r="AB105" i="3"/>
  <c r="AC105" i="3" s="1"/>
  <c r="AB127" i="3"/>
  <c r="AC127" i="3" s="1"/>
  <c r="AB163" i="3"/>
  <c r="AC163" i="3" s="1"/>
  <c r="AB119" i="3"/>
  <c r="AC119" i="3" s="1"/>
  <c r="AB20" i="3"/>
  <c r="AB44" i="3"/>
  <c r="AC44" i="3" s="1"/>
  <c r="AB29" i="3"/>
  <c r="AC29" i="3" s="1"/>
  <c r="AB156" i="3"/>
  <c r="AC156" i="3" s="1"/>
  <c r="AB81" i="3"/>
  <c r="AC81" i="3" s="1"/>
  <c r="AB70" i="3"/>
  <c r="AC70" i="3" s="1"/>
  <c r="AB188" i="3"/>
  <c r="AC188" i="3" s="1"/>
  <c r="AB30" i="3"/>
  <c r="AC30" i="3" s="1"/>
  <c r="AB57" i="3"/>
  <c r="AC57" i="3" s="1"/>
  <c r="AB149" i="3"/>
  <c r="AC149" i="3" s="1"/>
  <c r="AB145" i="3"/>
  <c r="AC145" i="3" s="1"/>
  <c r="AB123" i="3"/>
  <c r="AC123" i="3" s="1"/>
  <c r="AB167" i="3"/>
  <c r="AC167" i="3" s="1"/>
  <c r="AB151" i="3"/>
  <c r="AC151" i="3" s="1"/>
  <c r="AB69" i="3"/>
  <c r="AC69" i="3" s="1"/>
  <c r="AB16" i="3"/>
  <c r="AB71" i="3"/>
  <c r="AC71" i="3" s="1"/>
  <c r="AB45" i="3"/>
  <c r="AC45" i="3" s="1"/>
  <c r="AB19" i="3"/>
  <c r="AB139" i="3"/>
  <c r="AC139" i="3" s="1"/>
  <c r="AB182" i="3"/>
  <c r="AC182" i="3" s="1"/>
  <c r="AB153" i="3"/>
  <c r="AC153" i="3" s="1"/>
  <c r="AB66" i="3"/>
  <c r="AC66" i="3" s="1"/>
  <c r="AB107" i="3"/>
  <c r="AC107" i="3" s="1"/>
  <c r="AB43" i="3"/>
  <c r="AC43" i="3" s="1"/>
  <c r="AB160" i="3"/>
  <c r="AC160" i="3" s="1"/>
  <c r="AB187" i="3"/>
  <c r="AC187" i="3" s="1"/>
  <c r="AB198" i="3"/>
  <c r="AC198" i="3" s="1"/>
  <c r="AB96" i="3"/>
  <c r="AC96" i="3" s="1"/>
  <c r="AB125" i="3"/>
  <c r="AC125" i="3" s="1"/>
  <c r="AB140" i="3"/>
  <c r="AC140" i="3" s="1"/>
  <c r="AB37" i="3"/>
  <c r="AC37" i="3" s="1"/>
  <c r="AB134" i="3"/>
  <c r="AC134" i="3" s="1"/>
  <c r="AB175" i="3"/>
  <c r="AC175" i="3" s="1"/>
  <c r="AB41" i="3"/>
  <c r="AC41" i="3" s="1"/>
  <c r="AB190" i="3"/>
  <c r="AC190" i="3" s="1"/>
  <c r="AB38" i="3"/>
  <c r="AC38" i="3" s="1"/>
  <c r="AB114" i="3"/>
  <c r="AC114" i="3" s="1"/>
  <c r="AB61" i="3"/>
  <c r="AC61" i="3" s="1"/>
  <c r="AB34" i="3"/>
  <c r="AC34" i="3" s="1"/>
  <c r="AB131" i="3"/>
  <c r="AC131" i="3" s="1"/>
  <c r="AB126" i="3"/>
  <c r="AC126" i="3" s="1"/>
  <c r="AB39" i="3"/>
  <c r="AC39" i="3" s="1"/>
  <c r="AB78" i="3"/>
  <c r="AC78" i="3" s="1"/>
  <c r="AB110" i="3"/>
  <c r="AC110" i="3" s="1"/>
  <c r="AB199" i="3"/>
  <c r="AC199" i="3" s="1"/>
  <c r="AB180" i="3"/>
  <c r="AC180" i="3" s="1"/>
  <c r="AB95" i="3"/>
  <c r="AC95" i="3" s="1"/>
  <c r="AB118" i="3"/>
  <c r="AC118" i="3" s="1"/>
  <c r="AB17" i="3"/>
  <c r="AB168" i="3"/>
  <c r="AC168" i="3" s="1"/>
  <c r="AB120" i="3"/>
  <c r="AC120" i="3" s="1"/>
  <c r="AB112" i="3"/>
  <c r="AC112" i="3" s="1"/>
  <c r="AB60" i="3"/>
  <c r="AC60" i="3" s="1"/>
  <c r="AB50" i="3"/>
  <c r="AC50" i="3" s="1"/>
  <c r="AB94" i="3"/>
  <c r="AC94" i="3" s="1"/>
  <c r="AB113" i="3"/>
  <c r="AC113" i="3" s="1"/>
  <c r="AB56" i="3"/>
  <c r="AC56" i="3" s="1"/>
  <c r="AB158" i="3"/>
  <c r="AC158" i="3" s="1"/>
  <c r="AB178" i="3"/>
  <c r="AC178" i="3" s="1"/>
  <c r="AB137" i="3"/>
  <c r="AC137" i="3" s="1"/>
  <c r="AB27" i="3"/>
  <c r="AC27" i="3" s="1"/>
  <c r="AB91" i="3"/>
  <c r="AC91" i="3" s="1"/>
  <c r="AB172" i="3"/>
  <c r="AC172" i="3" s="1"/>
  <c r="AB84" i="3"/>
  <c r="AC84" i="3" s="1"/>
  <c r="AB15" i="3"/>
  <c r="AB117" i="3"/>
  <c r="AC117" i="3" s="1"/>
  <c r="AB75" i="3"/>
  <c r="AC75" i="3" s="1"/>
  <c r="AB86" i="3"/>
  <c r="AC86" i="3" s="1"/>
  <c r="AB181" i="3"/>
  <c r="AC181" i="3" s="1"/>
  <c r="AB21" i="3"/>
  <c r="AB200" i="3"/>
  <c r="AC200" i="3" s="1"/>
  <c r="AB108" i="3"/>
  <c r="AC108" i="3" s="1"/>
  <c r="AB162" i="3"/>
  <c r="AC162" i="3" s="1"/>
  <c r="AB25" i="3"/>
  <c r="AC25" i="3" s="1"/>
  <c r="AB147" i="3"/>
  <c r="AC147" i="3" s="1"/>
  <c r="AB48" i="3"/>
  <c r="AC48" i="3" s="1"/>
  <c r="AB186" i="3"/>
  <c r="AC186" i="3" s="1"/>
  <c r="AB191" i="3"/>
  <c r="AC191" i="3" s="1"/>
  <c r="AB80" i="3"/>
  <c r="AC80" i="3" s="1"/>
  <c r="AB99" i="3"/>
  <c r="AC99" i="3" s="1"/>
  <c r="AB174" i="3"/>
  <c r="AC174" i="3" s="1"/>
  <c r="AB98" i="3"/>
  <c r="AC98" i="3" s="1"/>
  <c r="AB32" i="3"/>
  <c r="AC32" i="3" s="1"/>
  <c r="AB196" i="3"/>
  <c r="AC196" i="3" s="1"/>
  <c r="AB72" i="3"/>
  <c r="AC72" i="3" s="1"/>
  <c r="AB135" i="3"/>
  <c r="AC135" i="3" s="1"/>
  <c r="AB129" i="3"/>
  <c r="AC129" i="3" s="1"/>
  <c r="AB87" i="3"/>
  <c r="AC87" i="3" s="1"/>
  <c r="AB173" i="3"/>
  <c r="AC173" i="3" s="1"/>
  <c r="AB46" i="3"/>
  <c r="AC46" i="3" s="1"/>
  <c r="AB31" i="3"/>
  <c r="AC31" i="3" s="1"/>
  <c r="AB141" i="3"/>
  <c r="AC141" i="3" s="1"/>
  <c r="AB79" i="3"/>
  <c r="AC79" i="3" s="1"/>
  <c r="AB154" i="3"/>
  <c r="AC154" i="3" s="1"/>
  <c r="AB28" i="3"/>
  <c r="AC28" i="3" s="1"/>
  <c r="AB124" i="3"/>
  <c r="AC124" i="3" s="1"/>
  <c r="AB155" i="3"/>
  <c r="AC155" i="3" s="1"/>
  <c r="AB23" i="3"/>
  <c r="AB130" i="3"/>
  <c r="AC130" i="3" s="1"/>
  <c r="AB24" i="3"/>
  <c r="AB183" i="3"/>
  <c r="AC183" i="3" s="1"/>
  <c r="AB115" i="3"/>
  <c r="AC115" i="3" s="1"/>
  <c r="AB106" i="3"/>
  <c r="AC106" i="3" s="1"/>
  <c r="AB138" i="3"/>
  <c r="AC138" i="3" s="1"/>
  <c r="AB102" i="3"/>
  <c r="AC102" i="3" s="1"/>
  <c r="AB159" i="3"/>
  <c r="AC159" i="3" s="1"/>
  <c r="AB166" i="3"/>
  <c r="AC166" i="3" s="1"/>
  <c r="AB195" i="3"/>
  <c r="AC195" i="3" s="1"/>
  <c r="AB176" i="3"/>
  <c r="AC176" i="3" s="1"/>
  <c r="AB59" i="3"/>
  <c r="AC59" i="3" s="1"/>
  <c r="AB49" i="3"/>
  <c r="AC49" i="3" s="1"/>
  <c r="AB52" i="3"/>
  <c r="AC52" i="3" s="1"/>
  <c r="AB40" i="3"/>
  <c r="AC40" i="3" s="1"/>
  <c r="AB197" i="3"/>
  <c r="AC197" i="3" s="1"/>
  <c r="AB47" i="3"/>
  <c r="AC47" i="3" s="1"/>
  <c r="AB83" i="3"/>
  <c r="AC83" i="3" s="1"/>
  <c r="AB152" i="3"/>
  <c r="AC152" i="3" s="1"/>
  <c r="AB76" i="3"/>
  <c r="AC76" i="3" s="1"/>
  <c r="AB67" i="3"/>
  <c r="AC67" i="3" s="1"/>
  <c r="AB35" i="3"/>
  <c r="AC35" i="3" s="1"/>
  <c r="AB193" i="3"/>
  <c r="AC193" i="3" s="1"/>
  <c r="AB128" i="3"/>
  <c r="AC128" i="3" s="1"/>
  <c r="AB62" i="3"/>
  <c r="AC62" i="3" s="1"/>
  <c r="AB185" i="3"/>
  <c r="AC185" i="3" s="1"/>
  <c r="AB111" i="3"/>
  <c r="AC111" i="3" s="1"/>
  <c r="AB121" i="3"/>
  <c r="AC121" i="3" s="1"/>
  <c r="AB194" i="3"/>
  <c r="AC194" i="3" s="1"/>
  <c r="AB161" i="3"/>
  <c r="AC161" i="3" s="1"/>
  <c r="AB36" i="3"/>
  <c r="AC36" i="3" s="1"/>
  <c r="AB33" i="3"/>
  <c r="AC33" i="3" s="1"/>
  <c r="AB177" i="3"/>
  <c r="AC177" i="3" s="1"/>
  <c r="AB55" i="3"/>
  <c r="AC55" i="3" s="1"/>
  <c r="AB116" i="3"/>
  <c r="AC116" i="3" s="1"/>
  <c r="AB58" i="3"/>
  <c r="AC58" i="3" s="1"/>
  <c r="AB133" i="3"/>
  <c r="AC133" i="3" s="1"/>
  <c r="AB26" i="3"/>
  <c r="AC26" i="3" s="1"/>
  <c r="AB192" i="3"/>
  <c r="AC192" i="3" s="1"/>
  <c r="AB93" i="3"/>
  <c r="AC93" i="3" s="1"/>
  <c r="AB150" i="3"/>
  <c r="AC150" i="3" s="1"/>
  <c r="AB74" i="3"/>
  <c r="AC74" i="3" s="1"/>
  <c r="AB184" i="3"/>
  <c r="AC184" i="3" s="1"/>
  <c r="AB68" i="3"/>
  <c r="AC68" i="3" s="1"/>
  <c r="AB65" i="3"/>
  <c r="AC65" i="3" s="1"/>
  <c r="AB100" i="3"/>
  <c r="AC100" i="3" s="1"/>
  <c r="AB64" i="3"/>
  <c r="AC64" i="3" s="1"/>
  <c r="AB109" i="3"/>
  <c r="AC109" i="3" s="1"/>
  <c r="AB18" i="3"/>
  <c r="AB164" i="3"/>
  <c r="AC164" i="3" s="1"/>
  <c r="AB132" i="3"/>
  <c r="AC132" i="3" s="1"/>
  <c r="AC24" i="3" l="1"/>
  <c r="B49" i="4"/>
  <c r="C49" i="4" s="1"/>
  <c r="AC18" i="3"/>
  <c r="B43" i="4"/>
  <c r="C43" i="4" s="1"/>
  <c r="B48" i="4"/>
  <c r="C48" i="4" s="1"/>
  <c r="AC23" i="3"/>
  <c r="B42" i="4"/>
  <c r="C42" i="4" s="1"/>
  <c r="AC17" i="3"/>
  <c r="B40" i="4"/>
  <c r="C40" i="4" s="1"/>
  <c r="AC15" i="3"/>
  <c r="AC14" i="3"/>
  <c r="B39" i="4"/>
  <c r="C39" i="4" s="1"/>
  <c r="B47" i="4"/>
  <c r="C47" i="4" s="1"/>
  <c r="AC22" i="3"/>
  <c r="B46" i="4"/>
  <c r="C46" i="4" s="1"/>
  <c r="AC21" i="3"/>
  <c r="AC19" i="3"/>
  <c r="B44" i="4"/>
  <c r="C44" i="4" s="1"/>
  <c r="AC20" i="3"/>
  <c r="B45" i="4"/>
  <c r="C45" i="4" s="1"/>
  <c r="B41" i="4"/>
  <c r="C41" i="4" s="1"/>
  <c r="AC16" i="3"/>
  <c r="C50" i="4" l="1"/>
</calcChain>
</file>

<file path=xl/sharedStrings.xml><?xml version="1.0" encoding="utf-8"?>
<sst xmlns="http://schemas.openxmlformats.org/spreadsheetml/2006/main" count="184" uniqueCount="132">
  <si>
    <t>CONTROL PYME: INGRESOS, GASTOS Y GANANCIA</t>
  </si>
  <si>
    <t>Registra movimientos diarios y revisa automáticamente cuánto gana o pierde tu negocio cada mes.</t>
  </si>
  <si>
    <t>Promesa de la plantilla</t>
  </si>
  <si>
    <t>Anota cada ingreso, gasto o ahorro del mes y el Excel calcula automáticamente el resumen, la ganancia y los gráficos.</t>
  </si>
  <si>
    <t>Paso</t>
  </si>
  <si>
    <t>Acción</t>
  </si>
  <si>
    <t>Resultado</t>
  </si>
  <si>
    <t>Color</t>
  </si>
  <si>
    <t>Significado</t>
  </si>
  <si>
    <t>Uso rápido</t>
  </si>
  <si>
    <t>1</t>
  </si>
  <si>
    <t>Configura categorías</t>
  </si>
  <si>
    <t>Edita la hoja Categorias según tu negocio.</t>
  </si>
  <si>
    <t>Pastel</t>
  </si>
  <si>
    <t>Celdas para rellenar</t>
  </si>
  <si>
    <t>1) Ajusta categorías.
2) Registra fecha, categoría, descripción y monto.
3) Revisa Resumen Mensual y Dashboard.
No borres las columnas automáticas: Mes, Tipo, Ingreso auto, Gasto auto y Reserva auto.</t>
  </si>
  <si>
    <t>2</t>
  </si>
  <si>
    <t>Registra movimientos</t>
  </si>
  <si>
    <t>Anota cada venta, gasto o ahorro en Registro Mensual.</t>
  </si>
  <si>
    <t>Gris perla</t>
  </si>
  <si>
    <t>Celdas automáticas</t>
  </si>
  <si>
    <t>3</t>
  </si>
  <si>
    <t>Revisa resultados</t>
  </si>
  <si>
    <t>El Resumen Mensual calcula ingresos, gastos, reserva y ganancia.</t>
  </si>
  <si>
    <t>Dorado</t>
  </si>
  <si>
    <t>Totales importantes</t>
  </si>
  <si>
    <t>4</t>
  </si>
  <si>
    <t>Mira el dashboard</t>
  </si>
  <si>
    <t>Visualiza gráficos y alertas para tomar mejores decisiones.</t>
  </si>
  <si>
    <t>Rojo vino</t>
  </si>
  <si>
    <t>Subtítulos y alertas</t>
  </si>
  <si>
    <t>Negro</t>
  </si>
  <si>
    <t>Encabezados</t>
  </si>
  <si>
    <t>REGISTRO MENSUAL</t>
  </si>
  <si>
    <t>Anota aquí cada ingreso, gasto o ahorro. El resumen y dashboard se actualizan solos.</t>
  </si>
  <si>
    <t>Mes a revisar</t>
  </si>
  <si>
    <t>Ingresos mes</t>
  </si>
  <si>
    <t>Gastos mes</t>
  </si>
  <si>
    <t>Reserva / ahorro mes</t>
  </si>
  <si>
    <t>Ganancia disponible</t>
  </si>
  <si>
    <t>¿Qué se hace en esta hoja?</t>
  </si>
  <si>
    <t>Filtro, selecciona el mes en el que te encuentras→</t>
  </si>
  <si>
    <t>Esta es la hoja que más se rellena. Escribe la Fecha, la Categoría, la Descripción y el Monto. El Mes, el Tipo, el Ingreso auto, el Gasto auto y la Reserva auto se calculan solos. El resumen superior usa el mismo mes seleccionado en Dashboard K5.</t>
  </si>
  <si>
    <t>Fecha</t>
  </si>
  <si>
    <t>Mes</t>
  </si>
  <si>
    <t>Categoría</t>
  </si>
  <si>
    <t>Tipo</t>
  </si>
  <si>
    <t>Descripción</t>
  </si>
  <si>
    <t>Monto</t>
  </si>
  <si>
    <t>Ingreso auto</t>
  </si>
  <si>
    <t>Gasto auto</t>
  </si>
  <si>
    <t>Reserva auto</t>
  </si>
  <si>
    <t>Nota</t>
  </si>
  <si>
    <t>Ventas</t>
  </si>
  <si>
    <t>Venta local</t>
  </si>
  <si>
    <t>Ventas del día</t>
  </si>
  <si>
    <t>Arriendo</t>
  </si>
  <si>
    <t>Arriendo local</t>
  </si>
  <si>
    <t>Pago fijo mensual</t>
  </si>
  <si>
    <t>Servicios básicos</t>
  </si>
  <si>
    <t>Luz y agua</t>
  </si>
  <si>
    <t>Publicidad</t>
  </si>
  <si>
    <t>Campaña redes</t>
  </si>
  <si>
    <t>Reserva de caja</t>
  </si>
  <si>
    <t>Insumos</t>
  </si>
  <si>
    <t>Sueldos</t>
  </si>
  <si>
    <t>Ahorro para impuestos</t>
  </si>
  <si>
    <t>Servicios</t>
  </si>
  <si>
    <t>Internet</t>
  </si>
  <si>
    <t>Comisiones</t>
  </si>
  <si>
    <t>Venta online</t>
  </si>
  <si>
    <t>Delivery</t>
  </si>
  <si>
    <t>Mantenimiento</t>
  </si>
  <si>
    <t>Contabilidad</t>
  </si>
  <si>
    <t>Otros gastos</t>
  </si>
  <si>
    <t>Ahorro para inversión</t>
  </si>
  <si>
    <t>CATEGORÍAS</t>
  </si>
  <si>
    <t>Edita las categorías. El tipo debe ser Ingreso, Gasto o Reserva.</t>
  </si>
  <si>
    <t>Orden gasto mes Dashboard</t>
  </si>
  <si>
    <t>Orden ingreso mes Dashboard</t>
  </si>
  <si>
    <t>Categoría gasto gráfico</t>
  </si>
  <si>
    <t>Monto gasto gráfico</t>
  </si>
  <si>
    <t>Ingreso</t>
  </si>
  <si>
    <t>Puedes agregar nuevas categorías debajo. Usa exactamente estos tipos: Ingreso, Gasto o Reserva. Así el Registro Mensual podrá calcular automáticamente cada movimiento.</t>
  </si>
  <si>
    <t>Abonos de clientes</t>
  </si>
  <si>
    <t>Otros ingresos</t>
  </si>
  <si>
    <t>Gasto</t>
  </si>
  <si>
    <t>Aquí se escriben las categorías que usará el negocio. En la columna B va el nombre, por ejemplo: Ventas, Arriendo o Insumos. En la columna C va el tipo exacto: Ingreso, Gasto o Reserva. Después, esas categorías aparecen en el Registro Mensual y el tipo se completa solo.</t>
  </si>
  <si>
    <t>Transporte</t>
  </si>
  <si>
    <t>Patente / permisos</t>
  </si>
  <si>
    <t>Reserva</t>
  </si>
  <si>
    <t>DASHBOARD CONTROL PYME</t>
  </si>
  <si>
    <t>Visualiza ingresos, gastos, ahorro y ganancia de forma automática.</t>
  </si>
  <si>
    <t>Mes a analizar</t>
  </si>
  <si>
    <t>Ingresos año</t>
  </si>
  <si>
    <t>Gastos año</t>
  </si>
  <si>
    <t>Ganancia disponible año</t>
  </si>
  <si>
    <t>Enero</t>
  </si>
  <si>
    <t>Cambia B5 para revisar ingresos, gastos y reservas del mes seleccionado.</t>
  </si>
  <si>
    <t>Reserva / ahorro año</t>
  </si>
  <si>
    <t>Margen anual</t>
  </si>
  <si>
    <t>Mejor mes</t>
  </si>
  <si>
    <t>Meses con pérdida</t>
  </si>
  <si>
    <t>Ingresos</t>
  </si>
  <si>
    <t>Gastos</t>
  </si>
  <si>
    <t>Aquí solo se mira la información. Los indicadores, tablas y gráficos vienen del Resumen Mensual y del Registro Mensual. Cambia el Mes a analizar en B5 usando la lista desplegable; ese mismo mes se refleja en el Registro Mensual.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</si>
  <si>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</si>
  <si>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</si>
  <si>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</si>
  <si>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</si>
  <si>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</si>
  <si>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</si>
  <si>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</si>
  <si>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</si>
  <si>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</si>
  <si>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</si>
  <si>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</si>
  <si>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Gastos por categoría</t>
  </si>
  <si>
    <t>Ingresos por categoría</t>
  </si>
  <si>
    <t>TOTAL GASTOS</t>
  </si>
  <si>
    <t>TOTAL INGRESOS</t>
  </si>
  <si>
    <t>Control: estos totales deben coincidir con el mes seleccionado.</t>
  </si>
  <si>
    <t>RESUMEN MENSUAL</t>
  </si>
  <si>
    <t>Consolidado automático desde el Registro Mensual.</t>
  </si>
  <si>
    <t>Concepto</t>
  </si>
  <si>
    <t>Total</t>
  </si>
  <si>
    <t>Promedio</t>
  </si>
  <si>
    <t>Ganancia bruta</t>
  </si>
  <si>
    <t>Reserva / ahorro</t>
  </si>
  <si>
    <t>Margen %</t>
  </si>
  <si>
    <t>Estado</t>
  </si>
  <si>
    <t>Esta hoja no se rellena manualmente. Toma la información del Registro Mensual y calcula ingresos, gastos, reserva, ganancia disponible, margen y estado de cada mes. Si modificas un movimiento en el Registro, este resumen cambia solo.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</si>
</sst>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\ #,##0"/>
    <numFmt numFmtId="165" formatCode="0.0%"/>
    <numFmt numFmtId="166" formatCode="dd\-mm\-yyyy"/>
  </numFmts>
  <fonts count="17" x14ac:knownFonts="1">
    <font>
      <sz val="11"/>
      <color theme="1"/>
      <name val="Calibri"/>
    </font>
    <font>
      <b/>
      <sz val="16"/>
      <color rgb="FFFFFFFF"/>
      <name val="Segoe UI"/>
    </font>
    <font>
      <sz val="10"/>
      <color rgb="FFFFFFFF"/>
      <name val="Segoe UI"/>
    </font>
    <font>
      <b/>
      <sz val="15"/>
      <color rgb="FF161524"/>
      <name val="Segoe UI"/>
    </font>
    <font>
      <b/>
      <sz val="12"/>
      <color rgb="FF161524"/>
      <name val="Segoe UI"/>
    </font>
    <font>
      <b/>
      <sz val="10"/>
      <color rgb="FFFFFFFF"/>
      <name val="Segoe UI"/>
    </font>
    <font>
      <b/>
      <sz val="10"/>
      <color rgb="FF161524"/>
      <name val="Segoe UI"/>
    </font>
    <font>
      <sz val="10"/>
      <color rgb="FF161524"/>
      <name val="Segoe UI"/>
    </font>
    <font>
      <b/>
      <sz val="11"/>
      <color rgb="FF161524"/>
      <name val="Segoe UI"/>
    </font>
    <font>
      <b/>
      <sz val="11"/>
      <color rgb="FFFFFFFF"/>
      <name val="Calibri"/>
    </font>
    <font>
      <sz val="10"/>
      <color rgb="FF1F1F1F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sz val="11"/>
      <color theme="1"/>
      <name val="Calibri"/>
      <family val="2"/>
    </font>
    <font>
      <sz val="10"/>
      <color theme="1"/>
      <name val="Segoe UI"/>
      <family val="2"/>
    </font>
    <font>
      <sz val="10"/>
      <color rgb="FF1F1F1F"/>
      <name val="Calibri"/>
      <family val="2"/>
    </font>
  </fonts>
  <fills count="12">
    <fill>
      <patternFill patternType="none"/>
    </fill>
    <fill>
      <patternFill patternType="gray125"/>
    </fill>
    <fill>
      <patternFill patternType="solid"/>
    </fill>
    <fill>
      <patternFill patternType="solid">
        <fgColor rgb="FF8B3333"/>
      </patternFill>
    </fill>
    <fill>
      <patternFill patternType="solid">
        <fgColor rgb="FFD4AF37"/>
      </patternFill>
    </fill>
    <fill>
      <patternFill patternType="solid">
        <fgColor rgb="FFFFFEF9"/>
      </patternFill>
    </fill>
    <fill>
      <patternFill patternType="solid">
        <fgColor rgb="FF1F1F1F"/>
      </patternFill>
    </fill>
    <fill>
      <patternFill patternType="solid">
        <fgColor rgb="FFFFF6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993300"/>
        <bgColor indexed="64"/>
      </patternFill>
    </fill>
    <fill>
      <patternFill patternType="solid">
        <fgColor theme="6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/>
      <right/>
      <top/>
      <bottom style="thin">
        <color rgb="FF1F1F1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1F1F1F"/>
      </right>
      <top style="thin">
        <color rgb="FF1F1F1F"/>
      </top>
      <bottom style="thin">
        <color rgb="FF1F1F1F"/>
      </bottom>
      <diagonal/>
    </border>
    <border>
      <left/>
      <right/>
      <top style="medium">
        <color rgb="FF1F1F1F"/>
      </top>
      <bottom/>
      <diagonal/>
    </border>
    <border>
      <left/>
      <right style="medium">
        <color rgb="FF1F1F1F"/>
      </right>
      <top style="medium">
        <color rgb="FF1F1F1F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/>
      <diagonal/>
    </border>
  </borders>
  <cellStyleXfs count="1">
    <xf numFmtId="0" fontId="0" fillId="0" borderId="3"/>
  </cellStyleXfs>
  <cellXfs count="85">
    <xf numFmtId="0" fontId="0" fillId="0" borderId="0" xfId="0" applyBorder="1"/>
    <xf numFmtId="0" fontId="5" fillId="2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0" fillId="0" borderId="0" xfId="0" applyBorder="1"/>
    <xf numFmtId="0" fontId="12" fillId="6" borderId="6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0" fillId="8" borderId="0" xfId="0" applyFill="1" applyBorder="1"/>
    <xf numFmtId="0" fontId="14" fillId="8" borderId="0" xfId="0" applyFont="1" applyFill="1" applyBorder="1" applyAlignment="1">
      <alignment wrapText="1"/>
    </xf>
    <xf numFmtId="0" fontId="7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0" fillId="8" borderId="3" xfId="0" applyFill="1"/>
    <xf numFmtId="0" fontId="5" fillId="2" borderId="19" xfId="0" applyFont="1" applyFill="1" applyBorder="1" applyAlignment="1">
      <alignment horizontal="center" vertical="center" wrapText="1"/>
    </xf>
    <xf numFmtId="0" fontId="12" fillId="8" borderId="0" xfId="0" applyFont="1" applyFill="1" applyBorder="1" applyAlignment="1">
      <alignment horizontal="center" vertical="center"/>
    </xf>
    <xf numFmtId="0" fontId="7" fillId="9" borderId="19" xfId="0" applyFont="1" applyFill="1" applyBorder="1" applyAlignment="1">
      <alignment horizontal="center" vertical="center" wrapText="1"/>
    </xf>
    <xf numFmtId="0" fontId="11" fillId="8" borderId="0" xfId="0" applyFont="1" applyFill="1" applyBorder="1" applyAlignment="1">
      <alignment wrapText="1"/>
    </xf>
    <xf numFmtId="0" fontId="13" fillId="8" borderId="0" xfId="0" applyFont="1" applyFill="1" applyBorder="1" applyAlignment="1">
      <alignment vertical="top" wrapText="1"/>
    </xf>
    <xf numFmtId="0" fontId="0" fillId="9" borderId="6" xfId="0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center" vertical="center" wrapText="1"/>
    </xf>
    <xf numFmtId="0" fontId="14" fillId="7" borderId="6" xfId="0" applyFont="1" applyFill="1" applyBorder="1"/>
    <xf numFmtId="164" fontId="6" fillId="4" borderId="4" xfId="0" applyNumberFormat="1" applyFont="1" applyFill="1" applyBorder="1" applyAlignment="1">
      <alignment horizontal="center" vertical="center" wrapText="1"/>
    </xf>
    <xf numFmtId="166" fontId="15" fillId="7" borderId="1" xfId="0" applyNumberFormat="1" applyFont="1" applyFill="1" applyBorder="1" applyAlignment="1">
      <alignment horizontal="center" vertical="center" wrapText="1"/>
    </xf>
    <xf numFmtId="164" fontId="15" fillId="7" borderId="1" xfId="0" applyNumberFormat="1" applyFont="1" applyFill="1" applyBorder="1" applyAlignment="1">
      <alignment horizontal="center" vertical="center" wrapText="1"/>
    </xf>
    <xf numFmtId="164" fontId="7" fillId="9" borderId="1" xfId="0" applyNumberFormat="1" applyFont="1" applyFill="1" applyBorder="1" applyAlignment="1">
      <alignment horizontal="center" vertical="center" wrapText="1"/>
    </xf>
    <xf numFmtId="164" fontId="0" fillId="8" borderId="0" xfId="0" applyNumberFormat="1" applyFill="1" applyBorder="1"/>
    <xf numFmtId="164" fontId="7" fillId="9" borderId="19" xfId="0" applyNumberFormat="1" applyFont="1" applyFill="1" applyBorder="1" applyAlignment="1">
      <alignment horizontal="center" vertical="center" wrapText="1"/>
    </xf>
    <xf numFmtId="164" fontId="0" fillId="9" borderId="6" xfId="0" applyNumberFormat="1" applyFill="1" applyBorder="1" applyAlignment="1">
      <alignment horizontal="center" vertical="center"/>
    </xf>
    <xf numFmtId="164" fontId="12" fillId="6" borderId="6" xfId="0" applyNumberFormat="1" applyFont="1" applyFill="1" applyBorder="1" applyAlignment="1">
      <alignment horizontal="center" vertical="center"/>
    </xf>
    <xf numFmtId="164" fontId="7" fillId="9" borderId="4" xfId="0" applyNumberFormat="1" applyFont="1" applyFill="1" applyBorder="1" applyAlignment="1">
      <alignment horizontal="center" vertical="center" wrapText="1"/>
    </xf>
    <xf numFmtId="164" fontId="6" fillId="4" borderId="1" xfId="0" applyNumberFormat="1" applyFont="1" applyFill="1" applyBorder="1" applyAlignment="1">
      <alignment horizontal="center" vertical="center" wrapText="1"/>
    </xf>
    <xf numFmtId="165" fontId="7" fillId="9" borderId="4" xfId="0" applyNumberFormat="1" applyFont="1" applyFill="1" applyBorder="1" applyAlignment="1">
      <alignment horizontal="center" vertical="center" wrapText="1"/>
    </xf>
    <xf numFmtId="165" fontId="6" fillId="4" borderId="1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3" fillId="4" borderId="6" xfId="0" applyFont="1" applyFill="1" applyBorder="1" applyAlignment="1">
      <alignment horizontal="center" vertical="center"/>
    </xf>
    <xf numFmtId="0" fontId="16" fillId="11" borderId="6" xfId="0" applyFont="1" applyFill="1" applyBorder="1" applyAlignment="1">
      <alignment horizontal="left" vertical="center" wrapText="1"/>
    </xf>
    <xf numFmtId="0" fontId="0" fillId="0" borderId="11" xfId="0" applyBorder="1"/>
    <xf numFmtId="0" fontId="0" fillId="0" borderId="7" xfId="0" applyBorder="1"/>
    <xf numFmtId="0" fontId="0" fillId="0" borderId="2" xfId="0" applyBorder="1"/>
    <xf numFmtId="0" fontId="0" fillId="0" borderId="12" xfId="0" applyBorder="1"/>
    <xf numFmtId="0" fontId="0" fillId="0" borderId="14" xfId="0" applyBorder="1"/>
    <xf numFmtId="0" fontId="2" fillId="3" borderId="6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0" fillId="0" borderId="15" xfId="0" applyBorder="1"/>
    <xf numFmtId="0" fontId="1" fillId="2" borderId="3" xfId="0" applyFont="1" applyFill="1" applyAlignment="1">
      <alignment horizontal="center" vertical="center"/>
    </xf>
    <xf numFmtId="0" fontId="0" fillId="0" borderId="0" xfId="0" applyBorder="1"/>
    <xf numFmtId="164" fontId="6" fillId="4" borderId="4" xfId="0" applyNumberFormat="1" applyFont="1" applyFill="1" applyBorder="1" applyAlignment="1">
      <alignment horizontal="center" vertical="center" wrapText="1"/>
    </xf>
    <xf numFmtId="0" fontId="15" fillId="7" borderId="4" xfId="0" applyFont="1" applyFill="1" applyBorder="1" applyAlignment="1">
      <alignment horizontal="center" vertical="center" wrapText="1"/>
    </xf>
    <xf numFmtId="0" fontId="2" fillId="3" borderId="3" xfId="0" applyFont="1" applyFill="1" applyAlignment="1">
      <alignment horizontal="center" vertical="center"/>
    </xf>
    <xf numFmtId="0" fontId="10" fillId="11" borderId="6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3" xfId="0" applyBorder="1"/>
    <xf numFmtId="0" fontId="5" fillId="2" borderId="6" xfId="0" applyFont="1" applyFill="1" applyBorder="1" applyAlignment="1">
      <alignment horizontal="center" vertical="center" wrapText="1"/>
    </xf>
    <xf numFmtId="164" fontId="6" fillId="4" borderId="6" xfId="0" applyNumberFormat="1" applyFont="1" applyFill="1" applyBorder="1" applyAlignment="1">
      <alignment horizontal="center" vertical="center" wrapText="1"/>
    </xf>
    <xf numFmtId="1" fontId="6" fillId="4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0" fillId="8" borderId="0" xfId="0" applyFill="1" applyBorder="1"/>
    <xf numFmtId="0" fontId="5" fillId="2" borderId="5" xfId="0" applyFont="1" applyFill="1" applyBorder="1" applyAlignment="1">
      <alignment horizontal="center" vertical="center"/>
    </xf>
    <xf numFmtId="0" fontId="0" fillId="0" borderId="5" xfId="0" applyBorder="1"/>
    <xf numFmtId="0" fontId="6" fillId="4" borderId="6" xfId="0" applyFont="1" applyFill="1" applyBorder="1" applyAlignment="1">
      <alignment horizontal="center" vertical="center" wrapText="1"/>
    </xf>
    <xf numFmtId="0" fontId="14" fillId="8" borderId="3" xfId="0" applyFont="1" applyFill="1" applyAlignment="1">
      <alignment horizontal="center" vertical="center" wrapText="1"/>
    </xf>
    <xf numFmtId="0" fontId="0" fillId="8" borderId="3" xfId="0" applyFill="1"/>
    <xf numFmtId="0" fontId="5" fillId="3" borderId="3" xfId="0" applyFont="1" applyFill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165" fontId="6" fillId="4" borderId="6" xfId="0" applyNumberFormat="1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17" xfId="0" applyBorder="1"/>
    <xf numFmtId="164" fontId="5" fillId="2" borderId="6" xfId="0" applyNumberFormat="1" applyFont="1" applyFill="1" applyBorder="1" applyAlignment="1">
      <alignment horizontal="center" vertical="center" wrapText="1"/>
    </xf>
    <xf numFmtId="0" fontId="10" fillId="11" borderId="6" xfId="0" applyFont="1" applyFill="1" applyBorder="1" applyAlignment="1">
      <alignment horizontal="center" vertical="top" wrapText="1"/>
    </xf>
  </cellXfs>
  <cellStyles count="1">
    <cellStyle name="Normal" xfId="0" builtinId="0"/>
  </cellStyles>
  <dxfs count="15">
    <dxf>
      <font>
        <b/>
        <color rgb="FF161524"/>
      </font>
      <fill>
        <patternFill>
          <bgColor rgb="FFD4AF37"/>
        </patternFill>
      </fill>
    </dxf>
    <dxf>
      <font>
        <b/>
        <color rgb="FFFFFFFF"/>
      </font>
      <fill>
        <patternFill>
          <bgColor rgb="FF8B3333"/>
        </patternFill>
      </fill>
    </dxf>
    <dxf>
      <font>
        <strike val="0"/>
        <outline val="0"/>
        <shadow val="0"/>
        <vertAlign val="baseline"/>
        <color theme="1"/>
      </font>
      <fill>
        <patternFill>
          <fgColor indexed="64"/>
          <bgColor rgb="FFFFF6D8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color theme="1"/>
      </font>
      <fill>
        <patternFill>
          <fgColor indexed="64"/>
          <bgColor rgb="FFFFF6D8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color theme="1"/>
      </font>
      <fill>
        <patternFill>
          <fgColor indexed="64"/>
          <bgColor rgb="FFFFF6D8"/>
        </patternFill>
      </fill>
    </dxf>
    <dxf>
      <font>
        <strike val="0"/>
        <outline val="0"/>
        <shadow val="0"/>
        <vertAlign val="baseline"/>
        <sz val="10"/>
        <color theme="1"/>
        <name val="Segoe UI"/>
      </font>
      <fill>
        <patternFill>
          <fgColor indexed="64"/>
          <bgColor rgb="FFFFF6D8"/>
        </patternFill>
      </fill>
      <border outline="0">
        <left style="thin">
          <color rgb="FF1F1F1F"/>
        </left>
      </border>
    </dxf>
    <dxf>
      <fill>
        <patternFill patternType="solid">
          <fgColor indexed="64"/>
          <bgColor rgb="FFE7E6E6"/>
        </patternFill>
      </fill>
      <border outline="0">
        <left style="thin">
          <color rgb="FF1F1F1F"/>
        </left>
        <right style="thin">
          <color rgb="FF1F1F1F"/>
        </right>
      </border>
    </dxf>
    <dxf>
      <fill>
        <patternFill patternType="solid">
          <fgColor indexed="64"/>
          <bgColor rgb="FFE7E6E6"/>
        </patternFill>
      </fill>
      <border outline="0">
        <left style="thin">
          <color rgb="FF1F1F1F"/>
        </left>
        <right style="thin">
          <color rgb="FF1F1F1F"/>
        </right>
      </border>
    </dxf>
    <dxf>
      <fill>
        <patternFill patternType="solid">
          <fgColor indexed="64"/>
          <bgColor rgb="FFE7E6E6"/>
        </patternFill>
      </fill>
      <border outline="0">
        <left style="thin">
          <color rgb="FF1F1F1F"/>
        </left>
        <right style="thin">
          <color rgb="FF1F1F1F"/>
        </right>
      </border>
    </dxf>
    <dxf>
      <font>
        <strike val="0"/>
        <outline val="0"/>
        <shadow val="0"/>
        <vertAlign val="baseline"/>
        <sz val="10"/>
        <color theme="1"/>
        <name val="Segoe UI"/>
      </font>
      <fill>
        <patternFill>
          <fgColor indexed="64"/>
          <bgColor rgb="FFFFF6D8"/>
        </patternFill>
      </fill>
      <border outline="0">
        <left style="thin">
          <color rgb="FF1F1F1F"/>
        </left>
        <right style="thin">
          <color rgb="FF1F1F1F"/>
        </right>
      </border>
    </dxf>
    <dxf>
      <font>
        <strike val="0"/>
        <outline val="0"/>
        <shadow val="0"/>
        <vertAlign val="baseline"/>
        <sz val="10"/>
        <color theme="1"/>
        <name val="Segoe UI"/>
      </font>
      <fill>
        <patternFill>
          <fgColor indexed="64"/>
          <bgColor rgb="FFFFF6D8"/>
        </patternFill>
      </fill>
      <border outline="0">
        <left style="thin">
          <color rgb="FF1F1F1F"/>
        </left>
        <right style="thin">
          <color rgb="FF1F1F1F"/>
        </right>
      </border>
    </dxf>
    <dxf>
      <fill>
        <patternFill patternType="solid">
          <fgColor indexed="64"/>
          <bgColor rgb="FFE7E6E6"/>
        </patternFill>
      </fill>
      <border outline="0">
        <left style="thin">
          <color rgb="FF1F1F1F"/>
        </left>
        <right style="thin">
          <color rgb="FF1F1F1F"/>
        </right>
      </border>
    </dxf>
    <dxf>
      <font>
        <strike val="0"/>
        <outline val="0"/>
        <shadow val="0"/>
        <vertAlign val="baseline"/>
        <sz val="10"/>
        <color theme="1"/>
        <name val="Segoe UI"/>
      </font>
      <fill>
        <patternFill>
          <fgColor indexed="64"/>
          <bgColor rgb="FFFFF6D8"/>
        </patternFill>
      </fill>
      <border outline="0">
        <right style="thin">
          <color rgb="FF1F1F1F"/>
        </right>
      </border>
    </dxf>
    <dxf>
      <border outline="0">
        <left style="thin">
          <color rgb="FF1F1F1F"/>
        </left>
        <right style="thin">
          <color rgb="FF1F1F1F"/>
        </right>
      </border>
    </dxf>
    <dxf>
      <font>
        <strike val="0"/>
        <outline val="0"/>
        <shadow val="0"/>
        <vertAlign val="baseline"/>
        <sz val="10"/>
        <color theme="1"/>
        <name val="Segoe UI"/>
      </font>
      <fill>
        <patternFill>
          <fgColor indexed="64"/>
          <bgColor rgb="FFFFF6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r>
              <a:rPr lang="es-CL"/>
              <a:t>Ingresos vs Gastos por mes</a:t>
            </a:r>
          </a:p>
        </c:rich>
      </c:tx>
      <c:layout>
        <c:manualLayout>
          <c:xMode val="edge"/>
          <c:yMode val="edge"/>
          <c:x val="0.25886172839506172"/>
          <c:y val="6.551587301587301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726743827160501"/>
          <c:y val="0.34674285714285707"/>
          <c:w val="0.79549490740740736"/>
          <c:h val="0.24705833333333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Dashboard!$C$13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rgbClr val="D6B72F"/>
            </a:solidFill>
            <a:ln>
              <a:prstDash val="solid"/>
            </a:ln>
          </c:spPr>
          <c:invertIfNegative val="1"/>
          <c:cat>
            <c:strRef>
              <c:f>Dashboard!$B$14:$B$25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Dashboard!$C$14:$C$25</c:f>
              <c:numCache>
                <c:formatCode>\$\ #,##0</c:formatCode>
                <c:ptCount val="12"/>
                <c:pt idx="0">
                  <c:v>1450000</c:v>
                </c:pt>
                <c:pt idx="1">
                  <c:v>1580000</c:v>
                </c:pt>
                <c:pt idx="2">
                  <c:v>680000</c:v>
                </c:pt>
                <c:pt idx="3">
                  <c:v>920000</c:v>
                </c:pt>
                <c:pt idx="4">
                  <c:v>1850000</c:v>
                </c:pt>
                <c:pt idx="5">
                  <c:v>1620000</c:v>
                </c:pt>
                <c:pt idx="6">
                  <c:v>2100000</c:v>
                </c:pt>
                <c:pt idx="7">
                  <c:v>1650000</c:v>
                </c:pt>
                <c:pt idx="8">
                  <c:v>720000</c:v>
                </c:pt>
                <c:pt idx="9">
                  <c:v>1700000</c:v>
                </c:pt>
                <c:pt idx="10">
                  <c:v>2300000</c:v>
                </c:pt>
                <c:pt idx="11">
                  <c:v>3100000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4B9-40C8-8E6E-DB283B7606C1}"/>
            </c:ext>
          </c:extLst>
        </c:ser>
        <c:ser>
          <c:idx val="1"/>
          <c:order val="1"/>
          <c:tx>
            <c:strRef>
              <c:f>Dashboard!$D$13</c:f>
              <c:strCache>
                <c:ptCount val="1"/>
                <c:pt idx="0">
                  <c:v>Gastos</c:v>
                </c:pt>
              </c:strCache>
            </c:strRef>
          </c:tx>
          <c:spPr>
            <a:solidFill>
              <a:srgbClr val="8B1E2D"/>
            </a:solidFill>
            <a:ln>
              <a:prstDash val="solid"/>
            </a:ln>
          </c:spPr>
          <c:invertIfNegative val="1"/>
          <c:cat>
            <c:strRef>
              <c:f>Dashboard!$B$14:$B$25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Dashboard!$D$14:$D$25</c:f>
              <c:numCache>
                <c:formatCode>\$\ #,##0</c:formatCode>
                <c:ptCount val="12"/>
                <c:pt idx="0">
                  <c:v>2330000</c:v>
                </c:pt>
                <c:pt idx="1">
                  <c:v>1520000</c:v>
                </c:pt>
                <c:pt idx="2">
                  <c:v>130000</c:v>
                </c:pt>
                <c:pt idx="3">
                  <c:v>75000</c:v>
                </c:pt>
                <c:pt idx="4">
                  <c:v>180000</c:v>
                </c:pt>
                <c:pt idx="5">
                  <c:v>95000</c:v>
                </c:pt>
                <c:pt idx="6">
                  <c:v>1200000</c:v>
                </c:pt>
                <c:pt idx="7">
                  <c:v>120000</c:v>
                </c:pt>
                <c:pt idx="8">
                  <c:v>360000</c:v>
                </c:pt>
                <c:pt idx="9">
                  <c:v>60000</c:v>
                </c:pt>
                <c:pt idx="10">
                  <c:v>250000</c:v>
                </c:pt>
                <c:pt idx="11">
                  <c:v>1800000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4B9-40C8-8E6E-DB283B760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s-CL"/>
                  <a:t>Mes</a:t>
                </a:r>
              </a:p>
            </c:rich>
          </c:tx>
          <c:layout>
            <c:manualLayout>
              <c:xMode val="edge"/>
              <c:yMode val="edge"/>
              <c:x val="0.46505617283950618"/>
              <c:y val="0.7541496031746032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s-CL"/>
                  <a:t>Monto</a:t>
                </a:r>
              </a:p>
            </c:rich>
          </c:tx>
          <c:layout>
            <c:manualLayout>
              <c:xMode val="edge"/>
              <c:yMode val="edge"/>
              <c:x val="7.8395061728395062E-3"/>
              <c:y val="0.30642539682539688"/>
            </c:manualLayout>
          </c:layout>
          <c:overlay val="0"/>
        </c:title>
        <c:numFmt formatCode="\$\ 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r>
              <a:rPr lang="es-CL"/>
              <a:t>Ganancia disponible mensual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9482330246913579"/>
          <c:y val="0.20563174603174611"/>
          <c:w val="0.55815293209876549"/>
          <c:h val="0.61949126984126979"/>
        </c:manualLayout>
      </c:layout>
      <c:lineChart>
        <c:grouping val="standard"/>
        <c:varyColors val="0"/>
        <c:ser>
          <c:idx val="0"/>
          <c:order val="0"/>
          <c:tx>
            <c:strRef>
              <c:f>Dashboard!$F$13</c:f>
              <c:strCache>
                <c:ptCount val="1"/>
                <c:pt idx="0">
                  <c:v>Ganancia disponible</c:v>
                </c:pt>
              </c:strCache>
            </c:strRef>
          </c:tx>
          <c:spPr>
            <a:ln w="25000">
              <a:solidFill>
                <a:srgbClr val="111111"/>
              </a:solidFill>
              <a:prstDash val="solid"/>
            </a:ln>
          </c:spPr>
          <c:marker>
            <c:symbol val="none"/>
          </c:marker>
          <c:cat>
            <c:strRef>
              <c:f>Dashboard!$B$14:$B$25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Dashboard!$F$14:$F$25</c:f>
              <c:numCache>
                <c:formatCode>\$\ #,##0</c:formatCode>
                <c:ptCount val="12"/>
                <c:pt idx="0">
                  <c:v>-1080000</c:v>
                </c:pt>
                <c:pt idx="1">
                  <c:v>-60000</c:v>
                </c:pt>
                <c:pt idx="2">
                  <c:v>550000</c:v>
                </c:pt>
                <c:pt idx="3">
                  <c:v>845000</c:v>
                </c:pt>
                <c:pt idx="4">
                  <c:v>1670000</c:v>
                </c:pt>
                <c:pt idx="5">
                  <c:v>1525000</c:v>
                </c:pt>
                <c:pt idx="6">
                  <c:v>900000</c:v>
                </c:pt>
                <c:pt idx="7">
                  <c:v>1530000</c:v>
                </c:pt>
                <c:pt idx="8">
                  <c:v>360000</c:v>
                </c:pt>
                <c:pt idx="9">
                  <c:v>1640000</c:v>
                </c:pt>
                <c:pt idx="10">
                  <c:v>2050000</c:v>
                </c:pt>
                <c:pt idx="11">
                  <c:v>900000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CC-492F-A7C2-988493434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s-CL"/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s-CL"/>
                  <a:t>Monto</a:t>
                </a:r>
              </a:p>
            </c:rich>
          </c:tx>
          <c:overlay val="0"/>
        </c:title>
        <c:numFmt formatCode="\$\ 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12</xdr:row>
      <xdr:rowOff>0</xdr:rowOff>
    </xdr:from>
    <xdr:ext cx="64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28575</xdr:colOff>
      <xdr:row>21</xdr:row>
      <xdr:rowOff>142875</xdr:rowOff>
    </xdr:from>
    <xdr:ext cx="648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RegistroMensual" displayName="TablaRegistroMensual" ref="B8:K1008">
  <autoFilter ref="B8:K1008" xr:uid="{00000000-0009-0000-0100-000001000000}"/>
  <tableColumns count="10">
    <tableColumn id="1" xr3:uid="{00000000-0010-0000-0000-000001000000}" name="Fecha" dataDxfId="14"/>
    <tableColumn id="2" xr3:uid="{00000000-0010-0000-0000-000002000000}" name="Mes" dataDxfId="13"/>
    <tableColumn id="3" xr3:uid="{00000000-0010-0000-0000-000003000000}" name="Categoría" dataDxfId="12"/>
    <tableColumn id="4" xr3:uid="{00000000-0010-0000-0000-000004000000}" name="Tipo" dataDxfId="11"/>
    <tableColumn id="5" xr3:uid="{00000000-0010-0000-0000-000005000000}" name="Descripción" dataDxfId="10"/>
    <tableColumn id="6" xr3:uid="{00000000-0010-0000-0000-000006000000}" name="Monto" dataDxfId="9"/>
    <tableColumn id="7" xr3:uid="{00000000-0010-0000-0000-000007000000}" name="Ingreso auto" dataDxfId="8"/>
    <tableColumn id="8" xr3:uid="{00000000-0010-0000-0000-000008000000}" name="Gasto auto" dataDxfId="7"/>
    <tableColumn id="9" xr3:uid="{00000000-0010-0000-0000-000009000000}" name="Reserva auto" dataDxfId="6"/>
    <tableColumn id="10" xr3:uid="{00000000-0010-0000-0000-00000A000000}" name="Nota" dataDxfId="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Categorias" displayName="TablaCategorias" ref="B4:C200" dataDxfId="4">
  <autoFilter ref="B4:C200" xr:uid="{00000000-0009-0000-0100-000002000000}"/>
  <tableColumns count="2">
    <tableColumn id="2" xr3:uid="{00000000-0010-0000-0100-000002000000}" name="Categoría" dataDxfId="3"/>
    <tableColumn id="3" xr3:uid="{00000000-0010-0000-0100-000003000000}" name="Tip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4AF37"/>
  </sheetPr>
  <dimension ref="A1:R1097"/>
  <sheetViews>
    <sheetView workbookViewId="0">
      <selection activeCell="J16" sqref="J16"/>
    </sheetView>
  </sheetViews>
  <sheetFormatPr baseColWidth="10" defaultColWidth="9.140625" defaultRowHeight="15" x14ac:dyDescent="0.25"/>
  <cols>
    <col min="1" max="1" width="9.140625" style="17" customWidth="1"/>
    <col min="2" max="2" width="5" style="7" customWidth="1"/>
    <col min="3" max="3" width="18.5703125" style="7" customWidth="1"/>
    <col min="4" max="4" width="26.85546875" style="7" customWidth="1"/>
    <col min="5" max="5" width="38" style="7" customWidth="1"/>
    <col min="6" max="6" width="17.28515625" style="7" customWidth="1"/>
    <col min="7" max="8" width="22" style="7" customWidth="1"/>
    <col min="9" max="9" width="15.85546875" style="7" customWidth="1"/>
    <col min="10" max="10" width="22" style="7" customWidth="1"/>
    <col min="12" max="18" width="9.140625" style="12" customWidth="1"/>
  </cols>
  <sheetData>
    <row r="1" spans="1:11" ht="21.95" customHeight="1" x14ac:dyDescent="0.25">
      <c r="A1" s="12"/>
      <c r="B1" s="41" t="s">
        <v>0</v>
      </c>
      <c r="C1" s="42"/>
      <c r="D1" s="42"/>
      <c r="E1" s="42"/>
      <c r="F1" s="42"/>
      <c r="G1" s="42"/>
      <c r="H1" s="42"/>
      <c r="I1" s="42"/>
      <c r="J1" s="42"/>
      <c r="K1" s="43"/>
    </row>
    <row r="2" spans="1:11" ht="21.95" customHeight="1" x14ac:dyDescent="0.25">
      <c r="A2" s="12"/>
      <c r="B2" s="51" t="s">
        <v>1</v>
      </c>
      <c r="C2" s="42"/>
      <c r="D2" s="42"/>
      <c r="E2" s="42"/>
      <c r="F2" s="42"/>
      <c r="G2" s="42"/>
      <c r="H2" s="42"/>
      <c r="I2" s="42"/>
      <c r="J2" s="42"/>
      <c r="K2" s="43"/>
    </row>
    <row r="3" spans="1:11" ht="21.95" customHeight="1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ht="21.95" customHeight="1" x14ac:dyDescent="0.25">
      <c r="A4" s="12"/>
      <c r="B4" s="44" t="s">
        <v>2</v>
      </c>
      <c r="C4" s="42"/>
      <c r="D4" s="42"/>
      <c r="E4" s="42"/>
      <c r="F4" s="42"/>
      <c r="G4" s="42"/>
      <c r="H4" s="42"/>
      <c r="I4" s="42"/>
      <c r="J4" s="42"/>
      <c r="K4" s="43"/>
    </row>
    <row r="5" spans="1:11" ht="21.95" customHeight="1" x14ac:dyDescent="0.25">
      <c r="A5" s="12"/>
      <c r="B5" s="53" t="s">
        <v>3</v>
      </c>
      <c r="C5" s="42"/>
      <c r="D5" s="42"/>
      <c r="E5" s="42"/>
      <c r="F5" s="42"/>
      <c r="G5" s="42"/>
      <c r="H5" s="42"/>
      <c r="I5" s="42"/>
      <c r="J5" s="42"/>
      <c r="K5" s="43"/>
    </row>
    <row r="6" spans="1:11" ht="21.95" customHeight="1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K6" s="17"/>
    </row>
    <row r="7" spans="1:11" ht="21.95" customHeight="1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</row>
    <row r="8" spans="1:11" ht="21.95" customHeight="1" x14ac:dyDescent="0.25">
      <c r="A8" s="12"/>
      <c r="B8" s="12"/>
      <c r="C8" s="1" t="s">
        <v>4</v>
      </c>
      <c r="D8" s="1" t="s">
        <v>5</v>
      </c>
      <c r="E8" s="1" t="s">
        <v>6</v>
      </c>
      <c r="F8" s="12"/>
      <c r="G8" s="1" t="s">
        <v>7</v>
      </c>
      <c r="H8" s="1" t="s">
        <v>8</v>
      </c>
      <c r="I8" s="12"/>
      <c r="J8" s="52" t="s">
        <v>9</v>
      </c>
      <c r="K8" s="43"/>
    </row>
    <row r="9" spans="1:11" ht="21.95" customHeight="1" x14ac:dyDescent="0.25">
      <c r="A9" s="12"/>
      <c r="B9" s="12"/>
      <c r="C9" s="9" t="s">
        <v>10</v>
      </c>
      <c r="D9" s="10" t="s">
        <v>11</v>
      </c>
      <c r="E9" s="10" t="s">
        <v>12</v>
      </c>
      <c r="F9" s="12"/>
      <c r="G9" s="11" t="s">
        <v>13</v>
      </c>
      <c r="H9" s="2" t="s">
        <v>14</v>
      </c>
      <c r="I9" s="12"/>
      <c r="J9" s="45" t="s">
        <v>15</v>
      </c>
      <c r="K9" s="46"/>
    </row>
    <row r="10" spans="1:11" ht="27" customHeight="1" x14ac:dyDescent="0.25">
      <c r="A10" s="12"/>
      <c r="B10" s="12"/>
      <c r="C10" s="15" t="s">
        <v>16</v>
      </c>
      <c r="D10" s="16" t="s">
        <v>17</v>
      </c>
      <c r="E10" s="16" t="s">
        <v>18</v>
      </c>
      <c r="F10" s="12"/>
      <c r="G10" s="14" t="s">
        <v>19</v>
      </c>
      <c r="H10" s="2" t="s">
        <v>20</v>
      </c>
      <c r="I10" s="12"/>
      <c r="J10" s="47"/>
      <c r="K10" s="48"/>
    </row>
    <row r="11" spans="1:11" ht="27.75" customHeight="1" x14ac:dyDescent="0.25">
      <c r="A11" s="12"/>
      <c r="B11" s="12"/>
      <c r="C11" s="9" t="s">
        <v>21</v>
      </c>
      <c r="D11" s="10" t="s">
        <v>22</v>
      </c>
      <c r="E11" s="10" t="s">
        <v>23</v>
      </c>
      <c r="F11" s="12"/>
      <c r="G11" s="3" t="s">
        <v>24</v>
      </c>
      <c r="H11" s="2" t="s">
        <v>25</v>
      </c>
      <c r="I11" s="12"/>
      <c r="J11" s="47"/>
      <c r="K11" s="48"/>
    </row>
    <row r="12" spans="1:11" ht="30" customHeight="1" x14ac:dyDescent="0.25">
      <c r="A12" s="12"/>
      <c r="B12" s="12"/>
      <c r="C12" s="15" t="s">
        <v>26</v>
      </c>
      <c r="D12" s="16" t="s">
        <v>27</v>
      </c>
      <c r="E12" s="16" t="s">
        <v>28</v>
      </c>
      <c r="F12" s="12"/>
      <c r="G12" s="4" t="s">
        <v>29</v>
      </c>
      <c r="H12" s="2" t="s">
        <v>30</v>
      </c>
      <c r="I12" s="12"/>
      <c r="J12" s="47"/>
      <c r="K12" s="48"/>
    </row>
    <row r="13" spans="1:11" ht="21.95" customHeight="1" x14ac:dyDescent="0.25">
      <c r="A13" s="12"/>
      <c r="B13" s="12"/>
      <c r="C13" s="12"/>
      <c r="D13" s="12"/>
      <c r="E13" s="12"/>
      <c r="F13" s="12"/>
      <c r="G13" s="1" t="s">
        <v>31</v>
      </c>
      <c r="H13" s="2" t="s">
        <v>32</v>
      </c>
      <c r="I13" s="12"/>
      <c r="J13" s="49"/>
      <c r="K13" s="50"/>
    </row>
    <row r="14" spans="1:11" ht="21.95" customHeight="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</row>
    <row r="15" spans="1:11" ht="21.95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 spans="1:11" ht="21.95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</row>
    <row r="17" spans="1:11" ht="21.95" customHeight="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</row>
    <row r="18" spans="1:11" ht="21.95" customHeight="1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</row>
    <row r="19" spans="1:11" ht="21.95" customHeight="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</row>
    <row r="20" spans="1:11" ht="21.95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</row>
    <row r="21" spans="1:11" ht="21.95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 spans="1:11" ht="21.95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</row>
    <row r="23" spans="1:11" ht="21.95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</row>
    <row r="24" spans="1:11" ht="21.95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</row>
    <row r="25" spans="1:11" ht="21.95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</row>
    <row r="26" spans="1:11" ht="21.95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</row>
    <row r="27" spans="1:11" ht="21.95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</row>
    <row r="28" spans="1:11" ht="21.95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</row>
    <row r="29" spans="1:11" ht="21.95" customHeight="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</row>
    <row r="30" spans="1:11" ht="21.95" customHeight="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spans="1:11" ht="21.95" customHeight="1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</row>
    <row r="32" spans="1:11" ht="21.9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</row>
    <row r="33" spans="1:11" ht="21.95" customHeight="1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</row>
    <row r="34" spans="1:11" ht="21.95" customHeight="1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</row>
    <row r="35" spans="1:11" ht="21.95" customHeight="1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</row>
    <row r="36" spans="1:11" ht="21.95" customHeight="1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</row>
    <row r="37" spans="1:11" ht="21.95" customHeight="1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</row>
    <row r="38" spans="1:11" ht="21.95" customHeight="1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</row>
    <row r="39" spans="1:11" ht="21.95" customHeight="1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</row>
    <row r="40" spans="1:11" ht="21.95" customHeight="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</row>
    <row r="41" spans="1:11" ht="21.95" customHeight="1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</row>
    <row r="42" spans="1:11" ht="21.95" customHeight="1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</row>
    <row r="43" spans="1:11" ht="21.95" customHeight="1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</row>
    <row r="44" spans="1:11" ht="21.95" customHeight="1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</row>
    <row r="45" spans="1:11" ht="21.95" customHeight="1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</row>
    <row r="46" spans="1:11" ht="21.95" customHeight="1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</row>
    <row r="47" spans="1:11" ht="21.95" customHeight="1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</row>
    <row r="48" spans="1:11" ht="21.95" customHeight="1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</row>
    <row r="49" spans="1:11" ht="21.95" customHeight="1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</row>
    <row r="50" spans="1:11" ht="21.95" customHeight="1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</row>
    <row r="51" spans="1:11" ht="21.95" customHeight="1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</row>
    <row r="52" spans="1:11" ht="21.95" customHeight="1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</row>
    <row r="53" spans="1:11" ht="21.95" customHeight="1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</row>
    <row r="54" spans="1:11" ht="21.95" customHeight="1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</row>
    <row r="55" spans="1:11" ht="21.95" customHeight="1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</row>
    <row r="56" spans="1:11" ht="21.95" customHeight="1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</row>
    <row r="57" spans="1:11" ht="21.95" customHeight="1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</row>
    <row r="58" spans="1:11" ht="21.95" customHeight="1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</row>
    <row r="59" spans="1:11" ht="21.95" customHeight="1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</row>
    <row r="60" spans="1:11" ht="21.95" customHeight="1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</row>
    <row r="61" spans="1:11" ht="21.95" customHeight="1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</row>
    <row r="62" spans="1:11" ht="21.95" customHeight="1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</row>
    <row r="63" spans="1:11" ht="21.95" customHeight="1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</row>
    <row r="64" spans="1:11" ht="21.95" customHeight="1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</row>
    <row r="65" spans="1:11" ht="21.95" customHeight="1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</row>
    <row r="66" spans="1:11" ht="21.95" customHeight="1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</row>
    <row r="67" spans="1:11" ht="21.95" customHeight="1" x14ac:dyDescent="0.2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</row>
    <row r="68" spans="1:11" ht="21.95" customHeight="1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</row>
    <row r="69" spans="1:11" ht="21.95" customHeight="1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</row>
    <row r="70" spans="1:11" ht="21.95" customHeight="1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</row>
    <row r="71" spans="1:11" ht="21.95" customHeight="1" x14ac:dyDescent="0.2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</row>
    <row r="72" spans="1:11" ht="21.95" customHeight="1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</row>
    <row r="73" spans="1:11" ht="21.95" customHeight="1" x14ac:dyDescent="0.25">
      <c r="A73" s="12"/>
    </row>
    <row r="74" spans="1:11" ht="21.95" customHeight="1" x14ac:dyDescent="0.25">
      <c r="A74" s="12"/>
    </row>
    <row r="75" spans="1:11" ht="21.95" customHeight="1" x14ac:dyDescent="0.25">
      <c r="A75" s="12"/>
    </row>
    <row r="76" spans="1:11" ht="21.95" customHeight="1" x14ac:dyDescent="0.25">
      <c r="A76" s="12"/>
    </row>
    <row r="77" spans="1:11" ht="21.95" customHeight="1" x14ac:dyDescent="0.25">
      <c r="A77" s="12"/>
    </row>
    <row r="78" spans="1:11" ht="21.95" customHeight="1" x14ac:dyDescent="0.25">
      <c r="A78" s="12"/>
    </row>
    <row r="79" spans="1:11" ht="21.95" customHeight="1" x14ac:dyDescent="0.25">
      <c r="A79" s="12"/>
    </row>
    <row r="80" spans="1:11" ht="21.95" customHeight="1" x14ac:dyDescent="0.25">
      <c r="A80" s="12"/>
    </row>
    <row r="81" spans="1:1" ht="21.95" customHeight="1" x14ac:dyDescent="0.25">
      <c r="A81" s="12"/>
    </row>
    <row r="82" spans="1:1" ht="21.95" customHeight="1" x14ac:dyDescent="0.25">
      <c r="A82" s="12"/>
    </row>
    <row r="83" spans="1:1" ht="21.95" customHeight="1" x14ac:dyDescent="0.25">
      <c r="A83" s="12"/>
    </row>
    <row r="84" spans="1:1" ht="21.95" customHeight="1" x14ac:dyDescent="0.25">
      <c r="A84" s="12"/>
    </row>
    <row r="85" spans="1:1" ht="21.95" customHeight="1" x14ac:dyDescent="0.25">
      <c r="A85" s="12"/>
    </row>
    <row r="86" spans="1:1" ht="21.95" customHeight="1" x14ac:dyDescent="0.25">
      <c r="A86" s="12"/>
    </row>
    <row r="87" spans="1:1" ht="21.95" customHeight="1" x14ac:dyDescent="0.25">
      <c r="A87" s="12"/>
    </row>
    <row r="88" spans="1:1" ht="21.95" customHeight="1" x14ac:dyDescent="0.25">
      <c r="A88" s="12"/>
    </row>
    <row r="89" spans="1:1" ht="21.95" customHeight="1" x14ac:dyDescent="0.25">
      <c r="A89" s="12"/>
    </row>
    <row r="90" spans="1:1" ht="21.95" customHeight="1" x14ac:dyDescent="0.25">
      <c r="A90" s="12"/>
    </row>
    <row r="91" spans="1:1" ht="21.95" customHeight="1" x14ac:dyDescent="0.25">
      <c r="A91" s="12"/>
    </row>
    <row r="92" spans="1:1" ht="21.95" customHeight="1" x14ac:dyDescent="0.25">
      <c r="A92" s="12"/>
    </row>
    <row r="93" spans="1:1" ht="21.95" customHeight="1" x14ac:dyDescent="0.25">
      <c r="A93" s="12"/>
    </row>
    <row r="94" spans="1:1" ht="21.95" customHeight="1" x14ac:dyDescent="0.25">
      <c r="A94" s="12"/>
    </row>
    <row r="95" spans="1:1" ht="21.95" customHeight="1" x14ac:dyDescent="0.25">
      <c r="A95" s="12"/>
    </row>
    <row r="96" spans="1:1" ht="21.95" customHeight="1" x14ac:dyDescent="0.25">
      <c r="A96" s="12"/>
    </row>
    <row r="97" spans="1:1" ht="21.95" customHeight="1" x14ac:dyDescent="0.25">
      <c r="A97" s="12"/>
    </row>
    <row r="98" spans="1:1" ht="21.95" customHeight="1" x14ac:dyDescent="0.25">
      <c r="A98" s="12"/>
    </row>
    <row r="99" spans="1:1" ht="21.95" customHeight="1" x14ac:dyDescent="0.25">
      <c r="A99" s="12"/>
    </row>
    <row r="100" spans="1:1" ht="21.95" customHeight="1" x14ac:dyDescent="0.25">
      <c r="A100" s="12"/>
    </row>
    <row r="101" spans="1:1" ht="21.95" customHeight="1" x14ac:dyDescent="0.25">
      <c r="A101" s="12"/>
    </row>
    <row r="102" spans="1:1" ht="21.95" customHeight="1" x14ac:dyDescent="0.25">
      <c r="A102" s="12"/>
    </row>
    <row r="103" spans="1:1" ht="21.95" customHeight="1" x14ac:dyDescent="0.25">
      <c r="A103" s="12"/>
    </row>
    <row r="104" spans="1:1" ht="21.95" customHeight="1" x14ac:dyDescent="0.25">
      <c r="A104" s="12"/>
    </row>
    <row r="105" spans="1:1" ht="21.95" customHeight="1" x14ac:dyDescent="0.25">
      <c r="A105" s="12"/>
    </row>
    <row r="106" spans="1:1" ht="21.95" customHeight="1" x14ac:dyDescent="0.25">
      <c r="A106" s="12"/>
    </row>
    <row r="107" spans="1:1" ht="21.95" customHeight="1" x14ac:dyDescent="0.25">
      <c r="A107" s="12"/>
    </row>
    <row r="108" spans="1:1" ht="21.95" customHeight="1" x14ac:dyDescent="0.25">
      <c r="A108" s="12"/>
    </row>
    <row r="109" spans="1:1" ht="21.95" customHeight="1" x14ac:dyDescent="0.25">
      <c r="A109" s="12"/>
    </row>
    <row r="110" spans="1:1" ht="21.95" customHeight="1" x14ac:dyDescent="0.25">
      <c r="A110" s="12"/>
    </row>
    <row r="111" spans="1:1" ht="21.95" customHeight="1" x14ac:dyDescent="0.25">
      <c r="A111" s="12"/>
    </row>
    <row r="112" spans="1:1" ht="21.95" customHeight="1" x14ac:dyDescent="0.25">
      <c r="A112" s="12"/>
    </row>
    <row r="113" spans="1:1" ht="21.95" customHeight="1" x14ac:dyDescent="0.25">
      <c r="A113" s="12"/>
    </row>
    <row r="114" spans="1:1" ht="21.95" customHeight="1" x14ac:dyDescent="0.25">
      <c r="A114" s="12"/>
    </row>
    <row r="115" spans="1:1" ht="21.95" customHeight="1" x14ac:dyDescent="0.25">
      <c r="A115" s="12"/>
    </row>
    <row r="116" spans="1:1" ht="21.95" customHeight="1" x14ac:dyDescent="0.25">
      <c r="A116" s="12"/>
    </row>
    <row r="117" spans="1:1" ht="21.95" customHeight="1" x14ac:dyDescent="0.25">
      <c r="A117" s="12"/>
    </row>
    <row r="118" spans="1:1" ht="21.95" customHeight="1" x14ac:dyDescent="0.25">
      <c r="A118" s="12"/>
    </row>
    <row r="119" spans="1:1" ht="21.95" customHeight="1" x14ac:dyDescent="0.25">
      <c r="A119" s="12"/>
    </row>
    <row r="120" spans="1:1" ht="21.95" customHeight="1" x14ac:dyDescent="0.25">
      <c r="A120" s="12"/>
    </row>
    <row r="121" spans="1:1" ht="21.95" customHeight="1" x14ac:dyDescent="0.25">
      <c r="A121" s="12"/>
    </row>
    <row r="122" spans="1:1" ht="21.95" customHeight="1" x14ac:dyDescent="0.25">
      <c r="A122" s="12"/>
    </row>
    <row r="123" spans="1:1" ht="21.95" customHeight="1" x14ac:dyDescent="0.25">
      <c r="A123" s="12"/>
    </row>
    <row r="124" spans="1:1" ht="21.95" customHeight="1" x14ac:dyDescent="0.25">
      <c r="A124" s="12"/>
    </row>
    <row r="125" spans="1:1" ht="21.95" customHeight="1" x14ac:dyDescent="0.25">
      <c r="A125" s="12"/>
    </row>
    <row r="126" spans="1:1" ht="21.95" customHeight="1" x14ac:dyDescent="0.25">
      <c r="A126" s="12"/>
    </row>
    <row r="127" spans="1:1" ht="21.95" customHeight="1" x14ac:dyDescent="0.25">
      <c r="A127" s="12"/>
    </row>
    <row r="128" spans="1:1" ht="21.95" customHeight="1" x14ac:dyDescent="0.25">
      <c r="A128" s="12"/>
    </row>
    <row r="129" spans="1:1" ht="21.95" customHeight="1" x14ac:dyDescent="0.25">
      <c r="A129" s="12"/>
    </row>
    <row r="130" spans="1:1" ht="21.95" customHeight="1" x14ac:dyDescent="0.25">
      <c r="A130" s="12"/>
    </row>
    <row r="131" spans="1:1" ht="21.95" customHeight="1" x14ac:dyDescent="0.25">
      <c r="A131" s="12"/>
    </row>
    <row r="132" spans="1:1" ht="21.95" customHeight="1" x14ac:dyDescent="0.25">
      <c r="A132" s="12"/>
    </row>
    <row r="133" spans="1:1" ht="21.95" customHeight="1" x14ac:dyDescent="0.25">
      <c r="A133" s="12"/>
    </row>
    <row r="134" spans="1:1" ht="21.95" customHeight="1" x14ac:dyDescent="0.25">
      <c r="A134" s="12"/>
    </row>
    <row r="135" spans="1:1" ht="21.95" customHeight="1" x14ac:dyDescent="0.25">
      <c r="A135" s="12"/>
    </row>
    <row r="136" spans="1:1" ht="21.95" customHeight="1" x14ac:dyDescent="0.25">
      <c r="A136" s="12"/>
    </row>
    <row r="137" spans="1:1" ht="21.95" customHeight="1" x14ac:dyDescent="0.25">
      <c r="A137" s="12"/>
    </row>
    <row r="138" spans="1:1" ht="21.95" customHeight="1" x14ac:dyDescent="0.25">
      <c r="A138" s="12"/>
    </row>
    <row r="139" spans="1:1" ht="21.95" customHeight="1" x14ac:dyDescent="0.25">
      <c r="A139" s="12"/>
    </row>
    <row r="140" spans="1:1" ht="21.95" customHeight="1" x14ac:dyDescent="0.25">
      <c r="A140" s="12"/>
    </row>
    <row r="141" spans="1:1" ht="21.95" customHeight="1" x14ac:dyDescent="0.25">
      <c r="A141" s="12"/>
    </row>
    <row r="142" spans="1:1" ht="21.95" customHeight="1" x14ac:dyDescent="0.25">
      <c r="A142" s="12"/>
    </row>
    <row r="143" spans="1:1" ht="21.95" customHeight="1" x14ac:dyDescent="0.25">
      <c r="A143" s="12"/>
    </row>
    <row r="144" spans="1:1" ht="21.95" customHeight="1" x14ac:dyDescent="0.25">
      <c r="A144" s="12"/>
    </row>
    <row r="145" spans="1:1" ht="21.95" customHeight="1" x14ac:dyDescent="0.25">
      <c r="A145" s="12"/>
    </row>
    <row r="146" spans="1:1" ht="21.95" customHeight="1" x14ac:dyDescent="0.25">
      <c r="A146" s="12"/>
    </row>
    <row r="147" spans="1:1" ht="21.95" customHeight="1" x14ac:dyDescent="0.25">
      <c r="A147" s="12"/>
    </row>
    <row r="148" spans="1:1" ht="21.95" customHeight="1" x14ac:dyDescent="0.25">
      <c r="A148" s="12"/>
    </row>
    <row r="149" spans="1:1" ht="21.95" customHeight="1" x14ac:dyDescent="0.25">
      <c r="A149" s="12"/>
    </row>
    <row r="150" spans="1:1" ht="21.95" customHeight="1" x14ac:dyDescent="0.25">
      <c r="A150" s="12"/>
    </row>
    <row r="151" spans="1:1" ht="21.95" customHeight="1" x14ac:dyDescent="0.25">
      <c r="A151" s="12"/>
    </row>
    <row r="152" spans="1:1" ht="21.95" customHeight="1" x14ac:dyDescent="0.25">
      <c r="A152" s="12"/>
    </row>
    <row r="153" spans="1:1" ht="21.95" customHeight="1" x14ac:dyDescent="0.25">
      <c r="A153" s="12"/>
    </row>
    <row r="154" spans="1:1" ht="21.95" customHeight="1" x14ac:dyDescent="0.25">
      <c r="A154" s="12"/>
    </row>
    <row r="155" spans="1:1" ht="21.95" customHeight="1" x14ac:dyDescent="0.25">
      <c r="A155" s="12"/>
    </row>
    <row r="156" spans="1:1" ht="21.95" customHeight="1" x14ac:dyDescent="0.25">
      <c r="A156" s="12"/>
    </row>
    <row r="157" spans="1:1" ht="21.95" customHeight="1" x14ac:dyDescent="0.25">
      <c r="A157" s="12"/>
    </row>
    <row r="158" spans="1:1" ht="21.95" customHeight="1" x14ac:dyDescent="0.25">
      <c r="A158" s="12"/>
    </row>
    <row r="159" spans="1:1" ht="21.95" customHeight="1" x14ac:dyDescent="0.25">
      <c r="A159" s="12"/>
    </row>
    <row r="160" spans="1:1" ht="21.95" customHeight="1" x14ac:dyDescent="0.25">
      <c r="A160" s="12"/>
    </row>
    <row r="161" spans="1:1" ht="21.95" customHeight="1" x14ac:dyDescent="0.25">
      <c r="A161" s="12"/>
    </row>
    <row r="162" spans="1:1" ht="21.95" customHeight="1" x14ac:dyDescent="0.25">
      <c r="A162" s="12"/>
    </row>
    <row r="163" spans="1:1" ht="21.95" customHeight="1" x14ac:dyDescent="0.25">
      <c r="A163" s="12"/>
    </row>
    <row r="164" spans="1:1" ht="21.95" customHeight="1" x14ac:dyDescent="0.25">
      <c r="A164" s="12"/>
    </row>
    <row r="165" spans="1:1" ht="21.95" customHeight="1" x14ac:dyDescent="0.25">
      <c r="A165" s="12"/>
    </row>
    <row r="166" spans="1:1" ht="21.95" customHeight="1" x14ac:dyDescent="0.25">
      <c r="A166" s="12"/>
    </row>
    <row r="167" spans="1:1" ht="21.95" customHeight="1" x14ac:dyDescent="0.25">
      <c r="A167" s="12"/>
    </row>
    <row r="168" spans="1:1" ht="21.95" customHeight="1" x14ac:dyDescent="0.25">
      <c r="A168" s="12"/>
    </row>
    <row r="169" spans="1:1" ht="21.95" customHeight="1" x14ac:dyDescent="0.25">
      <c r="A169" s="12"/>
    </row>
    <row r="170" spans="1:1" ht="21.95" customHeight="1" x14ac:dyDescent="0.25">
      <c r="A170" s="12"/>
    </row>
    <row r="171" spans="1:1" ht="21.95" customHeight="1" x14ac:dyDescent="0.25">
      <c r="A171" s="12"/>
    </row>
    <row r="172" spans="1:1" ht="21.95" customHeight="1" x14ac:dyDescent="0.25">
      <c r="A172" s="12"/>
    </row>
    <row r="173" spans="1:1" ht="21.95" customHeight="1" x14ac:dyDescent="0.25">
      <c r="A173" s="12"/>
    </row>
    <row r="174" spans="1:1" ht="21.95" customHeight="1" x14ac:dyDescent="0.25">
      <c r="A174" s="12"/>
    </row>
    <row r="175" spans="1:1" ht="21.95" customHeight="1" x14ac:dyDescent="0.25">
      <c r="A175" s="12"/>
    </row>
    <row r="176" spans="1:1" ht="21.95" customHeight="1" x14ac:dyDescent="0.25">
      <c r="A176" s="12"/>
    </row>
    <row r="177" spans="1:1" ht="21.95" customHeight="1" x14ac:dyDescent="0.25">
      <c r="A177" s="12"/>
    </row>
    <row r="178" spans="1:1" ht="21.95" customHeight="1" x14ac:dyDescent="0.25">
      <c r="A178" s="12"/>
    </row>
    <row r="179" spans="1:1" ht="21.95" customHeight="1" x14ac:dyDescent="0.25">
      <c r="A179" s="12"/>
    </row>
    <row r="180" spans="1:1" ht="21.95" customHeight="1" x14ac:dyDescent="0.25">
      <c r="A180" s="12"/>
    </row>
    <row r="181" spans="1:1" ht="21.95" customHeight="1" x14ac:dyDescent="0.25">
      <c r="A181" s="12"/>
    </row>
    <row r="182" spans="1:1" ht="21.95" customHeight="1" x14ac:dyDescent="0.25">
      <c r="A182" s="12"/>
    </row>
    <row r="183" spans="1:1" ht="21.95" customHeight="1" x14ac:dyDescent="0.25">
      <c r="A183" s="12"/>
    </row>
    <row r="184" spans="1:1" ht="21.95" customHeight="1" x14ac:dyDescent="0.25">
      <c r="A184" s="12"/>
    </row>
    <row r="185" spans="1:1" ht="21.95" customHeight="1" x14ac:dyDescent="0.25">
      <c r="A185" s="12"/>
    </row>
    <row r="186" spans="1:1" ht="21.95" customHeight="1" x14ac:dyDescent="0.25">
      <c r="A186" s="12"/>
    </row>
    <row r="187" spans="1:1" ht="21.95" customHeight="1" x14ac:dyDescent="0.25">
      <c r="A187" s="12"/>
    </row>
    <row r="188" spans="1:1" ht="21.95" customHeight="1" x14ac:dyDescent="0.25">
      <c r="A188" s="12"/>
    </row>
    <row r="189" spans="1:1" ht="21.95" customHeight="1" x14ac:dyDescent="0.25">
      <c r="A189" s="12"/>
    </row>
    <row r="190" spans="1:1" ht="21.95" customHeight="1" x14ac:dyDescent="0.25">
      <c r="A190" s="12"/>
    </row>
    <row r="191" spans="1:1" ht="21.95" customHeight="1" x14ac:dyDescent="0.25">
      <c r="A191" s="12"/>
    </row>
    <row r="192" spans="1:1" ht="21.95" customHeight="1" x14ac:dyDescent="0.25">
      <c r="A192" s="12"/>
    </row>
    <row r="193" spans="1:1" ht="21.95" customHeight="1" x14ac:dyDescent="0.25">
      <c r="A193" s="12"/>
    </row>
    <row r="194" spans="1:1" ht="21.95" customHeight="1" x14ac:dyDescent="0.25">
      <c r="A194" s="12"/>
    </row>
    <row r="195" spans="1:1" ht="21.95" customHeight="1" x14ac:dyDescent="0.25">
      <c r="A195" s="12"/>
    </row>
    <row r="196" spans="1:1" ht="21.95" customHeight="1" x14ac:dyDescent="0.25">
      <c r="A196" s="12"/>
    </row>
    <row r="197" spans="1:1" ht="21.95" customHeight="1" x14ac:dyDescent="0.25">
      <c r="A197" s="12"/>
    </row>
    <row r="198" spans="1:1" ht="21.95" customHeight="1" x14ac:dyDescent="0.25">
      <c r="A198" s="12"/>
    </row>
    <row r="199" spans="1:1" ht="21.95" customHeight="1" x14ac:dyDescent="0.25">
      <c r="A199" s="12"/>
    </row>
    <row r="200" spans="1:1" ht="21.95" customHeight="1" x14ac:dyDescent="0.25">
      <c r="A200" s="12"/>
    </row>
    <row r="201" spans="1:1" ht="21.95" customHeight="1" x14ac:dyDescent="0.25">
      <c r="A201" s="12"/>
    </row>
    <row r="202" spans="1:1" ht="21.95" customHeight="1" x14ac:dyDescent="0.25">
      <c r="A202" s="12"/>
    </row>
    <row r="203" spans="1:1" ht="21.95" customHeight="1" x14ac:dyDescent="0.25">
      <c r="A203" s="12"/>
    </row>
    <row r="204" spans="1:1" ht="21.95" customHeight="1" x14ac:dyDescent="0.25">
      <c r="A204" s="12"/>
    </row>
    <row r="205" spans="1:1" ht="21.95" customHeight="1" x14ac:dyDescent="0.25">
      <c r="A205" s="12"/>
    </row>
    <row r="206" spans="1:1" ht="21.95" customHeight="1" x14ac:dyDescent="0.25">
      <c r="A206" s="12"/>
    </row>
    <row r="207" spans="1:1" ht="21.95" customHeight="1" x14ac:dyDescent="0.25">
      <c r="A207" s="12"/>
    </row>
    <row r="208" spans="1:1" ht="21.95" customHeight="1" x14ac:dyDescent="0.25">
      <c r="A208" s="12"/>
    </row>
    <row r="209" spans="1:1" ht="21.95" customHeight="1" x14ac:dyDescent="0.25">
      <c r="A209" s="12"/>
    </row>
    <row r="210" spans="1:1" ht="21.95" customHeight="1" x14ac:dyDescent="0.25">
      <c r="A210" s="12"/>
    </row>
    <row r="211" spans="1:1" ht="21.95" customHeight="1" x14ac:dyDescent="0.25">
      <c r="A211" s="12"/>
    </row>
    <row r="212" spans="1:1" ht="21.95" customHeight="1" x14ac:dyDescent="0.25">
      <c r="A212" s="12"/>
    </row>
    <row r="213" spans="1:1" ht="21.95" customHeight="1" x14ac:dyDescent="0.25">
      <c r="A213" s="12"/>
    </row>
    <row r="214" spans="1:1" ht="21.95" customHeight="1" x14ac:dyDescent="0.25">
      <c r="A214" s="12"/>
    </row>
    <row r="215" spans="1:1" ht="21.95" customHeight="1" x14ac:dyDescent="0.25">
      <c r="A215" s="12"/>
    </row>
    <row r="216" spans="1:1" ht="21.95" customHeight="1" x14ac:dyDescent="0.25">
      <c r="A216" s="12"/>
    </row>
    <row r="217" spans="1:1" ht="21.95" customHeight="1" x14ac:dyDescent="0.25">
      <c r="A217" s="12"/>
    </row>
    <row r="218" spans="1:1" ht="21.95" customHeight="1" x14ac:dyDescent="0.25">
      <c r="A218" s="12"/>
    </row>
    <row r="219" spans="1:1" ht="21.95" customHeight="1" x14ac:dyDescent="0.25">
      <c r="A219" s="12"/>
    </row>
    <row r="220" spans="1:1" ht="21.95" customHeight="1" x14ac:dyDescent="0.25">
      <c r="A220" s="12"/>
    </row>
    <row r="221" spans="1:1" ht="21.95" customHeight="1" x14ac:dyDescent="0.25">
      <c r="A221" s="12"/>
    </row>
    <row r="222" spans="1:1" ht="21.95" customHeight="1" x14ac:dyDescent="0.25">
      <c r="A222" s="12"/>
    </row>
    <row r="223" spans="1:1" ht="21.95" customHeight="1" x14ac:dyDescent="0.25">
      <c r="A223" s="12"/>
    </row>
    <row r="224" spans="1:1" ht="21.95" customHeight="1" x14ac:dyDescent="0.25">
      <c r="A224" s="12"/>
    </row>
    <row r="225" spans="1:1" ht="21.95" customHeight="1" x14ac:dyDescent="0.25">
      <c r="A225" s="12"/>
    </row>
    <row r="226" spans="1:1" ht="21.95" customHeight="1" x14ac:dyDescent="0.25">
      <c r="A226" s="12"/>
    </row>
    <row r="227" spans="1:1" ht="21.95" customHeight="1" x14ac:dyDescent="0.25">
      <c r="A227" s="12"/>
    </row>
    <row r="228" spans="1:1" ht="21.95" customHeight="1" x14ac:dyDescent="0.25">
      <c r="A228" s="12"/>
    </row>
    <row r="229" spans="1:1" ht="21.95" customHeight="1" x14ac:dyDescent="0.25">
      <c r="A229" s="12"/>
    </row>
    <row r="230" spans="1:1" ht="21.95" customHeight="1" x14ac:dyDescent="0.25">
      <c r="A230" s="12"/>
    </row>
    <row r="231" spans="1:1" ht="21.95" customHeight="1" x14ac:dyDescent="0.25">
      <c r="A231" s="12"/>
    </row>
    <row r="232" spans="1:1" ht="21.95" customHeight="1" x14ac:dyDescent="0.25">
      <c r="A232" s="12"/>
    </row>
    <row r="233" spans="1:1" ht="21.95" customHeight="1" x14ac:dyDescent="0.25">
      <c r="A233" s="12"/>
    </row>
    <row r="234" spans="1:1" ht="21.95" customHeight="1" x14ac:dyDescent="0.25">
      <c r="A234" s="12"/>
    </row>
    <row r="235" spans="1:1" ht="21.95" customHeight="1" x14ac:dyDescent="0.25">
      <c r="A235" s="12"/>
    </row>
    <row r="236" spans="1:1" ht="21.95" customHeight="1" x14ac:dyDescent="0.25">
      <c r="A236" s="12"/>
    </row>
    <row r="237" spans="1:1" ht="21.95" customHeight="1" x14ac:dyDescent="0.25">
      <c r="A237" s="12"/>
    </row>
    <row r="238" spans="1:1" ht="21.95" customHeight="1" x14ac:dyDescent="0.25">
      <c r="A238" s="12"/>
    </row>
    <row r="239" spans="1:1" ht="21.95" customHeight="1" x14ac:dyDescent="0.25">
      <c r="A239" s="12"/>
    </row>
    <row r="240" spans="1:1" ht="21.95" customHeight="1" x14ac:dyDescent="0.25">
      <c r="A240" s="12"/>
    </row>
    <row r="241" spans="1:1" ht="21.95" customHeight="1" x14ac:dyDescent="0.25">
      <c r="A241" s="12"/>
    </row>
    <row r="242" spans="1:1" ht="21.95" customHeight="1" x14ac:dyDescent="0.25">
      <c r="A242" s="12"/>
    </row>
    <row r="243" spans="1:1" ht="21.95" customHeight="1" x14ac:dyDescent="0.25">
      <c r="A243" s="12"/>
    </row>
    <row r="244" spans="1:1" ht="21.95" customHeight="1" x14ac:dyDescent="0.25">
      <c r="A244" s="12"/>
    </row>
    <row r="245" spans="1:1" ht="21.95" customHeight="1" x14ac:dyDescent="0.25">
      <c r="A245" s="12"/>
    </row>
    <row r="246" spans="1:1" ht="21.95" customHeight="1" x14ac:dyDescent="0.25">
      <c r="A246" s="12"/>
    </row>
    <row r="247" spans="1:1" ht="21.95" customHeight="1" x14ac:dyDescent="0.25">
      <c r="A247" s="12"/>
    </row>
    <row r="248" spans="1:1" ht="21.95" customHeight="1" x14ac:dyDescent="0.25">
      <c r="A248" s="12"/>
    </row>
    <row r="249" spans="1:1" ht="21.95" customHeight="1" x14ac:dyDescent="0.25">
      <c r="A249" s="12"/>
    </row>
    <row r="250" spans="1:1" ht="21.95" customHeight="1" x14ac:dyDescent="0.25">
      <c r="A250" s="12"/>
    </row>
    <row r="251" spans="1:1" ht="21.95" customHeight="1" x14ac:dyDescent="0.25">
      <c r="A251" s="12"/>
    </row>
    <row r="252" spans="1:1" ht="21.95" customHeight="1" x14ac:dyDescent="0.25">
      <c r="A252" s="12"/>
    </row>
    <row r="253" spans="1:1" ht="21.95" customHeight="1" x14ac:dyDescent="0.25">
      <c r="A253" s="12"/>
    </row>
    <row r="254" spans="1:1" ht="21.95" customHeight="1" x14ac:dyDescent="0.25">
      <c r="A254" s="12"/>
    </row>
    <row r="255" spans="1:1" ht="21.95" customHeight="1" x14ac:dyDescent="0.25">
      <c r="A255" s="12"/>
    </row>
    <row r="256" spans="1:1" ht="21.95" customHeight="1" x14ac:dyDescent="0.25">
      <c r="A256" s="12"/>
    </row>
    <row r="257" spans="1:1" ht="21.95" customHeight="1" x14ac:dyDescent="0.25">
      <c r="A257" s="12"/>
    </row>
    <row r="258" spans="1:1" ht="21.95" customHeight="1" x14ac:dyDescent="0.25">
      <c r="A258" s="12"/>
    </row>
    <row r="259" spans="1:1" ht="21.95" customHeight="1" x14ac:dyDescent="0.25">
      <c r="A259" s="12"/>
    </row>
    <row r="260" spans="1:1" ht="21.95" customHeight="1" x14ac:dyDescent="0.25">
      <c r="A260" s="12"/>
    </row>
    <row r="261" spans="1:1" ht="21.95" customHeight="1" x14ac:dyDescent="0.25">
      <c r="A261" s="12"/>
    </row>
    <row r="262" spans="1:1" ht="21.95" customHeight="1" x14ac:dyDescent="0.25">
      <c r="A262" s="12"/>
    </row>
    <row r="263" spans="1:1" ht="21.95" customHeight="1" x14ac:dyDescent="0.25">
      <c r="A263" s="12"/>
    </row>
    <row r="264" spans="1:1" ht="21.95" customHeight="1" x14ac:dyDescent="0.25">
      <c r="A264" s="12"/>
    </row>
    <row r="265" spans="1:1" ht="21.95" customHeight="1" x14ac:dyDescent="0.25">
      <c r="A265" s="12"/>
    </row>
    <row r="266" spans="1:1" ht="21.95" customHeight="1" x14ac:dyDescent="0.25">
      <c r="A266" s="12"/>
    </row>
    <row r="267" spans="1:1" ht="21.95" customHeight="1" x14ac:dyDescent="0.25">
      <c r="A267" s="12"/>
    </row>
    <row r="268" spans="1:1" ht="21.95" customHeight="1" x14ac:dyDescent="0.25">
      <c r="A268" s="12"/>
    </row>
    <row r="269" spans="1:1" ht="21.95" customHeight="1" x14ac:dyDescent="0.25">
      <c r="A269" s="12"/>
    </row>
    <row r="270" spans="1:1" ht="21.95" customHeight="1" x14ac:dyDescent="0.25">
      <c r="A270" s="12"/>
    </row>
    <row r="271" spans="1:1" ht="21.95" customHeight="1" x14ac:dyDescent="0.25">
      <c r="A271" s="12"/>
    </row>
    <row r="272" spans="1:1" ht="21.95" customHeight="1" x14ac:dyDescent="0.25">
      <c r="A272" s="12"/>
    </row>
    <row r="273" spans="1:1" ht="21.95" customHeight="1" x14ac:dyDescent="0.25">
      <c r="A273" s="12"/>
    </row>
    <row r="274" spans="1:1" ht="21.95" customHeight="1" x14ac:dyDescent="0.25">
      <c r="A274" s="12"/>
    </row>
    <row r="275" spans="1:1" ht="21.95" customHeight="1" x14ac:dyDescent="0.25">
      <c r="A275" s="12"/>
    </row>
    <row r="276" spans="1:1" ht="21.95" customHeight="1" x14ac:dyDescent="0.25">
      <c r="A276" s="12"/>
    </row>
    <row r="277" spans="1:1" ht="21.95" customHeight="1" x14ac:dyDescent="0.25">
      <c r="A277" s="12"/>
    </row>
    <row r="278" spans="1:1" ht="21.95" customHeight="1" x14ac:dyDescent="0.25">
      <c r="A278" s="12"/>
    </row>
    <row r="279" spans="1:1" ht="21.95" customHeight="1" x14ac:dyDescent="0.25">
      <c r="A279" s="12"/>
    </row>
    <row r="280" spans="1:1" ht="21.95" customHeight="1" x14ac:dyDescent="0.25">
      <c r="A280" s="12"/>
    </row>
    <row r="281" spans="1:1" ht="21.95" customHeight="1" x14ac:dyDescent="0.25">
      <c r="A281" s="12"/>
    </row>
    <row r="282" spans="1:1" ht="21.95" customHeight="1" x14ac:dyDescent="0.25">
      <c r="A282" s="12"/>
    </row>
    <row r="283" spans="1:1" ht="21.95" customHeight="1" x14ac:dyDescent="0.25">
      <c r="A283" s="12"/>
    </row>
    <row r="284" spans="1:1" ht="21.95" customHeight="1" x14ac:dyDescent="0.25">
      <c r="A284" s="12"/>
    </row>
    <row r="285" spans="1:1" ht="21.95" customHeight="1" x14ac:dyDescent="0.25">
      <c r="A285" s="12"/>
    </row>
    <row r="286" spans="1:1" ht="21.95" customHeight="1" x14ac:dyDescent="0.25">
      <c r="A286" s="12"/>
    </row>
    <row r="287" spans="1:1" ht="21.95" customHeight="1" x14ac:dyDescent="0.25">
      <c r="A287" s="12"/>
    </row>
    <row r="288" spans="1:1" ht="21.95" customHeight="1" x14ac:dyDescent="0.25">
      <c r="A288" s="12"/>
    </row>
    <row r="289" spans="1:1" ht="21.95" customHeight="1" x14ac:dyDescent="0.25">
      <c r="A289" s="12"/>
    </row>
    <row r="290" spans="1:1" ht="21.95" customHeight="1" x14ac:dyDescent="0.25">
      <c r="A290" s="12"/>
    </row>
    <row r="291" spans="1:1" ht="21.95" customHeight="1" x14ac:dyDescent="0.25">
      <c r="A291" s="12"/>
    </row>
    <row r="292" spans="1:1" ht="21.95" customHeight="1" x14ac:dyDescent="0.25">
      <c r="A292" s="12"/>
    </row>
    <row r="293" spans="1:1" ht="21.95" customHeight="1" x14ac:dyDescent="0.25">
      <c r="A293" s="12"/>
    </row>
    <row r="294" spans="1:1" ht="21.95" customHeight="1" x14ac:dyDescent="0.25">
      <c r="A294" s="12"/>
    </row>
    <row r="295" spans="1:1" ht="21.95" customHeight="1" x14ac:dyDescent="0.25">
      <c r="A295" s="12"/>
    </row>
    <row r="296" spans="1:1" ht="21.95" customHeight="1" x14ac:dyDescent="0.25">
      <c r="A296" s="12"/>
    </row>
    <row r="297" spans="1:1" ht="21.95" customHeight="1" x14ac:dyDescent="0.25">
      <c r="A297" s="12"/>
    </row>
    <row r="298" spans="1:1" ht="21.95" customHeight="1" x14ac:dyDescent="0.25">
      <c r="A298" s="12"/>
    </row>
    <row r="299" spans="1:1" ht="21.95" customHeight="1" x14ac:dyDescent="0.25">
      <c r="A299" s="12"/>
    </row>
    <row r="300" spans="1:1" ht="21.95" customHeight="1" x14ac:dyDescent="0.25">
      <c r="A300" s="12"/>
    </row>
    <row r="301" spans="1:1" ht="21.95" customHeight="1" x14ac:dyDescent="0.25">
      <c r="A301" s="12"/>
    </row>
    <row r="302" spans="1:1" ht="21.95" customHeight="1" x14ac:dyDescent="0.25">
      <c r="A302" s="12"/>
    </row>
    <row r="303" spans="1:1" ht="21.95" customHeight="1" x14ac:dyDescent="0.25">
      <c r="A303" s="12"/>
    </row>
    <row r="304" spans="1:1" ht="21.95" customHeight="1" x14ac:dyDescent="0.25">
      <c r="A304" s="12"/>
    </row>
    <row r="305" spans="1:1" ht="21.95" customHeight="1" x14ac:dyDescent="0.25">
      <c r="A305" s="12"/>
    </row>
    <row r="306" spans="1:1" ht="21.95" customHeight="1" x14ac:dyDescent="0.25">
      <c r="A306" s="12"/>
    </row>
    <row r="307" spans="1:1" ht="21.95" customHeight="1" x14ac:dyDescent="0.25">
      <c r="A307" s="12"/>
    </row>
    <row r="308" spans="1:1" ht="21.95" customHeight="1" x14ac:dyDescent="0.25">
      <c r="A308" s="12"/>
    </row>
    <row r="309" spans="1:1" ht="21.95" customHeight="1" x14ac:dyDescent="0.25">
      <c r="A309" s="12"/>
    </row>
    <row r="310" spans="1:1" ht="21.95" customHeight="1" x14ac:dyDescent="0.25">
      <c r="A310" s="12"/>
    </row>
    <row r="311" spans="1:1" ht="21.95" customHeight="1" x14ac:dyDescent="0.25">
      <c r="A311" s="12"/>
    </row>
    <row r="312" spans="1:1" ht="21.95" customHeight="1" x14ac:dyDescent="0.25">
      <c r="A312" s="12"/>
    </row>
    <row r="313" spans="1:1" ht="21.95" customHeight="1" x14ac:dyDescent="0.25">
      <c r="A313" s="12"/>
    </row>
    <row r="314" spans="1:1" ht="21.95" customHeight="1" x14ac:dyDescent="0.25">
      <c r="A314" s="12"/>
    </row>
    <row r="315" spans="1:1" ht="21.95" customHeight="1" x14ac:dyDescent="0.25">
      <c r="A315" s="12"/>
    </row>
    <row r="316" spans="1:1" ht="21.95" customHeight="1" x14ac:dyDescent="0.25">
      <c r="A316" s="12"/>
    </row>
    <row r="317" spans="1:1" ht="21.95" customHeight="1" x14ac:dyDescent="0.25">
      <c r="A317" s="12"/>
    </row>
    <row r="318" spans="1:1" ht="21.95" customHeight="1" x14ac:dyDescent="0.25">
      <c r="A318" s="12"/>
    </row>
    <row r="319" spans="1:1" ht="21.95" customHeight="1" x14ac:dyDescent="0.25">
      <c r="A319" s="12"/>
    </row>
    <row r="320" spans="1:1" ht="21.95" customHeight="1" x14ac:dyDescent="0.25">
      <c r="A320" s="12"/>
    </row>
    <row r="321" spans="1:1" ht="21.95" customHeight="1" x14ac:dyDescent="0.25">
      <c r="A321" s="12"/>
    </row>
    <row r="322" spans="1:1" ht="21.95" customHeight="1" x14ac:dyDescent="0.25">
      <c r="A322" s="12"/>
    </row>
    <row r="323" spans="1:1" ht="21.95" customHeight="1" x14ac:dyDescent="0.25">
      <c r="A323" s="12"/>
    </row>
    <row r="324" spans="1:1" ht="21.95" customHeight="1" x14ac:dyDescent="0.25">
      <c r="A324" s="12"/>
    </row>
    <row r="325" spans="1:1" ht="21.95" customHeight="1" x14ac:dyDescent="0.25">
      <c r="A325" s="12"/>
    </row>
    <row r="326" spans="1:1" ht="21.95" customHeight="1" x14ac:dyDescent="0.25">
      <c r="A326" s="12"/>
    </row>
    <row r="327" spans="1:1" ht="21.95" customHeight="1" x14ac:dyDescent="0.25">
      <c r="A327" s="12"/>
    </row>
    <row r="328" spans="1:1" ht="21.95" customHeight="1" x14ac:dyDescent="0.25">
      <c r="A328" s="12"/>
    </row>
    <row r="329" spans="1:1" ht="21.95" customHeight="1" x14ac:dyDescent="0.25">
      <c r="A329" s="12"/>
    </row>
    <row r="330" spans="1:1" ht="21.95" customHeight="1" x14ac:dyDescent="0.25">
      <c r="A330" s="12"/>
    </row>
    <row r="331" spans="1:1" ht="21.95" customHeight="1" x14ac:dyDescent="0.25">
      <c r="A331" s="12"/>
    </row>
    <row r="332" spans="1:1" ht="21.95" customHeight="1" x14ac:dyDescent="0.25">
      <c r="A332" s="12"/>
    </row>
    <row r="333" spans="1:1" ht="21.95" customHeight="1" x14ac:dyDescent="0.25">
      <c r="A333" s="12"/>
    </row>
    <row r="334" spans="1:1" ht="21.95" customHeight="1" x14ac:dyDescent="0.25">
      <c r="A334" s="12"/>
    </row>
    <row r="335" spans="1:1" ht="21.95" customHeight="1" x14ac:dyDescent="0.25">
      <c r="A335" s="12"/>
    </row>
    <row r="336" spans="1:1" ht="21.95" customHeight="1" x14ac:dyDescent="0.25">
      <c r="A336" s="12"/>
    </row>
    <row r="337" spans="1:1" ht="21.95" customHeight="1" x14ac:dyDescent="0.25">
      <c r="A337" s="12"/>
    </row>
    <row r="338" spans="1:1" ht="21.95" customHeight="1" x14ac:dyDescent="0.25">
      <c r="A338" s="12"/>
    </row>
    <row r="339" spans="1:1" ht="21.95" customHeight="1" x14ac:dyDescent="0.25">
      <c r="A339" s="12"/>
    </row>
    <row r="340" spans="1:1" ht="21.95" customHeight="1" x14ac:dyDescent="0.25">
      <c r="A340" s="12"/>
    </row>
    <row r="341" spans="1:1" ht="21.95" customHeight="1" x14ac:dyDescent="0.25">
      <c r="A341" s="12"/>
    </row>
    <row r="342" spans="1:1" ht="21.95" customHeight="1" x14ac:dyDescent="0.25">
      <c r="A342" s="12"/>
    </row>
    <row r="343" spans="1:1" ht="21.95" customHeight="1" x14ac:dyDescent="0.25">
      <c r="A343" s="12"/>
    </row>
    <row r="344" spans="1:1" ht="21.95" customHeight="1" x14ac:dyDescent="0.25">
      <c r="A344" s="12"/>
    </row>
    <row r="345" spans="1:1" ht="21.95" customHeight="1" x14ac:dyDescent="0.25">
      <c r="A345" s="12"/>
    </row>
    <row r="346" spans="1:1" ht="21.95" customHeight="1" x14ac:dyDescent="0.25">
      <c r="A346" s="12"/>
    </row>
    <row r="347" spans="1:1" ht="21.95" customHeight="1" x14ac:dyDescent="0.25">
      <c r="A347" s="12"/>
    </row>
    <row r="348" spans="1:1" ht="21.95" customHeight="1" x14ac:dyDescent="0.25">
      <c r="A348" s="12"/>
    </row>
    <row r="349" spans="1:1" ht="21.95" customHeight="1" x14ac:dyDescent="0.25">
      <c r="A349" s="12"/>
    </row>
    <row r="350" spans="1:1" ht="21.95" customHeight="1" x14ac:dyDescent="0.25">
      <c r="A350" s="12"/>
    </row>
    <row r="351" spans="1:1" ht="21.95" customHeight="1" x14ac:dyDescent="0.25">
      <c r="A351" s="12"/>
    </row>
    <row r="352" spans="1:1" ht="21.95" customHeight="1" x14ac:dyDescent="0.25">
      <c r="A352" s="12"/>
    </row>
    <row r="353" spans="1:1" ht="21.95" customHeight="1" x14ac:dyDescent="0.25">
      <c r="A353" s="12"/>
    </row>
    <row r="354" spans="1:1" ht="21.95" customHeight="1" x14ac:dyDescent="0.25">
      <c r="A354" s="12"/>
    </row>
    <row r="355" spans="1:1" ht="21.95" customHeight="1" x14ac:dyDescent="0.25">
      <c r="A355" s="12"/>
    </row>
    <row r="356" spans="1:1" ht="21.95" customHeight="1" x14ac:dyDescent="0.25">
      <c r="A356" s="12"/>
    </row>
    <row r="357" spans="1:1" ht="21.95" customHeight="1" x14ac:dyDescent="0.25">
      <c r="A357" s="12"/>
    </row>
    <row r="358" spans="1:1" ht="21.95" customHeight="1" x14ac:dyDescent="0.25">
      <c r="A358" s="12"/>
    </row>
    <row r="359" spans="1:1" ht="21.95" customHeight="1" x14ac:dyDescent="0.25">
      <c r="A359" s="12"/>
    </row>
    <row r="360" spans="1:1" ht="21.95" customHeight="1" x14ac:dyDescent="0.25">
      <c r="A360" s="12"/>
    </row>
    <row r="361" spans="1:1" ht="21.95" customHeight="1" x14ac:dyDescent="0.25">
      <c r="A361" s="12"/>
    </row>
    <row r="362" spans="1:1" ht="21.95" customHeight="1" x14ac:dyDescent="0.25">
      <c r="A362" s="12"/>
    </row>
    <row r="363" spans="1:1" ht="21.95" customHeight="1" x14ac:dyDescent="0.25">
      <c r="A363" s="12"/>
    </row>
    <row r="364" spans="1:1" ht="21.95" customHeight="1" x14ac:dyDescent="0.25">
      <c r="A364" s="12"/>
    </row>
    <row r="365" spans="1:1" ht="21.95" customHeight="1" x14ac:dyDescent="0.25">
      <c r="A365" s="12"/>
    </row>
    <row r="366" spans="1:1" ht="21.95" customHeight="1" x14ac:dyDescent="0.25">
      <c r="A366" s="12"/>
    </row>
    <row r="367" spans="1:1" ht="21.95" customHeight="1" x14ac:dyDescent="0.25">
      <c r="A367" s="12"/>
    </row>
    <row r="368" spans="1:1" ht="21.95" customHeight="1" x14ac:dyDescent="0.25">
      <c r="A368" s="12"/>
    </row>
    <row r="369" spans="1:1" ht="21.95" customHeight="1" x14ac:dyDescent="0.25">
      <c r="A369" s="12"/>
    </row>
    <row r="370" spans="1:1" ht="21.95" customHeight="1" x14ac:dyDescent="0.25">
      <c r="A370" s="12"/>
    </row>
    <row r="371" spans="1:1" ht="21.95" customHeight="1" x14ac:dyDescent="0.25">
      <c r="A371" s="12"/>
    </row>
    <row r="372" spans="1:1" ht="21.95" customHeight="1" x14ac:dyDescent="0.25">
      <c r="A372" s="12"/>
    </row>
    <row r="373" spans="1:1" ht="21.95" customHeight="1" x14ac:dyDescent="0.25">
      <c r="A373" s="12"/>
    </row>
    <row r="374" spans="1:1" ht="21.95" customHeight="1" x14ac:dyDescent="0.25">
      <c r="A374" s="12"/>
    </row>
    <row r="375" spans="1:1" ht="21.95" customHeight="1" x14ac:dyDescent="0.25">
      <c r="A375" s="12"/>
    </row>
    <row r="376" spans="1:1" ht="21.95" customHeight="1" x14ac:dyDescent="0.25">
      <c r="A376" s="12"/>
    </row>
    <row r="377" spans="1:1" ht="21.95" customHeight="1" x14ac:dyDescent="0.25">
      <c r="A377" s="12"/>
    </row>
    <row r="378" spans="1:1" ht="21.95" customHeight="1" x14ac:dyDescent="0.25">
      <c r="A378" s="12"/>
    </row>
    <row r="379" spans="1:1" ht="21.95" customHeight="1" x14ac:dyDescent="0.25">
      <c r="A379" s="12"/>
    </row>
    <row r="380" spans="1:1" ht="21.95" customHeight="1" x14ac:dyDescent="0.25">
      <c r="A380" s="12"/>
    </row>
    <row r="381" spans="1:1" ht="21.95" customHeight="1" x14ac:dyDescent="0.25">
      <c r="A381" s="12"/>
    </row>
    <row r="382" spans="1:1" ht="21.95" customHeight="1" x14ac:dyDescent="0.25">
      <c r="A382" s="12"/>
    </row>
    <row r="383" spans="1:1" ht="21.95" customHeight="1" x14ac:dyDescent="0.25">
      <c r="A383" s="12"/>
    </row>
    <row r="384" spans="1:1" ht="21.95" customHeight="1" x14ac:dyDescent="0.25">
      <c r="A384" s="12"/>
    </row>
    <row r="385" spans="1:1" ht="21.95" customHeight="1" x14ac:dyDescent="0.25">
      <c r="A385" s="12"/>
    </row>
    <row r="386" spans="1:1" ht="21.95" customHeight="1" x14ac:dyDescent="0.25">
      <c r="A386" s="12"/>
    </row>
    <row r="387" spans="1:1" ht="21.95" customHeight="1" x14ac:dyDescent="0.25">
      <c r="A387" s="12"/>
    </row>
    <row r="388" spans="1:1" ht="21.95" customHeight="1" x14ac:dyDescent="0.25">
      <c r="A388" s="12"/>
    </row>
    <row r="389" spans="1:1" ht="21.95" customHeight="1" x14ac:dyDescent="0.25">
      <c r="A389" s="12"/>
    </row>
    <row r="390" spans="1:1" ht="21.95" customHeight="1" x14ac:dyDescent="0.25">
      <c r="A390" s="12"/>
    </row>
    <row r="391" spans="1:1" ht="21.95" customHeight="1" x14ac:dyDescent="0.25">
      <c r="A391" s="12"/>
    </row>
    <row r="392" spans="1:1" ht="21.95" customHeight="1" x14ac:dyDescent="0.25">
      <c r="A392" s="12"/>
    </row>
    <row r="393" spans="1:1" ht="21.95" customHeight="1" x14ac:dyDescent="0.25">
      <c r="A393" s="12"/>
    </row>
    <row r="394" spans="1:1" ht="21.95" customHeight="1" x14ac:dyDescent="0.25">
      <c r="A394" s="12"/>
    </row>
    <row r="395" spans="1:1" ht="21.95" customHeight="1" x14ac:dyDescent="0.25">
      <c r="A395" s="12"/>
    </row>
    <row r="396" spans="1:1" ht="21.95" customHeight="1" x14ac:dyDescent="0.25">
      <c r="A396" s="12"/>
    </row>
    <row r="397" spans="1:1" ht="21.95" customHeight="1" x14ac:dyDescent="0.25">
      <c r="A397" s="12"/>
    </row>
    <row r="398" spans="1:1" ht="21.95" customHeight="1" x14ac:dyDescent="0.25">
      <c r="A398" s="12"/>
    </row>
    <row r="399" spans="1:1" ht="21.95" customHeight="1" x14ac:dyDescent="0.25">
      <c r="A399" s="12"/>
    </row>
    <row r="400" spans="1:1" ht="21.95" customHeight="1" x14ac:dyDescent="0.25">
      <c r="A400" s="12"/>
    </row>
    <row r="401" spans="1:1" ht="21.95" customHeight="1" x14ac:dyDescent="0.25">
      <c r="A401" s="12"/>
    </row>
    <row r="402" spans="1:1" ht="21.95" customHeight="1" x14ac:dyDescent="0.25">
      <c r="A402" s="12"/>
    </row>
    <row r="403" spans="1:1" ht="21.95" customHeight="1" x14ac:dyDescent="0.25">
      <c r="A403" s="12"/>
    </row>
    <row r="404" spans="1:1" ht="21.95" customHeight="1" x14ac:dyDescent="0.25">
      <c r="A404" s="12"/>
    </row>
    <row r="405" spans="1:1" ht="21.95" customHeight="1" x14ac:dyDescent="0.25">
      <c r="A405" s="12"/>
    </row>
    <row r="406" spans="1:1" ht="21.95" customHeight="1" x14ac:dyDescent="0.25">
      <c r="A406" s="12"/>
    </row>
    <row r="407" spans="1:1" ht="21.95" customHeight="1" x14ac:dyDescent="0.25">
      <c r="A407" s="12"/>
    </row>
    <row r="408" spans="1:1" ht="21.95" customHeight="1" x14ac:dyDescent="0.25">
      <c r="A408" s="12"/>
    </row>
    <row r="409" spans="1:1" ht="21.95" customHeight="1" x14ac:dyDescent="0.25">
      <c r="A409" s="12"/>
    </row>
    <row r="410" spans="1:1" ht="21.95" customHeight="1" x14ac:dyDescent="0.25">
      <c r="A410" s="12"/>
    </row>
    <row r="411" spans="1:1" ht="21.95" customHeight="1" x14ac:dyDescent="0.25">
      <c r="A411" s="12"/>
    </row>
    <row r="412" spans="1:1" ht="21.95" customHeight="1" x14ac:dyDescent="0.25">
      <c r="A412" s="12"/>
    </row>
    <row r="413" spans="1:1" ht="21.95" customHeight="1" x14ac:dyDescent="0.25">
      <c r="A413" s="12"/>
    </row>
    <row r="414" spans="1:1" ht="21.95" customHeight="1" x14ac:dyDescent="0.25">
      <c r="A414" s="12"/>
    </row>
    <row r="415" spans="1:1" ht="21.95" customHeight="1" x14ac:dyDescent="0.25">
      <c r="A415" s="12"/>
    </row>
    <row r="416" spans="1:1" ht="21.95" customHeight="1" x14ac:dyDescent="0.25">
      <c r="A416" s="12"/>
    </row>
    <row r="417" spans="1:1" ht="21.95" customHeight="1" x14ac:dyDescent="0.25">
      <c r="A417" s="12"/>
    </row>
    <row r="418" spans="1:1" ht="21.95" customHeight="1" x14ac:dyDescent="0.25">
      <c r="A418" s="12"/>
    </row>
    <row r="419" spans="1:1" ht="21.95" customHeight="1" x14ac:dyDescent="0.25">
      <c r="A419" s="12"/>
    </row>
    <row r="420" spans="1:1" ht="21.95" customHeight="1" x14ac:dyDescent="0.25">
      <c r="A420" s="12"/>
    </row>
    <row r="421" spans="1:1" ht="21.95" customHeight="1" x14ac:dyDescent="0.25">
      <c r="A421" s="12"/>
    </row>
    <row r="422" spans="1:1" ht="21.95" customHeight="1" x14ac:dyDescent="0.25">
      <c r="A422" s="12"/>
    </row>
    <row r="423" spans="1:1" ht="21.95" customHeight="1" x14ac:dyDescent="0.25">
      <c r="A423" s="12"/>
    </row>
    <row r="424" spans="1:1" ht="21.95" customHeight="1" x14ac:dyDescent="0.25">
      <c r="A424" s="12"/>
    </row>
    <row r="425" spans="1:1" ht="21.95" customHeight="1" x14ac:dyDescent="0.25">
      <c r="A425" s="12"/>
    </row>
    <row r="426" spans="1:1" ht="21.95" customHeight="1" x14ac:dyDescent="0.25">
      <c r="A426" s="12"/>
    </row>
    <row r="427" spans="1:1" ht="21.95" customHeight="1" x14ac:dyDescent="0.25">
      <c r="A427" s="12"/>
    </row>
    <row r="428" spans="1:1" ht="21.95" customHeight="1" x14ac:dyDescent="0.25">
      <c r="A428" s="12"/>
    </row>
    <row r="429" spans="1:1" ht="21.95" customHeight="1" x14ac:dyDescent="0.25">
      <c r="A429" s="12"/>
    </row>
    <row r="430" spans="1:1" ht="21.95" customHeight="1" x14ac:dyDescent="0.25">
      <c r="A430" s="12"/>
    </row>
    <row r="431" spans="1:1" ht="21.95" customHeight="1" x14ac:dyDescent="0.25">
      <c r="A431" s="12"/>
    </row>
    <row r="432" spans="1:1" ht="21.95" customHeight="1" x14ac:dyDescent="0.25">
      <c r="A432" s="12"/>
    </row>
    <row r="433" spans="1:1" ht="21.95" customHeight="1" x14ac:dyDescent="0.25">
      <c r="A433" s="12"/>
    </row>
    <row r="434" spans="1:1" ht="21.95" customHeight="1" x14ac:dyDescent="0.25">
      <c r="A434" s="12"/>
    </row>
    <row r="435" spans="1:1" ht="21.95" customHeight="1" x14ac:dyDescent="0.25">
      <c r="A435" s="12"/>
    </row>
    <row r="436" spans="1:1" ht="21.95" customHeight="1" x14ac:dyDescent="0.25">
      <c r="A436" s="12"/>
    </row>
    <row r="437" spans="1:1" ht="21.95" customHeight="1" x14ac:dyDescent="0.25">
      <c r="A437" s="12"/>
    </row>
    <row r="438" spans="1:1" ht="21.95" customHeight="1" x14ac:dyDescent="0.25">
      <c r="A438" s="12"/>
    </row>
    <row r="439" spans="1:1" ht="21.95" customHeight="1" x14ac:dyDescent="0.25">
      <c r="A439" s="12"/>
    </row>
    <row r="440" spans="1:1" ht="21.95" customHeight="1" x14ac:dyDescent="0.25">
      <c r="A440" s="12"/>
    </row>
    <row r="441" spans="1:1" ht="21.95" customHeight="1" x14ac:dyDescent="0.25">
      <c r="A441" s="12"/>
    </row>
    <row r="442" spans="1:1" ht="21.95" customHeight="1" x14ac:dyDescent="0.25">
      <c r="A442" s="12"/>
    </row>
    <row r="443" spans="1:1" ht="21.95" customHeight="1" x14ac:dyDescent="0.25">
      <c r="A443" s="12"/>
    </row>
    <row r="444" spans="1:1" ht="21.95" customHeight="1" x14ac:dyDescent="0.25">
      <c r="A444" s="12"/>
    </row>
    <row r="445" spans="1:1" ht="21.95" customHeight="1" x14ac:dyDescent="0.25">
      <c r="A445" s="12"/>
    </row>
    <row r="446" spans="1:1" ht="21.95" customHeight="1" x14ac:dyDescent="0.25">
      <c r="A446" s="12"/>
    </row>
    <row r="447" spans="1:1" ht="21.95" customHeight="1" x14ac:dyDescent="0.25">
      <c r="A447" s="12"/>
    </row>
    <row r="448" spans="1:1" ht="21.95" customHeight="1" x14ac:dyDescent="0.25">
      <c r="A448" s="12"/>
    </row>
    <row r="449" spans="1:1" ht="21.95" customHeight="1" x14ac:dyDescent="0.25">
      <c r="A449" s="12"/>
    </row>
    <row r="450" spans="1:1" ht="21.95" customHeight="1" x14ac:dyDescent="0.25">
      <c r="A450" s="12"/>
    </row>
    <row r="451" spans="1:1" ht="21.95" customHeight="1" x14ac:dyDescent="0.25">
      <c r="A451" s="12"/>
    </row>
    <row r="452" spans="1:1" ht="21.95" customHeight="1" x14ac:dyDescent="0.25">
      <c r="A452" s="12"/>
    </row>
    <row r="453" spans="1:1" ht="21.95" customHeight="1" x14ac:dyDescent="0.25">
      <c r="A453" s="12"/>
    </row>
    <row r="454" spans="1:1" ht="21.95" customHeight="1" x14ac:dyDescent="0.25">
      <c r="A454" s="12"/>
    </row>
    <row r="455" spans="1:1" ht="21.95" customHeight="1" x14ac:dyDescent="0.25">
      <c r="A455" s="12"/>
    </row>
    <row r="456" spans="1:1" ht="21.95" customHeight="1" x14ac:dyDescent="0.25">
      <c r="A456" s="12"/>
    </row>
    <row r="457" spans="1:1" ht="21.95" customHeight="1" x14ac:dyDescent="0.25">
      <c r="A457" s="12"/>
    </row>
    <row r="458" spans="1:1" ht="21.95" customHeight="1" x14ac:dyDescent="0.25">
      <c r="A458" s="12"/>
    </row>
    <row r="459" spans="1:1" ht="21.95" customHeight="1" x14ac:dyDescent="0.25">
      <c r="A459" s="12"/>
    </row>
    <row r="460" spans="1:1" ht="21.95" customHeight="1" x14ac:dyDescent="0.25">
      <c r="A460" s="12"/>
    </row>
    <row r="461" spans="1:1" ht="21.95" customHeight="1" x14ac:dyDescent="0.25">
      <c r="A461" s="12"/>
    </row>
    <row r="462" spans="1:1" ht="21.95" customHeight="1" x14ac:dyDescent="0.25">
      <c r="A462" s="12"/>
    </row>
    <row r="463" spans="1:1" ht="21.95" customHeight="1" x14ac:dyDescent="0.25">
      <c r="A463" s="12"/>
    </row>
    <row r="464" spans="1:1" ht="21.95" customHeight="1" x14ac:dyDescent="0.25">
      <c r="A464" s="12"/>
    </row>
    <row r="465" spans="1:1" ht="21.95" customHeight="1" x14ac:dyDescent="0.25">
      <c r="A465" s="12"/>
    </row>
    <row r="466" spans="1:1" ht="21.95" customHeight="1" x14ac:dyDescent="0.25">
      <c r="A466" s="12"/>
    </row>
    <row r="467" spans="1:1" ht="21.95" customHeight="1" x14ac:dyDescent="0.25">
      <c r="A467" s="12"/>
    </row>
    <row r="468" spans="1:1" ht="21.95" customHeight="1" x14ac:dyDescent="0.25">
      <c r="A468" s="12"/>
    </row>
    <row r="469" spans="1:1" ht="21.95" customHeight="1" x14ac:dyDescent="0.25">
      <c r="A469" s="12"/>
    </row>
    <row r="470" spans="1:1" ht="21.95" customHeight="1" x14ac:dyDescent="0.25">
      <c r="A470" s="12"/>
    </row>
    <row r="471" spans="1:1" ht="21.95" customHeight="1" x14ac:dyDescent="0.25">
      <c r="A471" s="12"/>
    </row>
    <row r="472" spans="1:1" ht="21.95" customHeight="1" x14ac:dyDescent="0.25">
      <c r="A472" s="12"/>
    </row>
    <row r="473" spans="1:1" ht="21.95" customHeight="1" x14ac:dyDescent="0.25">
      <c r="A473" s="12"/>
    </row>
    <row r="474" spans="1:1" ht="21.95" customHeight="1" x14ac:dyDescent="0.25">
      <c r="A474" s="12"/>
    </row>
    <row r="475" spans="1:1" ht="21.95" customHeight="1" x14ac:dyDescent="0.25">
      <c r="A475" s="12"/>
    </row>
    <row r="476" spans="1:1" ht="21.95" customHeight="1" x14ac:dyDescent="0.25">
      <c r="A476" s="12"/>
    </row>
    <row r="477" spans="1:1" ht="21.95" customHeight="1" x14ac:dyDescent="0.25">
      <c r="A477" s="12"/>
    </row>
    <row r="478" spans="1:1" ht="21.95" customHeight="1" x14ac:dyDescent="0.25">
      <c r="A478" s="12"/>
    </row>
    <row r="479" spans="1:1" ht="21.95" customHeight="1" x14ac:dyDescent="0.25">
      <c r="A479" s="12"/>
    </row>
    <row r="480" spans="1:1" ht="21.95" customHeight="1" x14ac:dyDescent="0.25">
      <c r="A480" s="12"/>
    </row>
    <row r="481" spans="1:1" ht="21.95" customHeight="1" x14ac:dyDescent="0.25">
      <c r="A481" s="12"/>
    </row>
    <row r="482" spans="1:1" ht="21.95" customHeight="1" x14ac:dyDescent="0.25">
      <c r="A482" s="12"/>
    </row>
    <row r="483" spans="1:1" ht="21.95" customHeight="1" x14ac:dyDescent="0.25">
      <c r="A483" s="12"/>
    </row>
    <row r="484" spans="1:1" ht="21.95" customHeight="1" x14ac:dyDescent="0.25">
      <c r="A484" s="12"/>
    </row>
    <row r="485" spans="1:1" ht="21.95" customHeight="1" x14ac:dyDescent="0.25">
      <c r="A485" s="12"/>
    </row>
    <row r="486" spans="1:1" ht="21.95" customHeight="1" x14ac:dyDescent="0.25">
      <c r="A486" s="12"/>
    </row>
    <row r="487" spans="1:1" ht="21.95" customHeight="1" x14ac:dyDescent="0.25">
      <c r="A487" s="12"/>
    </row>
    <row r="488" spans="1:1" ht="21.95" customHeight="1" x14ac:dyDescent="0.25">
      <c r="A488" s="12"/>
    </row>
    <row r="489" spans="1:1" ht="21.95" customHeight="1" x14ac:dyDescent="0.25">
      <c r="A489" s="12"/>
    </row>
    <row r="490" spans="1:1" ht="21.95" customHeight="1" x14ac:dyDescent="0.25">
      <c r="A490" s="12"/>
    </row>
    <row r="491" spans="1:1" ht="21.95" customHeight="1" x14ac:dyDescent="0.25">
      <c r="A491" s="12"/>
    </row>
    <row r="492" spans="1:1" ht="21.95" customHeight="1" x14ac:dyDescent="0.25">
      <c r="A492" s="12"/>
    </row>
    <row r="493" spans="1:1" ht="21.95" customHeight="1" x14ac:dyDescent="0.25">
      <c r="A493" s="12"/>
    </row>
    <row r="494" spans="1:1" ht="21.95" customHeight="1" x14ac:dyDescent="0.25">
      <c r="A494" s="12"/>
    </row>
    <row r="495" spans="1:1" ht="21.95" customHeight="1" x14ac:dyDescent="0.25">
      <c r="A495" s="12"/>
    </row>
    <row r="496" spans="1:1" ht="21.95" customHeight="1" x14ac:dyDescent="0.25">
      <c r="A496" s="12"/>
    </row>
    <row r="497" spans="1:1" ht="21.95" customHeight="1" x14ac:dyDescent="0.25">
      <c r="A497" s="12"/>
    </row>
    <row r="498" spans="1:1" ht="21.95" customHeight="1" x14ac:dyDescent="0.25">
      <c r="A498" s="12"/>
    </row>
    <row r="499" spans="1:1" ht="21.95" customHeight="1" x14ac:dyDescent="0.25">
      <c r="A499" s="12"/>
    </row>
    <row r="500" spans="1:1" ht="21.95" customHeight="1" x14ac:dyDescent="0.25">
      <c r="A500" s="12"/>
    </row>
    <row r="501" spans="1:1" ht="21.95" customHeight="1" x14ac:dyDescent="0.25">
      <c r="A501" s="12"/>
    </row>
    <row r="502" spans="1:1" ht="21.95" customHeight="1" x14ac:dyDescent="0.25">
      <c r="A502" s="12"/>
    </row>
    <row r="503" spans="1:1" ht="21.95" customHeight="1" x14ac:dyDescent="0.25">
      <c r="A503" s="12"/>
    </row>
    <row r="504" spans="1:1" ht="21.95" customHeight="1" x14ac:dyDescent="0.25">
      <c r="A504" s="12"/>
    </row>
    <row r="505" spans="1:1" ht="21.95" customHeight="1" x14ac:dyDescent="0.25">
      <c r="A505" s="12"/>
    </row>
    <row r="506" spans="1:1" ht="21.95" customHeight="1" x14ac:dyDescent="0.25">
      <c r="A506" s="12"/>
    </row>
    <row r="507" spans="1:1" ht="21.95" customHeight="1" x14ac:dyDescent="0.25">
      <c r="A507" s="12"/>
    </row>
    <row r="508" spans="1:1" ht="21.95" customHeight="1" x14ac:dyDescent="0.25">
      <c r="A508" s="12"/>
    </row>
    <row r="509" spans="1:1" ht="21.95" customHeight="1" x14ac:dyDescent="0.25">
      <c r="A509" s="12"/>
    </row>
    <row r="510" spans="1:1" ht="21.95" customHeight="1" x14ac:dyDescent="0.25">
      <c r="A510" s="12"/>
    </row>
    <row r="511" spans="1:1" ht="21.95" customHeight="1" x14ac:dyDescent="0.25">
      <c r="A511" s="12"/>
    </row>
    <row r="512" spans="1:1" ht="21.95" customHeight="1" x14ac:dyDescent="0.25">
      <c r="A512" s="12"/>
    </row>
    <row r="513" spans="1:1" ht="21.95" customHeight="1" x14ac:dyDescent="0.25">
      <c r="A513" s="12"/>
    </row>
    <row r="514" spans="1:1" ht="21.95" customHeight="1" x14ac:dyDescent="0.25">
      <c r="A514" s="12"/>
    </row>
    <row r="515" spans="1:1" ht="21.95" customHeight="1" x14ac:dyDescent="0.25">
      <c r="A515" s="12"/>
    </row>
    <row r="516" spans="1:1" ht="21.95" customHeight="1" x14ac:dyDescent="0.25">
      <c r="A516" s="12"/>
    </row>
    <row r="517" spans="1:1" ht="21.95" customHeight="1" x14ac:dyDescent="0.25">
      <c r="A517" s="12"/>
    </row>
    <row r="518" spans="1:1" ht="21.95" customHeight="1" x14ac:dyDescent="0.25">
      <c r="A518" s="12"/>
    </row>
    <row r="519" spans="1:1" ht="21.95" customHeight="1" x14ac:dyDescent="0.25">
      <c r="A519" s="12"/>
    </row>
    <row r="520" spans="1:1" ht="21.95" customHeight="1" x14ac:dyDescent="0.25">
      <c r="A520" s="12"/>
    </row>
    <row r="521" spans="1:1" ht="21.95" customHeight="1" x14ac:dyDescent="0.25">
      <c r="A521" s="12"/>
    </row>
    <row r="522" spans="1:1" ht="21.95" customHeight="1" x14ac:dyDescent="0.25">
      <c r="A522" s="12"/>
    </row>
    <row r="523" spans="1:1" ht="21.95" customHeight="1" x14ac:dyDescent="0.25">
      <c r="A523" s="12"/>
    </row>
    <row r="524" spans="1:1" ht="21.95" customHeight="1" x14ac:dyDescent="0.25">
      <c r="A524" s="12"/>
    </row>
    <row r="525" spans="1:1" ht="21.95" customHeight="1" x14ac:dyDescent="0.25">
      <c r="A525" s="12"/>
    </row>
    <row r="526" spans="1:1" ht="21.95" customHeight="1" x14ac:dyDescent="0.25">
      <c r="A526" s="12"/>
    </row>
    <row r="527" spans="1:1" ht="21.95" customHeight="1" x14ac:dyDescent="0.25">
      <c r="A527" s="12"/>
    </row>
    <row r="528" spans="1:1" ht="21.95" customHeight="1" x14ac:dyDescent="0.25">
      <c r="A528" s="12"/>
    </row>
    <row r="529" spans="1:1" ht="21.95" customHeight="1" x14ac:dyDescent="0.25">
      <c r="A529" s="12"/>
    </row>
    <row r="530" spans="1:1" ht="21.95" customHeight="1" x14ac:dyDescent="0.25">
      <c r="A530" s="12"/>
    </row>
    <row r="531" spans="1:1" ht="21.95" customHeight="1" x14ac:dyDescent="0.25">
      <c r="A531" s="12"/>
    </row>
    <row r="532" spans="1:1" ht="21.95" customHeight="1" x14ac:dyDescent="0.25">
      <c r="A532" s="12"/>
    </row>
    <row r="533" spans="1:1" ht="21.95" customHeight="1" x14ac:dyDescent="0.25">
      <c r="A533" s="12"/>
    </row>
    <row r="534" spans="1:1" ht="21.95" customHeight="1" x14ac:dyDescent="0.25">
      <c r="A534" s="12"/>
    </row>
    <row r="535" spans="1:1" ht="21.95" customHeight="1" x14ac:dyDescent="0.25">
      <c r="A535" s="12"/>
    </row>
    <row r="536" spans="1:1" ht="21.95" customHeight="1" x14ac:dyDescent="0.25">
      <c r="A536" s="12"/>
    </row>
    <row r="537" spans="1:1" ht="21.95" customHeight="1" x14ac:dyDescent="0.25">
      <c r="A537" s="12"/>
    </row>
    <row r="538" spans="1:1" ht="21.95" customHeight="1" x14ac:dyDescent="0.25">
      <c r="A538" s="12"/>
    </row>
    <row r="539" spans="1:1" ht="21.95" customHeight="1" x14ac:dyDescent="0.25">
      <c r="A539" s="12"/>
    </row>
    <row r="540" spans="1:1" ht="21.95" customHeight="1" x14ac:dyDescent="0.25">
      <c r="A540" s="12"/>
    </row>
    <row r="541" spans="1:1" ht="21.95" customHeight="1" x14ac:dyDescent="0.25">
      <c r="A541" s="12"/>
    </row>
    <row r="542" spans="1:1" ht="21.95" customHeight="1" x14ac:dyDescent="0.25">
      <c r="A542" s="12"/>
    </row>
    <row r="543" spans="1:1" ht="21.95" customHeight="1" x14ac:dyDescent="0.25">
      <c r="A543" s="12"/>
    </row>
    <row r="544" spans="1:1" ht="21.95" customHeight="1" x14ac:dyDescent="0.25">
      <c r="A544" s="12"/>
    </row>
    <row r="545" spans="1:1" ht="21.95" customHeight="1" x14ac:dyDescent="0.25">
      <c r="A545" s="12"/>
    </row>
    <row r="546" spans="1:1" ht="21.95" customHeight="1" x14ac:dyDescent="0.25">
      <c r="A546" s="12"/>
    </row>
    <row r="547" spans="1:1" ht="21.95" customHeight="1" x14ac:dyDescent="0.25">
      <c r="A547" s="12"/>
    </row>
    <row r="548" spans="1:1" ht="21.95" customHeight="1" x14ac:dyDescent="0.25">
      <c r="A548" s="12"/>
    </row>
    <row r="549" spans="1:1" ht="21.95" customHeight="1" x14ac:dyDescent="0.25">
      <c r="A549" s="12"/>
    </row>
    <row r="550" spans="1:1" ht="21.95" customHeight="1" x14ac:dyDescent="0.25">
      <c r="A550" s="12"/>
    </row>
    <row r="551" spans="1:1" ht="21.95" customHeight="1" x14ac:dyDescent="0.25">
      <c r="A551" s="12"/>
    </row>
    <row r="552" spans="1:1" ht="21.95" customHeight="1" x14ac:dyDescent="0.25">
      <c r="A552" s="12"/>
    </row>
    <row r="553" spans="1:1" ht="21.95" customHeight="1" x14ac:dyDescent="0.25">
      <c r="A553" s="12"/>
    </row>
    <row r="554" spans="1:1" ht="21.95" customHeight="1" x14ac:dyDescent="0.25">
      <c r="A554" s="12"/>
    </row>
    <row r="555" spans="1:1" ht="21.95" customHeight="1" x14ac:dyDescent="0.25">
      <c r="A555" s="12"/>
    </row>
    <row r="556" spans="1:1" ht="21.95" customHeight="1" x14ac:dyDescent="0.25">
      <c r="A556" s="12"/>
    </row>
    <row r="557" spans="1:1" ht="21.95" customHeight="1" x14ac:dyDescent="0.25">
      <c r="A557" s="12"/>
    </row>
    <row r="558" spans="1:1" ht="21.95" customHeight="1" x14ac:dyDescent="0.25">
      <c r="A558" s="12"/>
    </row>
    <row r="559" spans="1:1" ht="21.95" customHeight="1" x14ac:dyDescent="0.25">
      <c r="A559" s="12"/>
    </row>
    <row r="560" spans="1:1" ht="21.95" customHeight="1" x14ac:dyDescent="0.25">
      <c r="A560" s="12"/>
    </row>
    <row r="561" spans="1:1" ht="21.95" customHeight="1" x14ac:dyDescent="0.25">
      <c r="A561" s="12"/>
    </row>
    <row r="562" spans="1:1" ht="21.95" customHeight="1" x14ac:dyDescent="0.25">
      <c r="A562" s="12"/>
    </row>
    <row r="563" spans="1:1" ht="21.95" customHeight="1" x14ac:dyDescent="0.25">
      <c r="A563" s="12"/>
    </row>
    <row r="564" spans="1:1" ht="21.95" customHeight="1" x14ac:dyDescent="0.25">
      <c r="A564" s="12"/>
    </row>
    <row r="565" spans="1:1" ht="21.95" customHeight="1" x14ac:dyDescent="0.25">
      <c r="A565" s="12"/>
    </row>
    <row r="566" spans="1:1" ht="21.95" customHeight="1" x14ac:dyDescent="0.25">
      <c r="A566" s="12"/>
    </row>
    <row r="567" spans="1:1" ht="21.95" customHeight="1" x14ac:dyDescent="0.25">
      <c r="A567" s="12"/>
    </row>
    <row r="568" spans="1:1" ht="21.95" customHeight="1" x14ac:dyDescent="0.25">
      <c r="A568" s="12"/>
    </row>
    <row r="569" spans="1:1" ht="21.95" customHeight="1" x14ac:dyDescent="0.25">
      <c r="A569" s="12"/>
    </row>
    <row r="570" spans="1:1" ht="21.95" customHeight="1" x14ac:dyDescent="0.25">
      <c r="A570" s="12"/>
    </row>
    <row r="571" spans="1:1" ht="21.95" customHeight="1" x14ac:dyDescent="0.25">
      <c r="A571" s="12"/>
    </row>
    <row r="572" spans="1:1" ht="21.95" customHeight="1" x14ac:dyDescent="0.25">
      <c r="A572" s="12"/>
    </row>
    <row r="573" spans="1:1" ht="21.95" customHeight="1" x14ac:dyDescent="0.25">
      <c r="A573" s="12"/>
    </row>
    <row r="574" spans="1:1" ht="21.95" customHeight="1" x14ac:dyDescent="0.25">
      <c r="A574" s="12"/>
    </row>
    <row r="575" spans="1:1" ht="21.95" customHeight="1" x14ac:dyDescent="0.25">
      <c r="A575" s="12"/>
    </row>
    <row r="576" spans="1:1" ht="21.95" customHeight="1" x14ac:dyDescent="0.25">
      <c r="A576" s="12"/>
    </row>
    <row r="577" spans="1:1" ht="21.95" customHeight="1" x14ac:dyDescent="0.25">
      <c r="A577" s="12"/>
    </row>
    <row r="578" spans="1:1" ht="21.95" customHeight="1" x14ac:dyDescent="0.25">
      <c r="A578" s="12"/>
    </row>
    <row r="579" spans="1:1" ht="21.95" customHeight="1" x14ac:dyDescent="0.25">
      <c r="A579" s="12"/>
    </row>
    <row r="580" spans="1:1" ht="21.95" customHeight="1" x14ac:dyDescent="0.25">
      <c r="A580" s="12"/>
    </row>
    <row r="581" spans="1:1" ht="21.95" customHeight="1" x14ac:dyDescent="0.25">
      <c r="A581" s="12"/>
    </row>
    <row r="582" spans="1:1" ht="21.95" customHeight="1" x14ac:dyDescent="0.25">
      <c r="A582" s="12"/>
    </row>
    <row r="583" spans="1:1" ht="21.95" customHeight="1" x14ac:dyDescent="0.25">
      <c r="A583" s="12"/>
    </row>
    <row r="584" spans="1:1" ht="21.95" customHeight="1" x14ac:dyDescent="0.25">
      <c r="A584" s="12"/>
    </row>
    <row r="585" spans="1:1" ht="21.95" customHeight="1" x14ac:dyDescent="0.25">
      <c r="A585" s="12"/>
    </row>
    <row r="586" spans="1:1" ht="21.95" customHeight="1" x14ac:dyDescent="0.25">
      <c r="A586" s="12"/>
    </row>
    <row r="587" spans="1:1" ht="21.95" customHeight="1" x14ac:dyDescent="0.25">
      <c r="A587" s="12"/>
    </row>
    <row r="588" spans="1:1" ht="21.95" customHeight="1" x14ac:dyDescent="0.25">
      <c r="A588" s="12"/>
    </row>
    <row r="589" spans="1:1" ht="21.95" customHeight="1" x14ac:dyDescent="0.25">
      <c r="A589" s="12"/>
    </row>
    <row r="590" spans="1:1" ht="21.95" customHeight="1" x14ac:dyDescent="0.25">
      <c r="A590" s="12"/>
    </row>
    <row r="591" spans="1:1" ht="21.95" customHeight="1" x14ac:dyDescent="0.25">
      <c r="A591" s="12"/>
    </row>
    <row r="592" spans="1:1" ht="21.95" customHeight="1" x14ac:dyDescent="0.25">
      <c r="A592" s="12"/>
    </row>
    <row r="593" spans="1:1" ht="21.95" customHeight="1" x14ac:dyDescent="0.25">
      <c r="A593" s="12"/>
    </row>
    <row r="594" spans="1:1" ht="21.95" customHeight="1" x14ac:dyDescent="0.25">
      <c r="A594" s="12"/>
    </row>
    <row r="595" spans="1:1" ht="21.95" customHeight="1" x14ac:dyDescent="0.25">
      <c r="A595" s="12"/>
    </row>
    <row r="596" spans="1:1" ht="21.95" customHeight="1" x14ac:dyDescent="0.25">
      <c r="A596" s="12"/>
    </row>
    <row r="597" spans="1:1" ht="21.95" customHeight="1" x14ac:dyDescent="0.25">
      <c r="A597" s="12"/>
    </row>
    <row r="598" spans="1:1" ht="21.95" customHeight="1" x14ac:dyDescent="0.25">
      <c r="A598" s="12"/>
    </row>
    <row r="599" spans="1:1" ht="21.95" customHeight="1" x14ac:dyDescent="0.25">
      <c r="A599" s="12"/>
    </row>
    <row r="600" spans="1:1" ht="21.95" customHeight="1" x14ac:dyDescent="0.25">
      <c r="A600" s="12"/>
    </row>
    <row r="601" spans="1:1" ht="21.95" customHeight="1" x14ac:dyDescent="0.25">
      <c r="A601" s="12"/>
    </row>
    <row r="602" spans="1:1" ht="21.95" customHeight="1" x14ac:dyDescent="0.25">
      <c r="A602" s="12"/>
    </row>
    <row r="603" spans="1:1" ht="21.95" customHeight="1" x14ac:dyDescent="0.25">
      <c r="A603" s="12"/>
    </row>
    <row r="604" spans="1:1" ht="21.95" customHeight="1" x14ac:dyDescent="0.25">
      <c r="A604" s="12"/>
    </row>
    <row r="605" spans="1:1" ht="21.95" customHeight="1" x14ac:dyDescent="0.25">
      <c r="A605" s="12"/>
    </row>
    <row r="606" spans="1:1" ht="21.95" customHeight="1" x14ac:dyDescent="0.25">
      <c r="A606" s="12"/>
    </row>
    <row r="607" spans="1:1" ht="21.95" customHeight="1" x14ac:dyDescent="0.25">
      <c r="A607" s="12"/>
    </row>
    <row r="608" spans="1:1" ht="21.95" customHeight="1" x14ac:dyDescent="0.25">
      <c r="A608" s="12"/>
    </row>
    <row r="609" spans="1:1" ht="21.95" customHeight="1" x14ac:dyDescent="0.25">
      <c r="A609" s="12"/>
    </row>
    <row r="610" spans="1:1" ht="21.95" customHeight="1" x14ac:dyDescent="0.25">
      <c r="A610" s="12"/>
    </row>
    <row r="611" spans="1:1" ht="21.95" customHeight="1" x14ac:dyDescent="0.25">
      <c r="A611" s="12"/>
    </row>
    <row r="612" spans="1:1" ht="21.95" customHeight="1" x14ac:dyDescent="0.25">
      <c r="A612" s="12"/>
    </row>
    <row r="613" spans="1:1" ht="21.95" customHeight="1" x14ac:dyDescent="0.25">
      <c r="A613" s="12"/>
    </row>
    <row r="614" spans="1:1" ht="21.95" customHeight="1" x14ac:dyDescent="0.25">
      <c r="A614" s="12"/>
    </row>
    <row r="615" spans="1:1" ht="21.95" customHeight="1" x14ac:dyDescent="0.25">
      <c r="A615" s="12"/>
    </row>
    <row r="616" spans="1:1" ht="21.95" customHeight="1" x14ac:dyDescent="0.25">
      <c r="A616" s="12"/>
    </row>
    <row r="617" spans="1:1" ht="21.95" customHeight="1" x14ac:dyDescent="0.25">
      <c r="A617" s="12"/>
    </row>
    <row r="618" spans="1:1" ht="21.95" customHeight="1" x14ac:dyDescent="0.25">
      <c r="A618" s="12"/>
    </row>
    <row r="619" spans="1:1" ht="21.95" customHeight="1" x14ac:dyDescent="0.25">
      <c r="A619" s="12"/>
    </row>
    <row r="620" spans="1:1" ht="21.95" customHeight="1" x14ac:dyDescent="0.25">
      <c r="A620" s="12"/>
    </row>
    <row r="621" spans="1:1" ht="21.95" customHeight="1" x14ac:dyDescent="0.25">
      <c r="A621" s="12"/>
    </row>
    <row r="622" spans="1:1" ht="21.95" customHeight="1" x14ac:dyDescent="0.25">
      <c r="A622" s="12"/>
    </row>
    <row r="623" spans="1:1" ht="21.95" customHeight="1" x14ac:dyDescent="0.25">
      <c r="A623" s="12"/>
    </row>
    <row r="624" spans="1:1" ht="21.95" customHeight="1" x14ac:dyDescent="0.25">
      <c r="A624" s="12"/>
    </row>
    <row r="625" spans="1:1" ht="21.95" customHeight="1" x14ac:dyDescent="0.25">
      <c r="A625" s="12"/>
    </row>
    <row r="626" spans="1:1" ht="21.95" customHeight="1" x14ac:dyDescent="0.25">
      <c r="A626" s="12"/>
    </row>
    <row r="627" spans="1:1" ht="21.95" customHeight="1" x14ac:dyDescent="0.25">
      <c r="A627" s="12"/>
    </row>
    <row r="628" spans="1:1" ht="21.95" customHeight="1" x14ac:dyDescent="0.25">
      <c r="A628" s="12"/>
    </row>
    <row r="629" spans="1:1" ht="21.95" customHeight="1" x14ac:dyDescent="0.25">
      <c r="A629" s="12"/>
    </row>
    <row r="630" spans="1:1" ht="21.95" customHeight="1" x14ac:dyDescent="0.25">
      <c r="A630" s="12"/>
    </row>
    <row r="631" spans="1:1" ht="21.95" customHeight="1" x14ac:dyDescent="0.25">
      <c r="A631" s="12"/>
    </row>
    <row r="632" spans="1:1" ht="21.95" customHeight="1" x14ac:dyDescent="0.25">
      <c r="A632" s="12"/>
    </row>
    <row r="633" spans="1:1" ht="21.95" customHeight="1" x14ac:dyDescent="0.25">
      <c r="A633" s="12"/>
    </row>
    <row r="634" spans="1:1" ht="21.95" customHeight="1" x14ac:dyDescent="0.25">
      <c r="A634" s="12"/>
    </row>
    <row r="635" spans="1:1" ht="21.95" customHeight="1" x14ac:dyDescent="0.25">
      <c r="A635" s="12"/>
    </row>
    <row r="636" spans="1:1" ht="21.95" customHeight="1" x14ac:dyDescent="0.25">
      <c r="A636" s="12"/>
    </row>
    <row r="637" spans="1:1" ht="21.95" customHeight="1" x14ac:dyDescent="0.25">
      <c r="A637" s="12"/>
    </row>
    <row r="638" spans="1:1" ht="21.95" customHeight="1" x14ac:dyDescent="0.25">
      <c r="A638" s="12"/>
    </row>
    <row r="639" spans="1:1" ht="21.95" customHeight="1" x14ac:dyDescent="0.25">
      <c r="A639" s="12"/>
    </row>
    <row r="640" spans="1:1" ht="21.95" customHeight="1" x14ac:dyDescent="0.25">
      <c r="A640" s="12"/>
    </row>
    <row r="641" spans="1:1" ht="21.95" customHeight="1" x14ac:dyDescent="0.25">
      <c r="A641" s="12"/>
    </row>
    <row r="642" spans="1:1" ht="21.95" customHeight="1" x14ac:dyDescent="0.25">
      <c r="A642" s="12"/>
    </row>
    <row r="643" spans="1:1" ht="21.95" customHeight="1" x14ac:dyDescent="0.25">
      <c r="A643" s="12"/>
    </row>
    <row r="644" spans="1:1" ht="21.95" customHeight="1" x14ac:dyDescent="0.25">
      <c r="A644" s="12"/>
    </row>
    <row r="645" spans="1:1" ht="21.95" customHeight="1" x14ac:dyDescent="0.25">
      <c r="A645" s="12"/>
    </row>
    <row r="646" spans="1:1" ht="21.95" customHeight="1" x14ac:dyDescent="0.25">
      <c r="A646" s="12"/>
    </row>
    <row r="647" spans="1:1" ht="21.95" customHeight="1" x14ac:dyDescent="0.25">
      <c r="A647" s="12"/>
    </row>
    <row r="648" spans="1:1" ht="21.95" customHeight="1" x14ac:dyDescent="0.25">
      <c r="A648" s="12"/>
    </row>
    <row r="649" spans="1:1" ht="21.95" customHeight="1" x14ac:dyDescent="0.25">
      <c r="A649" s="12"/>
    </row>
    <row r="650" spans="1:1" ht="21.95" customHeight="1" x14ac:dyDescent="0.25">
      <c r="A650" s="12"/>
    </row>
    <row r="651" spans="1:1" ht="21.95" customHeight="1" x14ac:dyDescent="0.25">
      <c r="A651" s="12"/>
    </row>
    <row r="652" spans="1:1" ht="21.95" customHeight="1" x14ac:dyDescent="0.25">
      <c r="A652" s="12"/>
    </row>
    <row r="653" spans="1:1" ht="21.95" customHeight="1" x14ac:dyDescent="0.25">
      <c r="A653" s="12"/>
    </row>
    <row r="654" spans="1:1" ht="21.95" customHeight="1" x14ac:dyDescent="0.25">
      <c r="A654" s="12"/>
    </row>
    <row r="655" spans="1:1" ht="21.95" customHeight="1" x14ac:dyDescent="0.25">
      <c r="A655" s="12"/>
    </row>
    <row r="656" spans="1:1" ht="21.95" customHeight="1" x14ac:dyDescent="0.25">
      <c r="A656" s="12"/>
    </row>
    <row r="657" spans="1:1" ht="21.95" customHeight="1" x14ac:dyDescent="0.25">
      <c r="A657" s="12"/>
    </row>
    <row r="658" spans="1:1" ht="21.95" customHeight="1" x14ac:dyDescent="0.25">
      <c r="A658" s="12"/>
    </row>
    <row r="659" spans="1:1" ht="21.95" customHeight="1" x14ac:dyDescent="0.25">
      <c r="A659" s="12"/>
    </row>
    <row r="660" spans="1:1" ht="21.95" customHeight="1" x14ac:dyDescent="0.25">
      <c r="A660" s="12"/>
    </row>
    <row r="661" spans="1:1" ht="21.95" customHeight="1" x14ac:dyDescent="0.25">
      <c r="A661" s="12"/>
    </row>
    <row r="662" spans="1:1" ht="21.95" customHeight="1" x14ac:dyDescent="0.25">
      <c r="A662" s="12"/>
    </row>
    <row r="663" spans="1:1" ht="21.95" customHeight="1" x14ac:dyDescent="0.25">
      <c r="A663" s="12"/>
    </row>
    <row r="664" spans="1:1" ht="21.95" customHeight="1" x14ac:dyDescent="0.25">
      <c r="A664" s="12"/>
    </row>
    <row r="665" spans="1:1" ht="21.95" customHeight="1" x14ac:dyDescent="0.25">
      <c r="A665" s="12"/>
    </row>
    <row r="666" spans="1:1" ht="21.95" customHeight="1" x14ac:dyDescent="0.25">
      <c r="A666" s="12"/>
    </row>
    <row r="667" spans="1:1" ht="21.95" customHeight="1" x14ac:dyDescent="0.25">
      <c r="A667" s="12"/>
    </row>
    <row r="668" spans="1:1" ht="21.95" customHeight="1" x14ac:dyDescent="0.25">
      <c r="A668" s="12"/>
    </row>
    <row r="669" spans="1:1" ht="21.95" customHeight="1" x14ac:dyDescent="0.25">
      <c r="A669" s="12"/>
    </row>
    <row r="670" spans="1:1" ht="21.95" customHeight="1" x14ac:dyDescent="0.25">
      <c r="A670" s="12"/>
    </row>
    <row r="671" spans="1:1" ht="21.95" customHeight="1" x14ac:dyDescent="0.25">
      <c r="A671" s="12"/>
    </row>
    <row r="672" spans="1:1" ht="21.95" customHeight="1" x14ac:dyDescent="0.25">
      <c r="A672" s="12"/>
    </row>
    <row r="673" spans="1:1" ht="21.95" customHeight="1" x14ac:dyDescent="0.25">
      <c r="A673" s="12"/>
    </row>
    <row r="674" spans="1:1" ht="21.95" customHeight="1" x14ac:dyDescent="0.25">
      <c r="A674" s="12"/>
    </row>
    <row r="675" spans="1:1" ht="21.95" customHeight="1" x14ac:dyDescent="0.25">
      <c r="A675" s="12"/>
    </row>
    <row r="676" spans="1:1" ht="21.95" customHeight="1" x14ac:dyDescent="0.25">
      <c r="A676" s="12"/>
    </row>
    <row r="677" spans="1:1" ht="21.95" customHeight="1" x14ac:dyDescent="0.25">
      <c r="A677" s="12"/>
    </row>
    <row r="678" spans="1:1" ht="21.95" customHeight="1" x14ac:dyDescent="0.25">
      <c r="A678" s="12"/>
    </row>
    <row r="679" spans="1:1" ht="21.95" customHeight="1" x14ac:dyDescent="0.25">
      <c r="A679" s="12"/>
    </row>
    <row r="680" spans="1:1" ht="21.95" customHeight="1" x14ac:dyDescent="0.25">
      <c r="A680" s="12"/>
    </row>
    <row r="681" spans="1:1" ht="21.95" customHeight="1" x14ac:dyDescent="0.25">
      <c r="A681" s="12"/>
    </row>
    <row r="682" spans="1:1" ht="21.95" customHeight="1" x14ac:dyDescent="0.25">
      <c r="A682" s="12"/>
    </row>
    <row r="683" spans="1:1" ht="21.95" customHeight="1" x14ac:dyDescent="0.25">
      <c r="A683" s="12"/>
    </row>
    <row r="684" spans="1:1" ht="21.95" customHeight="1" x14ac:dyDescent="0.25">
      <c r="A684" s="12"/>
    </row>
    <row r="685" spans="1:1" ht="21.95" customHeight="1" x14ac:dyDescent="0.25">
      <c r="A685" s="12"/>
    </row>
    <row r="686" spans="1:1" ht="21.95" customHeight="1" x14ac:dyDescent="0.25">
      <c r="A686" s="12"/>
    </row>
    <row r="687" spans="1:1" ht="21.95" customHeight="1" x14ac:dyDescent="0.25">
      <c r="A687" s="12"/>
    </row>
    <row r="688" spans="1:1" ht="21.95" customHeight="1" x14ac:dyDescent="0.25">
      <c r="A688" s="12"/>
    </row>
    <row r="689" spans="1:1" ht="21.95" customHeight="1" x14ac:dyDescent="0.25">
      <c r="A689" s="12"/>
    </row>
    <row r="690" spans="1:1" ht="21.95" customHeight="1" x14ac:dyDescent="0.25">
      <c r="A690" s="12"/>
    </row>
    <row r="691" spans="1:1" ht="21.95" customHeight="1" x14ac:dyDescent="0.25">
      <c r="A691" s="12"/>
    </row>
    <row r="692" spans="1:1" ht="21.95" customHeight="1" x14ac:dyDescent="0.25">
      <c r="A692" s="12"/>
    </row>
    <row r="693" spans="1:1" ht="21.95" customHeight="1" x14ac:dyDescent="0.25">
      <c r="A693" s="12"/>
    </row>
    <row r="694" spans="1:1" ht="21.95" customHeight="1" x14ac:dyDescent="0.25">
      <c r="A694" s="12"/>
    </row>
    <row r="695" spans="1:1" ht="21.95" customHeight="1" x14ac:dyDescent="0.25">
      <c r="A695" s="12"/>
    </row>
    <row r="696" spans="1:1" ht="21.95" customHeight="1" x14ac:dyDescent="0.25">
      <c r="A696" s="12"/>
    </row>
    <row r="697" spans="1:1" ht="21.95" customHeight="1" x14ac:dyDescent="0.25">
      <c r="A697" s="12"/>
    </row>
    <row r="698" spans="1:1" ht="21.95" customHeight="1" x14ac:dyDescent="0.25">
      <c r="A698" s="12"/>
    </row>
    <row r="699" spans="1:1" ht="21.95" customHeight="1" x14ac:dyDescent="0.25">
      <c r="A699" s="12"/>
    </row>
    <row r="700" spans="1:1" ht="21.95" customHeight="1" x14ac:dyDescent="0.25">
      <c r="A700" s="12"/>
    </row>
    <row r="701" spans="1:1" ht="21.95" customHeight="1" x14ac:dyDescent="0.25">
      <c r="A701" s="12"/>
    </row>
    <row r="702" spans="1:1" ht="21.95" customHeight="1" x14ac:dyDescent="0.25">
      <c r="A702" s="12"/>
    </row>
    <row r="703" spans="1:1" ht="21.95" customHeight="1" x14ac:dyDescent="0.25">
      <c r="A703" s="12"/>
    </row>
    <row r="704" spans="1:1" ht="21.95" customHeight="1" x14ac:dyDescent="0.25">
      <c r="A704" s="12"/>
    </row>
    <row r="705" spans="1:1" ht="21.95" customHeight="1" x14ac:dyDescent="0.25">
      <c r="A705" s="12"/>
    </row>
    <row r="706" spans="1:1" ht="21.95" customHeight="1" x14ac:dyDescent="0.25">
      <c r="A706" s="12"/>
    </row>
    <row r="707" spans="1:1" ht="21.95" customHeight="1" x14ac:dyDescent="0.25">
      <c r="A707" s="12"/>
    </row>
    <row r="708" spans="1:1" ht="21.95" customHeight="1" x14ac:dyDescent="0.25">
      <c r="A708" s="12"/>
    </row>
    <row r="709" spans="1:1" ht="21.95" customHeight="1" x14ac:dyDescent="0.25">
      <c r="A709" s="12"/>
    </row>
    <row r="710" spans="1:1" ht="21.95" customHeight="1" x14ac:dyDescent="0.25">
      <c r="A710" s="12"/>
    </row>
    <row r="711" spans="1:1" ht="21.95" customHeight="1" x14ac:dyDescent="0.25">
      <c r="A711" s="12"/>
    </row>
    <row r="712" spans="1:1" ht="21.95" customHeight="1" x14ac:dyDescent="0.25">
      <c r="A712" s="12"/>
    </row>
    <row r="713" spans="1:1" ht="21.95" customHeight="1" x14ac:dyDescent="0.25">
      <c r="A713" s="12"/>
    </row>
    <row r="714" spans="1:1" ht="21.95" customHeight="1" x14ac:dyDescent="0.25">
      <c r="A714" s="12"/>
    </row>
    <row r="715" spans="1:1" ht="21.95" customHeight="1" x14ac:dyDescent="0.25">
      <c r="A715" s="12"/>
    </row>
    <row r="716" spans="1:1" ht="21.95" customHeight="1" x14ac:dyDescent="0.25">
      <c r="A716" s="12"/>
    </row>
    <row r="717" spans="1:1" ht="21.95" customHeight="1" x14ac:dyDescent="0.25">
      <c r="A717" s="12"/>
    </row>
    <row r="718" spans="1:1" ht="21.95" customHeight="1" x14ac:dyDescent="0.25">
      <c r="A718" s="12"/>
    </row>
    <row r="719" spans="1:1" ht="21.95" customHeight="1" x14ac:dyDescent="0.25">
      <c r="A719" s="12"/>
    </row>
    <row r="720" spans="1:1" ht="21.95" customHeight="1" x14ac:dyDescent="0.25">
      <c r="A720" s="12"/>
    </row>
    <row r="721" spans="1:1" ht="21.95" customHeight="1" x14ac:dyDescent="0.25">
      <c r="A721" s="12"/>
    </row>
    <row r="722" spans="1:1" ht="21.95" customHeight="1" x14ac:dyDescent="0.25">
      <c r="A722" s="12"/>
    </row>
    <row r="723" spans="1:1" ht="21.95" customHeight="1" x14ac:dyDescent="0.25">
      <c r="A723" s="12"/>
    </row>
    <row r="724" spans="1:1" ht="21.95" customHeight="1" x14ac:dyDescent="0.25">
      <c r="A724" s="12"/>
    </row>
    <row r="725" spans="1:1" ht="21.95" customHeight="1" x14ac:dyDescent="0.25">
      <c r="A725" s="12"/>
    </row>
    <row r="726" spans="1:1" ht="21.95" customHeight="1" x14ac:dyDescent="0.25">
      <c r="A726" s="12"/>
    </row>
    <row r="727" spans="1:1" ht="21.95" customHeight="1" x14ac:dyDescent="0.25">
      <c r="A727" s="12"/>
    </row>
    <row r="728" spans="1:1" ht="21.95" customHeight="1" x14ac:dyDescent="0.25">
      <c r="A728" s="12"/>
    </row>
    <row r="729" spans="1:1" ht="21.95" customHeight="1" x14ac:dyDescent="0.25">
      <c r="A729" s="12"/>
    </row>
    <row r="730" spans="1:1" ht="21.95" customHeight="1" x14ac:dyDescent="0.25">
      <c r="A730" s="12"/>
    </row>
    <row r="731" spans="1:1" ht="21.95" customHeight="1" x14ac:dyDescent="0.25">
      <c r="A731" s="12"/>
    </row>
    <row r="732" spans="1:1" ht="21.95" customHeight="1" x14ac:dyDescent="0.25">
      <c r="A732" s="12"/>
    </row>
    <row r="733" spans="1:1" ht="21.95" customHeight="1" x14ac:dyDescent="0.25">
      <c r="A733" s="12"/>
    </row>
    <row r="734" spans="1:1" ht="21.95" customHeight="1" x14ac:dyDescent="0.25">
      <c r="A734" s="12"/>
    </row>
    <row r="735" spans="1:1" ht="21.95" customHeight="1" x14ac:dyDescent="0.25">
      <c r="A735" s="12"/>
    </row>
    <row r="736" spans="1:1" ht="21.95" customHeight="1" x14ac:dyDescent="0.25">
      <c r="A736" s="12"/>
    </row>
    <row r="737" spans="1:1" ht="21.95" customHeight="1" x14ac:dyDescent="0.25">
      <c r="A737" s="12"/>
    </row>
    <row r="738" spans="1:1" ht="21.95" customHeight="1" x14ac:dyDescent="0.25">
      <c r="A738" s="12"/>
    </row>
    <row r="739" spans="1:1" ht="21.95" customHeight="1" x14ac:dyDescent="0.25">
      <c r="A739" s="12"/>
    </row>
    <row r="740" spans="1:1" ht="21.95" customHeight="1" x14ac:dyDescent="0.25">
      <c r="A740" s="12"/>
    </row>
    <row r="741" spans="1:1" ht="21.95" customHeight="1" x14ac:dyDescent="0.25">
      <c r="A741" s="12"/>
    </row>
    <row r="742" spans="1:1" ht="21.95" customHeight="1" x14ac:dyDescent="0.25">
      <c r="A742" s="12"/>
    </row>
    <row r="743" spans="1:1" ht="21.95" customHeight="1" x14ac:dyDescent="0.25">
      <c r="A743" s="12"/>
    </row>
    <row r="744" spans="1:1" ht="21.95" customHeight="1" x14ac:dyDescent="0.25">
      <c r="A744" s="12"/>
    </row>
    <row r="745" spans="1:1" ht="21.95" customHeight="1" x14ac:dyDescent="0.25">
      <c r="A745" s="12"/>
    </row>
    <row r="746" spans="1:1" ht="21.95" customHeight="1" x14ac:dyDescent="0.25">
      <c r="A746" s="12"/>
    </row>
    <row r="747" spans="1:1" ht="21.95" customHeight="1" x14ac:dyDescent="0.25">
      <c r="A747" s="12"/>
    </row>
    <row r="748" spans="1:1" ht="21.95" customHeight="1" x14ac:dyDescent="0.25">
      <c r="A748" s="12"/>
    </row>
    <row r="749" spans="1:1" ht="21.95" customHeight="1" x14ac:dyDescent="0.25">
      <c r="A749" s="12"/>
    </row>
    <row r="750" spans="1:1" ht="21.95" customHeight="1" x14ac:dyDescent="0.25">
      <c r="A750" s="12"/>
    </row>
    <row r="751" spans="1:1" ht="21.95" customHeight="1" x14ac:dyDescent="0.25">
      <c r="A751" s="12"/>
    </row>
    <row r="752" spans="1:1" ht="21.95" customHeight="1" x14ac:dyDescent="0.25">
      <c r="A752" s="12"/>
    </row>
    <row r="753" spans="1:1" ht="21.95" customHeight="1" x14ac:dyDescent="0.25">
      <c r="A753" s="12"/>
    </row>
    <row r="754" spans="1:1" ht="21.95" customHeight="1" x14ac:dyDescent="0.25">
      <c r="A754" s="12"/>
    </row>
    <row r="755" spans="1:1" ht="21.95" customHeight="1" x14ac:dyDescent="0.25">
      <c r="A755" s="12"/>
    </row>
    <row r="756" spans="1:1" ht="21.95" customHeight="1" x14ac:dyDescent="0.25">
      <c r="A756" s="12"/>
    </row>
    <row r="757" spans="1:1" ht="21.95" customHeight="1" x14ac:dyDescent="0.25">
      <c r="A757" s="12"/>
    </row>
    <row r="758" spans="1:1" ht="21.95" customHeight="1" x14ac:dyDescent="0.25">
      <c r="A758" s="12"/>
    </row>
    <row r="759" spans="1:1" ht="21.95" customHeight="1" x14ac:dyDescent="0.25">
      <c r="A759" s="12"/>
    </row>
    <row r="760" spans="1:1" ht="21.95" customHeight="1" x14ac:dyDescent="0.25">
      <c r="A760" s="12"/>
    </row>
    <row r="761" spans="1:1" ht="21.95" customHeight="1" x14ac:dyDescent="0.25">
      <c r="A761" s="12"/>
    </row>
    <row r="762" spans="1:1" ht="21.95" customHeight="1" x14ac:dyDescent="0.25">
      <c r="A762" s="12"/>
    </row>
    <row r="763" spans="1:1" ht="21.95" customHeight="1" x14ac:dyDescent="0.25">
      <c r="A763" s="12"/>
    </row>
    <row r="764" spans="1:1" ht="21.95" customHeight="1" x14ac:dyDescent="0.25">
      <c r="A764" s="12"/>
    </row>
    <row r="765" spans="1:1" ht="21.95" customHeight="1" x14ac:dyDescent="0.25">
      <c r="A765" s="12"/>
    </row>
    <row r="766" spans="1:1" ht="21.95" customHeight="1" x14ac:dyDescent="0.25">
      <c r="A766" s="12"/>
    </row>
    <row r="767" spans="1:1" ht="21.95" customHeight="1" x14ac:dyDescent="0.25">
      <c r="A767" s="12"/>
    </row>
    <row r="768" spans="1:1" ht="21.95" customHeight="1" x14ac:dyDescent="0.25">
      <c r="A768" s="12"/>
    </row>
    <row r="769" spans="1:1" ht="21.95" customHeight="1" x14ac:dyDescent="0.25">
      <c r="A769" s="12"/>
    </row>
    <row r="770" spans="1:1" ht="21.95" customHeight="1" x14ac:dyDescent="0.25">
      <c r="A770" s="12"/>
    </row>
    <row r="771" spans="1:1" ht="21.95" customHeight="1" x14ac:dyDescent="0.25">
      <c r="A771" s="12"/>
    </row>
    <row r="772" spans="1:1" ht="21.95" customHeight="1" x14ac:dyDescent="0.25">
      <c r="A772" s="12"/>
    </row>
    <row r="773" spans="1:1" ht="21.95" customHeight="1" x14ac:dyDescent="0.25">
      <c r="A773" s="12"/>
    </row>
    <row r="774" spans="1:1" ht="21.95" customHeight="1" x14ac:dyDescent="0.25">
      <c r="A774" s="12"/>
    </row>
    <row r="775" spans="1:1" ht="21.95" customHeight="1" x14ac:dyDescent="0.25">
      <c r="A775" s="12"/>
    </row>
    <row r="776" spans="1:1" ht="21.95" customHeight="1" x14ac:dyDescent="0.25">
      <c r="A776" s="12"/>
    </row>
    <row r="777" spans="1:1" ht="21.95" customHeight="1" x14ac:dyDescent="0.25">
      <c r="A777" s="12"/>
    </row>
    <row r="778" spans="1:1" ht="21.95" customHeight="1" x14ac:dyDescent="0.25">
      <c r="A778" s="12"/>
    </row>
    <row r="779" spans="1:1" ht="21.95" customHeight="1" x14ac:dyDescent="0.25">
      <c r="A779" s="12"/>
    </row>
    <row r="780" spans="1:1" ht="21.95" customHeight="1" x14ac:dyDescent="0.25">
      <c r="A780" s="12"/>
    </row>
    <row r="781" spans="1:1" ht="21.95" customHeight="1" x14ac:dyDescent="0.25">
      <c r="A781" s="12"/>
    </row>
    <row r="782" spans="1:1" ht="21.95" customHeight="1" x14ac:dyDescent="0.25">
      <c r="A782" s="12"/>
    </row>
    <row r="783" spans="1:1" ht="21.95" customHeight="1" x14ac:dyDescent="0.25">
      <c r="A783" s="12"/>
    </row>
    <row r="784" spans="1:1" ht="21.95" customHeight="1" x14ac:dyDescent="0.25">
      <c r="A784" s="12"/>
    </row>
    <row r="785" spans="1:1" ht="21.95" customHeight="1" x14ac:dyDescent="0.25">
      <c r="A785" s="12"/>
    </row>
    <row r="786" spans="1:1" ht="21.95" customHeight="1" x14ac:dyDescent="0.25">
      <c r="A786" s="12"/>
    </row>
    <row r="787" spans="1:1" ht="21.95" customHeight="1" x14ac:dyDescent="0.25">
      <c r="A787" s="12"/>
    </row>
    <row r="788" spans="1:1" ht="21.95" customHeight="1" x14ac:dyDescent="0.25">
      <c r="A788" s="12"/>
    </row>
    <row r="789" spans="1:1" ht="21.95" customHeight="1" x14ac:dyDescent="0.25">
      <c r="A789" s="12"/>
    </row>
    <row r="790" spans="1:1" ht="21.95" customHeight="1" x14ac:dyDescent="0.25">
      <c r="A790" s="12"/>
    </row>
    <row r="791" spans="1:1" ht="21.95" customHeight="1" x14ac:dyDescent="0.25">
      <c r="A791" s="12"/>
    </row>
    <row r="792" spans="1:1" ht="21.95" customHeight="1" x14ac:dyDescent="0.25">
      <c r="A792" s="12"/>
    </row>
    <row r="793" spans="1:1" ht="21.95" customHeight="1" x14ac:dyDescent="0.25">
      <c r="A793" s="12"/>
    </row>
    <row r="794" spans="1:1" ht="21.95" customHeight="1" x14ac:dyDescent="0.25">
      <c r="A794" s="12"/>
    </row>
    <row r="795" spans="1:1" ht="21.95" customHeight="1" x14ac:dyDescent="0.25">
      <c r="A795" s="12"/>
    </row>
    <row r="796" spans="1:1" ht="21.95" customHeight="1" x14ac:dyDescent="0.25">
      <c r="A796" s="12"/>
    </row>
    <row r="797" spans="1:1" ht="21.95" customHeight="1" x14ac:dyDescent="0.25">
      <c r="A797" s="12"/>
    </row>
    <row r="798" spans="1:1" ht="21.95" customHeight="1" x14ac:dyDescent="0.25">
      <c r="A798" s="12"/>
    </row>
    <row r="799" spans="1:1" ht="21.95" customHeight="1" x14ac:dyDescent="0.25">
      <c r="A799" s="12"/>
    </row>
    <row r="800" spans="1:1" ht="21.95" customHeight="1" x14ac:dyDescent="0.25">
      <c r="A800" s="12"/>
    </row>
    <row r="801" spans="1:1" ht="21.95" customHeight="1" x14ac:dyDescent="0.25">
      <c r="A801" s="12"/>
    </row>
    <row r="802" spans="1:1" ht="21.95" customHeight="1" x14ac:dyDescent="0.25">
      <c r="A802" s="12"/>
    </row>
    <row r="803" spans="1:1" ht="21.95" customHeight="1" x14ac:dyDescent="0.25">
      <c r="A803" s="12"/>
    </row>
    <row r="804" spans="1:1" ht="21.95" customHeight="1" x14ac:dyDescent="0.25">
      <c r="A804" s="12"/>
    </row>
    <row r="805" spans="1:1" ht="21.95" customHeight="1" x14ac:dyDescent="0.25">
      <c r="A805" s="12"/>
    </row>
    <row r="806" spans="1:1" ht="21.95" customHeight="1" x14ac:dyDescent="0.25">
      <c r="A806" s="12"/>
    </row>
    <row r="807" spans="1:1" ht="21.95" customHeight="1" x14ac:dyDescent="0.25">
      <c r="A807" s="12"/>
    </row>
    <row r="808" spans="1:1" ht="21.95" customHeight="1" x14ac:dyDescent="0.25">
      <c r="A808" s="12"/>
    </row>
    <row r="809" spans="1:1" ht="21.95" customHeight="1" x14ac:dyDescent="0.25">
      <c r="A809" s="12"/>
    </row>
    <row r="810" spans="1:1" ht="21.95" customHeight="1" x14ac:dyDescent="0.25">
      <c r="A810" s="12"/>
    </row>
    <row r="811" spans="1:1" ht="21.95" customHeight="1" x14ac:dyDescent="0.25">
      <c r="A811" s="12"/>
    </row>
    <row r="812" spans="1:1" ht="21.95" customHeight="1" x14ac:dyDescent="0.25">
      <c r="A812" s="12"/>
    </row>
    <row r="813" spans="1:1" ht="21.95" customHeight="1" x14ac:dyDescent="0.25">
      <c r="A813" s="12"/>
    </row>
    <row r="814" spans="1:1" ht="21.95" customHeight="1" x14ac:dyDescent="0.25">
      <c r="A814" s="12"/>
    </row>
    <row r="815" spans="1:1" ht="21.95" customHeight="1" x14ac:dyDescent="0.25">
      <c r="A815" s="12"/>
    </row>
    <row r="816" spans="1:1" ht="21.95" customHeight="1" x14ac:dyDescent="0.25">
      <c r="A816" s="12"/>
    </row>
    <row r="817" spans="1:1" ht="21.95" customHeight="1" x14ac:dyDescent="0.25">
      <c r="A817" s="12"/>
    </row>
    <row r="818" spans="1:1" ht="21.95" customHeight="1" x14ac:dyDescent="0.25">
      <c r="A818" s="12"/>
    </row>
    <row r="819" spans="1:1" ht="21.95" customHeight="1" x14ac:dyDescent="0.25">
      <c r="A819" s="12"/>
    </row>
    <row r="820" spans="1:1" ht="21.95" customHeight="1" x14ac:dyDescent="0.25">
      <c r="A820" s="12"/>
    </row>
    <row r="821" spans="1:1" ht="21.95" customHeight="1" x14ac:dyDescent="0.25">
      <c r="A821" s="12"/>
    </row>
    <row r="822" spans="1:1" ht="21.95" customHeight="1" x14ac:dyDescent="0.25">
      <c r="A822" s="12"/>
    </row>
    <row r="823" spans="1:1" ht="21.95" customHeight="1" x14ac:dyDescent="0.25">
      <c r="A823" s="12"/>
    </row>
    <row r="824" spans="1:1" ht="21.95" customHeight="1" x14ac:dyDescent="0.25">
      <c r="A824" s="12"/>
    </row>
    <row r="825" spans="1:1" ht="21.95" customHeight="1" x14ac:dyDescent="0.25">
      <c r="A825" s="12"/>
    </row>
    <row r="826" spans="1:1" ht="21.95" customHeight="1" x14ac:dyDescent="0.25">
      <c r="A826" s="12"/>
    </row>
    <row r="827" spans="1:1" ht="21.95" customHeight="1" x14ac:dyDescent="0.25">
      <c r="A827" s="12"/>
    </row>
    <row r="828" spans="1:1" ht="21.95" customHeight="1" x14ac:dyDescent="0.25">
      <c r="A828" s="12"/>
    </row>
    <row r="829" spans="1:1" ht="21.95" customHeight="1" x14ac:dyDescent="0.25">
      <c r="A829" s="12"/>
    </row>
    <row r="830" spans="1:1" ht="21.95" customHeight="1" x14ac:dyDescent="0.25">
      <c r="A830" s="12"/>
    </row>
    <row r="831" spans="1:1" ht="21.95" customHeight="1" x14ac:dyDescent="0.25">
      <c r="A831" s="12"/>
    </row>
    <row r="832" spans="1:1" ht="21.95" customHeight="1" x14ac:dyDescent="0.25">
      <c r="A832" s="12"/>
    </row>
    <row r="833" spans="1:1" ht="21.95" customHeight="1" x14ac:dyDescent="0.25">
      <c r="A833" s="12"/>
    </row>
    <row r="834" spans="1:1" ht="21.95" customHeight="1" x14ac:dyDescent="0.25">
      <c r="A834" s="12"/>
    </row>
    <row r="835" spans="1:1" ht="21.95" customHeight="1" x14ac:dyDescent="0.25">
      <c r="A835" s="12"/>
    </row>
    <row r="836" spans="1:1" ht="21.95" customHeight="1" x14ac:dyDescent="0.25">
      <c r="A836" s="12"/>
    </row>
    <row r="837" spans="1:1" ht="21.95" customHeight="1" x14ac:dyDescent="0.25">
      <c r="A837" s="12"/>
    </row>
    <row r="838" spans="1:1" ht="21.95" customHeight="1" x14ac:dyDescent="0.25">
      <c r="A838" s="12"/>
    </row>
    <row r="839" spans="1:1" ht="21.95" customHeight="1" x14ac:dyDescent="0.25">
      <c r="A839" s="12"/>
    </row>
    <row r="840" spans="1:1" ht="21.95" customHeight="1" x14ac:dyDescent="0.25">
      <c r="A840" s="12"/>
    </row>
    <row r="841" spans="1:1" ht="21.95" customHeight="1" x14ac:dyDescent="0.25">
      <c r="A841" s="12"/>
    </row>
    <row r="842" spans="1:1" ht="21.95" customHeight="1" x14ac:dyDescent="0.25">
      <c r="A842" s="12"/>
    </row>
    <row r="843" spans="1:1" ht="21.95" customHeight="1" x14ac:dyDescent="0.25">
      <c r="A843" s="12"/>
    </row>
    <row r="844" spans="1:1" ht="21.95" customHeight="1" x14ac:dyDescent="0.25">
      <c r="A844" s="12"/>
    </row>
    <row r="845" spans="1:1" ht="21.95" customHeight="1" x14ac:dyDescent="0.25">
      <c r="A845" s="12"/>
    </row>
    <row r="846" spans="1:1" ht="21.95" customHeight="1" x14ac:dyDescent="0.25">
      <c r="A846" s="12"/>
    </row>
    <row r="847" spans="1:1" ht="21.95" customHeight="1" x14ac:dyDescent="0.25">
      <c r="A847" s="12"/>
    </row>
    <row r="848" spans="1:1" ht="21.95" customHeight="1" x14ac:dyDescent="0.25">
      <c r="A848" s="12"/>
    </row>
    <row r="849" spans="1:1" ht="21.95" customHeight="1" x14ac:dyDescent="0.25">
      <c r="A849" s="12"/>
    </row>
    <row r="850" spans="1:1" ht="21.95" customHeight="1" x14ac:dyDescent="0.25">
      <c r="A850" s="12"/>
    </row>
    <row r="851" spans="1:1" ht="21.95" customHeight="1" x14ac:dyDescent="0.25">
      <c r="A851" s="12"/>
    </row>
    <row r="852" spans="1:1" ht="21.95" customHeight="1" x14ac:dyDescent="0.25">
      <c r="A852" s="12"/>
    </row>
    <row r="853" spans="1:1" ht="21.95" customHeight="1" x14ac:dyDescent="0.25">
      <c r="A853" s="12"/>
    </row>
    <row r="854" spans="1:1" ht="21.95" customHeight="1" x14ac:dyDescent="0.25">
      <c r="A854" s="12"/>
    </row>
    <row r="855" spans="1:1" ht="21.95" customHeight="1" x14ac:dyDescent="0.25">
      <c r="A855" s="12"/>
    </row>
    <row r="856" spans="1:1" ht="21.95" customHeight="1" x14ac:dyDescent="0.25">
      <c r="A856" s="12"/>
    </row>
    <row r="857" spans="1:1" ht="21.95" customHeight="1" x14ac:dyDescent="0.25">
      <c r="A857" s="12"/>
    </row>
    <row r="858" spans="1:1" ht="21.95" customHeight="1" x14ac:dyDescent="0.25">
      <c r="A858" s="12"/>
    </row>
    <row r="859" spans="1:1" ht="21.95" customHeight="1" x14ac:dyDescent="0.25">
      <c r="A859" s="12"/>
    </row>
    <row r="860" spans="1:1" ht="21.95" customHeight="1" x14ac:dyDescent="0.25">
      <c r="A860" s="12"/>
    </row>
    <row r="861" spans="1:1" ht="21.95" customHeight="1" x14ac:dyDescent="0.25">
      <c r="A861" s="12"/>
    </row>
    <row r="862" spans="1:1" ht="21.95" customHeight="1" x14ac:dyDescent="0.25">
      <c r="A862" s="12"/>
    </row>
    <row r="863" spans="1:1" ht="21.95" customHeight="1" x14ac:dyDescent="0.25">
      <c r="A863" s="12"/>
    </row>
    <row r="864" spans="1:1" ht="21.95" customHeight="1" x14ac:dyDescent="0.25">
      <c r="A864" s="12"/>
    </row>
    <row r="865" spans="1:1" ht="21.95" customHeight="1" x14ac:dyDescent="0.25">
      <c r="A865" s="12"/>
    </row>
    <row r="866" spans="1:1" ht="21.95" customHeight="1" x14ac:dyDescent="0.25">
      <c r="A866" s="12"/>
    </row>
    <row r="867" spans="1:1" ht="21.95" customHeight="1" x14ac:dyDescent="0.25">
      <c r="A867" s="12"/>
    </row>
    <row r="868" spans="1:1" ht="21.95" customHeight="1" x14ac:dyDescent="0.25">
      <c r="A868" s="12"/>
    </row>
    <row r="869" spans="1:1" ht="21.95" customHeight="1" x14ac:dyDescent="0.25">
      <c r="A869" s="12"/>
    </row>
    <row r="870" spans="1:1" ht="21.95" customHeight="1" x14ac:dyDescent="0.25">
      <c r="A870" s="12"/>
    </row>
    <row r="871" spans="1:1" ht="21.95" customHeight="1" x14ac:dyDescent="0.25">
      <c r="A871" s="12"/>
    </row>
    <row r="872" spans="1:1" ht="21.95" customHeight="1" x14ac:dyDescent="0.25">
      <c r="A872" s="12"/>
    </row>
    <row r="873" spans="1:1" ht="21.95" customHeight="1" x14ac:dyDescent="0.25">
      <c r="A873" s="12"/>
    </row>
    <row r="874" spans="1:1" ht="21.95" customHeight="1" x14ac:dyDescent="0.25">
      <c r="A874" s="12"/>
    </row>
    <row r="875" spans="1:1" ht="21.95" customHeight="1" x14ac:dyDescent="0.25">
      <c r="A875" s="12"/>
    </row>
    <row r="876" spans="1:1" ht="21.95" customHeight="1" x14ac:dyDescent="0.25">
      <c r="A876" s="12"/>
    </row>
    <row r="877" spans="1:1" ht="21.95" customHeight="1" x14ac:dyDescent="0.25">
      <c r="A877" s="12"/>
    </row>
    <row r="878" spans="1:1" ht="21.95" customHeight="1" x14ac:dyDescent="0.25">
      <c r="A878" s="12"/>
    </row>
    <row r="879" spans="1:1" ht="21.95" customHeight="1" x14ac:dyDescent="0.25">
      <c r="A879" s="12"/>
    </row>
    <row r="880" spans="1:1" ht="21.95" customHeight="1" x14ac:dyDescent="0.25">
      <c r="A880" s="12"/>
    </row>
    <row r="881" spans="1:1" ht="21.95" customHeight="1" x14ac:dyDescent="0.25">
      <c r="A881" s="12"/>
    </row>
    <row r="882" spans="1:1" ht="21.95" customHeight="1" x14ac:dyDescent="0.25">
      <c r="A882" s="12"/>
    </row>
    <row r="883" spans="1:1" ht="21.95" customHeight="1" x14ac:dyDescent="0.25">
      <c r="A883" s="12"/>
    </row>
    <row r="884" spans="1:1" ht="21.95" customHeight="1" x14ac:dyDescent="0.25">
      <c r="A884" s="12"/>
    </row>
    <row r="885" spans="1:1" ht="21.95" customHeight="1" x14ac:dyDescent="0.25">
      <c r="A885" s="12"/>
    </row>
    <row r="886" spans="1:1" ht="21.95" customHeight="1" x14ac:dyDescent="0.25">
      <c r="A886" s="12"/>
    </row>
    <row r="887" spans="1:1" ht="21.95" customHeight="1" x14ac:dyDescent="0.25">
      <c r="A887" s="12"/>
    </row>
    <row r="888" spans="1:1" ht="21.95" customHeight="1" x14ac:dyDescent="0.25">
      <c r="A888" s="12"/>
    </row>
    <row r="889" spans="1:1" ht="21.95" customHeight="1" x14ac:dyDescent="0.25">
      <c r="A889" s="12"/>
    </row>
    <row r="890" spans="1:1" ht="21.95" customHeight="1" x14ac:dyDescent="0.25">
      <c r="A890" s="12"/>
    </row>
    <row r="891" spans="1:1" ht="21.95" customHeight="1" x14ac:dyDescent="0.25">
      <c r="A891" s="12"/>
    </row>
    <row r="892" spans="1:1" ht="21.95" customHeight="1" x14ac:dyDescent="0.25">
      <c r="A892" s="12"/>
    </row>
    <row r="893" spans="1:1" ht="21.95" customHeight="1" x14ac:dyDescent="0.25">
      <c r="A893" s="12"/>
    </row>
    <row r="894" spans="1:1" ht="21.95" customHeight="1" x14ac:dyDescent="0.25">
      <c r="A894" s="12"/>
    </row>
    <row r="895" spans="1:1" ht="21.95" customHeight="1" x14ac:dyDescent="0.25">
      <c r="A895" s="12"/>
    </row>
    <row r="896" spans="1:1" ht="21.95" customHeight="1" x14ac:dyDescent="0.25">
      <c r="A896" s="12"/>
    </row>
    <row r="897" spans="1:1" ht="21.95" customHeight="1" x14ac:dyDescent="0.25">
      <c r="A897" s="12"/>
    </row>
    <row r="898" spans="1:1" ht="21.95" customHeight="1" x14ac:dyDescent="0.25">
      <c r="A898" s="12"/>
    </row>
    <row r="899" spans="1:1" ht="21.95" customHeight="1" x14ac:dyDescent="0.25">
      <c r="A899" s="12"/>
    </row>
    <row r="900" spans="1:1" ht="21.95" customHeight="1" x14ac:dyDescent="0.25">
      <c r="A900" s="12"/>
    </row>
    <row r="901" spans="1:1" ht="21.95" customHeight="1" x14ac:dyDescent="0.25">
      <c r="A901" s="12"/>
    </row>
    <row r="902" spans="1:1" ht="21.95" customHeight="1" x14ac:dyDescent="0.25">
      <c r="A902" s="12"/>
    </row>
    <row r="903" spans="1:1" ht="21.95" customHeight="1" x14ac:dyDescent="0.25">
      <c r="A903" s="12"/>
    </row>
    <row r="904" spans="1:1" ht="21.95" customHeight="1" x14ac:dyDescent="0.25">
      <c r="A904" s="12"/>
    </row>
    <row r="905" spans="1:1" ht="21.95" customHeight="1" x14ac:dyDescent="0.25">
      <c r="A905" s="12"/>
    </row>
    <row r="906" spans="1:1" ht="21.95" customHeight="1" x14ac:dyDescent="0.25">
      <c r="A906" s="12"/>
    </row>
    <row r="907" spans="1:1" ht="21.95" customHeight="1" x14ac:dyDescent="0.25">
      <c r="A907" s="12"/>
    </row>
    <row r="908" spans="1:1" ht="21.95" customHeight="1" x14ac:dyDescent="0.25">
      <c r="A908" s="12"/>
    </row>
    <row r="909" spans="1:1" ht="21.95" customHeight="1" x14ac:dyDescent="0.25">
      <c r="A909" s="12"/>
    </row>
    <row r="910" spans="1:1" ht="21.95" customHeight="1" x14ac:dyDescent="0.25">
      <c r="A910" s="12"/>
    </row>
    <row r="911" spans="1:1" ht="21.95" customHeight="1" x14ac:dyDescent="0.25">
      <c r="A911" s="12"/>
    </row>
    <row r="912" spans="1:1" ht="21.95" customHeight="1" x14ac:dyDescent="0.25">
      <c r="A912" s="12"/>
    </row>
    <row r="913" spans="1:1" ht="21.95" customHeight="1" x14ac:dyDescent="0.25">
      <c r="A913" s="12"/>
    </row>
    <row r="914" spans="1:1" ht="21.95" customHeight="1" x14ac:dyDescent="0.25">
      <c r="A914" s="12"/>
    </row>
    <row r="915" spans="1:1" ht="21.95" customHeight="1" x14ac:dyDescent="0.25">
      <c r="A915" s="12"/>
    </row>
    <row r="916" spans="1:1" ht="21.95" customHeight="1" x14ac:dyDescent="0.25">
      <c r="A916" s="12"/>
    </row>
    <row r="917" spans="1:1" ht="21.95" customHeight="1" x14ac:dyDescent="0.25">
      <c r="A917" s="12"/>
    </row>
    <row r="918" spans="1:1" ht="21.95" customHeight="1" x14ac:dyDescent="0.25">
      <c r="A918" s="12"/>
    </row>
    <row r="919" spans="1:1" ht="21.95" customHeight="1" x14ac:dyDescent="0.25">
      <c r="A919" s="12"/>
    </row>
    <row r="920" spans="1:1" ht="21.95" customHeight="1" x14ac:dyDescent="0.25">
      <c r="A920" s="12"/>
    </row>
    <row r="921" spans="1:1" ht="21.95" customHeight="1" x14ac:dyDescent="0.25">
      <c r="A921" s="12"/>
    </row>
    <row r="922" spans="1:1" ht="21.95" customHeight="1" x14ac:dyDescent="0.25">
      <c r="A922" s="12"/>
    </row>
    <row r="923" spans="1:1" ht="21.95" customHeight="1" x14ac:dyDescent="0.25">
      <c r="A923" s="12"/>
    </row>
    <row r="924" spans="1:1" ht="21.95" customHeight="1" x14ac:dyDescent="0.25">
      <c r="A924" s="12"/>
    </row>
    <row r="925" spans="1:1" ht="21.95" customHeight="1" x14ac:dyDescent="0.25">
      <c r="A925" s="12"/>
    </row>
    <row r="926" spans="1:1" ht="21.95" customHeight="1" x14ac:dyDescent="0.25">
      <c r="A926" s="12"/>
    </row>
    <row r="927" spans="1:1" ht="21.95" customHeight="1" x14ac:dyDescent="0.25">
      <c r="A927" s="12"/>
    </row>
    <row r="928" spans="1:1" ht="21.95" customHeight="1" x14ac:dyDescent="0.25">
      <c r="A928" s="12"/>
    </row>
    <row r="929" spans="1:1" ht="21.95" customHeight="1" x14ac:dyDescent="0.25">
      <c r="A929" s="12"/>
    </row>
    <row r="930" spans="1:1" ht="21.95" customHeight="1" x14ac:dyDescent="0.25">
      <c r="A930" s="12"/>
    </row>
    <row r="931" spans="1:1" ht="21.95" customHeight="1" x14ac:dyDescent="0.25">
      <c r="A931" s="12"/>
    </row>
    <row r="932" spans="1:1" ht="21.95" customHeight="1" x14ac:dyDescent="0.25">
      <c r="A932" s="12"/>
    </row>
    <row r="933" spans="1:1" ht="21.95" customHeight="1" x14ac:dyDescent="0.25">
      <c r="A933" s="12"/>
    </row>
    <row r="934" spans="1:1" ht="21.95" customHeight="1" x14ac:dyDescent="0.25">
      <c r="A934" s="12"/>
    </row>
    <row r="935" spans="1:1" ht="21.95" customHeight="1" x14ac:dyDescent="0.25">
      <c r="A935" s="12"/>
    </row>
    <row r="936" spans="1:1" ht="21.95" customHeight="1" x14ac:dyDescent="0.25">
      <c r="A936" s="12"/>
    </row>
    <row r="937" spans="1:1" ht="21.95" customHeight="1" x14ac:dyDescent="0.25">
      <c r="A937" s="12"/>
    </row>
    <row r="938" spans="1:1" ht="21.95" customHeight="1" x14ac:dyDescent="0.25">
      <c r="A938" s="12"/>
    </row>
    <row r="939" spans="1:1" ht="21.95" customHeight="1" x14ac:dyDescent="0.25">
      <c r="A939" s="12"/>
    </row>
    <row r="940" spans="1:1" ht="21.95" customHeight="1" x14ac:dyDescent="0.25">
      <c r="A940" s="12"/>
    </row>
    <row r="941" spans="1:1" ht="21.95" customHeight="1" x14ac:dyDescent="0.25">
      <c r="A941" s="12"/>
    </row>
    <row r="942" spans="1:1" ht="21.95" customHeight="1" x14ac:dyDescent="0.25">
      <c r="A942" s="12"/>
    </row>
    <row r="943" spans="1:1" ht="21.95" customHeight="1" x14ac:dyDescent="0.25">
      <c r="A943" s="12"/>
    </row>
    <row r="944" spans="1:1" ht="21.95" customHeight="1" x14ac:dyDescent="0.25">
      <c r="A944" s="12"/>
    </row>
    <row r="945" spans="1:1" ht="21.95" customHeight="1" x14ac:dyDescent="0.25">
      <c r="A945" s="12"/>
    </row>
    <row r="946" spans="1:1" ht="21.95" customHeight="1" x14ac:dyDescent="0.25">
      <c r="A946" s="12"/>
    </row>
    <row r="947" spans="1:1" ht="21.95" customHeight="1" x14ac:dyDescent="0.25">
      <c r="A947" s="12"/>
    </row>
    <row r="948" spans="1:1" ht="21.95" customHeight="1" x14ac:dyDescent="0.25">
      <c r="A948" s="12"/>
    </row>
    <row r="949" spans="1:1" ht="21.95" customHeight="1" x14ac:dyDescent="0.25">
      <c r="A949" s="12"/>
    </row>
    <row r="950" spans="1:1" ht="21.95" customHeight="1" x14ac:dyDescent="0.25">
      <c r="A950" s="12"/>
    </row>
    <row r="951" spans="1:1" ht="21.95" customHeight="1" x14ac:dyDescent="0.25">
      <c r="A951" s="12"/>
    </row>
    <row r="952" spans="1:1" ht="21.95" customHeight="1" x14ac:dyDescent="0.25">
      <c r="A952" s="12"/>
    </row>
    <row r="953" spans="1:1" ht="21.95" customHeight="1" x14ac:dyDescent="0.25">
      <c r="A953" s="12"/>
    </row>
    <row r="954" spans="1:1" ht="21.95" customHeight="1" x14ac:dyDescent="0.25">
      <c r="A954" s="12"/>
    </row>
    <row r="955" spans="1:1" ht="21.95" customHeight="1" x14ac:dyDescent="0.25">
      <c r="A955" s="12"/>
    </row>
    <row r="956" spans="1:1" ht="21.95" customHeight="1" x14ac:dyDescent="0.25">
      <c r="A956" s="12"/>
    </row>
    <row r="957" spans="1:1" ht="21.95" customHeight="1" x14ac:dyDescent="0.25">
      <c r="A957" s="12"/>
    </row>
    <row r="958" spans="1:1" ht="21.95" customHeight="1" x14ac:dyDescent="0.25">
      <c r="A958" s="12"/>
    </row>
    <row r="959" spans="1:1" ht="21.95" customHeight="1" x14ac:dyDescent="0.25">
      <c r="A959" s="12"/>
    </row>
    <row r="960" spans="1:1" ht="21.95" customHeight="1" x14ac:dyDescent="0.25">
      <c r="A960" s="12"/>
    </row>
    <row r="961" spans="1:1" ht="21.95" customHeight="1" x14ac:dyDescent="0.25">
      <c r="A961" s="12"/>
    </row>
    <row r="962" spans="1:1" ht="21.95" customHeight="1" x14ac:dyDescent="0.25">
      <c r="A962" s="12"/>
    </row>
    <row r="963" spans="1:1" ht="21.95" customHeight="1" x14ac:dyDescent="0.25">
      <c r="A963" s="12"/>
    </row>
    <row r="964" spans="1:1" ht="21.95" customHeight="1" x14ac:dyDescent="0.25">
      <c r="A964" s="12"/>
    </row>
    <row r="965" spans="1:1" ht="21.95" customHeight="1" x14ac:dyDescent="0.25">
      <c r="A965" s="12"/>
    </row>
    <row r="966" spans="1:1" ht="21.95" customHeight="1" x14ac:dyDescent="0.25">
      <c r="A966" s="12"/>
    </row>
    <row r="967" spans="1:1" ht="21.95" customHeight="1" x14ac:dyDescent="0.25">
      <c r="A967" s="12"/>
    </row>
    <row r="968" spans="1:1" ht="21.95" customHeight="1" x14ac:dyDescent="0.25">
      <c r="A968" s="12"/>
    </row>
    <row r="969" spans="1:1" ht="21.95" customHeight="1" x14ac:dyDescent="0.25">
      <c r="A969" s="12"/>
    </row>
    <row r="970" spans="1:1" ht="21.95" customHeight="1" x14ac:dyDescent="0.25">
      <c r="A970" s="12"/>
    </row>
    <row r="971" spans="1:1" ht="21.95" customHeight="1" x14ac:dyDescent="0.25">
      <c r="A971" s="12"/>
    </row>
    <row r="972" spans="1:1" ht="21.95" customHeight="1" x14ac:dyDescent="0.25">
      <c r="A972" s="12"/>
    </row>
    <row r="973" spans="1:1" ht="21.95" customHeight="1" x14ac:dyDescent="0.25">
      <c r="A973" s="12"/>
    </row>
    <row r="974" spans="1:1" ht="21.95" customHeight="1" x14ac:dyDescent="0.25">
      <c r="A974" s="12"/>
    </row>
    <row r="975" spans="1:1" ht="21.95" customHeight="1" x14ac:dyDescent="0.25">
      <c r="A975" s="12"/>
    </row>
    <row r="976" spans="1:1" ht="21.95" customHeight="1" x14ac:dyDescent="0.25">
      <c r="A976" s="12"/>
    </row>
    <row r="977" spans="1:1" ht="21.95" customHeight="1" x14ac:dyDescent="0.25">
      <c r="A977" s="12"/>
    </row>
    <row r="978" spans="1:1" ht="21.95" customHeight="1" x14ac:dyDescent="0.25">
      <c r="A978" s="12"/>
    </row>
    <row r="979" spans="1:1" ht="21.95" customHeight="1" x14ac:dyDescent="0.25">
      <c r="A979" s="12"/>
    </row>
    <row r="980" spans="1:1" ht="21.95" customHeight="1" x14ac:dyDescent="0.25">
      <c r="A980" s="12"/>
    </row>
    <row r="981" spans="1:1" ht="21.95" customHeight="1" x14ac:dyDescent="0.25">
      <c r="A981" s="12"/>
    </row>
    <row r="982" spans="1:1" ht="21.95" customHeight="1" x14ac:dyDescent="0.25">
      <c r="A982" s="12"/>
    </row>
    <row r="983" spans="1:1" ht="21.95" customHeight="1" x14ac:dyDescent="0.25">
      <c r="A983" s="12"/>
    </row>
    <row r="984" spans="1:1" ht="21.95" customHeight="1" x14ac:dyDescent="0.25">
      <c r="A984" s="12"/>
    </row>
    <row r="985" spans="1:1" ht="21.95" customHeight="1" x14ac:dyDescent="0.25">
      <c r="A985" s="12"/>
    </row>
    <row r="986" spans="1:1" ht="21.95" customHeight="1" x14ac:dyDescent="0.25">
      <c r="A986" s="12"/>
    </row>
    <row r="987" spans="1:1" ht="21.95" customHeight="1" x14ac:dyDescent="0.25">
      <c r="A987" s="12"/>
    </row>
    <row r="988" spans="1:1" ht="21.95" customHeight="1" x14ac:dyDescent="0.25">
      <c r="A988" s="12"/>
    </row>
    <row r="989" spans="1:1" ht="21.95" customHeight="1" x14ac:dyDescent="0.25">
      <c r="A989" s="12"/>
    </row>
    <row r="990" spans="1:1" ht="21.95" customHeight="1" x14ac:dyDescent="0.25">
      <c r="A990" s="12"/>
    </row>
    <row r="991" spans="1:1" ht="21.95" customHeight="1" x14ac:dyDescent="0.25">
      <c r="A991" s="12"/>
    </row>
    <row r="992" spans="1:1" ht="21.95" customHeight="1" x14ac:dyDescent="0.25">
      <c r="A992" s="12"/>
    </row>
    <row r="993" spans="1:1" ht="21.95" customHeight="1" x14ac:dyDescent="0.25">
      <c r="A993" s="12"/>
    </row>
    <row r="994" spans="1:1" ht="21.95" customHeight="1" x14ac:dyDescent="0.25">
      <c r="A994" s="12"/>
    </row>
    <row r="995" spans="1:1" ht="21.95" customHeight="1" x14ac:dyDescent="0.25">
      <c r="A995" s="12"/>
    </row>
    <row r="996" spans="1:1" ht="21.95" customHeight="1" x14ac:dyDescent="0.25">
      <c r="A996" s="12"/>
    </row>
    <row r="997" spans="1:1" ht="21.95" customHeight="1" x14ac:dyDescent="0.25">
      <c r="A997" s="12"/>
    </row>
    <row r="998" spans="1:1" ht="21.95" customHeight="1" x14ac:dyDescent="0.25">
      <c r="A998" s="12"/>
    </row>
    <row r="999" spans="1:1" ht="21.95" customHeight="1" x14ac:dyDescent="0.25">
      <c r="A999" s="12"/>
    </row>
    <row r="1000" spans="1:1" ht="21.95" customHeight="1" x14ac:dyDescent="0.25">
      <c r="A1000" s="12"/>
    </row>
    <row r="1001" spans="1:1" ht="21.95" customHeight="1" x14ac:dyDescent="0.25">
      <c r="A1001" s="12"/>
    </row>
    <row r="1002" spans="1:1" ht="21.95" customHeight="1" x14ac:dyDescent="0.25">
      <c r="A1002" s="12"/>
    </row>
    <row r="1003" spans="1:1" ht="21.95" customHeight="1" x14ac:dyDescent="0.25">
      <c r="A1003" s="12"/>
    </row>
    <row r="1004" spans="1:1" ht="21.95" customHeight="1" x14ac:dyDescent="0.25">
      <c r="A1004" s="12"/>
    </row>
    <row r="1005" spans="1:1" ht="21.95" customHeight="1" x14ac:dyDescent="0.25">
      <c r="A1005" s="12"/>
    </row>
    <row r="1006" spans="1:1" ht="21.95" customHeight="1" x14ac:dyDescent="0.25">
      <c r="A1006" s="12"/>
    </row>
    <row r="1007" spans="1:1" ht="21.95" customHeight="1" x14ac:dyDescent="0.25">
      <c r="A1007" s="12"/>
    </row>
    <row r="1008" spans="1:1" ht="21.95" customHeight="1" x14ac:dyDescent="0.25">
      <c r="A1008" s="12"/>
    </row>
    <row r="1009" spans="1:1" ht="21.95" customHeight="1" x14ac:dyDescent="0.25">
      <c r="A1009" s="12"/>
    </row>
    <row r="1010" spans="1:1" ht="21.95" customHeight="1" x14ac:dyDescent="0.25">
      <c r="A1010" s="12"/>
    </row>
    <row r="1011" spans="1:1" ht="21.95" customHeight="1" x14ac:dyDescent="0.25">
      <c r="A1011" s="12"/>
    </row>
    <row r="1012" spans="1:1" ht="21.95" customHeight="1" x14ac:dyDescent="0.25">
      <c r="A1012" s="12"/>
    </row>
    <row r="1013" spans="1:1" ht="21.95" customHeight="1" x14ac:dyDescent="0.25">
      <c r="A1013" s="12"/>
    </row>
    <row r="1014" spans="1:1" ht="21.95" customHeight="1" x14ac:dyDescent="0.25">
      <c r="A1014" s="12"/>
    </row>
    <row r="1015" spans="1:1" ht="21.95" customHeight="1" x14ac:dyDescent="0.25">
      <c r="A1015" s="12"/>
    </row>
    <row r="1016" spans="1:1" ht="21.95" customHeight="1" x14ac:dyDescent="0.25">
      <c r="A1016" s="12"/>
    </row>
    <row r="1017" spans="1:1" ht="21.95" customHeight="1" x14ac:dyDescent="0.25">
      <c r="A1017" s="12"/>
    </row>
    <row r="1018" spans="1:1" ht="21.95" customHeight="1" x14ac:dyDescent="0.25">
      <c r="A1018" s="12"/>
    </row>
    <row r="1019" spans="1:1" ht="21.95" customHeight="1" x14ac:dyDescent="0.25">
      <c r="A1019" s="12"/>
    </row>
    <row r="1020" spans="1:1" ht="21.95" customHeight="1" x14ac:dyDescent="0.25">
      <c r="A1020" s="12"/>
    </row>
    <row r="1021" spans="1:1" ht="21.95" customHeight="1" x14ac:dyDescent="0.25">
      <c r="A1021" s="12"/>
    </row>
    <row r="1022" spans="1:1" ht="21.95" customHeight="1" x14ac:dyDescent="0.25">
      <c r="A1022" s="12"/>
    </row>
    <row r="1023" spans="1:1" ht="21.95" customHeight="1" x14ac:dyDescent="0.25">
      <c r="A1023" s="12"/>
    </row>
    <row r="1024" spans="1:1" ht="21.95" customHeight="1" x14ac:dyDescent="0.25">
      <c r="A1024" s="12"/>
    </row>
    <row r="1025" spans="1:1" ht="21.95" customHeight="1" x14ac:dyDescent="0.25">
      <c r="A1025" s="12"/>
    </row>
    <row r="1026" spans="1:1" ht="21.95" customHeight="1" x14ac:dyDescent="0.25">
      <c r="A1026" s="12"/>
    </row>
    <row r="1027" spans="1:1" ht="21.95" customHeight="1" x14ac:dyDescent="0.25">
      <c r="A1027" s="12"/>
    </row>
    <row r="1028" spans="1:1" ht="21.95" customHeight="1" x14ac:dyDescent="0.25">
      <c r="A1028" s="12"/>
    </row>
    <row r="1029" spans="1:1" ht="21.95" customHeight="1" x14ac:dyDescent="0.25">
      <c r="A1029" s="12"/>
    </row>
    <row r="1030" spans="1:1" ht="21.95" customHeight="1" x14ac:dyDescent="0.25">
      <c r="A1030" s="12"/>
    </row>
    <row r="1031" spans="1:1" ht="21.95" customHeight="1" x14ac:dyDescent="0.25">
      <c r="A1031" s="12"/>
    </row>
    <row r="1032" spans="1:1" ht="21.95" customHeight="1" x14ac:dyDescent="0.25">
      <c r="A1032" s="12"/>
    </row>
    <row r="1033" spans="1:1" ht="21.95" customHeight="1" x14ac:dyDescent="0.25">
      <c r="A1033" s="12"/>
    </row>
    <row r="1034" spans="1:1" ht="21.95" customHeight="1" x14ac:dyDescent="0.25">
      <c r="A1034" s="12"/>
    </row>
    <row r="1035" spans="1:1" ht="21.95" customHeight="1" x14ac:dyDescent="0.25">
      <c r="A1035" s="12"/>
    </row>
    <row r="1036" spans="1:1" ht="21.95" customHeight="1" x14ac:dyDescent="0.25">
      <c r="A1036" s="12"/>
    </row>
    <row r="1037" spans="1:1" ht="21.95" customHeight="1" x14ac:dyDescent="0.25">
      <c r="A1037" s="12"/>
    </row>
    <row r="1038" spans="1:1" ht="21.95" customHeight="1" x14ac:dyDescent="0.25">
      <c r="A1038" s="12"/>
    </row>
    <row r="1039" spans="1:1" ht="21.95" customHeight="1" x14ac:dyDescent="0.25">
      <c r="A1039" s="12"/>
    </row>
    <row r="1040" spans="1:1" ht="21.95" customHeight="1" x14ac:dyDescent="0.25">
      <c r="A1040" s="12"/>
    </row>
    <row r="1041" spans="1:1" ht="21.95" customHeight="1" x14ac:dyDescent="0.25">
      <c r="A1041" s="12"/>
    </row>
    <row r="1042" spans="1:1" ht="21.95" customHeight="1" x14ac:dyDescent="0.25">
      <c r="A1042" s="12"/>
    </row>
    <row r="1043" spans="1:1" ht="21.95" customHeight="1" x14ac:dyDescent="0.25">
      <c r="A1043" s="12"/>
    </row>
    <row r="1044" spans="1:1" ht="21.95" customHeight="1" x14ac:dyDescent="0.25">
      <c r="A1044" s="12"/>
    </row>
    <row r="1045" spans="1:1" ht="21.95" customHeight="1" x14ac:dyDescent="0.25">
      <c r="A1045" s="12"/>
    </row>
    <row r="1046" spans="1:1" ht="21.95" customHeight="1" x14ac:dyDescent="0.25">
      <c r="A1046" s="12"/>
    </row>
    <row r="1047" spans="1:1" ht="21.95" customHeight="1" x14ac:dyDescent="0.25">
      <c r="A1047" s="12"/>
    </row>
    <row r="1048" spans="1:1" ht="21.95" customHeight="1" x14ac:dyDescent="0.25">
      <c r="A1048" s="12"/>
    </row>
    <row r="1049" spans="1:1" ht="21.95" customHeight="1" x14ac:dyDescent="0.25">
      <c r="A1049" s="12"/>
    </row>
    <row r="1050" spans="1:1" ht="21.95" customHeight="1" x14ac:dyDescent="0.25">
      <c r="A1050" s="12"/>
    </row>
    <row r="1051" spans="1:1" ht="21.95" customHeight="1" x14ac:dyDescent="0.25">
      <c r="A1051" s="12"/>
    </row>
    <row r="1052" spans="1:1" ht="21.95" customHeight="1" x14ac:dyDescent="0.25">
      <c r="A1052" s="12"/>
    </row>
    <row r="1053" spans="1:1" ht="21.95" customHeight="1" x14ac:dyDescent="0.25">
      <c r="A1053" s="12"/>
    </row>
    <row r="1054" spans="1:1" ht="21.95" customHeight="1" x14ac:dyDescent="0.25">
      <c r="A1054" s="12"/>
    </row>
    <row r="1055" spans="1:1" ht="21.95" customHeight="1" x14ac:dyDescent="0.25">
      <c r="A1055" s="12"/>
    </row>
    <row r="1056" spans="1:1" ht="21.95" customHeight="1" x14ac:dyDescent="0.25">
      <c r="A1056" s="12"/>
    </row>
    <row r="1057" spans="1:1" ht="21.95" customHeight="1" x14ac:dyDescent="0.25">
      <c r="A1057" s="12"/>
    </row>
    <row r="1058" spans="1:1" ht="21.95" customHeight="1" x14ac:dyDescent="0.25">
      <c r="A1058" s="12"/>
    </row>
    <row r="1059" spans="1:1" ht="21.95" customHeight="1" x14ac:dyDescent="0.25">
      <c r="A1059" s="12"/>
    </row>
    <row r="1060" spans="1:1" ht="21.95" customHeight="1" x14ac:dyDescent="0.25">
      <c r="A1060" s="12"/>
    </row>
    <row r="1061" spans="1:1" ht="21.95" customHeight="1" x14ac:dyDescent="0.25">
      <c r="A1061" s="12"/>
    </row>
    <row r="1062" spans="1:1" ht="21.95" customHeight="1" x14ac:dyDescent="0.25">
      <c r="A1062" s="12"/>
    </row>
    <row r="1063" spans="1:1" ht="21.95" customHeight="1" x14ac:dyDescent="0.25">
      <c r="A1063" s="12"/>
    </row>
    <row r="1064" spans="1:1" ht="21.95" customHeight="1" x14ac:dyDescent="0.25">
      <c r="A1064" s="12"/>
    </row>
    <row r="1065" spans="1:1" ht="21.95" customHeight="1" x14ac:dyDescent="0.25">
      <c r="A1065" s="12"/>
    </row>
    <row r="1066" spans="1:1" ht="21.95" customHeight="1" x14ac:dyDescent="0.25">
      <c r="A1066" s="12"/>
    </row>
    <row r="1067" spans="1:1" ht="21.95" customHeight="1" x14ac:dyDescent="0.25">
      <c r="A1067" s="12"/>
    </row>
    <row r="1068" spans="1:1" ht="21.95" customHeight="1" x14ac:dyDescent="0.25">
      <c r="A1068" s="12"/>
    </row>
    <row r="1069" spans="1:1" ht="21.95" customHeight="1" x14ac:dyDescent="0.25">
      <c r="A1069" s="12"/>
    </row>
    <row r="1070" spans="1:1" ht="21.95" customHeight="1" x14ac:dyDescent="0.25">
      <c r="A1070" s="12"/>
    </row>
    <row r="1071" spans="1:1" ht="21.95" customHeight="1" x14ac:dyDescent="0.25">
      <c r="A1071" s="12"/>
    </row>
    <row r="1072" spans="1:1" ht="21.95" customHeight="1" x14ac:dyDescent="0.25">
      <c r="A1072" s="12"/>
    </row>
    <row r="1073" spans="1:1" ht="21.95" customHeight="1" x14ac:dyDescent="0.25">
      <c r="A1073" s="12"/>
    </row>
    <row r="1074" spans="1:1" ht="21.95" customHeight="1" x14ac:dyDescent="0.25">
      <c r="A1074" s="12"/>
    </row>
    <row r="1075" spans="1:1" ht="21.95" customHeight="1" x14ac:dyDescent="0.25">
      <c r="A1075" s="12"/>
    </row>
    <row r="1076" spans="1:1" ht="21.95" customHeight="1" x14ac:dyDescent="0.25">
      <c r="A1076" s="12"/>
    </row>
    <row r="1077" spans="1:1" ht="21.95" customHeight="1" x14ac:dyDescent="0.25">
      <c r="A1077" s="12"/>
    </row>
    <row r="1078" spans="1:1" ht="21.95" customHeight="1" x14ac:dyDescent="0.25">
      <c r="A1078" s="12"/>
    </row>
    <row r="1079" spans="1:1" ht="21.95" customHeight="1" x14ac:dyDescent="0.25">
      <c r="A1079" s="12"/>
    </row>
    <row r="1080" spans="1:1" ht="21.95" customHeight="1" x14ac:dyDescent="0.25">
      <c r="A1080" s="12"/>
    </row>
    <row r="1081" spans="1:1" ht="21.95" customHeight="1" x14ac:dyDescent="0.25">
      <c r="A1081" s="12"/>
    </row>
    <row r="1082" spans="1:1" ht="21.95" customHeight="1" x14ac:dyDescent="0.25">
      <c r="A1082" s="12"/>
    </row>
    <row r="1083" spans="1:1" ht="21.95" customHeight="1" x14ac:dyDescent="0.25">
      <c r="A1083" s="12"/>
    </row>
    <row r="1084" spans="1:1" ht="21.95" customHeight="1" x14ac:dyDescent="0.25">
      <c r="A1084" s="12"/>
    </row>
    <row r="1085" spans="1:1" ht="21.95" customHeight="1" x14ac:dyDescent="0.25">
      <c r="A1085" s="12"/>
    </row>
    <row r="1086" spans="1:1" ht="21.95" customHeight="1" x14ac:dyDescent="0.25">
      <c r="A1086" s="12"/>
    </row>
    <row r="1087" spans="1:1" ht="21.95" customHeight="1" x14ac:dyDescent="0.25">
      <c r="A1087" s="12"/>
    </row>
    <row r="1088" spans="1:1" ht="21.95" customHeight="1" x14ac:dyDescent="0.25">
      <c r="A1088" s="12"/>
    </row>
    <row r="1089" spans="1:1" ht="21.95" customHeight="1" x14ac:dyDescent="0.25">
      <c r="A1089" s="12"/>
    </row>
    <row r="1090" spans="1:1" ht="21.95" customHeight="1" x14ac:dyDescent="0.25">
      <c r="A1090" s="12"/>
    </row>
    <row r="1091" spans="1:1" ht="21.95" customHeight="1" x14ac:dyDescent="0.25">
      <c r="A1091" s="12"/>
    </row>
    <row r="1092" spans="1:1" ht="21.95" customHeight="1" x14ac:dyDescent="0.25">
      <c r="A1092" s="12"/>
    </row>
    <row r="1093" spans="1:1" ht="21.95" customHeight="1" x14ac:dyDescent="0.25">
      <c r="A1093" s="12"/>
    </row>
    <row r="1094" spans="1:1" ht="21.95" customHeight="1" x14ac:dyDescent="0.25">
      <c r="A1094" s="12"/>
    </row>
    <row r="1095" spans="1:1" ht="21.95" customHeight="1" x14ac:dyDescent="0.25">
      <c r="A1095" s="12"/>
    </row>
    <row r="1096" spans="1:1" ht="21.95" customHeight="1" x14ac:dyDescent="0.25">
      <c r="A1096" s="12"/>
    </row>
    <row r="1097" spans="1:1" ht="21.95" customHeight="1" x14ac:dyDescent="0.25">
      <c r="A1097" s="12"/>
    </row>
  </sheetData>
  <mergeCells count="6">
    <mergeCell ref="B1:K1"/>
    <mergeCell ref="B4:K4"/>
    <mergeCell ref="J9:K13"/>
    <mergeCell ref="B2:K2"/>
    <mergeCell ref="J8:K8"/>
    <mergeCell ref="B5:K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287A5"/>
  </sheetPr>
  <dimension ref="A1:R1099"/>
  <sheetViews>
    <sheetView topLeftCell="A7" workbookViewId="0">
      <selection activeCell="B13" sqref="B13"/>
    </sheetView>
  </sheetViews>
  <sheetFormatPr baseColWidth="10" defaultColWidth="9.140625" defaultRowHeight="15" x14ac:dyDescent="0.25"/>
  <cols>
    <col min="1" max="1" width="16.5703125" style="12" customWidth="1"/>
    <col min="2" max="2" width="14" style="7" customWidth="1"/>
    <col min="3" max="3" width="16" style="7" customWidth="1"/>
    <col min="4" max="4" width="24" style="7" customWidth="1"/>
    <col min="5" max="5" width="16" style="7" customWidth="1"/>
    <col min="6" max="6" width="28" style="7" customWidth="1"/>
    <col min="7" max="10" width="16" style="7" customWidth="1"/>
    <col min="11" max="11" width="24" style="7" customWidth="1"/>
    <col min="12" max="12" width="9.140625" style="12" customWidth="1"/>
    <col min="13" max="14" width="24" style="7" customWidth="1"/>
    <col min="15" max="18" width="24" style="12" customWidth="1"/>
  </cols>
  <sheetData>
    <row r="1" spans="1:14" ht="21.95" customHeight="1" x14ac:dyDescent="0.25">
      <c r="B1" s="56" t="s">
        <v>33</v>
      </c>
      <c r="C1" s="57"/>
      <c r="D1" s="57"/>
      <c r="E1" s="57"/>
      <c r="F1" s="57"/>
      <c r="G1" s="57"/>
      <c r="H1" s="57"/>
      <c r="I1" s="57"/>
      <c r="J1" s="57"/>
      <c r="K1" s="57"/>
      <c r="M1" s="12"/>
      <c r="N1" s="12"/>
    </row>
    <row r="2" spans="1:14" ht="21.95" customHeight="1" x14ac:dyDescent="0.25">
      <c r="B2" s="60" t="s">
        <v>34</v>
      </c>
      <c r="C2" s="57"/>
      <c r="D2" s="57"/>
      <c r="E2" s="57"/>
      <c r="F2" s="57"/>
      <c r="G2" s="57"/>
      <c r="H2" s="57"/>
      <c r="I2" s="57"/>
      <c r="J2" s="57"/>
      <c r="K2" s="57"/>
      <c r="M2" s="12"/>
      <c r="N2" s="12"/>
    </row>
    <row r="3" spans="1:14" s="12" customFormat="1" ht="21.95" customHeight="1" x14ac:dyDescent="0.25"/>
    <row r="4" spans="1:14" ht="21.95" customHeight="1" x14ac:dyDescent="0.25">
      <c r="B4" s="54" t="s">
        <v>35</v>
      </c>
      <c r="C4" s="55"/>
      <c r="D4" s="54" t="s">
        <v>36</v>
      </c>
      <c r="E4" s="55"/>
      <c r="F4" s="54" t="s">
        <v>37</v>
      </c>
      <c r="G4" s="55"/>
      <c r="H4" s="54" t="s">
        <v>38</v>
      </c>
      <c r="I4" s="55"/>
      <c r="J4" s="54" t="s">
        <v>39</v>
      </c>
      <c r="K4" s="55"/>
      <c r="M4" s="52" t="s">
        <v>40</v>
      </c>
      <c r="N4" s="43"/>
    </row>
    <row r="5" spans="1:14" ht="47.25" customHeight="1" x14ac:dyDescent="0.25">
      <c r="A5" s="13" t="s">
        <v>41</v>
      </c>
      <c r="B5" s="59" t="str">
        <f>Dashboard!$B$5</f>
        <v>Enero</v>
      </c>
      <c r="C5" s="55"/>
      <c r="D5" s="58">
        <f>SUMIFS($H$9:$H$1008,$C$9:$C$1008,$B$5)</f>
        <v>1450000</v>
      </c>
      <c r="E5" s="55"/>
      <c r="F5" s="58">
        <f>SUMIFS($I$9:$I$1008,$C$9:$C$1008,$B$5)</f>
        <v>2330000</v>
      </c>
      <c r="G5" s="55"/>
      <c r="H5" s="58">
        <f>SUMIFS($J$9:$J$1008,$C$9:$C$1008,$B$5)</f>
        <v>0</v>
      </c>
      <c r="I5" s="55"/>
      <c r="J5" s="58">
        <f>D5-F5-H5</f>
        <v>-880000</v>
      </c>
      <c r="K5" s="55"/>
      <c r="M5" s="61" t="s">
        <v>42</v>
      </c>
      <c r="N5" s="46"/>
    </row>
    <row r="6" spans="1:14" ht="21.95" customHeight="1" x14ac:dyDescent="0.25">
      <c r="B6" s="12"/>
      <c r="C6" s="12"/>
      <c r="D6" s="12"/>
      <c r="E6" s="12"/>
      <c r="F6" s="12"/>
      <c r="G6" s="12"/>
      <c r="H6" s="12"/>
      <c r="I6" s="12"/>
      <c r="J6" s="12"/>
      <c r="K6" s="12"/>
      <c r="M6" s="47"/>
      <c r="N6" s="48"/>
    </row>
    <row r="7" spans="1:14" ht="21.95" customHeight="1" x14ac:dyDescent="0.25">
      <c r="B7" s="12"/>
      <c r="C7" s="12"/>
      <c r="D7" s="12"/>
      <c r="E7" s="12"/>
      <c r="F7" s="12"/>
      <c r="G7" s="12"/>
      <c r="H7" s="12"/>
      <c r="I7" s="12"/>
      <c r="J7" s="12"/>
      <c r="K7" s="12"/>
      <c r="M7" s="47"/>
      <c r="N7" s="48"/>
    </row>
    <row r="8" spans="1:14" ht="21.95" customHeight="1" x14ac:dyDescent="0.25"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  <c r="G8" s="1" t="s">
        <v>48</v>
      </c>
      <c r="H8" s="1" t="s">
        <v>49</v>
      </c>
      <c r="I8" s="1" t="s">
        <v>50</v>
      </c>
      <c r="J8" s="1" t="s">
        <v>51</v>
      </c>
      <c r="K8" s="1" t="s">
        <v>52</v>
      </c>
      <c r="M8" s="49"/>
      <c r="N8" s="50"/>
    </row>
    <row r="9" spans="1:14" ht="21.95" customHeight="1" x14ac:dyDescent="0.25">
      <c r="B9" s="30">
        <v>46027</v>
      </c>
      <c r="C9" s="14" t="str">
        <f t="shared" ref="C9:C72" si="0">IF(B9="","",CHOOSE(MONTH(B9),"Enero","Febrero","Marzo","Abril","Mayo","Junio","Julio","Agosto","Septiembre","Octubre","Noviembre","Diciembre"))</f>
        <v>Enero</v>
      </c>
      <c r="D9" s="11" t="s">
        <v>53</v>
      </c>
      <c r="E9" s="14" t="str">
        <f>IF(D9="","",IFERROR(VLOOKUP(D9,Categorias!$B$5:$C$200,2,FALSE),"Revisar"))</f>
        <v>Ingreso</v>
      </c>
      <c r="F9" s="11" t="s">
        <v>54</v>
      </c>
      <c r="G9" s="31">
        <v>1450000</v>
      </c>
      <c r="H9" s="32">
        <f t="shared" ref="H9:H72" si="1">IF($E9="Ingreso",$G9,0)</f>
        <v>1450000</v>
      </c>
      <c r="I9" s="32">
        <f t="shared" ref="I9:I72" si="2">IF($E9="Gasto",$G9,0)</f>
        <v>0</v>
      </c>
      <c r="J9" s="32">
        <f t="shared" ref="J9:J72" si="3">IF($E9="Reserva",$G9,0)</f>
        <v>0</v>
      </c>
      <c r="K9" s="11" t="s">
        <v>55</v>
      </c>
      <c r="M9" s="12"/>
      <c r="N9" s="12"/>
    </row>
    <row r="10" spans="1:14" ht="21.95" customHeight="1" x14ac:dyDescent="0.25">
      <c r="B10" s="30">
        <v>46028</v>
      </c>
      <c r="C10" s="14" t="str">
        <f t="shared" si="0"/>
        <v>Enero</v>
      </c>
      <c r="D10" s="11" t="s">
        <v>56</v>
      </c>
      <c r="E10" s="14" t="str">
        <f>IF(D10="","",IFERROR(VLOOKUP(D10,Categorias!$B$5:$C$200,2,FALSE),"Revisar"))</f>
        <v>Gasto</v>
      </c>
      <c r="F10" s="11" t="s">
        <v>57</v>
      </c>
      <c r="G10" s="31">
        <v>700000</v>
      </c>
      <c r="H10" s="32">
        <f t="shared" si="1"/>
        <v>0</v>
      </c>
      <c r="I10" s="32">
        <f t="shared" si="2"/>
        <v>700000</v>
      </c>
      <c r="J10" s="32">
        <f t="shared" si="3"/>
        <v>0</v>
      </c>
      <c r="K10" s="11" t="s">
        <v>58</v>
      </c>
      <c r="M10" s="12"/>
      <c r="N10" s="12"/>
    </row>
    <row r="11" spans="1:14" ht="21.95" customHeight="1" x14ac:dyDescent="0.25">
      <c r="B11" s="30">
        <v>46030</v>
      </c>
      <c r="C11" s="14" t="str">
        <f t="shared" si="0"/>
        <v>Enero</v>
      </c>
      <c r="D11" s="11" t="s">
        <v>59</v>
      </c>
      <c r="E11" s="14" t="str">
        <f>IF(D11="","",IFERROR(VLOOKUP(D11,Categorias!$B$5:$C$200,2,FALSE),"Revisar"))</f>
        <v>Gasto</v>
      </c>
      <c r="F11" s="11" t="s">
        <v>60</v>
      </c>
      <c r="G11" s="31">
        <v>130000</v>
      </c>
      <c r="H11" s="32">
        <f t="shared" si="1"/>
        <v>0</v>
      </c>
      <c r="I11" s="32">
        <f t="shared" si="2"/>
        <v>130000</v>
      </c>
      <c r="J11" s="32">
        <f t="shared" si="3"/>
        <v>0</v>
      </c>
      <c r="K11" s="11"/>
      <c r="M11" s="12"/>
      <c r="N11" s="12"/>
    </row>
    <row r="12" spans="1:14" ht="21.95" customHeight="1" x14ac:dyDescent="0.25">
      <c r="B12" s="30">
        <v>46032</v>
      </c>
      <c r="C12" s="14" t="str">
        <f t="shared" si="0"/>
        <v>Enero</v>
      </c>
      <c r="D12" s="11" t="s">
        <v>61</v>
      </c>
      <c r="E12" s="14" t="str">
        <f>IF(D12="","",IFERROR(VLOOKUP(D12,Categorias!$B$5:$C$200,2,FALSE),"Revisar"))</f>
        <v>Gasto</v>
      </c>
      <c r="F12" s="11" t="s">
        <v>62</v>
      </c>
      <c r="G12" s="31">
        <v>1500000</v>
      </c>
      <c r="H12" s="32">
        <f t="shared" si="1"/>
        <v>0</v>
      </c>
      <c r="I12" s="32">
        <f t="shared" si="2"/>
        <v>1500000</v>
      </c>
      <c r="J12" s="32">
        <f t="shared" si="3"/>
        <v>0</v>
      </c>
      <c r="K12" s="11"/>
      <c r="M12" s="12"/>
      <c r="N12" s="12"/>
    </row>
    <row r="13" spans="1:14" ht="21.95" customHeight="1" x14ac:dyDescent="0.25">
      <c r="B13" s="30"/>
      <c r="C13" s="14" t="str">
        <f t="shared" si="0"/>
        <v/>
      </c>
      <c r="D13" s="11"/>
      <c r="E13" s="14" t="str">
        <f>IF(D13="","",IFERROR(VLOOKUP(D13,Categorias!$B$5:$C$200,2,FALSE),"Revisar"))</f>
        <v/>
      </c>
      <c r="F13" s="11"/>
      <c r="G13" s="31"/>
      <c r="H13" s="32">
        <f t="shared" si="1"/>
        <v>0</v>
      </c>
      <c r="I13" s="32">
        <f t="shared" si="2"/>
        <v>0</v>
      </c>
      <c r="J13" s="32">
        <f t="shared" si="3"/>
        <v>0</v>
      </c>
      <c r="K13" s="11"/>
      <c r="M13" s="12"/>
      <c r="N13" s="12"/>
    </row>
    <row r="14" spans="1:14" ht="21.95" customHeight="1" x14ac:dyDescent="0.25">
      <c r="B14" s="30"/>
      <c r="C14" s="14" t="str">
        <f t="shared" si="0"/>
        <v/>
      </c>
      <c r="D14" s="11"/>
      <c r="E14" s="14" t="str">
        <f>IF(D14="","",IFERROR(VLOOKUP(D14,Categorias!$B$5:$C$200,2,FALSE),"Revisar"))</f>
        <v/>
      </c>
      <c r="F14" s="11"/>
      <c r="G14" s="31"/>
      <c r="H14" s="32">
        <f t="shared" si="1"/>
        <v>0</v>
      </c>
      <c r="I14" s="32">
        <f t="shared" si="2"/>
        <v>0</v>
      </c>
      <c r="J14" s="32">
        <f t="shared" si="3"/>
        <v>0</v>
      </c>
      <c r="K14" s="11"/>
      <c r="M14" s="12"/>
      <c r="N14" s="12"/>
    </row>
    <row r="15" spans="1:14" ht="21.95" customHeight="1" x14ac:dyDescent="0.25">
      <c r="B15" s="30"/>
      <c r="C15" s="14" t="str">
        <f t="shared" si="0"/>
        <v/>
      </c>
      <c r="D15" s="11"/>
      <c r="E15" s="14" t="str">
        <f>IF(D15="","",IFERROR(VLOOKUP(D15,Categorias!$B$5:$C$200,2,FALSE),"Revisar"))</f>
        <v/>
      </c>
      <c r="F15" s="11"/>
      <c r="G15" s="31"/>
      <c r="H15" s="32">
        <f t="shared" si="1"/>
        <v>0</v>
      </c>
      <c r="I15" s="32">
        <f t="shared" si="2"/>
        <v>0</v>
      </c>
      <c r="J15" s="32">
        <f t="shared" si="3"/>
        <v>0</v>
      </c>
      <c r="K15" s="11"/>
      <c r="M15" s="12"/>
      <c r="N15" s="12"/>
    </row>
    <row r="16" spans="1:14" ht="21.95" customHeight="1" x14ac:dyDescent="0.25">
      <c r="B16" s="30"/>
      <c r="C16" s="14" t="str">
        <f t="shared" si="0"/>
        <v/>
      </c>
      <c r="D16" s="11"/>
      <c r="E16" s="14" t="str">
        <f>IF(D16="","",IFERROR(VLOOKUP(D16,Categorias!$B$5:$C$200,2,FALSE),"Revisar"))</f>
        <v/>
      </c>
      <c r="F16" s="11"/>
      <c r="G16" s="31"/>
      <c r="H16" s="32">
        <f t="shared" si="1"/>
        <v>0</v>
      </c>
      <c r="I16" s="32">
        <f t="shared" si="2"/>
        <v>0</v>
      </c>
      <c r="J16" s="32">
        <f t="shared" si="3"/>
        <v>0</v>
      </c>
      <c r="K16" s="11"/>
      <c r="M16" s="12"/>
      <c r="N16" s="12"/>
    </row>
    <row r="17" spans="2:14" ht="21.95" customHeight="1" x14ac:dyDescent="0.25">
      <c r="B17" s="30"/>
      <c r="C17" s="14" t="str">
        <f t="shared" si="0"/>
        <v/>
      </c>
      <c r="D17" s="11"/>
      <c r="E17" s="14" t="str">
        <f>IF(D17="","",IFERROR(VLOOKUP(D17,Categorias!$B$5:$C$200,2,FALSE),"Revisar"))</f>
        <v/>
      </c>
      <c r="F17" s="11"/>
      <c r="G17" s="31"/>
      <c r="H17" s="32">
        <f t="shared" si="1"/>
        <v>0</v>
      </c>
      <c r="I17" s="32">
        <f t="shared" si="2"/>
        <v>0</v>
      </c>
      <c r="J17" s="32">
        <f t="shared" si="3"/>
        <v>0</v>
      </c>
      <c r="K17" s="11"/>
      <c r="M17" s="12"/>
      <c r="N17" s="12"/>
    </row>
    <row r="18" spans="2:14" ht="21.95" customHeight="1" x14ac:dyDescent="0.25">
      <c r="B18" s="30"/>
      <c r="C18" s="14" t="str">
        <f t="shared" si="0"/>
        <v/>
      </c>
      <c r="D18" s="11"/>
      <c r="E18" s="14" t="str">
        <f>IF(D18="","",IFERROR(VLOOKUP(D18,Categorias!$B$5:$C$200,2,FALSE),"Revisar"))</f>
        <v/>
      </c>
      <c r="F18" s="11"/>
      <c r="G18" s="31"/>
      <c r="H18" s="32">
        <f t="shared" si="1"/>
        <v>0</v>
      </c>
      <c r="I18" s="32">
        <f t="shared" si="2"/>
        <v>0</v>
      </c>
      <c r="J18" s="32">
        <f t="shared" si="3"/>
        <v>0</v>
      </c>
      <c r="K18" s="11"/>
      <c r="M18" s="12"/>
      <c r="N18" s="12"/>
    </row>
    <row r="19" spans="2:14" ht="21.95" customHeight="1" x14ac:dyDescent="0.25">
      <c r="B19" s="30"/>
      <c r="C19" s="14" t="str">
        <f t="shared" si="0"/>
        <v/>
      </c>
      <c r="D19" s="11"/>
      <c r="E19" s="14" t="str">
        <f>IF(D19="","",IFERROR(VLOOKUP(D19,Categorias!$B$5:$C$200,2,FALSE),"Revisar"))</f>
        <v/>
      </c>
      <c r="F19" s="11"/>
      <c r="G19" s="31"/>
      <c r="H19" s="32">
        <f t="shared" si="1"/>
        <v>0</v>
      </c>
      <c r="I19" s="32">
        <f t="shared" si="2"/>
        <v>0</v>
      </c>
      <c r="J19" s="32">
        <f t="shared" si="3"/>
        <v>0</v>
      </c>
      <c r="K19" s="11"/>
      <c r="M19" s="12"/>
      <c r="N19" s="12"/>
    </row>
    <row r="20" spans="2:14" ht="21.95" customHeight="1" x14ac:dyDescent="0.25">
      <c r="B20" s="30"/>
      <c r="C20" s="14" t="str">
        <f t="shared" si="0"/>
        <v/>
      </c>
      <c r="D20" s="11"/>
      <c r="E20" s="14" t="str">
        <f>IF(D20="","",IFERROR(VLOOKUP(D20,Categorias!$B$5:$C$200,2,FALSE),"Revisar"))</f>
        <v/>
      </c>
      <c r="F20" s="11"/>
      <c r="G20" s="31"/>
      <c r="H20" s="32">
        <f t="shared" si="1"/>
        <v>0</v>
      </c>
      <c r="I20" s="32">
        <f t="shared" si="2"/>
        <v>0</v>
      </c>
      <c r="J20" s="32">
        <f t="shared" si="3"/>
        <v>0</v>
      </c>
      <c r="K20" s="11"/>
      <c r="M20" s="12"/>
      <c r="N20" s="12"/>
    </row>
    <row r="21" spans="2:14" ht="21.95" customHeight="1" x14ac:dyDescent="0.25">
      <c r="B21" s="30"/>
      <c r="C21" s="14" t="str">
        <f t="shared" si="0"/>
        <v/>
      </c>
      <c r="D21" s="11"/>
      <c r="E21" s="14" t="str">
        <f>IF(D21="","",IFERROR(VLOOKUP(D21,Categorias!$B$5:$C$200,2,FALSE),"Revisar"))</f>
        <v/>
      </c>
      <c r="F21" s="11"/>
      <c r="G21" s="31"/>
      <c r="H21" s="32">
        <f t="shared" si="1"/>
        <v>0</v>
      </c>
      <c r="I21" s="32">
        <f t="shared" si="2"/>
        <v>0</v>
      </c>
      <c r="J21" s="32">
        <f t="shared" si="3"/>
        <v>0</v>
      </c>
      <c r="K21" s="11"/>
      <c r="M21" s="12"/>
      <c r="N21" s="12"/>
    </row>
    <row r="22" spans="2:14" ht="21.95" customHeight="1" x14ac:dyDescent="0.25">
      <c r="B22" s="30"/>
      <c r="C22" s="14" t="str">
        <f t="shared" si="0"/>
        <v/>
      </c>
      <c r="D22" s="11"/>
      <c r="E22" s="14" t="str">
        <f>IF(D22="","",IFERROR(VLOOKUP(D22,Categorias!$B$5:$C$200,2,FALSE),"Revisar"))</f>
        <v/>
      </c>
      <c r="F22" s="11"/>
      <c r="G22" s="31"/>
      <c r="H22" s="32">
        <f t="shared" si="1"/>
        <v>0</v>
      </c>
      <c r="I22" s="32">
        <f t="shared" si="2"/>
        <v>0</v>
      </c>
      <c r="J22" s="32">
        <f t="shared" si="3"/>
        <v>0</v>
      </c>
      <c r="K22" s="11"/>
      <c r="M22" s="12"/>
      <c r="N22" s="12"/>
    </row>
    <row r="23" spans="2:14" ht="21.95" customHeight="1" x14ac:dyDescent="0.25">
      <c r="B23" s="30"/>
      <c r="C23" s="14" t="str">
        <f t="shared" si="0"/>
        <v/>
      </c>
      <c r="D23" s="11"/>
      <c r="E23" s="14" t="str">
        <f>IF(D23="","",IFERROR(VLOOKUP(D23,Categorias!$B$5:$C$200,2,FALSE),"Revisar"))</f>
        <v/>
      </c>
      <c r="F23" s="11"/>
      <c r="G23" s="31"/>
      <c r="H23" s="32">
        <f t="shared" si="1"/>
        <v>0</v>
      </c>
      <c r="I23" s="32">
        <f t="shared" si="2"/>
        <v>0</v>
      </c>
      <c r="J23" s="32">
        <f t="shared" si="3"/>
        <v>0</v>
      </c>
      <c r="K23" s="11"/>
      <c r="M23" s="12"/>
      <c r="N23" s="12"/>
    </row>
    <row r="24" spans="2:14" ht="21.95" customHeight="1" x14ac:dyDescent="0.25">
      <c r="B24" s="30"/>
      <c r="C24" s="14" t="str">
        <f t="shared" si="0"/>
        <v/>
      </c>
      <c r="D24" s="11"/>
      <c r="E24" s="14" t="str">
        <f>IF(D24="","",IFERROR(VLOOKUP(D24,Categorias!$B$5:$C$200,2,FALSE),"Revisar"))</f>
        <v/>
      </c>
      <c r="F24" s="11"/>
      <c r="G24" s="31"/>
      <c r="H24" s="32">
        <f t="shared" si="1"/>
        <v>0</v>
      </c>
      <c r="I24" s="32">
        <f t="shared" si="2"/>
        <v>0</v>
      </c>
      <c r="J24" s="32">
        <f t="shared" si="3"/>
        <v>0</v>
      </c>
      <c r="K24" s="11"/>
      <c r="M24" s="12"/>
      <c r="N24" s="12"/>
    </row>
    <row r="25" spans="2:14" ht="21.95" customHeight="1" x14ac:dyDescent="0.25">
      <c r="B25" s="30"/>
      <c r="C25" s="14" t="str">
        <f t="shared" si="0"/>
        <v/>
      </c>
      <c r="D25" s="11"/>
      <c r="E25" s="14" t="str">
        <f>IF(D25="","",IFERROR(VLOOKUP(D25,Categorias!$B$5:$C$200,2,FALSE),"Revisar"))</f>
        <v/>
      </c>
      <c r="F25" s="11"/>
      <c r="G25" s="31"/>
      <c r="H25" s="32">
        <f t="shared" si="1"/>
        <v>0</v>
      </c>
      <c r="I25" s="32">
        <f t="shared" si="2"/>
        <v>0</v>
      </c>
      <c r="J25" s="32">
        <f t="shared" si="3"/>
        <v>0</v>
      </c>
      <c r="K25" s="11"/>
      <c r="M25" s="12"/>
      <c r="N25" s="12"/>
    </row>
    <row r="26" spans="2:14" ht="21.95" customHeight="1" x14ac:dyDescent="0.25">
      <c r="B26" s="30"/>
      <c r="C26" s="14" t="str">
        <f t="shared" si="0"/>
        <v/>
      </c>
      <c r="D26" s="11"/>
      <c r="E26" s="14" t="str">
        <f>IF(D26="","",IFERROR(VLOOKUP(D26,Categorias!$B$5:$C$200,2,FALSE),"Revisar"))</f>
        <v/>
      </c>
      <c r="F26" s="11"/>
      <c r="G26" s="31"/>
      <c r="H26" s="32">
        <f t="shared" si="1"/>
        <v>0</v>
      </c>
      <c r="I26" s="32">
        <f t="shared" si="2"/>
        <v>0</v>
      </c>
      <c r="J26" s="32">
        <f t="shared" si="3"/>
        <v>0</v>
      </c>
      <c r="K26" s="11"/>
      <c r="M26" s="12"/>
      <c r="N26" s="12"/>
    </row>
    <row r="27" spans="2:14" ht="21.95" customHeight="1" x14ac:dyDescent="0.25">
      <c r="B27" s="30"/>
      <c r="C27" s="14" t="str">
        <f t="shared" si="0"/>
        <v/>
      </c>
      <c r="D27" s="11"/>
      <c r="E27" s="14" t="str">
        <f>IF(D27="","",IFERROR(VLOOKUP(D27,Categorias!$B$5:$C$200,2,FALSE),"Revisar"))</f>
        <v/>
      </c>
      <c r="F27" s="11"/>
      <c r="G27" s="31"/>
      <c r="H27" s="32">
        <f t="shared" si="1"/>
        <v>0</v>
      </c>
      <c r="I27" s="32">
        <f t="shared" si="2"/>
        <v>0</v>
      </c>
      <c r="J27" s="32">
        <f t="shared" si="3"/>
        <v>0</v>
      </c>
      <c r="K27" s="11"/>
      <c r="M27" s="12"/>
      <c r="N27" s="12"/>
    </row>
    <row r="28" spans="2:14" ht="21.95" customHeight="1" x14ac:dyDescent="0.25">
      <c r="B28" s="30"/>
      <c r="C28" s="14" t="str">
        <f t="shared" si="0"/>
        <v/>
      </c>
      <c r="D28" s="11"/>
      <c r="E28" s="14" t="str">
        <f>IF(D28="","",IFERROR(VLOOKUP(D28,Categorias!$B$5:$C$200,2,FALSE),"Revisar"))</f>
        <v/>
      </c>
      <c r="F28" s="11"/>
      <c r="G28" s="31"/>
      <c r="H28" s="32">
        <f t="shared" si="1"/>
        <v>0</v>
      </c>
      <c r="I28" s="32">
        <f t="shared" si="2"/>
        <v>0</v>
      </c>
      <c r="J28" s="32">
        <f t="shared" si="3"/>
        <v>0</v>
      </c>
      <c r="K28" s="11"/>
      <c r="M28" s="12"/>
      <c r="N28" s="12"/>
    </row>
    <row r="29" spans="2:14" ht="21.95" customHeight="1" x14ac:dyDescent="0.25">
      <c r="B29" s="30"/>
      <c r="C29" s="14" t="str">
        <f t="shared" si="0"/>
        <v/>
      </c>
      <c r="D29" s="11"/>
      <c r="E29" s="14" t="str">
        <f>IF(D29="","",IFERROR(VLOOKUP(D29,Categorias!$B$5:$C$200,2,FALSE),"Revisar"))</f>
        <v/>
      </c>
      <c r="F29" s="11"/>
      <c r="G29" s="31"/>
      <c r="H29" s="32">
        <f t="shared" si="1"/>
        <v>0</v>
      </c>
      <c r="I29" s="32">
        <f t="shared" si="2"/>
        <v>0</v>
      </c>
      <c r="J29" s="32">
        <f t="shared" si="3"/>
        <v>0</v>
      </c>
      <c r="K29" s="11"/>
      <c r="M29" s="12"/>
      <c r="N29" s="12"/>
    </row>
    <row r="30" spans="2:14" ht="21.95" customHeight="1" x14ac:dyDescent="0.25">
      <c r="B30" s="30"/>
      <c r="C30" s="14" t="str">
        <f t="shared" si="0"/>
        <v/>
      </c>
      <c r="D30" s="11"/>
      <c r="E30" s="14" t="str">
        <f>IF(D30="","",IFERROR(VLOOKUP(D30,Categorias!$B$5:$C$200,2,FALSE),"Revisar"))</f>
        <v/>
      </c>
      <c r="F30" s="11"/>
      <c r="G30" s="31"/>
      <c r="H30" s="32">
        <f t="shared" si="1"/>
        <v>0</v>
      </c>
      <c r="I30" s="32">
        <f t="shared" si="2"/>
        <v>0</v>
      </c>
      <c r="J30" s="32">
        <f t="shared" si="3"/>
        <v>0</v>
      </c>
      <c r="K30" s="11"/>
      <c r="M30" s="12"/>
      <c r="N30" s="12"/>
    </row>
    <row r="31" spans="2:14" ht="21.95" customHeight="1" x14ac:dyDescent="0.25">
      <c r="B31" s="30"/>
      <c r="C31" s="14" t="str">
        <f t="shared" si="0"/>
        <v/>
      </c>
      <c r="D31" s="11"/>
      <c r="E31" s="14" t="str">
        <f>IF(D31="","",IFERROR(VLOOKUP(D31,Categorias!$B$5:$C$200,2,FALSE),"Revisar"))</f>
        <v/>
      </c>
      <c r="F31" s="11"/>
      <c r="G31" s="31"/>
      <c r="H31" s="32">
        <f t="shared" si="1"/>
        <v>0</v>
      </c>
      <c r="I31" s="32">
        <f t="shared" si="2"/>
        <v>0</v>
      </c>
      <c r="J31" s="32">
        <f t="shared" si="3"/>
        <v>0</v>
      </c>
      <c r="K31" s="11"/>
      <c r="M31" s="12"/>
      <c r="N31" s="12"/>
    </row>
    <row r="32" spans="2:14" ht="21.95" customHeight="1" x14ac:dyDescent="0.25">
      <c r="B32" s="30"/>
      <c r="C32" s="14" t="str">
        <f t="shared" si="0"/>
        <v/>
      </c>
      <c r="D32" s="11"/>
      <c r="E32" s="14" t="str">
        <f>IF(D32="","",IFERROR(VLOOKUP(D32,Categorias!$B$5:$C$200,2,FALSE),"Revisar"))</f>
        <v/>
      </c>
      <c r="F32" s="11"/>
      <c r="G32" s="31"/>
      <c r="H32" s="32">
        <f t="shared" si="1"/>
        <v>0</v>
      </c>
      <c r="I32" s="32">
        <f t="shared" si="2"/>
        <v>0</v>
      </c>
      <c r="J32" s="32">
        <f t="shared" si="3"/>
        <v>0</v>
      </c>
      <c r="K32" s="11"/>
      <c r="M32" s="12"/>
      <c r="N32" s="12"/>
    </row>
    <row r="33" spans="2:14" ht="21.95" customHeight="1" x14ac:dyDescent="0.25">
      <c r="B33" s="30"/>
      <c r="C33" s="14" t="str">
        <f t="shared" si="0"/>
        <v/>
      </c>
      <c r="D33" s="11"/>
      <c r="E33" s="14" t="str">
        <f>IF(D33="","",IFERROR(VLOOKUP(D33,Categorias!$B$5:$C$200,2,FALSE),"Revisar"))</f>
        <v/>
      </c>
      <c r="F33" s="11"/>
      <c r="G33" s="31"/>
      <c r="H33" s="32">
        <f t="shared" si="1"/>
        <v>0</v>
      </c>
      <c r="I33" s="32">
        <f t="shared" si="2"/>
        <v>0</v>
      </c>
      <c r="J33" s="32">
        <f t="shared" si="3"/>
        <v>0</v>
      </c>
      <c r="K33" s="11"/>
      <c r="M33" s="12"/>
      <c r="N33" s="12"/>
    </row>
    <row r="34" spans="2:14" ht="21.95" customHeight="1" x14ac:dyDescent="0.25">
      <c r="B34" s="30"/>
      <c r="C34" s="14" t="str">
        <f t="shared" si="0"/>
        <v/>
      </c>
      <c r="D34" s="11"/>
      <c r="E34" s="14" t="str">
        <f>IF(D34="","",IFERROR(VLOOKUP(D34,Categorias!$B$5:$C$200,2,FALSE),"Revisar"))</f>
        <v/>
      </c>
      <c r="F34" s="11"/>
      <c r="G34" s="31"/>
      <c r="H34" s="32">
        <f t="shared" si="1"/>
        <v>0</v>
      </c>
      <c r="I34" s="32">
        <f t="shared" si="2"/>
        <v>0</v>
      </c>
      <c r="J34" s="32">
        <f t="shared" si="3"/>
        <v>0</v>
      </c>
      <c r="K34" s="11"/>
      <c r="M34" s="12"/>
      <c r="N34" s="12"/>
    </row>
    <row r="35" spans="2:14" ht="21.95" customHeight="1" x14ac:dyDescent="0.25">
      <c r="B35" s="30"/>
      <c r="C35" s="14" t="str">
        <f t="shared" si="0"/>
        <v/>
      </c>
      <c r="D35" s="11"/>
      <c r="E35" s="14" t="str">
        <f>IF(D35="","",IFERROR(VLOOKUP(D35,Categorias!$B$5:$C$200,2,FALSE),"Revisar"))</f>
        <v/>
      </c>
      <c r="F35" s="11"/>
      <c r="G35" s="31"/>
      <c r="H35" s="32">
        <f t="shared" si="1"/>
        <v>0</v>
      </c>
      <c r="I35" s="32">
        <f t="shared" si="2"/>
        <v>0</v>
      </c>
      <c r="J35" s="32">
        <f t="shared" si="3"/>
        <v>0</v>
      </c>
      <c r="K35" s="11"/>
      <c r="M35" s="12"/>
      <c r="N35" s="12"/>
    </row>
    <row r="36" spans="2:14" ht="21.95" customHeight="1" x14ac:dyDescent="0.25">
      <c r="B36" s="30"/>
      <c r="C36" s="14" t="str">
        <f t="shared" si="0"/>
        <v/>
      </c>
      <c r="D36" s="11"/>
      <c r="E36" s="14" t="str">
        <f>IF(D36="","",IFERROR(VLOOKUP(D36,Categorias!$B$5:$C$200,2,FALSE),"Revisar"))</f>
        <v/>
      </c>
      <c r="F36" s="11"/>
      <c r="G36" s="31"/>
      <c r="H36" s="32">
        <f t="shared" si="1"/>
        <v>0</v>
      </c>
      <c r="I36" s="32">
        <f t="shared" si="2"/>
        <v>0</v>
      </c>
      <c r="J36" s="32">
        <f t="shared" si="3"/>
        <v>0</v>
      </c>
      <c r="K36" s="11"/>
      <c r="M36" s="12"/>
      <c r="N36" s="12"/>
    </row>
    <row r="37" spans="2:14" ht="21.95" customHeight="1" x14ac:dyDescent="0.25">
      <c r="B37" s="30"/>
      <c r="C37" s="14" t="str">
        <f t="shared" si="0"/>
        <v/>
      </c>
      <c r="D37" s="11"/>
      <c r="E37" s="14" t="str">
        <f>IF(D37="","",IFERROR(VLOOKUP(D37,Categorias!$B$5:$C$200,2,FALSE),"Revisar"))</f>
        <v/>
      </c>
      <c r="F37" s="11"/>
      <c r="G37" s="31"/>
      <c r="H37" s="32">
        <f t="shared" si="1"/>
        <v>0</v>
      </c>
      <c r="I37" s="32">
        <f t="shared" si="2"/>
        <v>0</v>
      </c>
      <c r="J37" s="32">
        <f t="shared" si="3"/>
        <v>0</v>
      </c>
      <c r="K37" s="11"/>
      <c r="M37" s="12"/>
      <c r="N37" s="12"/>
    </row>
    <row r="38" spans="2:14" ht="21.95" customHeight="1" x14ac:dyDescent="0.25">
      <c r="B38" s="30"/>
      <c r="C38" s="14" t="str">
        <f t="shared" si="0"/>
        <v/>
      </c>
      <c r="D38" s="11"/>
      <c r="E38" s="14" t="str">
        <f>IF(D38="","",IFERROR(VLOOKUP(D38,Categorias!$B$5:$C$200,2,FALSE),"Revisar"))</f>
        <v/>
      </c>
      <c r="F38" s="11"/>
      <c r="G38" s="31"/>
      <c r="H38" s="32">
        <f t="shared" si="1"/>
        <v>0</v>
      </c>
      <c r="I38" s="32">
        <f t="shared" si="2"/>
        <v>0</v>
      </c>
      <c r="J38" s="32">
        <f t="shared" si="3"/>
        <v>0</v>
      </c>
      <c r="K38" s="11"/>
      <c r="M38" s="12"/>
      <c r="N38" s="12"/>
    </row>
    <row r="39" spans="2:14" ht="21.95" customHeight="1" x14ac:dyDescent="0.25">
      <c r="B39" s="30"/>
      <c r="C39" s="14" t="str">
        <f t="shared" si="0"/>
        <v/>
      </c>
      <c r="D39" s="11"/>
      <c r="E39" s="14" t="str">
        <f>IF(D39="","",IFERROR(VLOOKUP(D39,Categorias!$B$5:$C$200,2,FALSE),"Revisar"))</f>
        <v/>
      </c>
      <c r="F39" s="11"/>
      <c r="G39" s="31"/>
      <c r="H39" s="32">
        <f t="shared" si="1"/>
        <v>0</v>
      </c>
      <c r="I39" s="32">
        <f t="shared" si="2"/>
        <v>0</v>
      </c>
      <c r="J39" s="32">
        <f t="shared" si="3"/>
        <v>0</v>
      </c>
      <c r="K39" s="11"/>
      <c r="M39" s="12"/>
      <c r="N39" s="12"/>
    </row>
    <row r="40" spans="2:14" ht="21.95" customHeight="1" x14ac:dyDescent="0.25">
      <c r="B40" s="30"/>
      <c r="C40" s="14" t="str">
        <f t="shared" si="0"/>
        <v/>
      </c>
      <c r="D40" s="11"/>
      <c r="E40" s="14" t="str">
        <f>IF(D40="","",IFERROR(VLOOKUP(D40,Categorias!$B$5:$C$200,2,FALSE),"Revisar"))</f>
        <v/>
      </c>
      <c r="F40" s="11"/>
      <c r="G40" s="31"/>
      <c r="H40" s="32">
        <f t="shared" si="1"/>
        <v>0</v>
      </c>
      <c r="I40" s="32">
        <f t="shared" si="2"/>
        <v>0</v>
      </c>
      <c r="J40" s="32">
        <f t="shared" si="3"/>
        <v>0</v>
      </c>
      <c r="K40" s="11"/>
      <c r="M40" s="12"/>
      <c r="N40" s="12"/>
    </row>
    <row r="41" spans="2:14" ht="21.95" customHeight="1" x14ac:dyDescent="0.25">
      <c r="B41" s="30"/>
      <c r="C41" s="14" t="str">
        <f t="shared" si="0"/>
        <v/>
      </c>
      <c r="D41" s="11"/>
      <c r="E41" s="14" t="str">
        <f>IF(D41="","",IFERROR(VLOOKUP(D41,Categorias!$B$5:$C$200,2,FALSE),"Revisar"))</f>
        <v/>
      </c>
      <c r="F41" s="11"/>
      <c r="G41" s="31"/>
      <c r="H41" s="32">
        <f t="shared" si="1"/>
        <v>0</v>
      </c>
      <c r="I41" s="32">
        <f t="shared" si="2"/>
        <v>0</v>
      </c>
      <c r="J41" s="32">
        <f t="shared" si="3"/>
        <v>0</v>
      </c>
      <c r="K41" s="11"/>
      <c r="M41" s="12"/>
      <c r="N41" s="12"/>
    </row>
    <row r="42" spans="2:14" ht="21.95" customHeight="1" x14ac:dyDescent="0.25">
      <c r="B42" s="30"/>
      <c r="C42" s="14" t="str">
        <f t="shared" si="0"/>
        <v/>
      </c>
      <c r="D42" s="11"/>
      <c r="E42" s="14" t="str">
        <f>IF(D42="","",IFERROR(VLOOKUP(D42,Categorias!$B$5:$C$200,2,FALSE),"Revisar"))</f>
        <v/>
      </c>
      <c r="F42" s="11"/>
      <c r="G42" s="31"/>
      <c r="H42" s="32">
        <f t="shared" si="1"/>
        <v>0</v>
      </c>
      <c r="I42" s="32">
        <f t="shared" si="2"/>
        <v>0</v>
      </c>
      <c r="J42" s="32">
        <f t="shared" si="3"/>
        <v>0</v>
      </c>
      <c r="K42" s="11"/>
      <c r="M42" s="12"/>
      <c r="N42" s="12"/>
    </row>
    <row r="43" spans="2:14" ht="21.95" customHeight="1" x14ac:dyDescent="0.25">
      <c r="B43" s="30"/>
      <c r="C43" s="14" t="str">
        <f t="shared" si="0"/>
        <v/>
      </c>
      <c r="D43" s="11"/>
      <c r="E43" s="14" t="str">
        <f>IF(D43="","",IFERROR(VLOOKUP(D43,Categorias!$B$5:$C$200,2,FALSE),"Revisar"))</f>
        <v/>
      </c>
      <c r="F43" s="11"/>
      <c r="G43" s="31"/>
      <c r="H43" s="32">
        <f t="shared" si="1"/>
        <v>0</v>
      </c>
      <c r="I43" s="32">
        <f t="shared" si="2"/>
        <v>0</v>
      </c>
      <c r="J43" s="32">
        <f t="shared" si="3"/>
        <v>0</v>
      </c>
      <c r="K43" s="11"/>
      <c r="M43" s="12"/>
      <c r="N43" s="12"/>
    </row>
    <row r="44" spans="2:14" ht="21.95" customHeight="1" x14ac:dyDescent="0.25">
      <c r="B44" s="30"/>
      <c r="C44" s="14" t="str">
        <f t="shared" si="0"/>
        <v/>
      </c>
      <c r="D44" s="11"/>
      <c r="E44" s="14" t="str">
        <f>IF(D44="","",IFERROR(VLOOKUP(D44,Categorias!$B$5:$C$200,2,FALSE),"Revisar"))</f>
        <v/>
      </c>
      <c r="F44" s="11"/>
      <c r="G44" s="31"/>
      <c r="H44" s="32">
        <f t="shared" si="1"/>
        <v>0</v>
      </c>
      <c r="I44" s="32">
        <f t="shared" si="2"/>
        <v>0</v>
      </c>
      <c r="J44" s="32">
        <f t="shared" si="3"/>
        <v>0</v>
      </c>
      <c r="K44" s="11"/>
      <c r="M44" s="12"/>
      <c r="N44" s="12"/>
    </row>
    <row r="45" spans="2:14" ht="21.95" customHeight="1" x14ac:dyDescent="0.25">
      <c r="B45" s="30"/>
      <c r="C45" s="14" t="str">
        <f t="shared" si="0"/>
        <v/>
      </c>
      <c r="D45" s="11"/>
      <c r="E45" s="14" t="str">
        <f>IF(D45="","",IFERROR(VLOOKUP(D45,Categorias!$B$5:$C$200,2,FALSE),"Revisar"))</f>
        <v/>
      </c>
      <c r="F45" s="11"/>
      <c r="G45" s="31"/>
      <c r="H45" s="32">
        <f t="shared" si="1"/>
        <v>0</v>
      </c>
      <c r="I45" s="32">
        <f t="shared" si="2"/>
        <v>0</v>
      </c>
      <c r="J45" s="32">
        <f t="shared" si="3"/>
        <v>0</v>
      </c>
      <c r="K45" s="11"/>
      <c r="M45" s="12"/>
      <c r="N45" s="12"/>
    </row>
    <row r="46" spans="2:14" ht="21.95" customHeight="1" x14ac:dyDescent="0.25">
      <c r="B46" s="30"/>
      <c r="C46" s="14" t="str">
        <f t="shared" si="0"/>
        <v/>
      </c>
      <c r="D46" s="11"/>
      <c r="E46" s="14" t="str">
        <f>IF(D46="","",IFERROR(VLOOKUP(D46,Categorias!$B$5:$C$200,2,FALSE),"Revisar"))</f>
        <v/>
      </c>
      <c r="F46" s="11"/>
      <c r="G46" s="31"/>
      <c r="H46" s="32">
        <f t="shared" si="1"/>
        <v>0</v>
      </c>
      <c r="I46" s="32">
        <f t="shared" si="2"/>
        <v>0</v>
      </c>
      <c r="J46" s="32">
        <f t="shared" si="3"/>
        <v>0</v>
      </c>
      <c r="K46" s="11"/>
      <c r="M46" s="12"/>
      <c r="N46" s="12"/>
    </row>
    <row r="47" spans="2:14" ht="21.95" customHeight="1" x14ac:dyDescent="0.25">
      <c r="B47" s="30"/>
      <c r="C47" s="14" t="str">
        <f t="shared" si="0"/>
        <v/>
      </c>
      <c r="D47" s="11"/>
      <c r="E47" s="14" t="str">
        <f>IF(D47="","",IFERROR(VLOOKUP(D47,Categorias!$B$5:$C$200,2,FALSE),"Revisar"))</f>
        <v/>
      </c>
      <c r="F47" s="11"/>
      <c r="G47" s="31"/>
      <c r="H47" s="32">
        <f t="shared" si="1"/>
        <v>0</v>
      </c>
      <c r="I47" s="32">
        <f t="shared" si="2"/>
        <v>0</v>
      </c>
      <c r="J47" s="32">
        <f t="shared" si="3"/>
        <v>0</v>
      </c>
      <c r="K47" s="11"/>
      <c r="M47" s="12"/>
      <c r="N47" s="12"/>
    </row>
    <row r="48" spans="2:14" ht="21.95" customHeight="1" x14ac:dyDescent="0.25">
      <c r="B48" s="30"/>
      <c r="C48" s="14" t="str">
        <f t="shared" si="0"/>
        <v/>
      </c>
      <c r="D48" s="11"/>
      <c r="E48" s="14" t="str">
        <f>IF(D48="","",IFERROR(VLOOKUP(D48,Categorias!$B$5:$C$200,2,FALSE),"Revisar"))</f>
        <v/>
      </c>
      <c r="F48" s="11"/>
      <c r="G48" s="31"/>
      <c r="H48" s="32">
        <f t="shared" si="1"/>
        <v>0</v>
      </c>
      <c r="I48" s="32">
        <f t="shared" si="2"/>
        <v>0</v>
      </c>
      <c r="J48" s="32">
        <f t="shared" si="3"/>
        <v>0</v>
      </c>
      <c r="K48" s="11"/>
      <c r="M48" s="12"/>
      <c r="N48" s="12"/>
    </row>
    <row r="49" spans="2:14" ht="21.95" customHeight="1" x14ac:dyDescent="0.25">
      <c r="B49" s="30"/>
      <c r="C49" s="14" t="str">
        <f t="shared" si="0"/>
        <v/>
      </c>
      <c r="D49" s="11"/>
      <c r="E49" s="14" t="str">
        <f>IF(D49="","",IFERROR(VLOOKUP(D49,Categorias!$B$5:$C$200,2,FALSE),"Revisar"))</f>
        <v/>
      </c>
      <c r="F49" s="11"/>
      <c r="G49" s="31"/>
      <c r="H49" s="32">
        <f t="shared" si="1"/>
        <v>0</v>
      </c>
      <c r="I49" s="32">
        <f t="shared" si="2"/>
        <v>0</v>
      </c>
      <c r="J49" s="32">
        <f t="shared" si="3"/>
        <v>0</v>
      </c>
      <c r="K49" s="11"/>
      <c r="M49" s="12"/>
      <c r="N49" s="12"/>
    </row>
    <row r="50" spans="2:14" ht="21.95" customHeight="1" x14ac:dyDescent="0.25">
      <c r="B50" s="30"/>
      <c r="C50" s="14" t="str">
        <f t="shared" si="0"/>
        <v/>
      </c>
      <c r="D50" s="11"/>
      <c r="E50" s="14" t="str">
        <f>IF(D50="","",IFERROR(VLOOKUP(D50,Categorias!$B$5:$C$200,2,FALSE),"Revisar"))</f>
        <v/>
      </c>
      <c r="F50" s="11"/>
      <c r="G50" s="31"/>
      <c r="H50" s="32">
        <f t="shared" si="1"/>
        <v>0</v>
      </c>
      <c r="I50" s="32">
        <f t="shared" si="2"/>
        <v>0</v>
      </c>
      <c r="J50" s="32">
        <f t="shared" si="3"/>
        <v>0</v>
      </c>
      <c r="K50" s="11"/>
      <c r="M50" s="12"/>
      <c r="N50" s="12"/>
    </row>
    <row r="51" spans="2:14" ht="21.95" customHeight="1" x14ac:dyDescent="0.25">
      <c r="B51" s="30"/>
      <c r="C51" s="14" t="str">
        <f t="shared" si="0"/>
        <v/>
      </c>
      <c r="D51" s="11"/>
      <c r="E51" s="14" t="str">
        <f>IF(D51="","",IFERROR(VLOOKUP(D51,Categorias!$B$5:$C$200,2,FALSE),"Revisar"))</f>
        <v/>
      </c>
      <c r="F51" s="11"/>
      <c r="G51" s="31"/>
      <c r="H51" s="32">
        <f t="shared" si="1"/>
        <v>0</v>
      </c>
      <c r="I51" s="32">
        <f t="shared" si="2"/>
        <v>0</v>
      </c>
      <c r="J51" s="32">
        <f t="shared" si="3"/>
        <v>0</v>
      </c>
      <c r="K51" s="11"/>
      <c r="M51" s="12"/>
      <c r="N51" s="12"/>
    </row>
    <row r="52" spans="2:14" ht="21.95" customHeight="1" x14ac:dyDescent="0.25">
      <c r="B52" s="30"/>
      <c r="C52" s="14" t="str">
        <f t="shared" si="0"/>
        <v/>
      </c>
      <c r="D52" s="11"/>
      <c r="E52" s="14" t="str">
        <f>IF(D52="","",IFERROR(VLOOKUP(D52,Categorias!$B$5:$C$200,2,FALSE),"Revisar"))</f>
        <v/>
      </c>
      <c r="F52" s="11"/>
      <c r="G52" s="31"/>
      <c r="H52" s="32">
        <f t="shared" si="1"/>
        <v>0</v>
      </c>
      <c r="I52" s="32">
        <f t="shared" si="2"/>
        <v>0</v>
      </c>
      <c r="J52" s="32">
        <f t="shared" si="3"/>
        <v>0</v>
      </c>
      <c r="K52" s="11"/>
      <c r="M52" s="12"/>
      <c r="N52" s="12"/>
    </row>
    <row r="53" spans="2:14" ht="21.95" customHeight="1" x14ac:dyDescent="0.25">
      <c r="B53" s="30"/>
      <c r="C53" s="14" t="str">
        <f t="shared" si="0"/>
        <v/>
      </c>
      <c r="D53" s="11"/>
      <c r="E53" s="14" t="str">
        <f>IF(D53="","",IFERROR(VLOOKUP(D53,Categorias!$B$5:$C$200,2,FALSE),"Revisar"))</f>
        <v/>
      </c>
      <c r="F53" s="11"/>
      <c r="G53" s="31"/>
      <c r="H53" s="32">
        <f t="shared" si="1"/>
        <v>0</v>
      </c>
      <c r="I53" s="32">
        <f t="shared" si="2"/>
        <v>0</v>
      </c>
      <c r="J53" s="32">
        <f t="shared" si="3"/>
        <v>0</v>
      </c>
      <c r="K53" s="11"/>
      <c r="M53" s="12"/>
      <c r="N53" s="12"/>
    </row>
    <row r="54" spans="2:14" ht="21.95" customHeight="1" x14ac:dyDescent="0.25">
      <c r="B54" s="30"/>
      <c r="C54" s="14" t="str">
        <f t="shared" si="0"/>
        <v/>
      </c>
      <c r="D54" s="11"/>
      <c r="E54" s="14" t="str">
        <f>IF(D54="","",IFERROR(VLOOKUP(D54,Categorias!$B$5:$C$200,2,FALSE),"Revisar"))</f>
        <v/>
      </c>
      <c r="F54" s="11"/>
      <c r="G54" s="31"/>
      <c r="H54" s="32">
        <f t="shared" si="1"/>
        <v>0</v>
      </c>
      <c r="I54" s="32">
        <f t="shared" si="2"/>
        <v>0</v>
      </c>
      <c r="J54" s="32">
        <f t="shared" si="3"/>
        <v>0</v>
      </c>
      <c r="K54" s="11"/>
      <c r="M54" s="12"/>
      <c r="N54" s="12"/>
    </row>
    <row r="55" spans="2:14" ht="21.95" customHeight="1" x14ac:dyDescent="0.25">
      <c r="B55" s="30"/>
      <c r="C55" s="14" t="str">
        <f t="shared" si="0"/>
        <v/>
      </c>
      <c r="D55" s="11"/>
      <c r="E55" s="14" t="str">
        <f>IF(D55="","",IFERROR(VLOOKUP(D55,Categorias!$B$5:$C$200,2,FALSE),"Revisar"))</f>
        <v/>
      </c>
      <c r="F55" s="11"/>
      <c r="G55" s="31"/>
      <c r="H55" s="32">
        <f t="shared" si="1"/>
        <v>0</v>
      </c>
      <c r="I55" s="32">
        <f t="shared" si="2"/>
        <v>0</v>
      </c>
      <c r="J55" s="32">
        <f t="shared" si="3"/>
        <v>0</v>
      </c>
      <c r="K55" s="11"/>
      <c r="M55" s="12"/>
      <c r="N55" s="12"/>
    </row>
    <row r="56" spans="2:14" ht="21.95" customHeight="1" x14ac:dyDescent="0.25">
      <c r="B56" s="30"/>
      <c r="C56" s="14" t="str">
        <f t="shared" si="0"/>
        <v/>
      </c>
      <c r="D56" s="11"/>
      <c r="E56" s="14" t="str">
        <f>IF(D56="","",IFERROR(VLOOKUP(D56,Categorias!$B$5:$C$200,2,FALSE),"Revisar"))</f>
        <v/>
      </c>
      <c r="F56" s="11"/>
      <c r="G56" s="31"/>
      <c r="H56" s="32">
        <f t="shared" si="1"/>
        <v>0</v>
      </c>
      <c r="I56" s="32">
        <f t="shared" si="2"/>
        <v>0</v>
      </c>
      <c r="J56" s="32">
        <f t="shared" si="3"/>
        <v>0</v>
      </c>
      <c r="K56" s="11"/>
      <c r="M56" s="12"/>
      <c r="N56" s="12"/>
    </row>
    <row r="57" spans="2:14" ht="21.95" customHeight="1" x14ac:dyDescent="0.25">
      <c r="B57" s="30"/>
      <c r="C57" s="14" t="str">
        <f t="shared" si="0"/>
        <v/>
      </c>
      <c r="D57" s="11"/>
      <c r="E57" s="14" t="str">
        <f>IF(D57="","",IFERROR(VLOOKUP(D57,Categorias!$B$5:$C$200,2,FALSE),"Revisar"))</f>
        <v/>
      </c>
      <c r="F57" s="11"/>
      <c r="G57" s="31"/>
      <c r="H57" s="32">
        <f t="shared" si="1"/>
        <v>0</v>
      </c>
      <c r="I57" s="32">
        <f t="shared" si="2"/>
        <v>0</v>
      </c>
      <c r="J57" s="32">
        <f t="shared" si="3"/>
        <v>0</v>
      </c>
      <c r="K57" s="11"/>
      <c r="M57" s="12"/>
      <c r="N57" s="12"/>
    </row>
    <row r="58" spans="2:14" ht="21.95" customHeight="1" x14ac:dyDescent="0.25">
      <c r="B58" s="30"/>
      <c r="C58" s="14" t="str">
        <f t="shared" si="0"/>
        <v/>
      </c>
      <c r="D58" s="11"/>
      <c r="E58" s="14" t="str">
        <f>IF(D58="","",IFERROR(VLOOKUP(D58,Categorias!$B$5:$C$200,2,FALSE),"Revisar"))</f>
        <v/>
      </c>
      <c r="F58" s="11"/>
      <c r="G58" s="31"/>
      <c r="H58" s="32">
        <f t="shared" si="1"/>
        <v>0</v>
      </c>
      <c r="I58" s="32">
        <f t="shared" si="2"/>
        <v>0</v>
      </c>
      <c r="J58" s="32">
        <f t="shared" si="3"/>
        <v>0</v>
      </c>
      <c r="K58" s="11"/>
      <c r="M58" s="12"/>
      <c r="N58" s="12"/>
    </row>
    <row r="59" spans="2:14" ht="21.95" customHeight="1" x14ac:dyDescent="0.25">
      <c r="B59" s="30"/>
      <c r="C59" s="14" t="str">
        <f t="shared" si="0"/>
        <v/>
      </c>
      <c r="D59" s="11"/>
      <c r="E59" s="14" t="str">
        <f>IF(D59="","",IFERROR(VLOOKUP(D59,Categorias!$B$5:$C$200,2,FALSE),"Revisar"))</f>
        <v/>
      </c>
      <c r="F59" s="11"/>
      <c r="G59" s="31"/>
      <c r="H59" s="32">
        <f t="shared" si="1"/>
        <v>0</v>
      </c>
      <c r="I59" s="32">
        <f t="shared" si="2"/>
        <v>0</v>
      </c>
      <c r="J59" s="32">
        <f t="shared" si="3"/>
        <v>0</v>
      </c>
      <c r="K59" s="11"/>
      <c r="M59" s="12"/>
      <c r="N59" s="12"/>
    </row>
    <row r="60" spans="2:14" ht="21.95" customHeight="1" x14ac:dyDescent="0.25">
      <c r="B60" s="30"/>
      <c r="C60" s="14" t="str">
        <f t="shared" si="0"/>
        <v/>
      </c>
      <c r="D60" s="11"/>
      <c r="E60" s="14" t="str">
        <f>IF(D60="","",IFERROR(VLOOKUP(D60,Categorias!$B$5:$C$200,2,FALSE),"Revisar"))</f>
        <v/>
      </c>
      <c r="F60" s="11"/>
      <c r="G60" s="31"/>
      <c r="H60" s="32">
        <f t="shared" si="1"/>
        <v>0</v>
      </c>
      <c r="I60" s="32">
        <f t="shared" si="2"/>
        <v>0</v>
      </c>
      <c r="J60" s="32">
        <f t="shared" si="3"/>
        <v>0</v>
      </c>
      <c r="K60" s="11"/>
      <c r="M60" s="12"/>
      <c r="N60" s="12"/>
    </row>
    <row r="61" spans="2:14" ht="21.95" customHeight="1" x14ac:dyDescent="0.25">
      <c r="B61" s="30"/>
      <c r="C61" s="14" t="str">
        <f t="shared" si="0"/>
        <v/>
      </c>
      <c r="D61" s="11"/>
      <c r="E61" s="14" t="str">
        <f>IF(D61="","",IFERROR(VLOOKUP(D61,Categorias!$B$5:$C$200,2,FALSE),"Revisar"))</f>
        <v/>
      </c>
      <c r="F61" s="11"/>
      <c r="G61" s="31"/>
      <c r="H61" s="32">
        <f t="shared" si="1"/>
        <v>0</v>
      </c>
      <c r="I61" s="32">
        <f t="shared" si="2"/>
        <v>0</v>
      </c>
      <c r="J61" s="32">
        <f t="shared" si="3"/>
        <v>0</v>
      </c>
      <c r="K61" s="11"/>
      <c r="M61" s="12"/>
      <c r="N61" s="12"/>
    </row>
    <row r="62" spans="2:14" ht="21.95" customHeight="1" x14ac:dyDescent="0.25">
      <c r="B62" s="30"/>
      <c r="C62" s="14" t="str">
        <f t="shared" si="0"/>
        <v/>
      </c>
      <c r="D62" s="11"/>
      <c r="E62" s="14" t="str">
        <f>IF(D62="","",IFERROR(VLOOKUP(D62,Categorias!$B$5:$C$200,2,FALSE),"Revisar"))</f>
        <v/>
      </c>
      <c r="F62" s="11"/>
      <c r="G62" s="31"/>
      <c r="H62" s="32">
        <f t="shared" si="1"/>
        <v>0</v>
      </c>
      <c r="I62" s="32">
        <f t="shared" si="2"/>
        <v>0</v>
      </c>
      <c r="J62" s="32">
        <f t="shared" si="3"/>
        <v>0</v>
      </c>
      <c r="K62" s="11"/>
      <c r="M62" s="12"/>
      <c r="N62" s="12"/>
    </row>
    <row r="63" spans="2:14" ht="21.95" customHeight="1" x14ac:dyDescent="0.25">
      <c r="B63" s="30"/>
      <c r="C63" s="14" t="str">
        <f t="shared" si="0"/>
        <v/>
      </c>
      <c r="D63" s="11"/>
      <c r="E63" s="14" t="str">
        <f>IF(D63="","",IFERROR(VLOOKUP(D63,Categorias!$B$5:$C$200,2,FALSE),"Revisar"))</f>
        <v/>
      </c>
      <c r="F63" s="11"/>
      <c r="G63" s="31"/>
      <c r="H63" s="32">
        <f t="shared" si="1"/>
        <v>0</v>
      </c>
      <c r="I63" s="32">
        <f t="shared" si="2"/>
        <v>0</v>
      </c>
      <c r="J63" s="32">
        <f t="shared" si="3"/>
        <v>0</v>
      </c>
      <c r="K63" s="11"/>
      <c r="M63" s="12"/>
      <c r="N63" s="12"/>
    </row>
    <row r="64" spans="2:14" ht="21.95" customHeight="1" x14ac:dyDescent="0.25">
      <c r="B64" s="30"/>
      <c r="C64" s="14" t="str">
        <f t="shared" si="0"/>
        <v/>
      </c>
      <c r="D64" s="11"/>
      <c r="E64" s="14" t="str">
        <f>IF(D64="","",IFERROR(VLOOKUP(D64,Categorias!$B$5:$C$200,2,FALSE),"Revisar"))</f>
        <v/>
      </c>
      <c r="F64" s="11"/>
      <c r="G64" s="31"/>
      <c r="H64" s="32">
        <f t="shared" si="1"/>
        <v>0</v>
      </c>
      <c r="I64" s="32">
        <f t="shared" si="2"/>
        <v>0</v>
      </c>
      <c r="J64" s="32">
        <f t="shared" si="3"/>
        <v>0</v>
      </c>
      <c r="K64" s="11"/>
      <c r="M64" s="12"/>
      <c r="N64" s="12"/>
    </row>
    <row r="65" spans="2:14" ht="21.95" customHeight="1" x14ac:dyDescent="0.25">
      <c r="B65" s="30"/>
      <c r="C65" s="14" t="str">
        <f t="shared" si="0"/>
        <v/>
      </c>
      <c r="D65" s="11"/>
      <c r="E65" s="14" t="str">
        <f>IF(D65="","",IFERROR(VLOOKUP(D65,Categorias!$B$5:$C$200,2,FALSE),"Revisar"))</f>
        <v/>
      </c>
      <c r="F65" s="11"/>
      <c r="G65" s="31"/>
      <c r="H65" s="32">
        <f t="shared" si="1"/>
        <v>0</v>
      </c>
      <c r="I65" s="32">
        <f t="shared" si="2"/>
        <v>0</v>
      </c>
      <c r="J65" s="32">
        <f t="shared" si="3"/>
        <v>0</v>
      </c>
      <c r="K65" s="11"/>
      <c r="M65" s="12"/>
      <c r="N65" s="12"/>
    </row>
    <row r="66" spans="2:14" ht="21.95" customHeight="1" x14ac:dyDescent="0.25">
      <c r="B66" s="30"/>
      <c r="C66" s="14" t="str">
        <f t="shared" si="0"/>
        <v/>
      </c>
      <c r="D66" s="11"/>
      <c r="E66" s="14" t="str">
        <f>IF(D66="","",IFERROR(VLOOKUP(D66,Categorias!$B$5:$C$200,2,FALSE),"Revisar"))</f>
        <v/>
      </c>
      <c r="F66" s="11"/>
      <c r="G66" s="31"/>
      <c r="H66" s="32">
        <f t="shared" si="1"/>
        <v>0</v>
      </c>
      <c r="I66" s="32">
        <f t="shared" si="2"/>
        <v>0</v>
      </c>
      <c r="J66" s="32">
        <f t="shared" si="3"/>
        <v>0</v>
      </c>
      <c r="K66" s="11"/>
      <c r="M66" s="12"/>
      <c r="N66" s="12"/>
    </row>
    <row r="67" spans="2:14" ht="21.95" customHeight="1" x14ac:dyDescent="0.25">
      <c r="B67" s="30"/>
      <c r="C67" s="14" t="str">
        <f t="shared" si="0"/>
        <v/>
      </c>
      <c r="D67" s="11"/>
      <c r="E67" s="14" t="str">
        <f>IF(D67="","",IFERROR(VLOOKUP(D67,Categorias!$B$5:$C$200,2,FALSE),"Revisar"))</f>
        <v/>
      </c>
      <c r="F67" s="11"/>
      <c r="G67" s="31"/>
      <c r="H67" s="32">
        <f t="shared" si="1"/>
        <v>0</v>
      </c>
      <c r="I67" s="32">
        <f t="shared" si="2"/>
        <v>0</v>
      </c>
      <c r="J67" s="32">
        <f t="shared" si="3"/>
        <v>0</v>
      </c>
      <c r="K67" s="11"/>
      <c r="M67" s="12"/>
      <c r="N67" s="12"/>
    </row>
    <row r="68" spans="2:14" ht="21.95" customHeight="1" x14ac:dyDescent="0.25">
      <c r="B68" s="30"/>
      <c r="C68" s="14" t="str">
        <f t="shared" si="0"/>
        <v/>
      </c>
      <c r="D68" s="11"/>
      <c r="E68" s="14" t="str">
        <f>IF(D68="","",IFERROR(VLOOKUP(D68,Categorias!$B$5:$C$200,2,FALSE),"Revisar"))</f>
        <v/>
      </c>
      <c r="F68" s="11"/>
      <c r="G68" s="31"/>
      <c r="H68" s="32">
        <f t="shared" si="1"/>
        <v>0</v>
      </c>
      <c r="I68" s="32">
        <f t="shared" si="2"/>
        <v>0</v>
      </c>
      <c r="J68" s="32">
        <f t="shared" si="3"/>
        <v>0</v>
      </c>
      <c r="K68" s="11"/>
      <c r="M68" s="12"/>
      <c r="N68" s="12"/>
    </row>
    <row r="69" spans="2:14" ht="21.95" customHeight="1" x14ac:dyDescent="0.25">
      <c r="B69" s="30"/>
      <c r="C69" s="14" t="str">
        <f t="shared" si="0"/>
        <v/>
      </c>
      <c r="D69" s="11"/>
      <c r="E69" s="14" t="str">
        <f>IF(D69="","",IFERROR(VLOOKUP(D69,Categorias!$B$5:$C$200,2,FALSE),"Revisar"))</f>
        <v/>
      </c>
      <c r="F69" s="11"/>
      <c r="G69" s="31"/>
      <c r="H69" s="32">
        <f t="shared" si="1"/>
        <v>0</v>
      </c>
      <c r="I69" s="32">
        <f t="shared" si="2"/>
        <v>0</v>
      </c>
      <c r="J69" s="32">
        <f t="shared" si="3"/>
        <v>0</v>
      </c>
      <c r="K69" s="11"/>
      <c r="M69" s="12"/>
      <c r="N69" s="12"/>
    </row>
    <row r="70" spans="2:14" ht="21.95" customHeight="1" x14ac:dyDescent="0.25">
      <c r="B70" s="30"/>
      <c r="C70" s="14" t="str">
        <f t="shared" si="0"/>
        <v/>
      </c>
      <c r="D70" s="11"/>
      <c r="E70" s="14" t="str">
        <f>IF(D70="","",IFERROR(VLOOKUP(D70,Categorias!$B$5:$C$200,2,FALSE),"Revisar"))</f>
        <v/>
      </c>
      <c r="F70" s="11"/>
      <c r="G70" s="31"/>
      <c r="H70" s="32">
        <f t="shared" si="1"/>
        <v>0</v>
      </c>
      <c r="I70" s="32">
        <f t="shared" si="2"/>
        <v>0</v>
      </c>
      <c r="J70" s="32">
        <f t="shared" si="3"/>
        <v>0</v>
      </c>
      <c r="K70" s="11"/>
      <c r="M70" s="12"/>
      <c r="N70" s="12"/>
    </row>
    <row r="71" spans="2:14" ht="21.95" customHeight="1" x14ac:dyDescent="0.25">
      <c r="B71" s="30"/>
      <c r="C71" s="14" t="str">
        <f t="shared" si="0"/>
        <v/>
      </c>
      <c r="D71" s="11"/>
      <c r="E71" s="14" t="str">
        <f>IF(D71="","",IFERROR(VLOOKUP(D71,Categorias!$B$5:$C$200,2,FALSE),"Revisar"))</f>
        <v/>
      </c>
      <c r="F71" s="11"/>
      <c r="G71" s="31"/>
      <c r="H71" s="32">
        <f t="shared" si="1"/>
        <v>0</v>
      </c>
      <c r="I71" s="32">
        <f t="shared" si="2"/>
        <v>0</v>
      </c>
      <c r="J71" s="32">
        <f t="shared" si="3"/>
        <v>0</v>
      </c>
      <c r="K71" s="11"/>
      <c r="M71" s="12"/>
      <c r="N71" s="12"/>
    </row>
    <row r="72" spans="2:14" ht="21.95" customHeight="1" x14ac:dyDescent="0.25">
      <c r="B72" s="30"/>
      <c r="C72" s="14" t="str">
        <f t="shared" si="0"/>
        <v/>
      </c>
      <c r="D72" s="11"/>
      <c r="E72" s="14" t="str">
        <f>IF(D72="","",IFERROR(VLOOKUP(D72,Categorias!$B$5:$C$200,2,FALSE),"Revisar"))</f>
        <v/>
      </c>
      <c r="F72" s="11"/>
      <c r="G72" s="31"/>
      <c r="H72" s="32">
        <f t="shared" si="1"/>
        <v>0</v>
      </c>
      <c r="I72" s="32">
        <f t="shared" si="2"/>
        <v>0</v>
      </c>
      <c r="J72" s="32">
        <f t="shared" si="3"/>
        <v>0</v>
      </c>
      <c r="K72" s="11"/>
      <c r="M72" s="12"/>
      <c r="N72" s="12"/>
    </row>
    <row r="73" spans="2:14" ht="21.95" customHeight="1" x14ac:dyDescent="0.25">
      <c r="B73" s="30"/>
      <c r="C73" s="14" t="str">
        <f t="shared" ref="C73:C136" si="4">IF(B73="","",CHOOSE(MONTH(B73),"Enero","Febrero","Marzo","Abril","Mayo","Junio","Julio","Agosto","Septiembre","Octubre","Noviembre","Diciembre"))</f>
        <v/>
      </c>
      <c r="D73" s="11"/>
      <c r="E73" s="14" t="str">
        <f>IF(D73="","",IFERROR(VLOOKUP(D73,Categorias!$B$5:$C$200,2,FALSE),"Revisar"))</f>
        <v/>
      </c>
      <c r="F73" s="11"/>
      <c r="G73" s="31"/>
      <c r="H73" s="32">
        <f t="shared" ref="H73:H136" si="5">IF($E73="Ingreso",$G73,0)</f>
        <v>0</v>
      </c>
      <c r="I73" s="32">
        <f t="shared" ref="I73:I136" si="6">IF($E73="Gasto",$G73,0)</f>
        <v>0</v>
      </c>
      <c r="J73" s="32">
        <f t="shared" ref="J73:J136" si="7">IF($E73="Reserva",$G73,0)</f>
        <v>0</v>
      </c>
      <c r="K73" s="11"/>
      <c r="M73" s="12"/>
      <c r="N73" s="12"/>
    </row>
    <row r="74" spans="2:14" ht="21.95" customHeight="1" x14ac:dyDescent="0.25">
      <c r="B74" s="30"/>
      <c r="C74" s="14" t="str">
        <f t="shared" si="4"/>
        <v/>
      </c>
      <c r="D74" s="11"/>
      <c r="E74" s="14" t="str">
        <f>IF(D74="","",IFERROR(VLOOKUP(D74,Categorias!$B$5:$C$200,2,FALSE),"Revisar"))</f>
        <v/>
      </c>
      <c r="F74" s="11"/>
      <c r="G74" s="31"/>
      <c r="H74" s="32">
        <f t="shared" si="5"/>
        <v>0</v>
      </c>
      <c r="I74" s="32">
        <f t="shared" si="6"/>
        <v>0</v>
      </c>
      <c r="J74" s="32">
        <f t="shared" si="7"/>
        <v>0</v>
      </c>
      <c r="K74" s="11"/>
      <c r="M74" s="12"/>
      <c r="N74" s="12"/>
    </row>
    <row r="75" spans="2:14" ht="21.95" customHeight="1" x14ac:dyDescent="0.25">
      <c r="B75" s="30"/>
      <c r="C75" s="14" t="str">
        <f t="shared" si="4"/>
        <v/>
      </c>
      <c r="D75" s="11"/>
      <c r="E75" s="14" t="str">
        <f>IF(D75="","",IFERROR(VLOOKUP(D75,Categorias!$B$5:$C$200,2,FALSE),"Revisar"))</f>
        <v/>
      </c>
      <c r="F75" s="11"/>
      <c r="G75" s="31"/>
      <c r="H75" s="32">
        <f t="shared" si="5"/>
        <v>0</v>
      </c>
      <c r="I75" s="32">
        <f t="shared" si="6"/>
        <v>0</v>
      </c>
      <c r="J75" s="32">
        <f t="shared" si="7"/>
        <v>0</v>
      </c>
      <c r="K75" s="11"/>
      <c r="M75" s="12"/>
      <c r="N75" s="12"/>
    </row>
    <row r="76" spans="2:14" ht="21.95" customHeight="1" x14ac:dyDescent="0.25">
      <c r="B76" s="30"/>
      <c r="C76" s="14" t="str">
        <f t="shared" si="4"/>
        <v/>
      </c>
      <c r="D76" s="11"/>
      <c r="E76" s="14" t="str">
        <f>IF(D76="","",IFERROR(VLOOKUP(D76,Categorias!$B$5:$C$200,2,FALSE),"Revisar"))</f>
        <v/>
      </c>
      <c r="F76" s="11"/>
      <c r="G76" s="31"/>
      <c r="H76" s="32">
        <f t="shared" si="5"/>
        <v>0</v>
      </c>
      <c r="I76" s="32">
        <f t="shared" si="6"/>
        <v>0</v>
      </c>
      <c r="J76" s="32">
        <f t="shared" si="7"/>
        <v>0</v>
      </c>
      <c r="K76" s="11"/>
      <c r="M76" s="12"/>
      <c r="N76" s="12"/>
    </row>
    <row r="77" spans="2:14" ht="21.95" customHeight="1" x14ac:dyDescent="0.25">
      <c r="B77" s="30"/>
      <c r="C77" s="14" t="str">
        <f t="shared" si="4"/>
        <v/>
      </c>
      <c r="D77" s="11"/>
      <c r="E77" s="14" t="str">
        <f>IF(D77="","",IFERROR(VLOOKUP(D77,Categorias!$B$5:$C$200,2,FALSE),"Revisar"))</f>
        <v/>
      </c>
      <c r="F77" s="11"/>
      <c r="G77" s="31"/>
      <c r="H77" s="32">
        <f t="shared" si="5"/>
        <v>0</v>
      </c>
      <c r="I77" s="32">
        <f t="shared" si="6"/>
        <v>0</v>
      </c>
      <c r="J77" s="32">
        <f t="shared" si="7"/>
        <v>0</v>
      </c>
      <c r="K77" s="11"/>
      <c r="M77" s="12"/>
      <c r="N77" s="12"/>
    </row>
    <row r="78" spans="2:14" ht="21.95" customHeight="1" x14ac:dyDescent="0.25">
      <c r="B78" s="30"/>
      <c r="C78" s="14" t="str">
        <f t="shared" si="4"/>
        <v/>
      </c>
      <c r="D78" s="11"/>
      <c r="E78" s="14" t="str">
        <f>IF(D78="","",IFERROR(VLOOKUP(D78,Categorias!$B$5:$C$200,2,FALSE),"Revisar"))</f>
        <v/>
      </c>
      <c r="F78" s="11"/>
      <c r="G78" s="31"/>
      <c r="H78" s="32">
        <f t="shared" si="5"/>
        <v>0</v>
      </c>
      <c r="I78" s="32">
        <f t="shared" si="6"/>
        <v>0</v>
      </c>
      <c r="J78" s="32">
        <f t="shared" si="7"/>
        <v>0</v>
      </c>
      <c r="K78" s="11"/>
      <c r="M78" s="12"/>
      <c r="N78" s="12"/>
    </row>
    <row r="79" spans="2:14" ht="21.95" customHeight="1" x14ac:dyDescent="0.25">
      <c r="B79" s="30"/>
      <c r="C79" s="14" t="str">
        <f t="shared" si="4"/>
        <v/>
      </c>
      <c r="D79" s="11"/>
      <c r="E79" s="14" t="str">
        <f>IF(D79="","",IFERROR(VLOOKUP(D79,Categorias!$B$5:$C$200,2,FALSE),"Revisar"))</f>
        <v/>
      </c>
      <c r="F79" s="11"/>
      <c r="G79" s="31"/>
      <c r="H79" s="32">
        <f t="shared" si="5"/>
        <v>0</v>
      </c>
      <c r="I79" s="32">
        <f t="shared" si="6"/>
        <v>0</v>
      </c>
      <c r="J79" s="32">
        <f t="shared" si="7"/>
        <v>0</v>
      </c>
      <c r="K79" s="11"/>
      <c r="M79" s="12"/>
      <c r="N79" s="12"/>
    </row>
    <row r="80" spans="2:14" ht="21.95" customHeight="1" x14ac:dyDescent="0.25">
      <c r="B80" s="30"/>
      <c r="C80" s="14" t="str">
        <f t="shared" si="4"/>
        <v/>
      </c>
      <c r="D80" s="11"/>
      <c r="E80" s="14" t="str">
        <f>IF(D80="","",IFERROR(VLOOKUP(D80,Categorias!$B$5:$C$200,2,FALSE),"Revisar"))</f>
        <v/>
      </c>
      <c r="F80" s="11"/>
      <c r="G80" s="31"/>
      <c r="H80" s="32">
        <f t="shared" si="5"/>
        <v>0</v>
      </c>
      <c r="I80" s="32">
        <f t="shared" si="6"/>
        <v>0</v>
      </c>
      <c r="J80" s="32">
        <f t="shared" si="7"/>
        <v>0</v>
      </c>
      <c r="K80" s="11"/>
      <c r="M80" s="12"/>
      <c r="N80" s="12"/>
    </row>
    <row r="81" spans="2:14" ht="21.95" customHeight="1" x14ac:dyDescent="0.25">
      <c r="B81" s="30"/>
      <c r="C81" s="14" t="str">
        <f t="shared" si="4"/>
        <v/>
      </c>
      <c r="D81" s="11"/>
      <c r="E81" s="14" t="str">
        <f>IF(D81="","",IFERROR(VLOOKUP(D81,Categorias!$B$5:$C$200,2,FALSE),"Revisar"))</f>
        <v/>
      </c>
      <c r="F81" s="11"/>
      <c r="G81" s="31"/>
      <c r="H81" s="32">
        <f t="shared" si="5"/>
        <v>0</v>
      </c>
      <c r="I81" s="32">
        <f t="shared" si="6"/>
        <v>0</v>
      </c>
      <c r="J81" s="32">
        <f t="shared" si="7"/>
        <v>0</v>
      </c>
      <c r="K81" s="11"/>
      <c r="M81" s="12"/>
      <c r="N81" s="12"/>
    </row>
    <row r="82" spans="2:14" ht="21.95" customHeight="1" x14ac:dyDescent="0.25">
      <c r="B82" s="30"/>
      <c r="C82" s="14" t="str">
        <f t="shared" si="4"/>
        <v/>
      </c>
      <c r="D82" s="11"/>
      <c r="E82" s="14" t="str">
        <f>IF(D82="","",IFERROR(VLOOKUP(D82,Categorias!$B$5:$C$200,2,FALSE),"Revisar"))</f>
        <v/>
      </c>
      <c r="F82" s="11"/>
      <c r="G82" s="31"/>
      <c r="H82" s="32">
        <f t="shared" si="5"/>
        <v>0</v>
      </c>
      <c r="I82" s="32">
        <f t="shared" si="6"/>
        <v>0</v>
      </c>
      <c r="J82" s="32">
        <f t="shared" si="7"/>
        <v>0</v>
      </c>
      <c r="K82" s="11"/>
      <c r="M82" s="12"/>
      <c r="N82" s="12"/>
    </row>
    <row r="83" spans="2:14" ht="21.95" customHeight="1" x14ac:dyDescent="0.25">
      <c r="B83" s="30"/>
      <c r="C83" s="14" t="str">
        <f t="shared" si="4"/>
        <v/>
      </c>
      <c r="D83" s="11"/>
      <c r="E83" s="14" t="str">
        <f>IF(D83="","",IFERROR(VLOOKUP(D83,Categorias!$B$5:$C$200,2,FALSE),"Revisar"))</f>
        <v/>
      </c>
      <c r="F83" s="11"/>
      <c r="G83" s="31"/>
      <c r="H83" s="32">
        <f t="shared" si="5"/>
        <v>0</v>
      </c>
      <c r="I83" s="32">
        <f t="shared" si="6"/>
        <v>0</v>
      </c>
      <c r="J83" s="32">
        <f t="shared" si="7"/>
        <v>0</v>
      </c>
      <c r="K83" s="11"/>
      <c r="M83" s="12"/>
      <c r="N83" s="12"/>
    </row>
    <row r="84" spans="2:14" ht="21.95" customHeight="1" x14ac:dyDescent="0.25">
      <c r="B84" s="30"/>
      <c r="C84" s="14" t="str">
        <f t="shared" si="4"/>
        <v/>
      </c>
      <c r="D84" s="11"/>
      <c r="E84" s="14" t="str">
        <f>IF(D84="","",IFERROR(VLOOKUP(D84,Categorias!$B$5:$C$200,2,FALSE),"Revisar"))</f>
        <v/>
      </c>
      <c r="F84" s="11"/>
      <c r="G84" s="31"/>
      <c r="H84" s="32">
        <f t="shared" si="5"/>
        <v>0</v>
      </c>
      <c r="I84" s="32">
        <f t="shared" si="6"/>
        <v>0</v>
      </c>
      <c r="J84" s="32">
        <f t="shared" si="7"/>
        <v>0</v>
      </c>
      <c r="K84" s="11"/>
      <c r="M84" s="12"/>
      <c r="N84" s="12"/>
    </row>
    <row r="85" spans="2:14" ht="21.95" customHeight="1" x14ac:dyDescent="0.25">
      <c r="B85" s="30"/>
      <c r="C85" s="14" t="str">
        <f t="shared" si="4"/>
        <v/>
      </c>
      <c r="D85" s="11"/>
      <c r="E85" s="14" t="str">
        <f>IF(D85="","",IFERROR(VLOOKUP(D85,Categorias!$B$5:$C$200,2,FALSE),"Revisar"))</f>
        <v/>
      </c>
      <c r="F85" s="11"/>
      <c r="G85" s="31"/>
      <c r="H85" s="32">
        <f t="shared" si="5"/>
        <v>0</v>
      </c>
      <c r="I85" s="32">
        <f t="shared" si="6"/>
        <v>0</v>
      </c>
      <c r="J85" s="32">
        <f t="shared" si="7"/>
        <v>0</v>
      </c>
      <c r="K85" s="11"/>
      <c r="M85" s="12"/>
      <c r="N85" s="12"/>
    </row>
    <row r="86" spans="2:14" ht="21.95" customHeight="1" x14ac:dyDescent="0.25">
      <c r="B86" s="30"/>
      <c r="C86" s="14" t="str">
        <f t="shared" si="4"/>
        <v/>
      </c>
      <c r="D86" s="11"/>
      <c r="E86" s="14" t="str">
        <f>IF(D86="","",IFERROR(VLOOKUP(D86,Categorias!$B$5:$C$200,2,FALSE),"Revisar"))</f>
        <v/>
      </c>
      <c r="F86" s="11"/>
      <c r="G86" s="31"/>
      <c r="H86" s="32">
        <f t="shared" si="5"/>
        <v>0</v>
      </c>
      <c r="I86" s="32">
        <f t="shared" si="6"/>
        <v>0</v>
      </c>
      <c r="J86" s="32">
        <f t="shared" si="7"/>
        <v>0</v>
      </c>
      <c r="K86" s="11"/>
      <c r="M86" s="12"/>
      <c r="N86" s="12"/>
    </row>
    <row r="87" spans="2:14" ht="21.95" customHeight="1" x14ac:dyDescent="0.25">
      <c r="B87" s="30"/>
      <c r="C87" s="14" t="str">
        <f t="shared" si="4"/>
        <v/>
      </c>
      <c r="D87" s="11"/>
      <c r="E87" s="14" t="str">
        <f>IF(D87="","",IFERROR(VLOOKUP(D87,Categorias!$B$5:$C$200,2,FALSE),"Revisar"))</f>
        <v/>
      </c>
      <c r="F87" s="11"/>
      <c r="G87" s="31"/>
      <c r="H87" s="32">
        <f t="shared" si="5"/>
        <v>0</v>
      </c>
      <c r="I87" s="32">
        <f t="shared" si="6"/>
        <v>0</v>
      </c>
      <c r="J87" s="32">
        <f t="shared" si="7"/>
        <v>0</v>
      </c>
      <c r="K87" s="11"/>
      <c r="M87" s="12"/>
      <c r="N87" s="12"/>
    </row>
    <row r="88" spans="2:14" ht="21.95" customHeight="1" x14ac:dyDescent="0.25">
      <c r="B88" s="30"/>
      <c r="C88" s="14" t="str">
        <f t="shared" si="4"/>
        <v/>
      </c>
      <c r="D88" s="11"/>
      <c r="E88" s="14" t="str">
        <f>IF(D88="","",IFERROR(VLOOKUP(D88,Categorias!$B$5:$C$200,2,FALSE),"Revisar"))</f>
        <v/>
      </c>
      <c r="F88" s="11"/>
      <c r="G88" s="31"/>
      <c r="H88" s="32">
        <f t="shared" si="5"/>
        <v>0</v>
      </c>
      <c r="I88" s="32">
        <f t="shared" si="6"/>
        <v>0</v>
      </c>
      <c r="J88" s="32">
        <f t="shared" si="7"/>
        <v>0</v>
      </c>
      <c r="K88" s="11"/>
      <c r="M88" s="12"/>
      <c r="N88" s="12"/>
    </row>
    <row r="89" spans="2:14" ht="21.95" customHeight="1" x14ac:dyDescent="0.25">
      <c r="B89" s="30"/>
      <c r="C89" s="14" t="str">
        <f t="shared" si="4"/>
        <v/>
      </c>
      <c r="D89" s="11"/>
      <c r="E89" s="14" t="str">
        <f>IF(D89="","",IFERROR(VLOOKUP(D89,Categorias!$B$5:$C$200,2,FALSE),"Revisar"))</f>
        <v/>
      </c>
      <c r="F89" s="11"/>
      <c r="G89" s="31"/>
      <c r="H89" s="32">
        <f t="shared" si="5"/>
        <v>0</v>
      </c>
      <c r="I89" s="32">
        <f t="shared" si="6"/>
        <v>0</v>
      </c>
      <c r="J89" s="32">
        <f t="shared" si="7"/>
        <v>0</v>
      </c>
      <c r="K89" s="11"/>
      <c r="M89" s="12"/>
      <c r="N89" s="12"/>
    </row>
    <row r="90" spans="2:14" ht="21.95" customHeight="1" x14ac:dyDescent="0.25">
      <c r="B90" s="30"/>
      <c r="C90" s="14" t="str">
        <f t="shared" si="4"/>
        <v/>
      </c>
      <c r="D90" s="11"/>
      <c r="E90" s="14" t="str">
        <f>IF(D90="","",IFERROR(VLOOKUP(D90,Categorias!$B$5:$C$200,2,FALSE),"Revisar"))</f>
        <v/>
      </c>
      <c r="F90" s="11"/>
      <c r="G90" s="31"/>
      <c r="H90" s="32">
        <f t="shared" si="5"/>
        <v>0</v>
      </c>
      <c r="I90" s="32">
        <f t="shared" si="6"/>
        <v>0</v>
      </c>
      <c r="J90" s="32">
        <f t="shared" si="7"/>
        <v>0</v>
      </c>
      <c r="K90" s="11"/>
      <c r="M90" s="12"/>
      <c r="N90" s="12"/>
    </row>
    <row r="91" spans="2:14" ht="21.95" customHeight="1" x14ac:dyDescent="0.25">
      <c r="B91" s="30"/>
      <c r="C91" s="14" t="str">
        <f t="shared" si="4"/>
        <v/>
      </c>
      <c r="D91" s="11"/>
      <c r="E91" s="14" t="str">
        <f>IF(D91="","",IFERROR(VLOOKUP(D91,Categorias!$B$5:$C$200,2,FALSE),"Revisar"))</f>
        <v/>
      </c>
      <c r="F91" s="11"/>
      <c r="G91" s="31"/>
      <c r="H91" s="32">
        <f t="shared" si="5"/>
        <v>0</v>
      </c>
      <c r="I91" s="32">
        <f t="shared" si="6"/>
        <v>0</v>
      </c>
      <c r="J91" s="32">
        <f t="shared" si="7"/>
        <v>0</v>
      </c>
      <c r="K91" s="11"/>
      <c r="M91" s="12"/>
      <c r="N91" s="12"/>
    </row>
    <row r="92" spans="2:14" ht="21.95" customHeight="1" x14ac:dyDescent="0.25">
      <c r="B92" s="30"/>
      <c r="C92" s="14" t="str">
        <f t="shared" si="4"/>
        <v/>
      </c>
      <c r="D92" s="11"/>
      <c r="E92" s="14" t="str">
        <f>IF(D92="","",IFERROR(VLOOKUP(D92,Categorias!$B$5:$C$200,2,FALSE),"Revisar"))</f>
        <v/>
      </c>
      <c r="F92" s="11"/>
      <c r="G92" s="31"/>
      <c r="H92" s="32">
        <f t="shared" si="5"/>
        <v>0</v>
      </c>
      <c r="I92" s="32">
        <f t="shared" si="6"/>
        <v>0</v>
      </c>
      <c r="J92" s="32">
        <f t="shared" si="7"/>
        <v>0</v>
      </c>
      <c r="K92" s="11"/>
      <c r="M92" s="12"/>
      <c r="N92" s="12"/>
    </row>
    <row r="93" spans="2:14" ht="21.95" customHeight="1" x14ac:dyDescent="0.25">
      <c r="B93" s="30"/>
      <c r="C93" s="14" t="str">
        <f t="shared" si="4"/>
        <v/>
      </c>
      <c r="D93" s="11"/>
      <c r="E93" s="14" t="str">
        <f>IF(D93="","",IFERROR(VLOOKUP(D93,Categorias!$B$5:$C$200,2,FALSE),"Revisar"))</f>
        <v/>
      </c>
      <c r="F93" s="11"/>
      <c r="G93" s="31"/>
      <c r="H93" s="32">
        <f t="shared" si="5"/>
        <v>0</v>
      </c>
      <c r="I93" s="32">
        <f t="shared" si="6"/>
        <v>0</v>
      </c>
      <c r="J93" s="32">
        <f t="shared" si="7"/>
        <v>0</v>
      </c>
      <c r="K93" s="11"/>
      <c r="M93" s="12"/>
      <c r="N93" s="12"/>
    </row>
    <row r="94" spans="2:14" ht="21.95" customHeight="1" x14ac:dyDescent="0.25">
      <c r="B94" s="30"/>
      <c r="C94" s="14" t="str">
        <f t="shared" si="4"/>
        <v/>
      </c>
      <c r="D94" s="11"/>
      <c r="E94" s="14" t="str">
        <f>IF(D94="","",IFERROR(VLOOKUP(D94,Categorias!$B$5:$C$200,2,FALSE),"Revisar"))</f>
        <v/>
      </c>
      <c r="F94" s="11"/>
      <c r="G94" s="31"/>
      <c r="H94" s="32">
        <f t="shared" si="5"/>
        <v>0</v>
      </c>
      <c r="I94" s="32">
        <f t="shared" si="6"/>
        <v>0</v>
      </c>
      <c r="J94" s="32">
        <f t="shared" si="7"/>
        <v>0</v>
      </c>
      <c r="K94" s="11"/>
      <c r="M94" s="12"/>
      <c r="N94" s="12"/>
    </row>
    <row r="95" spans="2:14" ht="21.95" customHeight="1" x14ac:dyDescent="0.25">
      <c r="B95" s="30"/>
      <c r="C95" s="14" t="str">
        <f t="shared" si="4"/>
        <v/>
      </c>
      <c r="D95" s="11"/>
      <c r="E95" s="14" t="str">
        <f>IF(D95="","",IFERROR(VLOOKUP(D95,Categorias!$B$5:$C$200,2,FALSE),"Revisar"))</f>
        <v/>
      </c>
      <c r="F95" s="11"/>
      <c r="G95" s="31"/>
      <c r="H95" s="32">
        <f t="shared" si="5"/>
        <v>0</v>
      </c>
      <c r="I95" s="32">
        <f t="shared" si="6"/>
        <v>0</v>
      </c>
      <c r="J95" s="32">
        <f t="shared" si="7"/>
        <v>0</v>
      </c>
      <c r="K95" s="11"/>
      <c r="M95" s="12"/>
      <c r="N95" s="12"/>
    </row>
    <row r="96" spans="2:14" ht="21.95" customHeight="1" x14ac:dyDescent="0.25">
      <c r="B96" s="30"/>
      <c r="C96" s="14" t="str">
        <f t="shared" si="4"/>
        <v/>
      </c>
      <c r="D96" s="11"/>
      <c r="E96" s="14" t="str">
        <f>IF(D96="","",IFERROR(VLOOKUP(D96,Categorias!$B$5:$C$200,2,FALSE),"Revisar"))</f>
        <v/>
      </c>
      <c r="F96" s="11"/>
      <c r="G96" s="31"/>
      <c r="H96" s="32">
        <f t="shared" si="5"/>
        <v>0</v>
      </c>
      <c r="I96" s="32">
        <f t="shared" si="6"/>
        <v>0</v>
      </c>
      <c r="J96" s="32">
        <f t="shared" si="7"/>
        <v>0</v>
      </c>
      <c r="K96" s="11"/>
      <c r="M96" s="12"/>
      <c r="N96" s="12"/>
    </row>
    <row r="97" spans="2:14" ht="21.95" customHeight="1" x14ac:dyDescent="0.25">
      <c r="B97" s="30"/>
      <c r="C97" s="14" t="str">
        <f t="shared" si="4"/>
        <v/>
      </c>
      <c r="D97" s="11"/>
      <c r="E97" s="14" t="str">
        <f>IF(D97="","",IFERROR(VLOOKUP(D97,Categorias!$B$5:$C$200,2,FALSE),"Revisar"))</f>
        <v/>
      </c>
      <c r="F97" s="11"/>
      <c r="G97" s="31"/>
      <c r="H97" s="32">
        <f t="shared" si="5"/>
        <v>0</v>
      </c>
      <c r="I97" s="32">
        <f t="shared" si="6"/>
        <v>0</v>
      </c>
      <c r="J97" s="32">
        <f t="shared" si="7"/>
        <v>0</v>
      </c>
      <c r="K97" s="11"/>
      <c r="M97" s="12"/>
      <c r="N97" s="12"/>
    </row>
    <row r="98" spans="2:14" ht="21.95" customHeight="1" x14ac:dyDescent="0.25">
      <c r="B98" s="30"/>
      <c r="C98" s="14" t="str">
        <f t="shared" si="4"/>
        <v/>
      </c>
      <c r="D98" s="11"/>
      <c r="E98" s="14" t="str">
        <f>IF(D98="","",IFERROR(VLOOKUP(D98,Categorias!$B$5:$C$200,2,FALSE),"Revisar"))</f>
        <v/>
      </c>
      <c r="F98" s="11"/>
      <c r="G98" s="31"/>
      <c r="H98" s="32">
        <f t="shared" si="5"/>
        <v>0</v>
      </c>
      <c r="I98" s="32">
        <f t="shared" si="6"/>
        <v>0</v>
      </c>
      <c r="J98" s="32">
        <f t="shared" si="7"/>
        <v>0</v>
      </c>
      <c r="K98" s="11"/>
      <c r="M98" s="12"/>
      <c r="N98" s="12"/>
    </row>
    <row r="99" spans="2:14" ht="21.95" customHeight="1" x14ac:dyDescent="0.25">
      <c r="B99" s="30"/>
      <c r="C99" s="14" t="str">
        <f t="shared" si="4"/>
        <v/>
      </c>
      <c r="D99" s="11"/>
      <c r="E99" s="14" t="str">
        <f>IF(D99="","",IFERROR(VLOOKUP(D99,Categorias!$B$5:$C$200,2,FALSE),"Revisar"))</f>
        <v/>
      </c>
      <c r="F99" s="11"/>
      <c r="G99" s="31"/>
      <c r="H99" s="32">
        <f t="shared" si="5"/>
        <v>0</v>
      </c>
      <c r="I99" s="32">
        <f t="shared" si="6"/>
        <v>0</v>
      </c>
      <c r="J99" s="32">
        <f t="shared" si="7"/>
        <v>0</v>
      </c>
      <c r="K99" s="11"/>
      <c r="M99" s="12"/>
      <c r="N99" s="12"/>
    </row>
    <row r="100" spans="2:14" ht="21.95" customHeight="1" x14ac:dyDescent="0.25">
      <c r="B100" s="30"/>
      <c r="C100" s="14" t="str">
        <f t="shared" si="4"/>
        <v/>
      </c>
      <c r="D100" s="11"/>
      <c r="E100" s="14" t="str">
        <f>IF(D100="","",IFERROR(VLOOKUP(D100,Categorias!$B$5:$C$200,2,FALSE),"Revisar"))</f>
        <v/>
      </c>
      <c r="F100" s="11"/>
      <c r="G100" s="31"/>
      <c r="H100" s="32">
        <f t="shared" si="5"/>
        <v>0</v>
      </c>
      <c r="I100" s="32">
        <f t="shared" si="6"/>
        <v>0</v>
      </c>
      <c r="J100" s="32">
        <f t="shared" si="7"/>
        <v>0</v>
      </c>
      <c r="K100" s="11"/>
      <c r="M100" s="12"/>
      <c r="N100" s="12"/>
    </row>
    <row r="101" spans="2:14" ht="21.95" customHeight="1" x14ac:dyDescent="0.25">
      <c r="B101" s="30"/>
      <c r="C101" s="14" t="str">
        <f t="shared" si="4"/>
        <v/>
      </c>
      <c r="D101" s="11"/>
      <c r="E101" s="14" t="str">
        <f>IF(D101="","",IFERROR(VLOOKUP(D101,Categorias!$B$5:$C$200,2,FALSE),"Revisar"))</f>
        <v/>
      </c>
      <c r="F101" s="11"/>
      <c r="G101" s="31"/>
      <c r="H101" s="32">
        <f t="shared" si="5"/>
        <v>0</v>
      </c>
      <c r="I101" s="32">
        <f t="shared" si="6"/>
        <v>0</v>
      </c>
      <c r="J101" s="32">
        <f t="shared" si="7"/>
        <v>0</v>
      </c>
      <c r="K101" s="11"/>
      <c r="M101" s="12"/>
      <c r="N101" s="12"/>
    </row>
    <row r="102" spans="2:14" ht="21.95" customHeight="1" x14ac:dyDescent="0.25">
      <c r="B102" s="30"/>
      <c r="C102" s="14" t="str">
        <f t="shared" si="4"/>
        <v/>
      </c>
      <c r="D102" s="11"/>
      <c r="E102" s="14" t="str">
        <f>IF(D102="","",IFERROR(VLOOKUP(D102,Categorias!$B$5:$C$200,2,FALSE),"Revisar"))</f>
        <v/>
      </c>
      <c r="F102" s="11"/>
      <c r="G102" s="31"/>
      <c r="H102" s="32">
        <f t="shared" si="5"/>
        <v>0</v>
      </c>
      <c r="I102" s="32">
        <f t="shared" si="6"/>
        <v>0</v>
      </c>
      <c r="J102" s="32">
        <f t="shared" si="7"/>
        <v>0</v>
      </c>
      <c r="K102" s="11"/>
      <c r="M102" s="12"/>
      <c r="N102" s="12"/>
    </row>
    <row r="103" spans="2:14" ht="21.95" customHeight="1" x14ac:dyDescent="0.25">
      <c r="B103" s="30"/>
      <c r="C103" s="14" t="str">
        <f t="shared" si="4"/>
        <v/>
      </c>
      <c r="D103" s="11"/>
      <c r="E103" s="14" t="str">
        <f>IF(D103="","",IFERROR(VLOOKUP(D103,Categorias!$B$5:$C$200,2,FALSE),"Revisar"))</f>
        <v/>
      </c>
      <c r="F103" s="11"/>
      <c r="G103" s="31"/>
      <c r="H103" s="32">
        <f t="shared" si="5"/>
        <v>0</v>
      </c>
      <c r="I103" s="32">
        <f t="shared" si="6"/>
        <v>0</v>
      </c>
      <c r="J103" s="32">
        <f t="shared" si="7"/>
        <v>0</v>
      </c>
      <c r="K103" s="11"/>
      <c r="M103" s="12"/>
      <c r="N103" s="12"/>
    </row>
    <row r="104" spans="2:14" ht="21.95" customHeight="1" x14ac:dyDescent="0.25">
      <c r="B104" s="30"/>
      <c r="C104" s="14" t="str">
        <f t="shared" si="4"/>
        <v/>
      </c>
      <c r="D104" s="11"/>
      <c r="E104" s="14" t="str">
        <f>IF(D104="","",IFERROR(VLOOKUP(D104,Categorias!$B$5:$C$200,2,FALSE),"Revisar"))</f>
        <v/>
      </c>
      <c r="F104" s="11"/>
      <c r="G104" s="31"/>
      <c r="H104" s="32">
        <f t="shared" si="5"/>
        <v>0</v>
      </c>
      <c r="I104" s="32">
        <f t="shared" si="6"/>
        <v>0</v>
      </c>
      <c r="J104" s="32">
        <f t="shared" si="7"/>
        <v>0</v>
      </c>
      <c r="K104" s="11"/>
      <c r="M104" s="12"/>
      <c r="N104" s="12"/>
    </row>
    <row r="105" spans="2:14" ht="21.95" customHeight="1" x14ac:dyDescent="0.25">
      <c r="B105" s="30"/>
      <c r="C105" s="14" t="str">
        <f t="shared" si="4"/>
        <v/>
      </c>
      <c r="D105" s="11"/>
      <c r="E105" s="14" t="str">
        <f>IF(D105="","",IFERROR(VLOOKUP(D105,Categorias!$B$5:$C$200,2,FALSE),"Revisar"))</f>
        <v/>
      </c>
      <c r="F105" s="11"/>
      <c r="G105" s="31"/>
      <c r="H105" s="32">
        <f t="shared" si="5"/>
        <v>0</v>
      </c>
      <c r="I105" s="32">
        <f t="shared" si="6"/>
        <v>0</v>
      </c>
      <c r="J105" s="32">
        <f t="shared" si="7"/>
        <v>0</v>
      </c>
      <c r="K105" s="11"/>
      <c r="M105" s="12"/>
      <c r="N105" s="12"/>
    </row>
    <row r="106" spans="2:14" ht="21.95" customHeight="1" x14ac:dyDescent="0.25">
      <c r="B106" s="30"/>
      <c r="C106" s="14" t="str">
        <f t="shared" si="4"/>
        <v/>
      </c>
      <c r="D106" s="11"/>
      <c r="E106" s="14" t="str">
        <f>IF(D106="","",IFERROR(VLOOKUP(D106,Categorias!$B$5:$C$200,2,FALSE),"Revisar"))</f>
        <v/>
      </c>
      <c r="F106" s="11"/>
      <c r="G106" s="31"/>
      <c r="H106" s="32">
        <f t="shared" si="5"/>
        <v>0</v>
      </c>
      <c r="I106" s="32">
        <f t="shared" si="6"/>
        <v>0</v>
      </c>
      <c r="J106" s="32">
        <f t="shared" si="7"/>
        <v>0</v>
      </c>
      <c r="K106" s="11"/>
      <c r="M106" s="12"/>
      <c r="N106" s="12"/>
    </row>
    <row r="107" spans="2:14" ht="21.95" customHeight="1" x14ac:dyDescent="0.25">
      <c r="B107" s="30"/>
      <c r="C107" s="14" t="str">
        <f t="shared" si="4"/>
        <v/>
      </c>
      <c r="D107" s="11"/>
      <c r="E107" s="14" t="str">
        <f>IF(D107="","",IFERROR(VLOOKUP(D107,Categorias!$B$5:$C$200,2,FALSE),"Revisar"))</f>
        <v/>
      </c>
      <c r="F107" s="11"/>
      <c r="G107" s="31"/>
      <c r="H107" s="32">
        <f t="shared" si="5"/>
        <v>0</v>
      </c>
      <c r="I107" s="32">
        <f t="shared" si="6"/>
        <v>0</v>
      </c>
      <c r="J107" s="32">
        <f t="shared" si="7"/>
        <v>0</v>
      </c>
      <c r="K107" s="11"/>
      <c r="M107" s="12"/>
      <c r="N107" s="12"/>
    </row>
    <row r="108" spans="2:14" ht="21.95" customHeight="1" x14ac:dyDescent="0.25">
      <c r="B108" s="30"/>
      <c r="C108" s="14" t="str">
        <f t="shared" si="4"/>
        <v/>
      </c>
      <c r="D108" s="11"/>
      <c r="E108" s="14" t="str">
        <f>IF(D108="","",IFERROR(VLOOKUP(D108,Categorias!$B$5:$C$200,2,FALSE),"Revisar"))</f>
        <v/>
      </c>
      <c r="F108" s="11"/>
      <c r="G108" s="31"/>
      <c r="H108" s="32">
        <f t="shared" si="5"/>
        <v>0</v>
      </c>
      <c r="I108" s="32">
        <f t="shared" si="6"/>
        <v>0</v>
      </c>
      <c r="J108" s="32">
        <f t="shared" si="7"/>
        <v>0</v>
      </c>
      <c r="K108" s="11"/>
      <c r="M108" s="12"/>
      <c r="N108" s="12"/>
    </row>
    <row r="109" spans="2:14" ht="21.95" customHeight="1" x14ac:dyDescent="0.25">
      <c r="B109" s="30"/>
      <c r="C109" s="14" t="str">
        <f t="shared" si="4"/>
        <v/>
      </c>
      <c r="D109" s="11"/>
      <c r="E109" s="14" t="str">
        <f>IF(D109="","",IFERROR(VLOOKUP(D109,Categorias!$B$5:$C$200,2,FALSE),"Revisar"))</f>
        <v/>
      </c>
      <c r="F109" s="11"/>
      <c r="G109" s="31"/>
      <c r="H109" s="32">
        <f t="shared" si="5"/>
        <v>0</v>
      </c>
      <c r="I109" s="32">
        <f t="shared" si="6"/>
        <v>0</v>
      </c>
      <c r="J109" s="32">
        <f t="shared" si="7"/>
        <v>0</v>
      </c>
      <c r="K109" s="11"/>
      <c r="M109" s="12"/>
      <c r="N109" s="12"/>
    </row>
    <row r="110" spans="2:14" ht="21.95" customHeight="1" x14ac:dyDescent="0.25">
      <c r="B110" s="30"/>
      <c r="C110" s="14" t="str">
        <f t="shared" si="4"/>
        <v/>
      </c>
      <c r="D110" s="11"/>
      <c r="E110" s="14" t="str">
        <f>IF(D110="","",IFERROR(VLOOKUP(D110,Categorias!$B$5:$C$200,2,FALSE),"Revisar"))</f>
        <v/>
      </c>
      <c r="F110" s="11"/>
      <c r="G110" s="31"/>
      <c r="H110" s="32">
        <f t="shared" si="5"/>
        <v>0</v>
      </c>
      <c r="I110" s="32">
        <f t="shared" si="6"/>
        <v>0</v>
      </c>
      <c r="J110" s="32">
        <f t="shared" si="7"/>
        <v>0</v>
      </c>
      <c r="K110" s="11"/>
      <c r="M110" s="12"/>
      <c r="N110" s="12"/>
    </row>
    <row r="111" spans="2:14" ht="21.95" customHeight="1" x14ac:dyDescent="0.25">
      <c r="B111" s="30"/>
      <c r="C111" s="14" t="str">
        <f t="shared" si="4"/>
        <v/>
      </c>
      <c r="D111" s="11"/>
      <c r="E111" s="14" t="str">
        <f>IF(D111="","",IFERROR(VLOOKUP(D111,Categorias!$B$5:$C$200,2,FALSE),"Revisar"))</f>
        <v/>
      </c>
      <c r="F111" s="11"/>
      <c r="G111" s="31"/>
      <c r="H111" s="32">
        <f t="shared" si="5"/>
        <v>0</v>
      </c>
      <c r="I111" s="32">
        <f t="shared" si="6"/>
        <v>0</v>
      </c>
      <c r="J111" s="32">
        <f t="shared" si="7"/>
        <v>0</v>
      </c>
      <c r="K111" s="11"/>
      <c r="M111" s="12"/>
      <c r="N111" s="12"/>
    </row>
    <row r="112" spans="2:14" ht="21.95" customHeight="1" x14ac:dyDescent="0.25">
      <c r="B112" s="30"/>
      <c r="C112" s="14" t="str">
        <f t="shared" si="4"/>
        <v/>
      </c>
      <c r="D112" s="11"/>
      <c r="E112" s="14" t="str">
        <f>IF(D112="","",IFERROR(VLOOKUP(D112,Categorias!$B$5:$C$200,2,FALSE),"Revisar"))</f>
        <v/>
      </c>
      <c r="F112" s="11"/>
      <c r="G112" s="31"/>
      <c r="H112" s="32">
        <f t="shared" si="5"/>
        <v>0</v>
      </c>
      <c r="I112" s="32">
        <f t="shared" si="6"/>
        <v>0</v>
      </c>
      <c r="J112" s="32">
        <f t="shared" si="7"/>
        <v>0</v>
      </c>
      <c r="K112" s="11"/>
      <c r="M112" s="12"/>
      <c r="N112" s="12"/>
    </row>
    <row r="113" spans="2:14" ht="21.95" customHeight="1" x14ac:dyDescent="0.25">
      <c r="B113" s="30"/>
      <c r="C113" s="14" t="str">
        <f t="shared" si="4"/>
        <v/>
      </c>
      <c r="D113" s="11"/>
      <c r="E113" s="14" t="str">
        <f>IF(D113="","",IFERROR(VLOOKUP(D113,Categorias!$B$5:$C$200,2,FALSE),"Revisar"))</f>
        <v/>
      </c>
      <c r="F113" s="11"/>
      <c r="G113" s="31"/>
      <c r="H113" s="32">
        <f t="shared" si="5"/>
        <v>0</v>
      </c>
      <c r="I113" s="32">
        <f t="shared" si="6"/>
        <v>0</v>
      </c>
      <c r="J113" s="32">
        <f t="shared" si="7"/>
        <v>0</v>
      </c>
      <c r="K113" s="11"/>
      <c r="M113" s="12"/>
      <c r="N113" s="12"/>
    </row>
    <row r="114" spans="2:14" ht="21.95" customHeight="1" x14ac:dyDescent="0.25">
      <c r="B114" s="30"/>
      <c r="C114" s="14" t="str">
        <f t="shared" si="4"/>
        <v/>
      </c>
      <c r="D114" s="11"/>
      <c r="E114" s="14" t="str">
        <f>IF(D114="","",IFERROR(VLOOKUP(D114,Categorias!$B$5:$C$200,2,FALSE),"Revisar"))</f>
        <v/>
      </c>
      <c r="F114" s="11"/>
      <c r="G114" s="31"/>
      <c r="H114" s="32">
        <f t="shared" si="5"/>
        <v>0</v>
      </c>
      <c r="I114" s="32">
        <f t="shared" si="6"/>
        <v>0</v>
      </c>
      <c r="J114" s="32">
        <f t="shared" si="7"/>
        <v>0</v>
      </c>
      <c r="K114" s="11"/>
      <c r="M114" s="12"/>
      <c r="N114" s="12"/>
    </row>
    <row r="115" spans="2:14" ht="21.95" customHeight="1" x14ac:dyDescent="0.25">
      <c r="B115" s="30"/>
      <c r="C115" s="14" t="str">
        <f t="shared" si="4"/>
        <v/>
      </c>
      <c r="D115" s="11"/>
      <c r="E115" s="14" t="str">
        <f>IF(D115="","",IFERROR(VLOOKUP(D115,Categorias!$B$5:$C$200,2,FALSE),"Revisar"))</f>
        <v/>
      </c>
      <c r="F115" s="11"/>
      <c r="G115" s="31"/>
      <c r="H115" s="32">
        <f t="shared" si="5"/>
        <v>0</v>
      </c>
      <c r="I115" s="32">
        <f t="shared" si="6"/>
        <v>0</v>
      </c>
      <c r="J115" s="32">
        <f t="shared" si="7"/>
        <v>0</v>
      </c>
      <c r="K115" s="11"/>
      <c r="M115" s="12"/>
      <c r="N115" s="12"/>
    </row>
    <row r="116" spans="2:14" ht="21.95" customHeight="1" x14ac:dyDescent="0.25">
      <c r="B116" s="30"/>
      <c r="C116" s="14" t="str">
        <f t="shared" si="4"/>
        <v/>
      </c>
      <c r="D116" s="11"/>
      <c r="E116" s="14" t="str">
        <f>IF(D116="","",IFERROR(VLOOKUP(D116,Categorias!$B$5:$C$200,2,FALSE),"Revisar"))</f>
        <v/>
      </c>
      <c r="F116" s="11"/>
      <c r="G116" s="31"/>
      <c r="H116" s="32">
        <f t="shared" si="5"/>
        <v>0</v>
      </c>
      <c r="I116" s="32">
        <f t="shared" si="6"/>
        <v>0</v>
      </c>
      <c r="J116" s="32">
        <f t="shared" si="7"/>
        <v>0</v>
      </c>
      <c r="K116" s="11"/>
      <c r="M116" s="12"/>
      <c r="N116" s="12"/>
    </row>
    <row r="117" spans="2:14" ht="21.95" customHeight="1" x14ac:dyDescent="0.25">
      <c r="B117" s="30"/>
      <c r="C117" s="14" t="str">
        <f t="shared" si="4"/>
        <v/>
      </c>
      <c r="D117" s="11"/>
      <c r="E117" s="14" t="str">
        <f>IF(D117="","",IFERROR(VLOOKUP(D117,Categorias!$B$5:$C$200,2,FALSE),"Revisar"))</f>
        <v/>
      </c>
      <c r="F117" s="11"/>
      <c r="G117" s="31"/>
      <c r="H117" s="32">
        <f t="shared" si="5"/>
        <v>0</v>
      </c>
      <c r="I117" s="32">
        <f t="shared" si="6"/>
        <v>0</v>
      </c>
      <c r="J117" s="32">
        <f t="shared" si="7"/>
        <v>0</v>
      </c>
      <c r="K117" s="11"/>
      <c r="M117" s="12"/>
      <c r="N117" s="12"/>
    </row>
    <row r="118" spans="2:14" ht="21.95" customHeight="1" x14ac:dyDescent="0.25">
      <c r="B118" s="30"/>
      <c r="C118" s="14" t="str">
        <f t="shared" si="4"/>
        <v/>
      </c>
      <c r="D118" s="11"/>
      <c r="E118" s="14" t="str">
        <f>IF(D118="","",IFERROR(VLOOKUP(D118,Categorias!$B$5:$C$200,2,FALSE),"Revisar"))</f>
        <v/>
      </c>
      <c r="F118" s="11"/>
      <c r="G118" s="31"/>
      <c r="H118" s="32">
        <f t="shared" si="5"/>
        <v>0</v>
      </c>
      <c r="I118" s="32">
        <f t="shared" si="6"/>
        <v>0</v>
      </c>
      <c r="J118" s="32">
        <f t="shared" si="7"/>
        <v>0</v>
      </c>
      <c r="K118" s="11"/>
      <c r="M118" s="12"/>
      <c r="N118" s="12"/>
    </row>
    <row r="119" spans="2:14" ht="21.95" customHeight="1" x14ac:dyDescent="0.25">
      <c r="B119" s="30"/>
      <c r="C119" s="14" t="str">
        <f t="shared" si="4"/>
        <v/>
      </c>
      <c r="D119" s="11"/>
      <c r="E119" s="14" t="str">
        <f>IF(D119="","",IFERROR(VLOOKUP(D119,Categorias!$B$5:$C$200,2,FALSE),"Revisar"))</f>
        <v/>
      </c>
      <c r="F119" s="11"/>
      <c r="G119" s="31"/>
      <c r="H119" s="32">
        <f t="shared" si="5"/>
        <v>0</v>
      </c>
      <c r="I119" s="32">
        <f t="shared" si="6"/>
        <v>0</v>
      </c>
      <c r="J119" s="32">
        <f t="shared" si="7"/>
        <v>0</v>
      </c>
      <c r="K119" s="11"/>
      <c r="M119" s="12"/>
      <c r="N119" s="12"/>
    </row>
    <row r="120" spans="2:14" ht="21.95" customHeight="1" x14ac:dyDescent="0.25">
      <c r="B120" s="30"/>
      <c r="C120" s="14" t="str">
        <f t="shared" si="4"/>
        <v/>
      </c>
      <c r="D120" s="11"/>
      <c r="E120" s="14" t="str">
        <f>IF(D120="","",IFERROR(VLOOKUP(D120,Categorias!$B$5:$C$200,2,FALSE),"Revisar"))</f>
        <v/>
      </c>
      <c r="F120" s="11"/>
      <c r="G120" s="31"/>
      <c r="H120" s="32">
        <f t="shared" si="5"/>
        <v>0</v>
      </c>
      <c r="I120" s="32">
        <f t="shared" si="6"/>
        <v>0</v>
      </c>
      <c r="J120" s="32">
        <f t="shared" si="7"/>
        <v>0</v>
      </c>
      <c r="K120" s="11"/>
      <c r="M120" s="12"/>
      <c r="N120" s="12"/>
    </row>
    <row r="121" spans="2:14" ht="21.95" customHeight="1" x14ac:dyDescent="0.25">
      <c r="B121" s="30"/>
      <c r="C121" s="14" t="str">
        <f t="shared" si="4"/>
        <v/>
      </c>
      <c r="D121" s="11"/>
      <c r="E121" s="14" t="str">
        <f>IF(D121="","",IFERROR(VLOOKUP(D121,Categorias!$B$5:$C$200,2,FALSE),"Revisar"))</f>
        <v/>
      </c>
      <c r="F121" s="11"/>
      <c r="G121" s="31"/>
      <c r="H121" s="32">
        <f t="shared" si="5"/>
        <v>0</v>
      </c>
      <c r="I121" s="32">
        <f t="shared" si="6"/>
        <v>0</v>
      </c>
      <c r="J121" s="32">
        <f t="shared" si="7"/>
        <v>0</v>
      </c>
      <c r="K121" s="11"/>
      <c r="M121" s="12"/>
      <c r="N121" s="12"/>
    </row>
    <row r="122" spans="2:14" ht="21.95" customHeight="1" x14ac:dyDescent="0.25">
      <c r="B122" s="30"/>
      <c r="C122" s="14" t="str">
        <f t="shared" si="4"/>
        <v/>
      </c>
      <c r="D122" s="11"/>
      <c r="E122" s="14" t="str">
        <f>IF(D122="","",IFERROR(VLOOKUP(D122,Categorias!$B$5:$C$200,2,FALSE),"Revisar"))</f>
        <v/>
      </c>
      <c r="F122" s="11"/>
      <c r="G122" s="31"/>
      <c r="H122" s="32">
        <f t="shared" si="5"/>
        <v>0</v>
      </c>
      <c r="I122" s="32">
        <f t="shared" si="6"/>
        <v>0</v>
      </c>
      <c r="J122" s="32">
        <f t="shared" si="7"/>
        <v>0</v>
      </c>
      <c r="K122" s="11"/>
      <c r="M122" s="12"/>
      <c r="N122" s="12"/>
    </row>
    <row r="123" spans="2:14" ht="21.95" customHeight="1" x14ac:dyDescent="0.25">
      <c r="B123" s="30"/>
      <c r="C123" s="14" t="str">
        <f t="shared" si="4"/>
        <v/>
      </c>
      <c r="D123" s="11"/>
      <c r="E123" s="14" t="str">
        <f>IF(D123="","",IFERROR(VLOOKUP(D123,Categorias!$B$5:$C$200,2,FALSE),"Revisar"))</f>
        <v/>
      </c>
      <c r="F123" s="11"/>
      <c r="G123" s="31"/>
      <c r="H123" s="32">
        <f t="shared" si="5"/>
        <v>0</v>
      </c>
      <c r="I123" s="32">
        <f t="shared" si="6"/>
        <v>0</v>
      </c>
      <c r="J123" s="32">
        <f t="shared" si="7"/>
        <v>0</v>
      </c>
      <c r="K123" s="11"/>
      <c r="M123" s="12"/>
      <c r="N123" s="12"/>
    </row>
    <row r="124" spans="2:14" ht="21.95" customHeight="1" x14ac:dyDescent="0.25">
      <c r="B124" s="30"/>
      <c r="C124" s="14" t="str">
        <f t="shared" si="4"/>
        <v/>
      </c>
      <c r="D124" s="11"/>
      <c r="E124" s="14" t="str">
        <f>IF(D124="","",IFERROR(VLOOKUP(D124,Categorias!$B$5:$C$200,2,FALSE),"Revisar"))</f>
        <v/>
      </c>
      <c r="F124" s="11"/>
      <c r="G124" s="31"/>
      <c r="H124" s="32">
        <f t="shared" si="5"/>
        <v>0</v>
      </c>
      <c r="I124" s="32">
        <f t="shared" si="6"/>
        <v>0</v>
      </c>
      <c r="J124" s="32">
        <f t="shared" si="7"/>
        <v>0</v>
      </c>
      <c r="K124" s="11"/>
      <c r="M124" s="12"/>
      <c r="N124" s="12"/>
    </row>
    <row r="125" spans="2:14" ht="21.95" customHeight="1" x14ac:dyDescent="0.25">
      <c r="B125" s="30"/>
      <c r="C125" s="14" t="str">
        <f t="shared" si="4"/>
        <v/>
      </c>
      <c r="D125" s="11"/>
      <c r="E125" s="14" t="str">
        <f>IF(D125="","",IFERROR(VLOOKUP(D125,Categorias!$B$5:$C$200,2,FALSE),"Revisar"))</f>
        <v/>
      </c>
      <c r="F125" s="11"/>
      <c r="G125" s="31"/>
      <c r="H125" s="32">
        <f t="shared" si="5"/>
        <v>0</v>
      </c>
      <c r="I125" s="32">
        <f t="shared" si="6"/>
        <v>0</v>
      </c>
      <c r="J125" s="32">
        <f t="shared" si="7"/>
        <v>0</v>
      </c>
      <c r="K125" s="11"/>
      <c r="M125" s="12"/>
      <c r="N125" s="12"/>
    </row>
    <row r="126" spans="2:14" ht="21.95" customHeight="1" x14ac:dyDescent="0.25">
      <c r="B126" s="30"/>
      <c r="C126" s="14" t="str">
        <f t="shared" si="4"/>
        <v/>
      </c>
      <c r="D126" s="11"/>
      <c r="E126" s="14" t="str">
        <f>IF(D126="","",IFERROR(VLOOKUP(D126,Categorias!$B$5:$C$200,2,FALSE),"Revisar"))</f>
        <v/>
      </c>
      <c r="F126" s="11"/>
      <c r="G126" s="31"/>
      <c r="H126" s="32">
        <f t="shared" si="5"/>
        <v>0</v>
      </c>
      <c r="I126" s="32">
        <f t="shared" si="6"/>
        <v>0</v>
      </c>
      <c r="J126" s="32">
        <f t="shared" si="7"/>
        <v>0</v>
      </c>
      <c r="K126" s="11"/>
      <c r="M126" s="12"/>
      <c r="N126" s="12"/>
    </row>
    <row r="127" spans="2:14" ht="21.95" customHeight="1" x14ac:dyDescent="0.25">
      <c r="B127" s="30"/>
      <c r="C127" s="14" t="str">
        <f t="shared" si="4"/>
        <v/>
      </c>
      <c r="D127" s="11"/>
      <c r="E127" s="14" t="str">
        <f>IF(D127="","",IFERROR(VLOOKUP(D127,Categorias!$B$5:$C$200,2,FALSE),"Revisar"))</f>
        <v/>
      </c>
      <c r="F127" s="11"/>
      <c r="G127" s="31"/>
      <c r="H127" s="32">
        <f t="shared" si="5"/>
        <v>0</v>
      </c>
      <c r="I127" s="32">
        <f t="shared" si="6"/>
        <v>0</v>
      </c>
      <c r="J127" s="32">
        <f t="shared" si="7"/>
        <v>0</v>
      </c>
      <c r="K127" s="11"/>
      <c r="M127" s="12"/>
      <c r="N127" s="12"/>
    </row>
    <row r="128" spans="2:14" ht="21.95" customHeight="1" x14ac:dyDescent="0.25">
      <c r="B128" s="30"/>
      <c r="C128" s="14" t="str">
        <f t="shared" si="4"/>
        <v/>
      </c>
      <c r="D128" s="11"/>
      <c r="E128" s="14" t="str">
        <f>IF(D128="","",IFERROR(VLOOKUP(D128,Categorias!$B$5:$C$200,2,FALSE),"Revisar"))</f>
        <v/>
      </c>
      <c r="F128" s="11"/>
      <c r="G128" s="31"/>
      <c r="H128" s="32">
        <f t="shared" si="5"/>
        <v>0</v>
      </c>
      <c r="I128" s="32">
        <f t="shared" si="6"/>
        <v>0</v>
      </c>
      <c r="J128" s="32">
        <f t="shared" si="7"/>
        <v>0</v>
      </c>
      <c r="K128" s="11"/>
      <c r="M128" s="12"/>
      <c r="N128" s="12"/>
    </row>
    <row r="129" spans="2:14" ht="21.95" customHeight="1" x14ac:dyDescent="0.25">
      <c r="B129" s="30"/>
      <c r="C129" s="14" t="str">
        <f t="shared" si="4"/>
        <v/>
      </c>
      <c r="D129" s="11"/>
      <c r="E129" s="14" t="str">
        <f>IF(D129="","",IFERROR(VLOOKUP(D129,Categorias!$B$5:$C$200,2,FALSE),"Revisar"))</f>
        <v/>
      </c>
      <c r="F129" s="11"/>
      <c r="G129" s="31"/>
      <c r="H129" s="32">
        <f t="shared" si="5"/>
        <v>0</v>
      </c>
      <c r="I129" s="32">
        <f t="shared" si="6"/>
        <v>0</v>
      </c>
      <c r="J129" s="32">
        <f t="shared" si="7"/>
        <v>0</v>
      </c>
      <c r="K129" s="11"/>
      <c r="M129" s="12"/>
      <c r="N129" s="12"/>
    </row>
    <row r="130" spans="2:14" ht="21.95" customHeight="1" x14ac:dyDescent="0.25">
      <c r="B130" s="30"/>
      <c r="C130" s="14" t="str">
        <f t="shared" si="4"/>
        <v/>
      </c>
      <c r="D130" s="11"/>
      <c r="E130" s="14" t="str">
        <f>IF(D130="","",IFERROR(VLOOKUP(D130,Categorias!$B$5:$C$200,2,FALSE),"Revisar"))</f>
        <v/>
      </c>
      <c r="F130" s="11"/>
      <c r="G130" s="31"/>
      <c r="H130" s="32">
        <f t="shared" si="5"/>
        <v>0</v>
      </c>
      <c r="I130" s="32">
        <f t="shared" si="6"/>
        <v>0</v>
      </c>
      <c r="J130" s="32">
        <f t="shared" si="7"/>
        <v>0</v>
      </c>
      <c r="K130" s="11"/>
      <c r="M130" s="12"/>
      <c r="N130" s="12"/>
    </row>
    <row r="131" spans="2:14" ht="21.95" customHeight="1" x14ac:dyDescent="0.25">
      <c r="B131" s="30"/>
      <c r="C131" s="14" t="str">
        <f t="shared" si="4"/>
        <v/>
      </c>
      <c r="D131" s="11"/>
      <c r="E131" s="14" t="str">
        <f>IF(D131="","",IFERROR(VLOOKUP(D131,Categorias!$B$5:$C$200,2,FALSE),"Revisar"))</f>
        <v/>
      </c>
      <c r="F131" s="11"/>
      <c r="G131" s="31"/>
      <c r="H131" s="32">
        <f t="shared" si="5"/>
        <v>0</v>
      </c>
      <c r="I131" s="32">
        <f t="shared" si="6"/>
        <v>0</v>
      </c>
      <c r="J131" s="32">
        <f t="shared" si="7"/>
        <v>0</v>
      </c>
      <c r="K131" s="11"/>
      <c r="M131" s="12"/>
      <c r="N131" s="12"/>
    </row>
    <row r="132" spans="2:14" ht="21.95" customHeight="1" x14ac:dyDescent="0.25">
      <c r="B132" s="30"/>
      <c r="C132" s="14" t="str">
        <f t="shared" si="4"/>
        <v/>
      </c>
      <c r="D132" s="11"/>
      <c r="E132" s="14" t="str">
        <f>IF(D132="","",IFERROR(VLOOKUP(D132,Categorias!$B$5:$C$200,2,FALSE),"Revisar"))</f>
        <v/>
      </c>
      <c r="F132" s="11"/>
      <c r="G132" s="31"/>
      <c r="H132" s="32">
        <f t="shared" si="5"/>
        <v>0</v>
      </c>
      <c r="I132" s="32">
        <f t="shared" si="6"/>
        <v>0</v>
      </c>
      <c r="J132" s="32">
        <f t="shared" si="7"/>
        <v>0</v>
      </c>
      <c r="K132" s="11"/>
      <c r="M132" s="12"/>
      <c r="N132" s="12"/>
    </row>
    <row r="133" spans="2:14" ht="21.95" customHeight="1" x14ac:dyDescent="0.25">
      <c r="B133" s="30"/>
      <c r="C133" s="14" t="str">
        <f t="shared" si="4"/>
        <v/>
      </c>
      <c r="D133" s="11"/>
      <c r="E133" s="14" t="str">
        <f>IF(D133="","",IFERROR(VLOOKUP(D133,Categorias!$B$5:$C$200,2,FALSE),"Revisar"))</f>
        <v/>
      </c>
      <c r="F133" s="11"/>
      <c r="G133" s="31"/>
      <c r="H133" s="32">
        <f t="shared" si="5"/>
        <v>0</v>
      </c>
      <c r="I133" s="32">
        <f t="shared" si="6"/>
        <v>0</v>
      </c>
      <c r="J133" s="32">
        <f t="shared" si="7"/>
        <v>0</v>
      </c>
      <c r="K133" s="11"/>
      <c r="M133" s="12"/>
      <c r="N133" s="12"/>
    </row>
    <row r="134" spans="2:14" ht="21.95" customHeight="1" x14ac:dyDescent="0.25">
      <c r="B134" s="30"/>
      <c r="C134" s="14" t="str">
        <f t="shared" si="4"/>
        <v/>
      </c>
      <c r="D134" s="11"/>
      <c r="E134" s="14" t="str">
        <f>IF(D134="","",IFERROR(VLOOKUP(D134,Categorias!$B$5:$C$200,2,FALSE),"Revisar"))</f>
        <v/>
      </c>
      <c r="F134" s="11"/>
      <c r="G134" s="31"/>
      <c r="H134" s="32">
        <f t="shared" si="5"/>
        <v>0</v>
      </c>
      <c r="I134" s="32">
        <f t="shared" si="6"/>
        <v>0</v>
      </c>
      <c r="J134" s="32">
        <f t="shared" si="7"/>
        <v>0</v>
      </c>
      <c r="K134" s="11"/>
      <c r="M134" s="12"/>
      <c r="N134" s="12"/>
    </row>
    <row r="135" spans="2:14" ht="21.95" customHeight="1" x14ac:dyDescent="0.25">
      <c r="B135" s="30"/>
      <c r="C135" s="14" t="str">
        <f t="shared" si="4"/>
        <v/>
      </c>
      <c r="D135" s="11"/>
      <c r="E135" s="14" t="str">
        <f>IF(D135="","",IFERROR(VLOOKUP(D135,Categorias!$B$5:$C$200,2,FALSE),"Revisar"))</f>
        <v/>
      </c>
      <c r="F135" s="11"/>
      <c r="G135" s="31"/>
      <c r="H135" s="32">
        <f t="shared" si="5"/>
        <v>0</v>
      </c>
      <c r="I135" s="32">
        <f t="shared" si="6"/>
        <v>0</v>
      </c>
      <c r="J135" s="32">
        <f t="shared" si="7"/>
        <v>0</v>
      </c>
      <c r="K135" s="11"/>
      <c r="M135" s="12"/>
      <c r="N135" s="12"/>
    </row>
    <row r="136" spans="2:14" ht="21.95" customHeight="1" x14ac:dyDescent="0.25">
      <c r="B136" s="30"/>
      <c r="C136" s="14" t="str">
        <f t="shared" si="4"/>
        <v/>
      </c>
      <c r="D136" s="11"/>
      <c r="E136" s="14" t="str">
        <f>IF(D136="","",IFERROR(VLOOKUP(D136,Categorias!$B$5:$C$200,2,FALSE),"Revisar"))</f>
        <v/>
      </c>
      <c r="F136" s="11"/>
      <c r="G136" s="31"/>
      <c r="H136" s="32">
        <f t="shared" si="5"/>
        <v>0</v>
      </c>
      <c r="I136" s="32">
        <f t="shared" si="6"/>
        <v>0</v>
      </c>
      <c r="J136" s="32">
        <f t="shared" si="7"/>
        <v>0</v>
      </c>
      <c r="K136" s="11"/>
      <c r="M136" s="12"/>
      <c r="N136" s="12"/>
    </row>
    <row r="137" spans="2:14" ht="21.95" customHeight="1" x14ac:dyDescent="0.25">
      <c r="B137" s="30"/>
      <c r="C137" s="14" t="str">
        <f t="shared" ref="C137:C200" si="8">IF(B137="","",CHOOSE(MONTH(B137),"Enero","Febrero","Marzo","Abril","Mayo","Junio","Julio","Agosto","Septiembre","Octubre","Noviembre","Diciembre"))</f>
        <v/>
      </c>
      <c r="D137" s="11"/>
      <c r="E137" s="14" t="str">
        <f>IF(D137="","",IFERROR(VLOOKUP(D137,Categorias!$B$5:$C$200,2,FALSE),"Revisar"))</f>
        <v/>
      </c>
      <c r="F137" s="11"/>
      <c r="G137" s="31"/>
      <c r="H137" s="32">
        <f t="shared" ref="H137:H200" si="9">IF($E137="Ingreso",$G137,0)</f>
        <v>0</v>
      </c>
      <c r="I137" s="32">
        <f t="shared" ref="I137:I200" si="10">IF($E137="Gasto",$G137,0)</f>
        <v>0</v>
      </c>
      <c r="J137" s="32">
        <f t="shared" ref="J137:J200" si="11">IF($E137="Reserva",$G137,0)</f>
        <v>0</v>
      </c>
      <c r="K137" s="11"/>
      <c r="M137" s="12"/>
      <c r="N137" s="12"/>
    </row>
    <row r="138" spans="2:14" ht="21.95" customHeight="1" x14ac:dyDescent="0.25">
      <c r="B138" s="30"/>
      <c r="C138" s="14" t="str">
        <f t="shared" si="8"/>
        <v/>
      </c>
      <c r="D138" s="11"/>
      <c r="E138" s="14" t="str">
        <f>IF(D138="","",IFERROR(VLOOKUP(D138,Categorias!$B$5:$C$200,2,FALSE),"Revisar"))</f>
        <v/>
      </c>
      <c r="F138" s="11"/>
      <c r="G138" s="31"/>
      <c r="H138" s="32">
        <f t="shared" si="9"/>
        <v>0</v>
      </c>
      <c r="I138" s="32">
        <f t="shared" si="10"/>
        <v>0</v>
      </c>
      <c r="J138" s="32">
        <f t="shared" si="11"/>
        <v>0</v>
      </c>
      <c r="K138" s="11"/>
      <c r="M138" s="12"/>
      <c r="N138" s="12"/>
    </row>
    <row r="139" spans="2:14" ht="21.95" customHeight="1" x14ac:dyDescent="0.25">
      <c r="B139" s="30"/>
      <c r="C139" s="14" t="str">
        <f t="shared" si="8"/>
        <v/>
      </c>
      <c r="D139" s="11"/>
      <c r="E139" s="14" t="str">
        <f>IF(D139="","",IFERROR(VLOOKUP(D139,Categorias!$B$5:$C$200,2,FALSE),"Revisar"))</f>
        <v/>
      </c>
      <c r="F139" s="11"/>
      <c r="G139" s="31"/>
      <c r="H139" s="32">
        <f t="shared" si="9"/>
        <v>0</v>
      </c>
      <c r="I139" s="32">
        <f t="shared" si="10"/>
        <v>0</v>
      </c>
      <c r="J139" s="32">
        <f t="shared" si="11"/>
        <v>0</v>
      </c>
      <c r="K139" s="11"/>
      <c r="M139" s="12"/>
      <c r="N139" s="12"/>
    </row>
    <row r="140" spans="2:14" ht="21.95" customHeight="1" x14ac:dyDescent="0.25">
      <c r="B140" s="30"/>
      <c r="C140" s="14" t="str">
        <f t="shared" si="8"/>
        <v/>
      </c>
      <c r="D140" s="11"/>
      <c r="E140" s="14" t="str">
        <f>IF(D140="","",IFERROR(VLOOKUP(D140,Categorias!$B$5:$C$200,2,FALSE),"Revisar"))</f>
        <v/>
      </c>
      <c r="F140" s="11"/>
      <c r="G140" s="31"/>
      <c r="H140" s="32">
        <f t="shared" si="9"/>
        <v>0</v>
      </c>
      <c r="I140" s="32">
        <f t="shared" si="10"/>
        <v>0</v>
      </c>
      <c r="J140" s="32">
        <f t="shared" si="11"/>
        <v>0</v>
      </c>
      <c r="K140" s="11"/>
      <c r="M140" s="12"/>
      <c r="N140" s="12"/>
    </row>
    <row r="141" spans="2:14" ht="21.95" customHeight="1" x14ac:dyDescent="0.25">
      <c r="B141" s="30"/>
      <c r="C141" s="14" t="str">
        <f t="shared" si="8"/>
        <v/>
      </c>
      <c r="D141" s="11"/>
      <c r="E141" s="14" t="str">
        <f>IF(D141="","",IFERROR(VLOOKUP(D141,Categorias!$B$5:$C$200,2,FALSE),"Revisar"))</f>
        <v/>
      </c>
      <c r="F141" s="11"/>
      <c r="G141" s="31"/>
      <c r="H141" s="32">
        <f t="shared" si="9"/>
        <v>0</v>
      </c>
      <c r="I141" s="32">
        <f t="shared" si="10"/>
        <v>0</v>
      </c>
      <c r="J141" s="32">
        <f t="shared" si="11"/>
        <v>0</v>
      </c>
      <c r="K141" s="11"/>
      <c r="M141" s="12"/>
      <c r="N141" s="12"/>
    </row>
    <row r="142" spans="2:14" ht="21.95" customHeight="1" x14ac:dyDescent="0.25">
      <c r="B142" s="30"/>
      <c r="C142" s="14" t="str">
        <f t="shared" si="8"/>
        <v/>
      </c>
      <c r="D142" s="11"/>
      <c r="E142" s="14" t="str">
        <f>IF(D142="","",IFERROR(VLOOKUP(D142,Categorias!$B$5:$C$200,2,FALSE),"Revisar"))</f>
        <v/>
      </c>
      <c r="F142" s="11"/>
      <c r="G142" s="31"/>
      <c r="H142" s="32">
        <f t="shared" si="9"/>
        <v>0</v>
      </c>
      <c r="I142" s="32">
        <f t="shared" si="10"/>
        <v>0</v>
      </c>
      <c r="J142" s="32">
        <f t="shared" si="11"/>
        <v>0</v>
      </c>
      <c r="K142" s="11"/>
      <c r="M142" s="12"/>
      <c r="N142" s="12"/>
    </row>
    <row r="143" spans="2:14" ht="21.95" customHeight="1" x14ac:dyDescent="0.25">
      <c r="B143" s="30"/>
      <c r="C143" s="14" t="str">
        <f t="shared" si="8"/>
        <v/>
      </c>
      <c r="D143" s="11"/>
      <c r="E143" s="14" t="str">
        <f>IF(D143="","",IFERROR(VLOOKUP(D143,Categorias!$B$5:$C$200,2,FALSE),"Revisar"))</f>
        <v/>
      </c>
      <c r="F143" s="11"/>
      <c r="G143" s="31"/>
      <c r="H143" s="32">
        <f t="shared" si="9"/>
        <v>0</v>
      </c>
      <c r="I143" s="32">
        <f t="shared" si="10"/>
        <v>0</v>
      </c>
      <c r="J143" s="32">
        <f t="shared" si="11"/>
        <v>0</v>
      </c>
      <c r="K143" s="11"/>
      <c r="M143" s="12"/>
      <c r="N143" s="12"/>
    </row>
    <row r="144" spans="2:14" ht="21.95" customHeight="1" x14ac:dyDescent="0.25">
      <c r="B144" s="30"/>
      <c r="C144" s="14" t="str">
        <f t="shared" si="8"/>
        <v/>
      </c>
      <c r="D144" s="11"/>
      <c r="E144" s="14" t="str">
        <f>IF(D144="","",IFERROR(VLOOKUP(D144,Categorias!$B$5:$C$200,2,FALSE),"Revisar"))</f>
        <v/>
      </c>
      <c r="F144" s="11"/>
      <c r="G144" s="31"/>
      <c r="H144" s="32">
        <f t="shared" si="9"/>
        <v>0</v>
      </c>
      <c r="I144" s="32">
        <f t="shared" si="10"/>
        <v>0</v>
      </c>
      <c r="J144" s="32">
        <f t="shared" si="11"/>
        <v>0</v>
      </c>
      <c r="K144" s="11"/>
      <c r="M144" s="12"/>
      <c r="N144" s="12"/>
    </row>
    <row r="145" spans="2:14" ht="21.95" customHeight="1" x14ac:dyDescent="0.25">
      <c r="B145" s="30"/>
      <c r="C145" s="14" t="str">
        <f t="shared" si="8"/>
        <v/>
      </c>
      <c r="D145" s="11"/>
      <c r="E145" s="14" t="str">
        <f>IF(D145="","",IFERROR(VLOOKUP(D145,Categorias!$B$5:$C$200,2,FALSE),"Revisar"))</f>
        <v/>
      </c>
      <c r="F145" s="11"/>
      <c r="G145" s="31"/>
      <c r="H145" s="32">
        <f t="shared" si="9"/>
        <v>0</v>
      </c>
      <c r="I145" s="32">
        <f t="shared" si="10"/>
        <v>0</v>
      </c>
      <c r="J145" s="32">
        <f t="shared" si="11"/>
        <v>0</v>
      </c>
      <c r="K145" s="11"/>
      <c r="M145" s="12"/>
      <c r="N145" s="12"/>
    </row>
    <row r="146" spans="2:14" ht="21.95" customHeight="1" x14ac:dyDescent="0.25">
      <c r="B146" s="30"/>
      <c r="C146" s="14" t="str">
        <f t="shared" si="8"/>
        <v/>
      </c>
      <c r="D146" s="11"/>
      <c r="E146" s="14" t="str">
        <f>IF(D146="","",IFERROR(VLOOKUP(D146,Categorias!$B$5:$C$200,2,FALSE),"Revisar"))</f>
        <v/>
      </c>
      <c r="F146" s="11"/>
      <c r="G146" s="31"/>
      <c r="H146" s="32">
        <f t="shared" si="9"/>
        <v>0</v>
      </c>
      <c r="I146" s="32">
        <f t="shared" si="10"/>
        <v>0</v>
      </c>
      <c r="J146" s="32">
        <f t="shared" si="11"/>
        <v>0</v>
      </c>
      <c r="K146" s="11"/>
      <c r="M146" s="12"/>
      <c r="N146" s="12"/>
    </row>
    <row r="147" spans="2:14" ht="21.95" customHeight="1" x14ac:dyDescent="0.25">
      <c r="B147" s="30"/>
      <c r="C147" s="14" t="str">
        <f t="shared" si="8"/>
        <v/>
      </c>
      <c r="D147" s="11"/>
      <c r="E147" s="14" t="str">
        <f>IF(D147="","",IFERROR(VLOOKUP(D147,Categorias!$B$5:$C$200,2,FALSE),"Revisar"))</f>
        <v/>
      </c>
      <c r="F147" s="11"/>
      <c r="G147" s="31"/>
      <c r="H147" s="32">
        <f t="shared" si="9"/>
        <v>0</v>
      </c>
      <c r="I147" s="32">
        <f t="shared" si="10"/>
        <v>0</v>
      </c>
      <c r="J147" s="32">
        <f t="shared" si="11"/>
        <v>0</v>
      </c>
      <c r="K147" s="11"/>
      <c r="M147" s="12"/>
      <c r="N147" s="12"/>
    </row>
    <row r="148" spans="2:14" ht="21.95" customHeight="1" x14ac:dyDescent="0.25">
      <c r="B148" s="30"/>
      <c r="C148" s="14" t="str">
        <f t="shared" si="8"/>
        <v/>
      </c>
      <c r="D148" s="11"/>
      <c r="E148" s="14" t="str">
        <f>IF(D148="","",IFERROR(VLOOKUP(D148,Categorias!$B$5:$C$200,2,FALSE),"Revisar"))</f>
        <v/>
      </c>
      <c r="F148" s="11"/>
      <c r="G148" s="31"/>
      <c r="H148" s="32">
        <f t="shared" si="9"/>
        <v>0</v>
      </c>
      <c r="I148" s="32">
        <f t="shared" si="10"/>
        <v>0</v>
      </c>
      <c r="J148" s="32">
        <f t="shared" si="11"/>
        <v>0</v>
      </c>
      <c r="K148" s="11"/>
      <c r="M148" s="12"/>
      <c r="N148" s="12"/>
    </row>
    <row r="149" spans="2:14" ht="21.95" customHeight="1" x14ac:dyDescent="0.25">
      <c r="B149" s="30"/>
      <c r="C149" s="14" t="str">
        <f t="shared" si="8"/>
        <v/>
      </c>
      <c r="D149" s="11"/>
      <c r="E149" s="14" t="str">
        <f>IF(D149="","",IFERROR(VLOOKUP(D149,Categorias!$B$5:$C$200,2,FALSE),"Revisar"))</f>
        <v/>
      </c>
      <c r="F149" s="11"/>
      <c r="G149" s="31"/>
      <c r="H149" s="32">
        <f t="shared" si="9"/>
        <v>0</v>
      </c>
      <c r="I149" s="32">
        <f t="shared" si="10"/>
        <v>0</v>
      </c>
      <c r="J149" s="32">
        <f t="shared" si="11"/>
        <v>0</v>
      </c>
      <c r="K149" s="11"/>
      <c r="M149" s="12"/>
      <c r="N149" s="12"/>
    </row>
    <row r="150" spans="2:14" ht="21.95" customHeight="1" x14ac:dyDescent="0.25">
      <c r="B150" s="30"/>
      <c r="C150" s="14" t="str">
        <f t="shared" si="8"/>
        <v/>
      </c>
      <c r="D150" s="11"/>
      <c r="E150" s="14" t="str">
        <f>IF(D150="","",IFERROR(VLOOKUP(D150,Categorias!$B$5:$C$200,2,FALSE),"Revisar"))</f>
        <v/>
      </c>
      <c r="F150" s="11"/>
      <c r="G150" s="31"/>
      <c r="H150" s="32">
        <f t="shared" si="9"/>
        <v>0</v>
      </c>
      <c r="I150" s="32">
        <f t="shared" si="10"/>
        <v>0</v>
      </c>
      <c r="J150" s="32">
        <f t="shared" si="11"/>
        <v>0</v>
      </c>
      <c r="K150" s="11"/>
      <c r="M150" s="12"/>
      <c r="N150" s="12"/>
    </row>
    <row r="151" spans="2:14" ht="21.95" customHeight="1" x14ac:dyDescent="0.25">
      <c r="B151" s="30"/>
      <c r="C151" s="14" t="str">
        <f t="shared" si="8"/>
        <v/>
      </c>
      <c r="D151" s="11"/>
      <c r="E151" s="14" t="str">
        <f>IF(D151="","",IFERROR(VLOOKUP(D151,Categorias!$B$5:$C$200,2,FALSE),"Revisar"))</f>
        <v/>
      </c>
      <c r="F151" s="11"/>
      <c r="G151" s="31"/>
      <c r="H151" s="32">
        <f t="shared" si="9"/>
        <v>0</v>
      </c>
      <c r="I151" s="32">
        <f t="shared" si="10"/>
        <v>0</v>
      </c>
      <c r="J151" s="32">
        <f t="shared" si="11"/>
        <v>0</v>
      </c>
      <c r="K151" s="11"/>
      <c r="M151" s="12"/>
      <c r="N151" s="12"/>
    </row>
    <row r="152" spans="2:14" ht="21.95" customHeight="1" x14ac:dyDescent="0.25">
      <c r="B152" s="30"/>
      <c r="C152" s="14" t="str">
        <f t="shared" si="8"/>
        <v/>
      </c>
      <c r="D152" s="11"/>
      <c r="E152" s="14" t="str">
        <f>IF(D152="","",IFERROR(VLOOKUP(D152,Categorias!$B$5:$C$200,2,FALSE),"Revisar"))</f>
        <v/>
      </c>
      <c r="F152" s="11"/>
      <c r="G152" s="31"/>
      <c r="H152" s="32">
        <f t="shared" si="9"/>
        <v>0</v>
      </c>
      <c r="I152" s="32">
        <f t="shared" si="10"/>
        <v>0</v>
      </c>
      <c r="J152" s="32">
        <f t="shared" si="11"/>
        <v>0</v>
      </c>
      <c r="K152" s="11"/>
      <c r="M152" s="12"/>
      <c r="N152" s="12"/>
    </row>
    <row r="153" spans="2:14" ht="21.95" customHeight="1" x14ac:dyDescent="0.25">
      <c r="B153" s="30"/>
      <c r="C153" s="14" t="str">
        <f t="shared" si="8"/>
        <v/>
      </c>
      <c r="D153" s="11"/>
      <c r="E153" s="14" t="str">
        <f>IF(D153="","",IFERROR(VLOOKUP(D153,Categorias!$B$5:$C$200,2,FALSE),"Revisar"))</f>
        <v/>
      </c>
      <c r="F153" s="11"/>
      <c r="G153" s="31"/>
      <c r="H153" s="32">
        <f t="shared" si="9"/>
        <v>0</v>
      </c>
      <c r="I153" s="32">
        <f t="shared" si="10"/>
        <v>0</v>
      </c>
      <c r="J153" s="32">
        <f t="shared" si="11"/>
        <v>0</v>
      </c>
      <c r="K153" s="11"/>
      <c r="M153" s="12"/>
      <c r="N153" s="12"/>
    </row>
    <row r="154" spans="2:14" ht="21.95" customHeight="1" x14ac:dyDescent="0.25">
      <c r="B154" s="30"/>
      <c r="C154" s="14" t="str">
        <f t="shared" si="8"/>
        <v/>
      </c>
      <c r="D154" s="11"/>
      <c r="E154" s="14" t="str">
        <f>IF(D154="","",IFERROR(VLOOKUP(D154,Categorias!$B$5:$C$200,2,FALSE),"Revisar"))</f>
        <v/>
      </c>
      <c r="F154" s="11"/>
      <c r="G154" s="31"/>
      <c r="H154" s="32">
        <f t="shared" si="9"/>
        <v>0</v>
      </c>
      <c r="I154" s="32">
        <f t="shared" si="10"/>
        <v>0</v>
      </c>
      <c r="J154" s="32">
        <f t="shared" si="11"/>
        <v>0</v>
      </c>
      <c r="K154" s="11"/>
      <c r="M154" s="12"/>
      <c r="N154" s="12"/>
    </row>
    <row r="155" spans="2:14" ht="21.95" customHeight="1" x14ac:dyDescent="0.25">
      <c r="B155" s="30"/>
      <c r="C155" s="14" t="str">
        <f t="shared" si="8"/>
        <v/>
      </c>
      <c r="D155" s="11"/>
      <c r="E155" s="14" t="str">
        <f>IF(D155="","",IFERROR(VLOOKUP(D155,Categorias!$B$5:$C$200,2,FALSE),"Revisar"))</f>
        <v/>
      </c>
      <c r="F155" s="11"/>
      <c r="G155" s="31"/>
      <c r="H155" s="32">
        <f t="shared" si="9"/>
        <v>0</v>
      </c>
      <c r="I155" s="32">
        <f t="shared" si="10"/>
        <v>0</v>
      </c>
      <c r="J155" s="32">
        <f t="shared" si="11"/>
        <v>0</v>
      </c>
      <c r="K155" s="11"/>
      <c r="M155" s="12"/>
      <c r="N155" s="12"/>
    </row>
    <row r="156" spans="2:14" ht="21.95" customHeight="1" x14ac:dyDescent="0.25">
      <c r="B156" s="30"/>
      <c r="C156" s="14" t="str">
        <f t="shared" si="8"/>
        <v/>
      </c>
      <c r="D156" s="11"/>
      <c r="E156" s="14" t="str">
        <f>IF(D156="","",IFERROR(VLOOKUP(D156,Categorias!$B$5:$C$200,2,FALSE),"Revisar"))</f>
        <v/>
      </c>
      <c r="F156" s="11"/>
      <c r="G156" s="31"/>
      <c r="H156" s="32">
        <f t="shared" si="9"/>
        <v>0</v>
      </c>
      <c r="I156" s="32">
        <f t="shared" si="10"/>
        <v>0</v>
      </c>
      <c r="J156" s="32">
        <f t="shared" si="11"/>
        <v>0</v>
      </c>
      <c r="K156" s="11"/>
      <c r="M156" s="12"/>
      <c r="N156" s="12"/>
    </row>
    <row r="157" spans="2:14" ht="21.95" customHeight="1" x14ac:dyDescent="0.25">
      <c r="B157" s="30"/>
      <c r="C157" s="14" t="str">
        <f t="shared" si="8"/>
        <v/>
      </c>
      <c r="D157" s="11"/>
      <c r="E157" s="14" t="str">
        <f>IF(D157="","",IFERROR(VLOOKUP(D157,Categorias!$B$5:$C$200,2,FALSE),"Revisar"))</f>
        <v/>
      </c>
      <c r="F157" s="11"/>
      <c r="G157" s="31"/>
      <c r="H157" s="32">
        <f t="shared" si="9"/>
        <v>0</v>
      </c>
      <c r="I157" s="32">
        <f t="shared" si="10"/>
        <v>0</v>
      </c>
      <c r="J157" s="32">
        <f t="shared" si="11"/>
        <v>0</v>
      </c>
      <c r="K157" s="11"/>
      <c r="M157" s="12"/>
      <c r="N157" s="12"/>
    </row>
    <row r="158" spans="2:14" ht="21.95" customHeight="1" x14ac:dyDescent="0.25">
      <c r="B158" s="30"/>
      <c r="C158" s="14" t="str">
        <f t="shared" si="8"/>
        <v/>
      </c>
      <c r="D158" s="11"/>
      <c r="E158" s="14" t="str">
        <f>IF(D158="","",IFERROR(VLOOKUP(D158,Categorias!$B$5:$C$200,2,FALSE),"Revisar"))</f>
        <v/>
      </c>
      <c r="F158" s="11"/>
      <c r="G158" s="31"/>
      <c r="H158" s="32">
        <f t="shared" si="9"/>
        <v>0</v>
      </c>
      <c r="I158" s="32">
        <f t="shared" si="10"/>
        <v>0</v>
      </c>
      <c r="J158" s="32">
        <f t="shared" si="11"/>
        <v>0</v>
      </c>
      <c r="K158" s="11"/>
      <c r="M158" s="12"/>
      <c r="N158" s="12"/>
    </row>
    <row r="159" spans="2:14" ht="21.95" customHeight="1" x14ac:dyDescent="0.25">
      <c r="B159" s="30"/>
      <c r="C159" s="14" t="str">
        <f t="shared" si="8"/>
        <v/>
      </c>
      <c r="D159" s="11"/>
      <c r="E159" s="14" t="str">
        <f>IF(D159="","",IFERROR(VLOOKUP(D159,Categorias!$B$5:$C$200,2,FALSE),"Revisar"))</f>
        <v/>
      </c>
      <c r="F159" s="11"/>
      <c r="G159" s="31"/>
      <c r="H159" s="32">
        <f t="shared" si="9"/>
        <v>0</v>
      </c>
      <c r="I159" s="32">
        <f t="shared" si="10"/>
        <v>0</v>
      </c>
      <c r="J159" s="32">
        <f t="shared" si="11"/>
        <v>0</v>
      </c>
      <c r="K159" s="11"/>
      <c r="M159" s="12"/>
      <c r="N159" s="12"/>
    </row>
    <row r="160" spans="2:14" ht="21.95" customHeight="1" x14ac:dyDescent="0.25">
      <c r="B160" s="30"/>
      <c r="C160" s="14" t="str">
        <f t="shared" si="8"/>
        <v/>
      </c>
      <c r="D160" s="11"/>
      <c r="E160" s="14" t="str">
        <f>IF(D160="","",IFERROR(VLOOKUP(D160,Categorias!$B$5:$C$200,2,FALSE),"Revisar"))</f>
        <v/>
      </c>
      <c r="F160" s="11"/>
      <c r="G160" s="31"/>
      <c r="H160" s="32">
        <f t="shared" si="9"/>
        <v>0</v>
      </c>
      <c r="I160" s="32">
        <f t="shared" si="10"/>
        <v>0</v>
      </c>
      <c r="J160" s="32">
        <f t="shared" si="11"/>
        <v>0</v>
      </c>
      <c r="K160" s="11"/>
      <c r="M160" s="12"/>
      <c r="N160" s="12"/>
    </row>
    <row r="161" spans="2:14" ht="21.95" customHeight="1" x14ac:dyDescent="0.25">
      <c r="B161" s="30"/>
      <c r="C161" s="14" t="str">
        <f t="shared" si="8"/>
        <v/>
      </c>
      <c r="D161" s="11"/>
      <c r="E161" s="14" t="str">
        <f>IF(D161="","",IFERROR(VLOOKUP(D161,Categorias!$B$5:$C$200,2,FALSE),"Revisar"))</f>
        <v/>
      </c>
      <c r="F161" s="11"/>
      <c r="G161" s="31"/>
      <c r="H161" s="32">
        <f t="shared" si="9"/>
        <v>0</v>
      </c>
      <c r="I161" s="32">
        <f t="shared" si="10"/>
        <v>0</v>
      </c>
      <c r="J161" s="32">
        <f t="shared" si="11"/>
        <v>0</v>
      </c>
      <c r="K161" s="11"/>
      <c r="M161" s="12"/>
      <c r="N161" s="12"/>
    </row>
    <row r="162" spans="2:14" ht="21.95" customHeight="1" x14ac:dyDescent="0.25">
      <c r="B162" s="30"/>
      <c r="C162" s="14" t="str">
        <f t="shared" si="8"/>
        <v/>
      </c>
      <c r="D162" s="11"/>
      <c r="E162" s="14" t="str">
        <f>IF(D162="","",IFERROR(VLOOKUP(D162,Categorias!$B$5:$C$200,2,FALSE),"Revisar"))</f>
        <v/>
      </c>
      <c r="F162" s="11"/>
      <c r="G162" s="31"/>
      <c r="H162" s="32">
        <f t="shared" si="9"/>
        <v>0</v>
      </c>
      <c r="I162" s="32">
        <f t="shared" si="10"/>
        <v>0</v>
      </c>
      <c r="J162" s="32">
        <f t="shared" si="11"/>
        <v>0</v>
      </c>
      <c r="K162" s="11"/>
      <c r="M162" s="12"/>
      <c r="N162" s="12"/>
    </row>
    <row r="163" spans="2:14" ht="21.95" customHeight="1" x14ac:dyDescent="0.25">
      <c r="B163" s="30"/>
      <c r="C163" s="14" t="str">
        <f t="shared" si="8"/>
        <v/>
      </c>
      <c r="D163" s="11"/>
      <c r="E163" s="14" t="str">
        <f>IF(D163="","",IFERROR(VLOOKUP(D163,Categorias!$B$5:$C$200,2,FALSE),"Revisar"))</f>
        <v/>
      </c>
      <c r="F163" s="11"/>
      <c r="G163" s="31"/>
      <c r="H163" s="32">
        <f t="shared" si="9"/>
        <v>0</v>
      </c>
      <c r="I163" s="32">
        <f t="shared" si="10"/>
        <v>0</v>
      </c>
      <c r="J163" s="32">
        <f t="shared" si="11"/>
        <v>0</v>
      </c>
      <c r="K163" s="11"/>
      <c r="M163" s="12"/>
      <c r="N163" s="12"/>
    </row>
    <row r="164" spans="2:14" ht="21.95" customHeight="1" x14ac:dyDescent="0.25">
      <c r="B164" s="30"/>
      <c r="C164" s="14" t="str">
        <f t="shared" si="8"/>
        <v/>
      </c>
      <c r="D164" s="11"/>
      <c r="E164" s="14" t="str">
        <f>IF(D164="","",IFERROR(VLOOKUP(D164,Categorias!$B$5:$C$200,2,FALSE),"Revisar"))</f>
        <v/>
      </c>
      <c r="F164" s="11"/>
      <c r="G164" s="31"/>
      <c r="H164" s="32">
        <f t="shared" si="9"/>
        <v>0</v>
      </c>
      <c r="I164" s="32">
        <f t="shared" si="10"/>
        <v>0</v>
      </c>
      <c r="J164" s="32">
        <f t="shared" si="11"/>
        <v>0</v>
      </c>
      <c r="K164" s="11"/>
      <c r="M164" s="12"/>
      <c r="N164" s="12"/>
    </row>
    <row r="165" spans="2:14" ht="21.95" customHeight="1" x14ac:dyDescent="0.25">
      <c r="B165" s="30"/>
      <c r="C165" s="14" t="str">
        <f t="shared" si="8"/>
        <v/>
      </c>
      <c r="D165" s="11"/>
      <c r="E165" s="14" t="str">
        <f>IF(D165="","",IFERROR(VLOOKUP(D165,Categorias!$B$5:$C$200,2,FALSE),"Revisar"))</f>
        <v/>
      </c>
      <c r="F165" s="11"/>
      <c r="G165" s="31"/>
      <c r="H165" s="32">
        <f t="shared" si="9"/>
        <v>0</v>
      </c>
      <c r="I165" s="32">
        <f t="shared" si="10"/>
        <v>0</v>
      </c>
      <c r="J165" s="32">
        <f t="shared" si="11"/>
        <v>0</v>
      </c>
      <c r="K165" s="11"/>
      <c r="M165" s="12"/>
      <c r="N165" s="12"/>
    </row>
    <row r="166" spans="2:14" ht="21.95" customHeight="1" x14ac:dyDescent="0.25">
      <c r="B166" s="30"/>
      <c r="C166" s="14" t="str">
        <f t="shared" si="8"/>
        <v/>
      </c>
      <c r="D166" s="11"/>
      <c r="E166" s="14" t="str">
        <f>IF(D166="","",IFERROR(VLOOKUP(D166,Categorias!$B$5:$C$200,2,FALSE),"Revisar"))</f>
        <v/>
      </c>
      <c r="F166" s="11"/>
      <c r="G166" s="31"/>
      <c r="H166" s="32">
        <f t="shared" si="9"/>
        <v>0</v>
      </c>
      <c r="I166" s="32">
        <f t="shared" si="10"/>
        <v>0</v>
      </c>
      <c r="J166" s="32">
        <f t="shared" si="11"/>
        <v>0</v>
      </c>
      <c r="K166" s="11"/>
      <c r="M166" s="12"/>
      <c r="N166" s="12"/>
    </row>
    <row r="167" spans="2:14" ht="21.95" customHeight="1" x14ac:dyDescent="0.25">
      <c r="B167" s="30"/>
      <c r="C167" s="14" t="str">
        <f t="shared" si="8"/>
        <v/>
      </c>
      <c r="D167" s="11"/>
      <c r="E167" s="14" t="str">
        <f>IF(D167="","",IFERROR(VLOOKUP(D167,Categorias!$B$5:$C$200,2,FALSE),"Revisar"))</f>
        <v/>
      </c>
      <c r="F167" s="11"/>
      <c r="G167" s="31"/>
      <c r="H167" s="32">
        <f t="shared" si="9"/>
        <v>0</v>
      </c>
      <c r="I167" s="32">
        <f t="shared" si="10"/>
        <v>0</v>
      </c>
      <c r="J167" s="32">
        <f t="shared" si="11"/>
        <v>0</v>
      </c>
      <c r="K167" s="11"/>
      <c r="M167" s="12"/>
      <c r="N167" s="12"/>
    </row>
    <row r="168" spans="2:14" ht="21.95" customHeight="1" x14ac:dyDescent="0.25">
      <c r="B168" s="30"/>
      <c r="C168" s="14" t="str">
        <f t="shared" si="8"/>
        <v/>
      </c>
      <c r="D168" s="11"/>
      <c r="E168" s="14" t="str">
        <f>IF(D168="","",IFERROR(VLOOKUP(D168,Categorias!$B$5:$C$200,2,FALSE),"Revisar"))</f>
        <v/>
      </c>
      <c r="F168" s="11"/>
      <c r="G168" s="31"/>
      <c r="H168" s="32">
        <f t="shared" si="9"/>
        <v>0</v>
      </c>
      <c r="I168" s="32">
        <f t="shared" si="10"/>
        <v>0</v>
      </c>
      <c r="J168" s="32">
        <f t="shared" si="11"/>
        <v>0</v>
      </c>
      <c r="K168" s="11"/>
      <c r="M168" s="12"/>
      <c r="N168" s="12"/>
    </row>
    <row r="169" spans="2:14" ht="21.95" customHeight="1" x14ac:dyDescent="0.25">
      <c r="B169" s="30"/>
      <c r="C169" s="14" t="str">
        <f t="shared" si="8"/>
        <v/>
      </c>
      <c r="D169" s="11"/>
      <c r="E169" s="14" t="str">
        <f>IF(D169="","",IFERROR(VLOOKUP(D169,Categorias!$B$5:$C$200,2,FALSE),"Revisar"))</f>
        <v/>
      </c>
      <c r="F169" s="11"/>
      <c r="G169" s="31"/>
      <c r="H169" s="32">
        <f t="shared" si="9"/>
        <v>0</v>
      </c>
      <c r="I169" s="32">
        <f t="shared" si="10"/>
        <v>0</v>
      </c>
      <c r="J169" s="32">
        <f t="shared" si="11"/>
        <v>0</v>
      </c>
      <c r="K169" s="11"/>
      <c r="M169" s="12"/>
      <c r="N169" s="12"/>
    </row>
    <row r="170" spans="2:14" ht="21.95" customHeight="1" x14ac:dyDescent="0.25">
      <c r="B170" s="30"/>
      <c r="C170" s="14" t="str">
        <f t="shared" si="8"/>
        <v/>
      </c>
      <c r="D170" s="11"/>
      <c r="E170" s="14" t="str">
        <f>IF(D170="","",IFERROR(VLOOKUP(D170,Categorias!$B$5:$C$200,2,FALSE),"Revisar"))</f>
        <v/>
      </c>
      <c r="F170" s="11"/>
      <c r="G170" s="31"/>
      <c r="H170" s="32">
        <f t="shared" si="9"/>
        <v>0</v>
      </c>
      <c r="I170" s="32">
        <f t="shared" si="10"/>
        <v>0</v>
      </c>
      <c r="J170" s="32">
        <f t="shared" si="11"/>
        <v>0</v>
      </c>
      <c r="K170" s="11"/>
      <c r="M170" s="12"/>
      <c r="N170" s="12"/>
    </row>
    <row r="171" spans="2:14" ht="21.95" customHeight="1" x14ac:dyDescent="0.25">
      <c r="B171" s="30"/>
      <c r="C171" s="14" t="str">
        <f t="shared" si="8"/>
        <v/>
      </c>
      <c r="D171" s="11"/>
      <c r="E171" s="14" t="str">
        <f>IF(D171="","",IFERROR(VLOOKUP(D171,Categorias!$B$5:$C$200,2,FALSE),"Revisar"))</f>
        <v/>
      </c>
      <c r="F171" s="11"/>
      <c r="G171" s="31"/>
      <c r="H171" s="32">
        <f t="shared" si="9"/>
        <v>0</v>
      </c>
      <c r="I171" s="32">
        <f t="shared" si="10"/>
        <v>0</v>
      </c>
      <c r="J171" s="32">
        <f t="shared" si="11"/>
        <v>0</v>
      </c>
      <c r="K171" s="11"/>
      <c r="M171" s="12"/>
      <c r="N171" s="12"/>
    </row>
    <row r="172" spans="2:14" ht="21.95" customHeight="1" x14ac:dyDescent="0.25">
      <c r="B172" s="30"/>
      <c r="C172" s="14" t="str">
        <f t="shared" si="8"/>
        <v/>
      </c>
      <c r="D172" s="11"/>
      <c r="E172" s="14" t="str">
        <f>IF(D172="","",IFERROR(VLOOKUP(D172,Categorias!$B$5:$C$200,2,FALSE),"Revisar"))</f>
        <v/>
      </c>
      <c r="F172" s="11"/>
      <c r="G172" s="31"/>
      <c r="H172" s="32">
        <f t="shared" si="9"/>
        <v>0</v>
      </c>
      <c r="I172" s="32">
        <f t="shared" si="10"/>
        <v>0</v>
      </c>
      <c r="J172" s="32">
        <f t="shared" si="11"/>
        <v>0</v>
      </c>
      <c r="K172" s="11"/>
      <c r="M172" s="12"/>
      <c r="N172" s="12"/>
    </row>
    <row r="173" spans="2:14" ht="21.95" customHeight="1" x14ac:dyDescent="0.25">
      <c r="B173" s="30"/>
      <c r="C173" s="14" t="str">
        <f t="shared" si="8"/>
        <v/>
      </c>
      <c r="D173" s="11"/>
      <c r="E173" s="14" t="str">
        <f>IF(D173="","",IFERROR(VLOOKUP(D173,Categorias!$B$5:$C$200,2,FALSE),"Revisar"))</f>
        <v/>
      </c>
      <c r="F173" s="11"/>
      <c r="G173" s="31"/>
      <c r="H173" s="32">
        <f t="shared" si="9"/>
        <v>0</v>
      </c>
      <c r="I173" s="32">
        <f t="shared" si="10"/>
        <v>0</v>
      </c>
      <c r="J173" s="32">
        <f t="shared" si="11"/>
        <v>0</v>
      </c>
      <c r="K173" s="11"/>
      <c r="M173" s="12"/>
      <c r="N173" s="12"/>
    </row>
    <row r="174" spans="2:14" ht="21.95" customHeight="1" x14ac:dyDescent="0.25">
      <c r="B174" s="30"/>
      <c r="C174" s="14" t="str">
        <f t="shared" si="8"/>
        <v/>
      </c>
      <c r="D174" s="11"/>
      <c r="E174" s="14" t="str">
        <f>IF(D174="","",IFERROR(VLOOKUP(D174,Categorias!$B$5:$C$200,2,FALSE),"Revisar"))</f>
        <v/>
      </c>
      <c r="F174" s="11"/>
      <c r="G174" s="31"/>
      <c r="H174" s="32">
        <f t="shared" si="9"/>
        <v>0</v>
      </c>
      <c r="I174" s="32">
        <f t="shared" si="10"/>
        <v>0</v>
      </c>
      <c r="J174" s="32">
        <f t="shared" si="11"/>
        <v>0</v>
      </c>
      <c r="K174" s="11"/>
      <c r="M174" s="12"/>
      <c r="N174" s="12"/>
    </row>
    <row r="175" spans="2:14" ht="21.95" customHeight="1" x14ac:dyDescent="0.25">
      <c r="B175" s="30"/>
      <c r="C175" s="14" t="str">
        <f t="shared" si="8"/>
        <v/>
      </c>
      <c r="D175" s="11"/>
      <c r="E175" s="14" t="str">
        <f>IF(D175="","",IFERROR(VLOOKUP(D175,Categorias!$B$5:$C$200,2,FALSE),"Revisar"))</f>
        <v/>
      </c>
      <c r="F175" s="11"/>
      <c r="G175" s="31"/>
      <c r="H175" s="32">
        <f t="shared" si="9"/>
        <v>0</v>
      </c>
      <c r="I175" s="32">
        <f t="shared" si="10"/>
        <v>0</v>
      </c>
      <c r="J175" s="32">
        <f t="shared" si="11"/>
        <v>0</v>
      </c>
      <c r="K175" s="11"/>
      <c r="M175" s="12"/>
      <c r="N175" s="12"/>
    </row>
    <row r="176" spans="2:14" ht="21.95" customHeight="1" x14ac:dyDescent="0.25">
      <c r="B176" s="30"/>
      <c r="C176" s="14" t="str">
        <f t="shared" si="8"/>
        <v/>
      </c>
      <c r="D176" s="11"/>
      <c r="E176" s="14" t="str">
        <f>IF(D176="","",IFERROR(VLOOKUP(D176,Categorias!$B$5:$C$200,2,FALSE),"Revisar"))</f>
        <v/>
      </c>
      <c r="F176" s="11"/>
      <c r="G176" s="31"/>
      <c r="H176" s="32">
        <f t="shared" si="9"/>
        <v>0</v>
      </c>
      <c r="I176" s="32">
        <f t="shared" si="10"/>
        <v>0</v>
      </c>
      <c r="J176" s="32">
        <f t="shared" si="11"/>
        <v>0</v>
      </c>
      <c r="K176" s="11"/>
      <c r="M176" s="12"/>
      <c r="N176" s="12"/>
    </row>
    <row r="177" spans="2:14" ht="21.95" customHeight="1" x14ac:dyDescent="0.25">
      <c r="B177" s="30"/>
      <c r="C177" s="14" t="str">
        <f t="shared" si="8"/>
        <v/>
      </c>
      <c r="D177" s="11"/>
      <c r="E177" s="14" t="str">
        <f>IF(D177="","",IFERROR(VLOOKUP(D177,Categorias!$B$5:$C$200,2,FALSE),"Revisar"))</f>
        <v/>
      </c>
      <c r="F177" s="11"/>
      <c r="G177" s="31"/>
      <c r="H177" s="32">
        <f t="shared" si="9"/>
        <v>0</v>
      </c>
      <c r="I177" s="32">
        <f t="shared" si="10"/>
        <v>0</v>
      </c>
      <c r="J177" s="32">
        <f t="shared" si="11"/>
        <v>0</v>
      </c>
      <c r="K177" s="11"/>
      <c r="M177" s="12"/>
      <c r="N177" s="12"/>
    </row>
    <row r="178" spans="2:14" ht="21.95" customHeight="1" x14ac:dyDescent="0.25">
      <c r="B178" s="30"/>
      <c r="C178" s="14" t="str">
        <f t="shared" si="8"/>
        <v/>
      </c>
      <c r="D178" s="11"/>
      <c r="E178" s="14" t="str">
        <f>IF(D178="","",IFERROR(VLOOKUP(D178,Categorias!$B$5:$C$200,2,FALSE),"Revisar"))</f>
        <v/>
      </c>
      <c r="F178" s="11"/>
      <c r="G178" s="31"/>
      <c r="H178" s="32">
        <f t="shared" si="9"/>
        <v>0</v>
      </c>
      <c r="I178" s="32">
        <f t="shared" si="10"/>
        <v>0</v>
      </c>
      <c r="J178" s="32">
        <f t="shared" si="11"/>
        <v>0</v>
      </c>
      <c r="K178" s="11"/>
      <c r="M178" s="12"/>
      <c r="N178" s="12"/>
    </row>
    <row r="179" spans="2:14" ht="21.95" customHeight="1" x14ac:dyDescent="0.25">
      <c r="B179" s="30"/>
      <c r="C179" s="14" t="str">
        <f t="shared" si="8"/>
        <v/>
      </c>
      <c r="D179" s="11"/>
      <c r="E179" s="14" t="str">
        <f>IF(D179="","",IFERROR(VLOOKUP(D179,Categorias!$B$5:$C$200,2,FALSE),"Revisar"))</f>
        <v/>
      </c>
      <c r="F179" s="11"/>
      <c r="G179" s="31"/>
      <c r="H179" s="32">
        <f t="shared" si="9"/>
        <v>0</v>
      </c>
      <c r="I179" s="32">
        <f t="shared" si="10"/>
        <v>0</v>
      </c>
      <c r="J179" s="32">
        <f t="shared" si="11"/>
        <v>0</v>
      </c>
      <c r="K179" s="11"/>
      <c r="M179" s="12"/>
      <c r="N179" s="12"/>
    </row>
    <row r="180" spans="2:14" ht="21.95" customHeight="1" x14ac:dyDescent="0.25">
      <c r="B180" s="30"/>
      <c r="C180" s="14" t="str">
        <f t="shared" si="8"/>
        <v/>
      </c>
      <c r="D180" s="11"/>
      <c r="E180" s="14" t="str">
        <f>IF(D180="","",IFERROR(VLOOKUP(D180,Categorias!$B$5:$C$200,2,FALSE),"Revisar"))</f>
        <v/>
      </c>
      <c r="F180" s="11"/>
      <c r="G180" s="31"/>
      <c r="H180" s="32">
        <f t="shared" si="9"/>
        <v>0</v>
      </c>
      <c r="I180" s="32">
        <f t="shared" si="10"/>
        <v>0</v>
      </c>
      <c r="J180" s="32">
        <f t="shared" si="11"/>
        <v>0</v>
      </c>
      <c r="K180" s="11"/>
      <c r="M180" s="12"/>
      <c r="N180" s="12"/>
    </row>
    <row r="181" spans="2:14" ht="21.95" customHeight="1" x14ac:dyDescent="0.25">
      <c r="B181" s="30"/>
      <c r="C181" s="14" t="str">
        <f t="shared" si="8"/>
        <v/>
      </c>
      <c r="D181" s="11"/>
      <c r="E181" s="14" t="str">
        <f>IF(D181="","",IFERROR(VLOOKUP(D181,Categorias!$B$5:$C$200,2,FALSE),"Revisar"))</f>
        <v/>
      </c>
      <c r="F181" s="11"/>
      <c r="G181" s="31"/>
      <c r="H181" s="32">
        <f t="shared" si="9"/>
        <v>0</v>
      </c>
      <c r="I181" s="32">
        <f t="shared" si="10"/>
        <v>0</v>
      </c>
      <c r="J181" s="32">
        <f t="shared" si="11"/>
        <v>0</v>
      </c>
      <c r="K181" s="11"/>
      <c r="M181" s="12"/>
      <c r="N181" s="12"/>
    </row>
    <row r="182" spans="2:14" ht="21.95" customHeight="1" x14ac:dyDescent="0.25">
      <c r="B182" s="30"/>
      <c r="C182" s="14" t="str">
        <f t="shared" si="8"/>
        <v/>
      </c>
      <c r="D182" s="11"/>
      <c r="E182" s="14" t="str">
        <f>IF(D182="","",IFERROR(VLOOKUP(D182,Categorias!$B$5:$C$200,2,FALSE),"Revisar"))</f>
        <v/>
      </c>
      <c r="F182" s="11"/>
      <c r="G182" s="31"/>
      <c r="H182" s="32">
        <f t="shared" si="9"/>
        <v>0</v>
      </c>
      <c r="I182" s="32">
        <f t="shared" si="10"/>
        <v>0</v>
      </c>
      <c r="J182" s="32">
        <f t="shared" si="11"/>
        <v>0</v>
      </c>
      <c r="K182" s="11"/>
      <c r="M182" s="12"/>
      <c r="N182" s="12"/>
    </row>
    <row r="183" spans="2:14" ht="21.95" customHeight="1" x14ac:dyDescent="0.25">
      <c r="B183" s="30"/>
      <c r="C183" s="14" t="str">
        <f t="shared" si="8"/>
        <v/>
      </c>
      <c r="D183" s="11"/>
      <c r="E183" s="14" t="str">
        <f>IF(D183="","",IFERROR(VLOOKUP(D183,Categorias!$B$5:$C$200,2,FALSE),"Revisar"))</f>
        <v/>
      </c>
      <c r="F183" s="11"/>
      <c r="G183" s="31"/>
      <c r="H183" s="32">
        <f t="shared" si="9"/>
        <v>0</v>
      </c>
      <c r="I183" s="32">
        <f t="shared" si="10"/>
        <v>0</v>
      </c>
      <c r="J183" s="32">
        <f t="shared" si="11"/>
        <v>0</v>
      </c>
      <c r="K183" s="11"/>
      <c r="M183" s="12"/>
      <c r="N183" s="12"/>
    </row>
    <row r="184" spans="2:14" ht="21.95" customHeight="1" x14ac:dyDescent="0.25">
      <c r="B184" s="30"/>
      <c r="C184" s="14" t="str">
        <f t="shared" si="8"/>
        <v/>
      </c>
      <c r="D184" s="11"/>
      <c r="E184" s="14" t="str">
        <f>IF(D184="","",IFERROR(VLOOKUP(D184,Categorias!$B$5:$C$200,2,FALSE),"Revisar"))</f>
        <v/>
      </c>
      <c r="F184" s="11"/>
      <c r="G184" s="31"/>
      <c r="H184" s="32">
        <f t="shared" si="9"/>
        <v>0</v>
      </c>
      <c r="I184" s="32">
        <f t="shared" si="10"/>
        <v>0</v>
      </c>
      <c r="J184" s="32">
        <f t="shared" si="11"/>
        <v>0</v>
      </c>
      <c r="K184" s="11"/>
      <c r="M184" s="12"/>
      <c r="N184" s="12"/>
    </row>
    <row r="185" spans="2:14" ht="21.95" customHeight="1" x14ac:dyDescent="0.25">
      <c r="B185" s="30"/>
      <c r="C185" s="14" t="str">
        <f t="shared" si="8"/>
        <v/>
      </c>
      <c r="D185" s="11"/>
      <c r="E185" s="14" t="str">
        <f>IF(D185="","",IFERROR(VLOOKUP(D185,Categorias!$B$5:$C$200,2,FALSE),"Revisar"))</f>
        <v/>
      </c>
      <c r="F185" s="11"/>
      <c r="G185" s="31"/>
      <c r="H185" s="32">
        <f t="shared" si="9"/>
        <v>0</v>
      </c>
      <c r="I185" s="32">
        <f t="shared" si="10"/>
        <v>0</v>
      </c>
      <c r="J185" s="32">
        <f t="shared" si="11"/>
        <v>0</v>
      </c>
      <c r="K185" s="11"/>
      <c r="M185" s="12"/>
      <c r="N185" s="12"/>
    </row>
    <row r="186" spans="2:14" ht="21.95" customHeight="1" x14ac:dyDescent="0.25">
      <c r="B186" s="30"/>
      <c r="C186" s="14" t="str">
        <f t="shared" si="8"/>
        <v/>
      </c>
      <c r="D186" s="11"/>
      <c r="E186" s="14" t="str">
        <f>IF(D186="","",IFERROR(VLOOKUP(D186,Categorias!$B$5:$C$200,2,FALSE),"Revisar"))</f>
        <v/>
      </c>
      <c r="F186" s="11"/>
      <c r="G186" s="31"/>
      <c r="H186" s="32">
        <f t="shared" si="9"/>
        <v>0</v>
      </c>
      <c r="I186" s="32">
        <f t="shared" si="10"/>
        <v>0</v>
      </c>
      <c r="J186" s="32">
        <f t="shared" si="11"/>
        <v>0</v>
      </c>
      <c r="K186" s="11"/>
      <c r="M186" s="12"/>
      <c r="N186" s="12"/>
    </row>
    <row r="187" spans="2:14" ht="21.95" customHeight="1" x14ac:dyDescent="0.25">
      <c r="B187" s="30"/>
      <c r="C187" s="14" t="str">
        <f t="shared" si="8"/>
        <v/>
      </c>
      <c r="D187" s="11"/>
      <c r="E187" s="14" t="str">
        <f>IF(D187="","",IFERROR(VLOOKUP(D187,Categorias!$B$5:$C$200,2,FALSE),"Revisar"))</f>
        <v/>
      </c>
      <c r="F187" s="11"/>
      <c r="G187" s="31"/>
      <c r="H187" s="32">
        <f t="shared" si="9"/>
        <v>0</v>
      </c>
      <c r="I187" s="32">
        <f t="shared" si="10"/>
        <v>0</v>
      </c>
      <c r="J187" s="32">
        <f t="shared" si="11"/>
        <v>0</v>
      </c>
      <c r="K187" s="11"/>
      <c r="M187" s="12"/>
      <c r="N187" s="12"/>
    </row>
    <row r="188" spans="2:14" ht="21.95" customHeight="1" x14ac:dyDescent="0.25">
      <c r="B188" s="30"/>
      <c r="C188" s="14" t="str">
        <f t="shared" si="8"/>
        <v/>
      </c>
      <c r="D188" s="11"/>
      <c r="E188" s="14" t="str">
        <f>IF(D188="","",IFERROR(VLOOKUP(D188,Categorias!$B$5:$C$200,2,FALSE),"Revisar"))</f>
        <v/>
      </c>
      <c r="F188" s="11"/>
      <c r="G188" s="31"/>
      <c r="H188" s="32">
        <f t="shared" si="9"/>
        <v>0</v>
      </c>
      <c r="I188" s="32">
        <f t="shared" si="10"/>
        <v>0</v>
      </c>
      <c r="J188" s="32">
        <f t="shared" si="11"/>
        <v>0</v>
      </c>
      <c r="K188" s="11"/>
      <c r="M188" s="12"/>
      <c r="N188" s="12"/>
    </row>
    <row r="189" spans="2:14" ht="21.95" customHeight="1" x14ac:dyDescent="0.25">
      <c r="B189" s="30"/>
      <c r="C189" s="14" t="str">
        <f t="shared" si="8"/>
        <v/>
      </c>
      <c r="D189" s="11"/>
      <c r="E189" s="14" t="str">
        <f>IF(D189="","",IFERROR(VLOOKUP(D189,Categorias!$B$5:$C$200,2,FALSE),"Revisar"))</f>
        <v/>
      </c>
      <c r="F189" s="11"/>
      <c r="G189" s="31"/>
      <c r="H189" s="32">
        <f t="shared" si="9"/>
        <v>0</v>
      </c>
      <c r="I189" s="32">
        <f t="shared" si="10"/>
        <v>0</v>
      </c>
      <c r="J189" s="32">
        <f t="shared" si="11"/>
        <v>0</v>
      </c>
      <c r="K189" s="11"/>
      <c r="M189" s="12"/>
      <c r="N189" s="12"/>
    </row>
    <row r="190" spans="2:14" ht="21.95" customHeight="1" x14ac:dyDescent="0.25">
      <c r="B190" s="30"/>
      <c r="C190" s="14" t="str">
        <f t="shared" si="8"/>
        <v/>
      </c>
      <c r="D190" s="11"/>
      <c r="E190" s="14" t="str">
        <f>IF(D190="","",IFERROR(VLOOKUP(D190,Categorias!$B$5:$C$200,2,FALSE),"Revisar"))</f>
        <v/>
      </c>
      <c r="F190" s="11"/>
      <c r="G190" s="31"/>
      <c r="H190" s="32">
        <f t="shared" si="9"/>
        <v>0</v>
      </c>
      <c r="I190" s="32">
        <f t="shared" si="10"/>
        <v>0</v>
      </c>
      <c r="J190" s="32">
        <f t="shared" si="11"/>
        <v>0</v>
      </c>
      <c r="K190" s="11"/>
      <c r="M190" s="12"/>
      <c r="N190" s="12"/>
    </row>
    <row r="191" spans="2:14" ht="21.95" customHeight="1" x14ac:dyDescent="0.25">
      <c r="B191" s="30"/>
      <c r="C191" s="14" t="str">
        <f t="shared" si="8"/>
        <v/>
      </c>
      <c r="D191" s="11"/>
      <c r="E191" s="14" t="str">
        <f>IF(D191="","",IFERROR(VLOOKUP(D191,Categorias!$B$5:$C$200,2,FALSE),"Revisar"))</f>
        <v/>
      </c>
      <c r="F191" s="11"/>
      <c r="G191" s="31"/>
      <c r="H191" s="32">
        <f t="shared" si="9"/>
        <v>0</v>
      </c>
      <c r="I191" s="32">
        <f t="shared" si="10"/>
        <v>0</v>
      </c>
      <c r="J191" s="32">
        <f t="shared" si="11"/>
        <v>0</v>
      </c>
      <c r="K191" s="11"/>
      <c r="M191" s="12"/>
      <c r="N191" s="12"/>
    </row>
    <row r="192" spans="2:14" ht="21.95" customHeight="1" x14ac:dyDescent="0.25">
      <c r="B192" s="30"/>
      <c r="C192" s="14" t="str">
        <f t="shared" si="8"/>
        <v/>
      </c>
      <c r="D192" s="11"/>
      <c r="E192" s="14" t="str">
        <f>IF(D192="","",IFERROR(VLOOKUP(D192,Categorias!$B$5:$C$200,2,FALSE),"Revisar"))</f>
        <v/>
      </c>
      <c r="F192" s="11"/>
      <c r="G192" s="31"/>
      <c r="H192" s="32">
        <f t="shared" si="9"/>
        <v>0</v>
      </c>
      <c r="I192" s="32">
        <f t="shared" si="10"/>
        <v>0</v>
      </c>
      <c r="J192" s="32">
        <f t="shared" si="11"/>
        <v>0</v>
      </c>
      <c r="K192" s="11"/>
      <c r="M192" s="12"/>
      <c r="N192" s="12"/>
    </row>
    <row r="193" spans="2:14" ht="21.95" customHeight="1" x14ac:dyDescent="0.25">
      <c r="B193" s="30"/>
      <c r="C193" s="14" t="str">
        <f t="shared" si="8"/>
        <v/>
      </c>
      <c r="D193" s="11"/>
      <c r="E193" s="14" t="str">
        <f>IF(D193="","",IFERROR(VLOOKUP(D193,Categorias!$B$5:$C$200,2,FALSE),"Revisar"))</f>
        <v/>
      </c>
      <c r="F193" s="11"/>
      <c r="G193" s="31"/>
      <c r="H193" s="32">
        <f t="shared" si="9"/>
        <v>0</v>
      </c>
      <c r="I193" s="32">
        <f t="shared" si="10"/>
        <v>0</v>
      </c>
      <c r="J193" s="32">
        <f t="shared" si="11"/>
        <v>0</v>
      </c>
      <c r="K193" s="11"/>
      <c r="M193" s="12"/>
      <c r="N193" s="12"/>
    </row>
    <row r="194" spans="2:14" ht="21.95" customHeight="1" x14ac:dyDescent="0.25">
      <c r="B194" s="30"/>
      <c r="C194" s="14" t="str">
        <f t="shared" si="8"/>
        <v/>
      </c>
      <c r="D194" s="11"/>
      <c r="E194" s="14" t="str">
        <f>IF(D194="","",IFERROR(VLOOKUP(D194,Categorias!$B$5:$C$200,2,FALSE),"Revisar"))</f>
        <v/>
      </c>
      <c r="F194" s="11"/>
      <c r="G194" s="31"/>
      <c r="H194" s="32">
        <f t="shared" si="9"/>
        <v>0</v>
      </c>
      <c r="I194" s="32">
        <f t="shared" si="10"/>
        <v>0</v>
      </c>
      <c r="J194" s="32">
        <f t="shared" si="11"/>
        <v>0</v>
      </c>
      <c r="K194" s="11"/>
      <c r="M194" s="12"/>
      <c r="N194" s="12"/>
    </row>
    <row r="195" spans="2:14" ht="21.95" customHeight="1" x14ac:dyDescent="0.25">
      <c r="B195" s="30"/>
      <c r="C195" s="14" t="str">
        <f t="shared" si="8"/>
        <v/>
      </c>
      <c r="D195" s="11"/>
      <c r="E195" s="14" t="str">
        <f>IF(D195="","",IFERROR(VLOOKUP(D195,Categorias!$B$5:$C$200,2,FALSE),"Revisar"))</f>
        <v/>
      </c>
      <c r="F195" s="11"/>
      <c r="G195" s="31"/>
      <c r="H195" s="32">
        <f t="shared" si="9"/>
        <v>0</v>
      </c>
      <c r="I195" s="32">
        <f t="shared" si="10"/>
        <v>0</v>
      </c>
      <c r="J195" s="32">
        <f t="shared" si="11"/>
        <v>0</v>
      </c>
      <c r="K195" s="11"/>
      <c r="M195" s="12"/>
      <c r="N195" s="12"/>
    </row>
    <row r="196" spans="2:14" ht="21.95" customHeight="1" x14ac:dyDescent="0.25">
      <c r="B196" s="30"/>
      <c r="C196" s="14" t="str">
        <f t="shared" si="8"/>
        <v/>
      </c>
      <c r="D196" s="11"/>
      <c r="E196" s="14" t="str">
        <f>IF(D196="","",IFERROR(VLOOKUP(D196,Categorias!$B$5:$C$200,2,FALSE),"Revisar"))</f>
        <v/>
      </c>
      <c r="F196" s="11"/>
      <c r="G196" s="31"/>
      <c r="H196" s="32">
        <f t="shared" si="9"/>
        <v>0</v>
      </c>
      <c r="I196" s="32">
        <f t="shared" si="10"/>
        <v>0</v>
      </c>
      <c r="J196" s="32">
        <f t="shared" si="11"/>
        <v>0</v>
      </c>
      <c r="K196" s="11"/>
      <c r="M196" s="12"/>
      <c r="N196" s="12"/>
    </row>
    <row r="197" spans="2:14" ht="21.95" customHeight="1" x14ac:dyDescent="0.25">
      <c r="B197" s="30"/>
      <c r="C197" s="14" t="str">
        <f t="shared" si="8"/>
        <v/>
      </c>
      <c r="D197" s="11"/>
      <c r="E197" s="14" t="str">
        <f>IF(D197="","",IFERROR(VLOOKUP(D197,Categorias!$B$5:$C$200,2,FALSE),"Revisar"))</f>
        <v/>
      </c>
      <c r="F197" s="11"/>
      <c r="G197" s="31"/>
      <c r="H197" s="32">
        <f t="shared" si="9"/>
        <v>0</v>
      </c>
      <c r="I197" s="32">
        <f t="shared" si="10"/>
        <v>0</v>
      </c>
      <c r="J197" s="32">
        <f t="shared" si="11"/>
        <v>0</v>
      </c>
      <c r="K197" s="11"/>
      <c r="M197" s="12"/>
      <c r="N197" s="12"/>
    </row>
    <row r="198" spans="2:14" ht="21.95" customHeight="1" x14ac:dyDescent="0.25">
      <c r="B198" s="30"/>
      <c r="C198" s="14" t="str">
        <f t="shared" si="8"/>
        <v/>
      </c>
      <c r="D198" s="11"/>
      <c r="E198" s="14" t="str">
        <f>IF(D198="","",IFERROR(VLOOKUP(D198,Categorias!$B$5:$C$200,2,FALSE),"Revisar"))</f>
        <v/>
      </c>
      <c r="F198" s="11"/>
      <c r="G198" s="31"/>
      <c r="H198" s="32">
        <f t="shared" si="9"/>
        <v>0</v>
      </c>
      <c r="I198" s="32">
        <f t="shared" si="10"/>
        <v>0</v>
      </c>
      <c r="J198" s="32">
        <f t="shared" si="11"/>
        <v>0</v>
      </c>
      <c r="K198" s="11"/>
      <c r="M198" s="12"/>
      <c r="N198" s="12"/>
    </row>
    <row r="199" spans="2:14" ht="21.95" customHeight="1" x14ac:dyDescent="0.25">
      <c r="B199" s="30"/>
      <c r="C199" s="14" t="str">
        <f t="shared" si="8"/>
        <v/>
      </c>
      <c r="D199" s="11"/>
      <c r="E199" s="14" t="str">
        <f>IF(D199="","",IFERROR(VLOOKUP(D199,Categorias!$B$5:$C$200,2,FALSE),"Revisar"))</f>
        <v/>
      </c>
      <c r="F199" s="11"/>
      <c r="G199" s="31"/>
      <c r="H199" s="32">
        <f t="shared" si="9"/>
        <v>0</v>
      </c>
      <c r="I199" s="32">
        <f t="shared" si="10"/>
        <v>0</v>
      </c>
      <c r="J199" s="32">
        <f t="shared" si="11"/>
        <v>0</v>
      </c>
      <c r="K199" s="11"/>
      <c r="M199" s="12"/>
      <c r="N199" s="12"/>
    </row>
    <row r="200" spans="2:14" ht="21.95" customHeight="1" x14ac:dyDescent="0.25">
      <c r="B200" s="30"/>
      <c r="C200" s="14" t="str">
        <f t="shared" si="8"/>
        <v/>
      </c>
      <c r="D200" s="11"/>
      <c r="E200" s="14" t="str">
        <f>IF(D200="","",IFERROR(VLOOKUP(D200,Categorias!$B$5:$C$200,2,FALSE),"Revisar"))</f>
        <v/>
      </c>
      <c r="F200" s="11"/>
      <c r="G200" s="31"/>
      <c r="H200" s="32">
        <f t="shared" si="9"/>
        <v>0</v>
      </c>
      <c r="I200" s="32">
        <f t="shared" si="10"/>
        <v>0</v>
      </c>
      <c r="J200" s="32">
        <f t="shared" si="11"/>
        <v>0</v>
      </c>
      <c r="K200" s="11"/>
      <c r="M200" s="12"/>
      <c r="N200" s="12"/>
    </row>
    <row r="201" spans="2:14" ht="21.95" customHeight="1" x14ac:dyDescent="0.25">
      <c r="B201" s="30"/>
      <c r="C201" s="14" t="str">
        <f t="shared" ref="C201:C264" si="12">IF(B201="","",CHOOSE(MONTH(B201),"Enero","Febrero","Marzo","Abril","Mayo","Junio","Julio","Agosto","Septiembre","Octubre","Noviembre","Diciembre"))</f>
        <v/>
      </c>
      <c r="D201" s="11"/>
      <c r="E201" s="14" t="str">
        <f>IF(D201="","",IFERROR(VLOOKUP(D201,Categorias!$B$5:$C$200,2,FALSE),"Revisar"))</f>
        <v/>
      </c>
      <c r="F201" s="11"/>
      <c r="G201" s="31"/>
      <c r="H201" s="32">
        <f t="shared" ref="H201:H264" si="13">IF($E201="Ingreso",$G201,0)</f>
        <v>0</v>
      </c>
      <c r="I201" s="32">
        <f t="shared" ref="I201:I264" si="14">IF($E201="Gasto",$G201,0)</f>
        <v>0</v>
      </c>
      <c r="J201" s="32">
        <f t="shared" ref="J201:J264" si="15">IF($E201="Reserva",$G201,0)</f>
        <v>0</v>
      </c>
      <c r="K201" s="11"/>
      <c r="M201" s="12"/>
      <c r="N201" s="12"/>
    </row>
    <row r="202" spans="2:14" ht="21.95" customHeight="1" x14ac:dyDescent="0.25">
      <c r="B202" s="30"/>
      <c r="C202" s="14" t="str">
        <f t="shared" si="12"/>
        <v/>
      </c>
      <c r="D202" s="11"/>
      <c r="E202" s="14" t="str">
        <f>IF(D202="","",IFERROR(VLOOKUP(D202,Categorias!$B$5:$C$200,2,FALSE),"Revisar"))</f>
        <v/>
      </c>
      <c r="F202" s="11"/>
      <c r="G202" s="31"/>
      <c r="H202" s="32">
        <f t="shared" si="13"/>
        <v>0</v>
      </c>
      <c r="I202" s="32">
        <f t="shared" si="14"/>
        <v>0</v>
      </c>
      <c r="J202" s="32">
        <f t="shared" si="15"/>
        <v>0</v>
      </c>
      <c r="K202" s="11"/>
      <c r="M202" s="12"/>
      <c r="N202" s="12"/>
    </row>
    <row r="203" spans="2:14" ht="21.95" customHeight="1" x14ac:dyDescent="0.25">
      <c r="B203" s="30"/>
      <c r="C203" s="14" t="str">
        <f t="shared" si="12"/>
        <v/>
      </c>
      <c r="D203" s="11"/>
      <c r="E203" s="14" t="str">
        <f>IF(D203="","",IFERROR(VLOOKUP(D203,Categorias!$B$5:$C$200,2,FALSE),"Revisar"))</f>
        <v/>
      </c>
      <c r="F203" s="11"/>
      <c r="G203" s="31"/>
      <c r="H203" s="32">
        <f t="shared" si="13"/>
        <v>0</v>
      </c>
      <c r="I203" s="32">
        <f t="shared" si="14"/>
        <v>0</v>
      </c>
      <c r="J203" s="32">
        <f t="shared" si="15"/>
        <v>0</v>
      </c>
      <c r="K203" s="11"/>
      <c r="M203" s="12"/>
      <c r="N203" s="12"/>
    </row>
    <row r="204" spans="2:14" ht="21.95" customHeight="1" x14ac:dyDescent="0.25">
      <c r="B204" s="30"/>
      <c r="C204" s="14" t="str">
        <f t="shared" si="12"/>
        <v/>
      </c>
      <c r="D204" s="11"/>
      <c r="E204" s="14" t="str">
        <f>IF(D204="","",IFERROR(VLOOKUP(D204,Categorias!$B$5:$C$200,2,FALSE),"Revisar"))</f>
        <v/>
      </c>
      <c r="F204" s="11"/>
      <c r="G204" s="31"/>
      <c r="H204" s="32">
        <f t="shared" si="13"/>
        <v>0</v>
      </c>
      <c r="I204" s="32">
        <f t="shared" si="14"/>
        <v>0</v>
      </c>
      <c r="J204" s="32">
        <f t="shared" si="15"/>
        <v>0</v>
      </c>
      <c r="K204" s="11"/>
      <c r="M204" s="12"/>
      <c r="N204" s="12"/>
    </row>
    <row r="205" spans="2:14" ht="21.95" customHeight="1" x14ac:dyDescent="0.25">
      <c r="B205" s="30"/>
      <c r="C205" s="14" t="str">
        <f t="shared" si="12"/>
        <v/>
      </c>
      <c r="D205" s="11"/>
      <c r="E205" s="14" t="str">
        <f>IF(D205="","",IFERROR(VLOOKUP(D205,Categorias!$B$5:$C$200,2,FALSE),"Revisar"))</f>
        <v/>
      </c>
      <c r="F205" s="11"/>
      <c r="G205" s="31"/>
      <c r="H205" s="32">
        <f t="shared" si="13"/>
        <v>0</v>
      </c>
      <c r="I205" s="32">
        <f t="shared" si="14"/>
        <v>0</v>
      </c>
      <c r="J205" s="32">
        <f t="shared" si="15"/>
        <v>0</v>
      </c>
      <c r="K205" s="11"/>
      <c r="M205" s="12"/>
      <c r="N205" s="12"/>
    </row>
    <row r="206" spans="2:14" ht="21.95" customHeight="1" x14ac:dyDescent="0.25">
      <c r="B206" s="30"/>
      <c r="C206" s="14" t="str">
        <f t="shared" si="12"/>
        <v/>
      </c>
      <c r="D206" s="11"/>
      <c r="E206" s="14" t="str">
        <f>IF(D206="","",IFERROR(VLOOKUP(D206,Categorias!$B$5:$C$200,2,FALSE),"Revisar"))</f>
        <v/>
      </c>
      <c r="F206" s="11"/>
      <c r="G206" s="31"/>
      <c r="H206" s="32">
        <f t="shared" si="13"/>
        <v>0</v>
      </c>
      <c r="I206" s="32">
        <f t="shared" si="14"/>
        <v>0</v>
      </c>
      <c r="J206" s="32">
        <f t="shared" si="15"/>
        <v>0</v>
      </c>
      <c r="K206" s="11"/>
      <c r="M206" s="12"/>
      <c r="N206" s="12"/>
    </row>
    <row r="207" spans="2:14" ht="21.95" customHeight="1" x14ac:dyDescent="0.25">
      <c r="B207" s="30"/>
      <c r="C207" s="14" t="str">
        <f t="shared" si="12"/>
        <v/>
      </c>
      <c r="D207" s="11"/>
      <c r="E207" s="14" t="str">
        <f>IF(D207="","",IFERROR(VLOOKUP(D207,Categorias!$B$5:$C$200,2,FALSE),"Revisar"))</f>
        <v/>
      </c>
      <c r="F207" s="11"/>
      <c r="G207" s="31"/>
      <c r="H207" s="32">
        <f t="shared" si="13"/>
        <v>0</v>
      </c>
      <c r="I207" s="32">
        <f t="shared" si="14"/>
        <v>0</v>
      </c>
      <c r="J207" s="32">
        <f t="shared" si="15"/>
        <v>0</v>
      </c>
      <c r="K207" s="11"/>
      <c r="M207" s="12"/>
      <c r="N207" s="12"/>
    </row>
    <row r="208" spans="2:14" ht="21.95" customHeight="1" x14ac:dyDescent="0.25">
      <c r="B208" s="30"/>
      <c r="C208" s="14" t="str">
        <f t="shared" si="12"/>
        <v/>
      </c>
      <c r="D208" s="11"/>
      <c r="E208" s="14" t="str">
        <f>IF(D208="","",IFERROR(VLOOKUP(D208,Categorias!$B$5:$C$200,2,FALSE),"Revisar"))</f>
        <v/>
      </c>
      <c r="F208" s="11"/>
      <c r="G208" s="31"/>
      <c r="H208" s="32">
        <f t="shared" si="13"/>
        <v>0</v>
      </c>
      <c r="I208" s="32">
        <f t="shared" si="14"/>
        <v>0</v>
      </c>
      <c r="J208" s="32">
        <f t="shared" si="15"/>
        <v>0</v>
      </c>
      <c r="K208" s="11"/>
      <c r="M208" s="12"/>
      <c r="N208" s="12"/>
    </row>
    <row r="209" spans="2:14" ht="21.95" customHeight="1" x14ac:dyDescent="0.25">
      <c r="B209" s="30"/>
      <c r="C209" s="14" t="str">
        <f t="shared" si="12"/>
        <v/>
      </c>
      <c r="D209" s="11"/>
      <c r="E209" s="14" t="str">
        <f>IF(D209="","",IFERROR(VLOOKUP(D209,Categorias!$B$5:$C$200,2,FALSE),"Revisar"))</f>
        <v/>
      </c>
      <c r="F209" s="11"/>
      <c r="G209" s="31"/>
      <c r="H209" s="32">
        <f t="shared" si="13"/>
        <v>0</v>
      </c>
      <c r="I209" s="32">
        <f t="shared" si="14"/>
        <v>0</v>
      </c>
      <c r="J209" s="32">
        <f t="shared" si="15"/>
        <v>0</v>
      </c>
      <c r="K209" s="11"/>
      <c r="M209" s="12"/>
      <c r="N209" s="12"/>
    </row>
    <row r="210" spans="2:14" ht="21.95" customHeight="1" x14ac:dyDescent="0.25">
      <c r="B210" s="30"/>
      <c r="C210" s="14" t="str">
        <f t="shared" si="12"/>
        <v/>
      </c>
      <c r="D210" s="11"/>
      <c r="E210" s="14" t="str">
        <f>IF(D210="","",IFERROR(VLOOKUP(D210,Categorias!$B$5:$C$200,2,FALSE),"Revisar"))</f>
        <v/>
      </c>
      <c r="F210" s="11"/>
      <c r="G210" s="31"/>
      <c r="H210" s="32">
        <f t="shared" si="13"/>
        <v>0</v>
      </c>
      <c r="I210" s="32">
        <f t="shared" si="14"/>
        <v>0</v>
      </c>
      <c r="J210" s="32">
        <f t="shared" si="15"/>
        <v>0</v>
      </c>
      <c r="K210" s="11"/>
      <c r="M210" s="12"/>
      <c r="N210" s="12"/>
    </row>
    <row r="211" spans="2:14" ht="21.95" customHeight="1" x14ac:dyDescent="0.25">
      <c r="B211" s="30"/>
      <c r="C211" s="14" t="str">
        <f t="shared" si="12"/>
        <v/>
      </c>
      <c r="D211" s="11"/>
      <c r="E211" s="14" t="str">
        <f>IF(D211="","",IFERROR(VLOOKUP(D211,Categorias!$B$5:$C$200,2,FALSE),"Revisar"))</f>
        <v/>
      </c>
      <c r="F211" s="11"/>
      <c r="G211" s="31"/>
      <c r="H211" s="32">
        <f t="shared" si="13"/>
        <v>0</v>
      </c>
      <c r="I211" s="32">
        <f t="shared" si="14"/>
        <v>0</v>
      </c>
      <c r="J211" s="32">
        <f t="shared" si="15"/>
        <v>0</v>
      </c>
      <c r="K211" s="11"/>
      <c r="M211" s="12"/>
      <c r="N211" s="12"/>
    </row>
    <row r="212" spans="2:14" ht="21.95" customHeight="1" x14ac:dyDescent="0.25">
      <c r="B212" s="30"/>
      <c r="C212" s="14" t="str">
        <f t="shared" si="12"/>
        <v/>
      </c>
      <c r="D212" s="11"/>
      <c r="E212" s="14" t="str">
        <f>IF(D212="","",IFERROR(VLOOKUP(D212,Categorias!$B$5:$C$200,2,FALSE),"Revisar"))</f>
        <v/>
      </c>
      <c r="F212" s="11"/>
      <c r="G212" s="31"/>
      <c r="H212" s="32">
        <f t="shared" si="13"/>
        <v>0</v>
      </c>
      <c r="I212" s="32">
        <f t="shared" si="14"/>
        <v>0</v>
      </c>
      <c r="J212" s="32">
        <f t="shared" si="15"/>
        <v>0</v>
      </c>
      <c r="K212" s="11"/>
      <c r="M212" s="12"/>
      <c r="N212" s="12"/>
    </row>
    <row r="213" spans="2:14" ht="21.95" customHeight="1" x14ac:dyDescent="0.25">
      <c r="B213" s="30"/>
      <c r="C213" s="14" t="str">
        <f t="shared" si="12"/>
        <v/>
      </c>
      <c r="D213" s="11"/>
      <c r="E213" s="14" t="str">
        <f>IF(D213="","",IFERROR(VLOOKUP(D213,Categorias!$B$5:$C$200,2,FALSE),"Revisar"))</f>
        <v/>
      </c>
      <c r="F213" s="11"/>
      <c r="G213" s="31"/>
      <c r="H213" s="32">
        <f t="shared" si="13"/>
        <v>0</v>
      </c>
      <c r="I213" s="32">
        <f t="shared" si="14"/>
        <v>0</v>
      </c>
      <c r="J213" s="32">
        <f t="shared" si="15"/>
        <v>0</v>
      </c>
      <c r="K213" s="11"/>
      <c r="M213" s="12"/>
      <c r="N213" s="12"/>
    </row>
    <row r="214" spans="2:14" ht="21.95" customHeight="1" x14ac:dyDescent="0.25">
      <c r="B214" s="30"/>
      <c r="C214" s="14" t="str">
        <f t="shared" si="12"/>
        <v/>
      </c>
      <c r="D214" s="11"/>
      <c r="E214" s="14" t="str">
        <f>IF(D214="","",IFERROR(VLOOKUP(D214,Categorias!$B$5:$C$200,2,FALSE),"Revisar"))</f>
        <v/>
      </c>
      <c r="F214" s="11"/>
      <c r="G214" s="31"/>
      <c r="H214" s="32">
        <f t="shared" si="13"/>
        <v>0</v>
      </c>
      <c r="I214" s="32">
        <f t="shared" si="14"/>
        <v>0</v>
      </c>
      <c r="J214" s="32">
        <f t="shared" si="15"/>
        <v>0</v>
      </c>
      <c r="K214" s="11"/>
      <c r="M214" s="12"/>
      <c r="N214" s="12"/>
    </row>
    <row r="215" spans="2:14" ht="21.95" customHeight="1" x14ac:dyDescent="0.25">
      <c r="B215" s="30"/>
      <c r="C215" s="14" t="str">
        <f t="shared" si="12"/>
        <v/>
      </c>
      <c r="D215" s="11"/>
      <c r="E215" s="14" t="str">
        <f>IF(D215="","",IFERROR(VLOOKUP(D215,Categorias!$B$5:$C$200,2,FALSE),"Revisar"))</f>
        <v/>
      </c>
      <c r="F215" s="11"/>
      <c r="G215" s="31"/>
      <c r="H215" s="32">
        <f t="shared" si="13"/>
        <v>0</v>
      </c>
      <c r="I215" s="32">
        <f t="shared" si="14"/>
        <v>0</v>
      </c>
      <c r="J215" s="32">
        <f t="shared" si="15"/>
        <v>0</v>
      </c>
      <c r="K215" s="11"/>
      <c r="M215" s="12"/>
      <c r="N215" s="12"/>
    </row>
    <row r="216" spans="2:14" ht="21.95" customHeight="1" x14ac:dyDescent="0.25">
      <c r="B216" s="30"/>
      <c r="C216" s="14" t="str">
        <f t="shared" si="12"/>
        <v/>
      </c>
      <c r="D216" s="11"/>
      <c r="E216" s="14" t="str">
        <f>IF(D216="","",IFERROR(VLOOKUP(D216,Categorias!$B$5:$C$200,2,FALSE),"Revisar"))</f>
        <v/>
      </c>
      <c r="F216" s="11"/>
      <c r="G216" s="31"/>
      <c r="H216" s="32">
        <f t="shared" si="13"/>
        <v>0</v>
      </c>
      <c r="I216" s="32">
        <f t="shared" si="14"/>
        <v>0</v>
      </c>
      <c r="J216" s="32">
        <f t="shared" si="15"/>
        <v>0</v>
      </c>
      <c r="K216" s="11"/>
      <c r="M216" s="12"/>
      <c r="N216" s="12"/>
    </row>
    <row r="217" spans="2:14" ht="21.95" customHeight="1" x14ac:dyDescent="0.25">
      <c r="B217" s="30"/>
      <c r="C217" s="14" t="str">
        <f t="shared" si="12"/>
        <v/>
      </c>
      <c r="D217" s="11"/>
      <c r="E217" s="14" t="str">
        <f>IF(D217="","",IFERROR(VLOOKUP(D217,Categorias!$B$5:$C$200,2,FALSE),"Revisar"))</f>
        <v/>
      </c>
      <c r="F217" s="11"/>
      <c r="G217" s="31"/>
      <c r="H217" s="32">
        <f t="shared" si="13"/>
        <v>0</v>
      </c>
      <c r="I217" s="32">
        <f t="shared" si="14"/>
        <v>0</v>
      </c>
      <c r="J217" s="32">
        <f t="shared" si="15"/>
        <v>0</v>
      </c>
      <c r="K217" s="11"/>
      <c r="M217" s="12"/>
      <c r="N217" s="12"/>
    </row>
    <row r="218" spans="2:14" ht="21.95" customHeight="1" x14ac:dyDescent="0.25">
      <c r="B218" s="30"/>
      <c r="C218" s="14" t="str">
        <f t="shared" si="12"/>
        <v/>
      </c>
      <c r="D218" s="11"/>
      <c r="E218" s="14" t="str">
        <f>IF(D218="","",IFERROR(VLOOKUP(D218,Categorias!$B$5:$C$200,2,FALSE),"Revisar"))</f>
        <v/>
      </c>
      <c r="F218" s="11"/>
      <c r="G218" s="31"/>
      <c r="H218" s="32">
        <f t="shared" si="13"/>
        <v>0</v>
      </c>
      <c r="I218" s="32">
        <f t="shared" si="14"/>
        <v>0</v>
      </c>
      <c r="J218" s="32">
        <f t="shared" si="15"/>
        <v>0</v>
      </c>
      <c r="K218" s="11"/>
      <c r="M218" s="12"/>
      <c r="N218" s="12"/>
    </row>
    <row r="219" spans="2:14" ht="21.95" customHeight="1" x14ac:dyDescent="0.25">
      <c r="B219" s="30"/>
      <c r="C219" s="14" t="str">
        <f t="shared" si="12"/>
        <v/>
      </c>
      <c r="D219" s="11"/>
      <c r="E219" s="14" t="str">
        <f>IF(D219="","",IFERROR(VLOOKUP(D219,Categorias!$B$5:$C$200,2,FALSE),"Revisar"))</f>
        <v/>
      </c>
      <c r="F219" s="11"/>
      <c r="G219" s="31"/>
      <c r="H219" s="32">
        <f t="shared" si="13"/>
        <v>0</v>
      </c>
      <c r="I219" s="32">
        <f t="shared" si="14"/>
        <v>0</v>
      </c>
      <c r="J219" s="32">
        <f t="shared" si="15"/>
        <v>0</v>
      </c>
      <c r="K219" s="11"/>
      <c r="M219" s="12"/>
      <c r="N219" s="12"/>
    </row>
    <row r="220" spans="2:14" ht="21.95" customHeight="1" x14ac:dyDescent="0.25">
      <c r="B220" s="30"/>
      <c r="C220" s="14" t="str">
        <f t="shared" si="12"/>
        <v/>
      </c>
      <c r="D220" s="11"/>
      <c r="E220" s="14" t="str">
        <f>IF(D220="","",IFERROR(VLOOKUP(D220,Categorias!$B$5:$C$200,2,FALSE),"Revisar"))</f>
        <v/>
      </c>
      <c r="F220" s="11"/>
      <c r="G220" s="31"/>
      <c r="H220" s="32">
        <f t="shared" si="13"/>
        <v>0</v>
      </c>
      <c r="I220" s="32">
        <f t="shared" si="14"/>
        <v>0</v>
      </c>
      <c r="J220" s="32">
        <f t="shared" si="15"/>
        <v>0</v>
      </c>
      <c r="K220" s="11"/>
      <c r="M220" s="12"/>
      <c r="N220" s="12"/>
    </row>
    <row r="221" spans="2:14" ht="21.95" customHeight="1" x14ac:dyDescent="0.25">
      <c r="B221" s="30"/>
      <c r="C221" s="14" t="str">
        <f t="shared" si="12"/>
        <v/>
      </c>
      <c r="D221" s="11"/>
      <c r="E221" s="14" t="str">
        <f>IF(D221="","",IFERROR(VLOOKUP(D221,Categorias!$B$5:$C$200,2,FALSE),"Revisar"))</f>
        <v/>
      </c>
      <c r="F221" s="11"/>
      <c r="G221" s="31"/>
      <c r="H221" s="32">
        <f t="shared" si="13"/>
        <v>0</v>
      </c>
      <c r="I221" s="32">
        <f t="shared" si="14"/>
        <v>0</v>
      </c>
      <c r="J221" s="32">
        <f t="shared" si="15"/>
        <v>0</v>
      </c>
      <c r="K221" s="11"/>
      <c r="M221" s="12"/>
      <c r="N221" s="12"/>
    </row>
    <row r="222" spans="2:14" ht="21.95" customHeight="1" x14ac:dyDescent="0.25">
      <c r="B222" s="30"/>
      <c r="C222" s="14" t="str">
        <f t="shared" si="12"/>
        <v/>
      </c>
      <c r="D222" s="11"/>
      <c r="E222" s="14" t="str">
        <f>IF(D222="","",IFERROR(VLOOKUP(D222,Categorias!$B$5:$C$200,2,FALSE),"Revisar"))</f>
        <v/>
      </c>
      <c r="F222" s="11"/>
      <c r="G222" s="31"/>
      <c r="H222" s="32">
        <f t="shared" si="13"/>
        <v>0</v>
      </c>
      <c r="I222" s="32">
        <f t="shared" si="14"/>
        <v>0</v>
      </c>
      <c r="J222" s="32">
        <f t="shared" si="15"/>
        <v>0</v>
      </c>
      <c r="K222" s="11"/>
      <c r="M222" s="12"/>
      <c r="N222" s="12"/>
    </row>
    <row r="223" spans="2:14" ht="21.95" customHeight="1" x14ac:dyDescent="0.25">
      <c r="B223" s="30"/>
      <c r="C223" s="14" t="str">
        <f t="shared" si="12"/>
        <v/>
      </c>
      <c r="D223" s="11"/>
      <c r="E223" s="14" t="str">
        <f>IF(D223="","",IFERROR(VLOOKUP(D223,Categorias!$B$5:$C$200,2,FALSE),"Revisar"))</f>
        <v/>
      </c>
      <c r="F223" s="11"/>
      <c r="G223" s="31"/>
      <c r="H223" s="32">
        <f t="shared" si="13"/>
        <v>0</v>
      </c>
      <c r="I223" s="32">
        <f t="shared" si="14"/>
        <v>0</v>
      </c>
      <c r="J223" s="32">
        <f t="shared" si="15"/>
        <v>0</v>
      </c>
      <c r="K223" s="11"/>
      <c r="M223" s="12"/>
      <c r="N223" s="12"/>
    </row>
    <row r="224" spans="2:14" ht="21.95" customHeight="1" x14ac:dyDescent="0.25">
      <c r="B224" s="30"/>
      <c r="C224" s="14" t="str">
        <f t="shared" si="12"/>
        <v/>
      </c>
      <c r="D224" s="11"/>
      <c r="E224" s="14" t="str">
        <f>IF(D224="","",IFERROR(VLOOKUP(D224,Categorias!$B$5:$C$200,2,FALSE),"Revisar"))</f>
        <v/>
      </c>
      <c r="F224" s="11"/>
      <c r="G224" s="31"/>
      <c r="H224" s="32">
        <f t="shared" si="13"/>
        <v>0</v>
      </c>
      <c r="I224" s="32">
        <f t="shared" si="14"/>
        <v>0</v>
      </c>
      <c r="J224" s="32">
        <f t="shared" si="15"/>
        <v>0</v>
      </c>
      <c r="K224" s="11"/>
      <c r="M224" s="12"/>
      <c r="N224" s="12"/>
    </row>
    <row r="225" spans="2:14" ht="21.95" customHeight="1" x14ac:dyDescent="0.25">
      <c r="B225" s="30"/>
      <c r="C225" s="14" t="str">
        <f t="shared" si="12"/>
        <v/>
      </c>
      <c r="D225" s="11"/>
      <c r="E225" s="14" t="str">
        <f>IF(D225="","",IFERROR(VLOOKUP(D225,Categorias!$B$5:$C$200,2,FALSE),"Revisar"))</f>
        <v/>
      </c>
      <c r="F225" s="11"/>
      <c r="G225" s="31"/>
      <c r="H225" s="32">
        <f t="shared" si="13"/>
        <v>0</v>
      </c>
      <c r="I225" s="32">
        <f t="shared" si="14"/>
        <v>0</v>
      </c>
      <c r="J225" s="32">
        <f t="shared" si="15"/>
        <v>0</v>
      </c>
      <c r="K225" s="11"/>
      <c r="M225" s="12"/>
      <c r="N225" s="12"/>
    </row>
    <row r="226" spans="2:14" ht="21.95" customHeight="1" x14ac:dyDescent="0.25">
      <c r="B226" s="30"/>
      <c r="C226" s="14" t="str">
        <f t="shared" si="12"/>
        <v/>
      </c>
      <c r="D226" s="11"/>
      <c r="E226" s="14" t="str">
        <f>IF(D226="","",IFERROR(VLOOKUP(D226,Categorias!$B$5:$C$200,2,FALSE),"Revisar"))</f>
        <v/>
      </c>
      <c r="F226" s="11"/>
      <c r="G226" s="31"/>
      <c r="H226" s="32">
        <f t="shared" si="13"/>
        <v>0</v>
      </c>
      <c r="I226" s="32">
        <f t="shared" si="14"/>
        <v>0</v>
      </c>
      <c r="J226" s="32">
        <f t="shared" si="15"/>
        <v>0</v>
      </c>
      <c r="K226" s="11"/>
      <c r="M226" s="12"/>
      <c r="N226" s="12"/>
    </row>
    <row r="227" spans="2:14" ht="21.95" customHeight="1" x14ac:dyDescent="0.25">
      <c r="B227" s="30"/>
      <c r="C227" s="14" t="str">
        <f t="shared" si="12"/>
        <v/>
      </c>
      <c r="D227" s="11"/>
      <c r="E227" s="14" t="str">
        <f>IF(D227="","",IFERROR(VLOOKUP(D227,Categorias!$B$5:$C$200,2,FALSE),"Revisar"))</f>
        <v/>
      </c>
      <c r="F227" s="11"/>
      <c r="G227" s="31"/>
      <c r="H227" s="32">
        <f t="shared" si="13"/>
        <v>0</v>
      </c>
      <c r="I227" s="32">
        <f t="shared" si="14"/>
        <v>0</v>
      </c>
      <c r="J227" s="32">
        <f t="shared" si="15"/>
        <v>0</v>
      </c>
      <c r="K227" s="11"/>
      <c r="M227" s="12"/>
      <c r="N227" s="12"/>
    </row>
    <row r="228" spans="2:14" ht="21.95" customHeight="1" x14ac:dyDescent="0.25">
      <c r="B228" s="30"/>
      <c r="C228" s="14" t="str">
        <f t="shared" si="12"/>
        <v/>
      </c>
      <c r="D228" s="11"/>
      <c r="E228" s="14" t="str">
        <f>IF(D228="","",IFERROR(VLOOKUP(D228,Categorias!$B$5:$C$200,2,FALSE),"Revisar"))</f>
        <v/>
      </c>
      <c r="F228" s="11"/>
      <c r="G228" s="31"/>
      <c r="H228" s="32">
        <f t="shared" si="13"/>
        <v>0</v>
      </c>
      <c r="I228" s="32">
        <f t="shared" si="14"/>
        <v>0</v>
      </c>
      <c r="J228" s="32">
        <f t="shared" si="15"/>
        <v>0</v>
      </c>
      <c r="K228" s="11"/>
      <c r="M228" s="12"/>
      <c r="N228" s="12"/>
    </row>
    <row r="229" spans="2:14" ht="21.95" customHeight="1" x14ac:dyDescent="0.25">
      <c r="B229" s="30"/>
      <c r="C229" s="14" t="str">
        <f t="shared" si="12"/>
        <v/>
      </c>
      <c r="D229" s="11"/>
      <c r="E229" s="14" t="str">
        <f>IF(D229="","",IFERROR(VLOOKUP(D229,Categorias!$B$5:$C$200,2,FALSE),"Revisar"))</f>
        <v/>
      </c>
      <c r="F229" s="11"/>
      <c r="G229" s="31"/>
      <c r="H229" s="32">
        <f t="shared" si="13"/>
        <v>0</v>
      </c>
      <c r="I229" s="32">
        <f t="shared" si="14"/>
        <v>0</v>
      </c>
      <c r="J229" s="32">
        <f t="shared" si="15"/>
        <v>0</v>
      </c>
      <c r="K229" s="11"/>
      <c r="M229" s="12"/>
      <c r="N229" s="12"/>
    </row>
    <row r="230" spans="2:14" ht="21.95" customHeight="1" x14ac:dyDescent="0.25">
      <c r="B230" s="30"/>
      <c r="C230" s="14" t="str">
        <f t="shared" si="12"/>
        <v/>
      </c>
      <c r="D230" s="11"/>
      <c r="E230" s="14" t="str">
        <f>IF(D230="","",IFERROR(VLOOKUP(D230,Categorias!$B$5:$C$200,2,FALSE),"Revisar"))</f>
        <v/>
      </c>
      <c r="F230" s="11"/>
      <c r="G230" s="31"/>
      <c r="H230" s="32">
        <f t="shared" si="13"/>
        <v>0</v>
      </c>
      <c r="I230" s="32">
        <f t="shared" si="14"/>
        <v>0</v>
      </c>
      <c r="J230" s="32">
        <f t="shared" si="15"/>
        <v>0</v>
      </c>
      <c r="K230" s="11"/>
      <c r="M230" s="12"/>
      <c r="N230" s="12"/>
    </row>
    <row r="231" spans="2:14" ht="21.95" customHeight="1" x14ac:dyDescent="0.25">
      <c r="B231" s="30"/>
      <c r="C231" s="14" t="str">
        <f t="shared" si="12"/>
        <v/>
      </c>
      <c r="D231" s="11"/>
      <c r="E231" s="14" t="str">
        <f>IF(D231="","",IFERROR(VLOOKUP(D231,Categorias!$B$5:$C$200,2,FALSE),"Revisar"))</f>
        <v/>
      </c>
      <c r="F231" s="11"/>
      <c r="G231" s="31"/>
      <c r="H231" s="32">
        <f t="shared" si="13"/>
        <v>0</v>
      </c>
      <c r="I231" s="32">
        <f t="shared" si="14"/>
        <v>0</v>
      </c>
      <c r="J231" s="32">
        <f t="shared" si="15"/>
        <v>0</v>
      </c>
      <c r="K231" s="11"/>
      <c r="M231" s="12"/>
      <c r="N231" s="12"/>
    </row>
    <row r="232" spans="2:14" ht="21.95" customHeight="1" x14ac:dyDescent="0.25">
      <c r="B232" s="30"/>
      <c r="C232" s="14" t="str">
        <f t="shared" si="12"/>
        <v/>
      </c>
      <c r="D232" s="11"/>
      <c r="E232" s="14" t="str">
        <f>IF(D232="","",IFERROR(VLOOKUP(D232,Categorias!$B$5:$C$200,2,FALSE),"Revisar"))</f>
        <v/>
      </c>
      <c r="F232" s="11"/>
      <c r="G232" s="31"/>
      <c r="H232" s="32">
        <f t="shared" si="13"/>
        <v>0</v>
      </c>
      <c r="I232" s="32">
        <f t="shared" si="14"/>
        <v>0</v>
      </c>
      <c r="J232" s="32">
        <f t="shared" si="15"/>
        <v>0</v>
      </c>
      <c r="K232" s="11"/>
      <c r="M232" s="12"/>
      <c r="N232" s="12"/>
    </row>
    <row r="233" spans="2:14" ht="21.95" customHeight="1" x14ac:dyDescent="0.25">
      <c r="B233" s="30"/>
      <c r="C233" s="14" t="str">
        <f t="shared" si="12"/>
        <v/>
      </c>
      <c r="D233" s="11"/>
      <c r="E233" s="14" t="str">
        <f>IF(D233="","",IFERROR(VLOOKUP(D233,Categorias!$B$5:$C$200,2,FALSE),"Revisar"))</f>
        <v/>
      </c>
      <c r="F233" s="11"/>
      <c r="G233" s="31"/>
      <c r="H233" s="32">
        <f t="shared" si="13"/>
        <v>0</v>
      </c>
      <c r="I233" s="32">
        <f t="shared" si="14"/>
        <v>0</v>
      </c>
      <c r="J233" s="32">
        <f t="shared" si="15"/>
        <v>0</v>
      </c>
      <c r="K233" s="11"/>
      <c r="M233" s="12"/>
      <c r="N233" s="12"/>
    </row>
    <row r="234" spans="2:14" ht="21.95" customHeight="1" x14ac:dyDescent="0.25">
      <c r="B234" s="30"/>
      <c r="C234" s="14" t="str">
        <f t="shared" si="12"/>
        <v/>
      </c>
      <c r="D234" s="11"/>
      <c r="E234" s="14" t="str">
        <f>IF(D234="","",IFERROR(VLOOKUP(D234,Categorias!$B$5:$C$200,2,FALSE),"Revisar"))</f>
        <v/>
      </c>
      <c r="F234" s="11"/>
      <c r="G234" s="31"/>
      <c r="H234" s="32">
        <f t="shared" si="13"/>
        <v>0</v>
      </c>
      <c r="I234" s="32">
        <f t="shared" si="14"/>
        <v>0</v>
      </c>
      <c r="J234" s="32">
        <f t="shared" si="15"/>
        <v>0</v>
      </c>
      <c r="K234" s="11"/>
      <c r="M234" s="12"/>
      <c r="N234" s="12"/>
    </row>
    <row r="235" spans="2:14" ht="21.95" customHeight="1" x14ac:dyDescent="0.25">
      <c r="B235" s="30"/>
      <c r="C235" s="14" t="str">
        <f t="shared" si="12"/>
        <v/>
      </c>
      <c r="D235" s="11"/>
      <c r="E235" s="14" t="str">
        <f>IF(D235="","",IFERROR(VLOOKUP(D235,Categorias!$B$5:$C$200,2,FALSE),"Revisar"))</f>
        <v/>
      </c>
      <c r="F235" s="11"/>
      <c r="G235" s="31"/>
      <c r="H235" s="32">
        <f t="shared" si="13"/>
        <v>0</v>
      </c>
      <c r="I235" s="32">
        <f t="shared" si="14"/>
        <v>0</v>
      </c>
      <c r="J235" s="32">
        <f t="shared" si="15"/>
        <v>0</v>
      </c>
      <c r="K235" s="11"/>
      <c r="M235" s="12"/>
      <c r="N235" s="12"/>
    </row>
    <row r="236" spans="2:14" ht="21.95" customHeight="1" x14ac:dyDescent="0.25">
      <c r="B236" s="30"/>
      <c r="C236" s="14" t="str">
        <f t="shared" si="12"/>
        <v/>
      </c>
      <c r="D236" s="11"/>
      <c r="E236" s="14" t="str">
        <f>IF(D236="","",IFERROR(VLOOKUP(D236,Categorias!$B$5:$C$200,2,FALSE),"Revisar"))</f>
        <v/>
      </c>
      <c r="F236" s="11"/>
      <c r="G236" s="31"/>
      <c r="H236" s="32">
        <f t="shared" si="13"/>
        <v>0</v>
      </c>
      <c r="I236" s="32">
        <f t="shared" si="14"/>
        <v>0</v>
      </c>
      <c r="J236" s="32">
        <f t="shared" si="15"/>
        <v>0</v>
      </c>
      <c r="K236" s="11"/>
      <c r="M236" s="12"/>
      <c r="N236" s="12"/>
    </row>
    <row r="237" spans="2:14" ht="21.95" customHeight="1" x14ac:dyDescent="0.25">
      <c r="B237" s="30"/>
      <c r="C237" s="14" t="str">
        <f t="shared" si="12"/>
        <v/>
      </c>
      <c r="D237" s="11"/>
      <c r="E237" s="14" t="str">
        <f>IF(D237="","",IFERROR(VLOOKUP(D237,Categorias!$B$5:$C$200,2,FALSE),"Revisar"))</f>
        <v/>
      </c>
      <c r="F237" s="11"/>
      <c r="G237" s="31"/>
      <c r="H237" s="32">
        <f t="shared" si="13"/>
        <v>0</v>
      </c>
      <c r="I237" s="32">
        <f t="shared" si="14"/>
        <v>0</v>
      </c>
      <c r="J237" s="32">
        <f t="shared" si="15"/>
        <v>0</v>
      </c>
      <c r="K237" s="11"/>
      <c r="M237" s="12"/>
      <c r="N237" s="12"/>
    </row>
    <row r="238" spans="2:14" ht="21.95" customHeight="1" x14ac:dyDescent="0.25">
      <c r="B238" s="30"/>
      <c r="C238" s="14" t="str">
        <f t="shared" si="12"/>
        <v/>
      </c>
      <c r="D238" s="11"/>
      <c r="E238" s="14" t="str">
        <f>IF(D238="","",IFERROR(VLOOKUP(D238,Categorias!$B$5:$C$200,2,FALSE),"Revisar"))</f>
        <v/>
      </c>
      <c r="F238" s="11"/>
      <c r="G238" s="31"/>
      <c r="H238" s="32">
        <f t="shared" si="13"/>
        <v>0</v>
      </c>
      <c r="I238" s="32">
        <f t="shared" si="14"/>
        <v>0</v>
      </c>
      <c r="J238" s="32">
        <f t="shared" si="15"/>
        <v>0</v>
      </c>
      <c r="K238" s="11"/>
      <c r="M238" s="12"/>
      <c r="N238" s="12"/>
    </row>
    <row r="239" spans="2:14" ht="21.95" customHeight="1" x14ac:dyDescent="0.25">
      <c r="B239" s="30"/>
      <c r="C239" s="14" t="str">
        <f t="shared" si="12"/>
        <v/>
      </c>
      <c r="D239" s="11"/>
      <c r="E239" s="14" t="str">
        <f>IF(D239="","",IFERROR(VLOOKUP(D239,Categorias!$B$5:$C$200,2,FALSE),"Revisar"))</f>
        <v/>
      </c>
      <c r="F239" s="11"/>
      <c r="G239" s="31"/>
      <c r="H239" s="32">
        <f t="shared" si="13"/>
        <v>0</v>
      </c>
      <c r="I239" s="32">
        <f t="shared" si="14"/>
        <v>0</v>
      </c>
      <c r="J239" s="32">
        <f t="shared" si="15"/>
        <v>0</v>
      </c>
      <c r="K239" s="11"/>
      <c r="M239" s="12"/>
      <c r="N239" s="12"/>
    </row>
    <row r="240" spans="2:14" ht="21.95" customHeight="1" x14ac:dyDescent="0.25">
      <c r="B240" s="30"/>
      <c r="C240" s="14" t="str">
        <f t="shared" si="12"/>
        <v/>
      </c>
      <c r="D240" s="11"/>
      <c r="E240" s="14" t="str">
        <f>IF(D240="","",IFERROR(VLOOKUP(D240,Categorias!$B$5:$C$200,2,FALSE),"Revisar"))</f>
        <v/>
      </c>
      <c r="F240" s="11"/>
      <c r="G240" s="31"/>
      <c r="H240" s="32">
        <f t="shared" si="13"/>
        <v>0</v>
      </c>
      <c r="I240" s="32">
        <f t="shared" si="14"/>
        <v>0</v>
      </c>
      <c r="J240" s="32">
        <f t="shared" si="15"/>
        <v>0</v>
      </c>
      <c r="K240" s="11"/>
      <c r="M240" s="12"/>
      <c r="N240" s="12"/>
    </row>
    <row r="241" spans="2:14" ht="21.95" customHeight="1" x14ac:dyDescent="0.25">
      <c r="B241" s="30"/>
      <c r="C241" s="14" t="str">
        <f t="shared" si="12"/>
        <v/>
      </c>
      <c r="D241" s="11"/>
      <c r="E241" s="14" t="str">
        <f>IF(D241="","",IFERROR(VLOOKUP(D241,Categorias!$B$5:$C$200,2,FALSE),"Revisar"))</f>
        <v/>
      </c>
      <c r="F241" s="11"/>
      <c r="G241" s="31"/>
      <c r="H241" s="32">
        <f t="shared" si="13"/>
        <v>0</v>
      </c>
      <c r="I241" s="32">
        <f t="shared" si="14"/>
        <v>0</v>
      </c>
      <c r="J241" s="32">
        <f t="shared" si="15"/>
        <v>0</v>
      </c>
      <c r="K241" s="11"/>
      <c r="M241" s="12"/>
      <c r="N241" s="12"/>
    </row>
    <row r="242" spans="2:14" ht="21.95" customHeight="1" x14ac:dyDescent="0.25">
      <c r="B242" s="30"/>
      <c r="C242" s="14" t="str">
        <f t="shared" si="12"/>
        <v/>
      </c>
      <c r="D242" s="11"/>
      <c r="E242" s="14" t="str">
        <f>IF(D242="","",IFERROR(VLOOKUP(D242,Categorias!$B$5:$C$200,2,FALSE),"Revisar"))</f>
        <v/>
      </c>
      <c r="F242" s="11"/>
      <c r="G242" s="31"/>
      <c r="H242" s="32">
        <f t="shared" si="13"/>
        <v>0</v>
      </c>
      <c r="I242" s="32">
        <f t="shared" si="14"/>
        <v>0</v>
      </c>
      <c r="J242" s="32">
        <f t="shared" si="15"/>
        <v>0</v>
      </c>
      <c r="K242" s="11"/>
      <c r="M242" s="12"/>
      <c r="N242" s="12"/>
    </row>
    <row r="243" spans="2:14" ht="21.95" customHeight="1" x14ac:dyDescent="0.25">
      <c r="B243" s="30"/>
      <c r="C243" s="14" t="str">
        <f t="shared" si="12"/>
        <v/>
      </c>
      <c r="D243" s="11"/>
      <c r="E243" s="14" t="str">
        <f>IF(D243="","",IFERROR(VLOOKUP(D243,Categorias!$B$5:$C$200,2,FALSE),"Revisar"))</f>
        <v/>
      </c>
      <c r="F243" s="11"/>
      <c r="G243" s="31"/>
      <c r="H243" s="32">
        <f t="shared" si="13"/>
        <v>0</v>
      </c>
      <c r="I243" s="32">
        <f t="shared" si="14"/>
        <v>0</v>
      </c>
      <c r="J243" s="32">
        <f t="shared" si="15"/>
        <v>0</v>
      </c>
      <c r="K243" s="11"/>
      <c r="M243" s="12"/>
      <c r="N243" s="12"/>
    </row>
    <row r="244" spans="2:14" ht="21.95" customHeight="1" x14ac:dyDescent="0.25">
      <c r="B244" s="30"/>
      <c r="C244" s="14" t="str">
        <f t="shared" si="12"/>
        <v/>
      </c>
      <c r="D244" s="11"/>
      <c r="E244" s="14" t="str">
        <f>IF(D244="","",IFERROR(VLOOKUP(D244,Categorias!$B$5:$C$200,2,FALSE),"Revisar"))</f>
        <v/>
      </c>
      <c r="F244" s="11"/>
      <c r="G244" s="31"/>
      <c r="H244" s="32">
        <f t="shared" si="13"/>
        <v>0</v>
      </c>
      <c r="I244" s="32">
        <f t="shared" si="14"/>
        <v>0</v>
      </c>
      <c r="J244" s="32">
        <f t="shared" si="15"/>
        <v>0</v>
      </c>
      <c r="K244" s="11"/>
      <c r="M244" s="12"/>
      <c r="N244" s="12"/>
    </row>
    <row r="245" spans="2:14" ht="21.95" customHeight="1" x14ac:dyDescent="0.25">
      <c r="B245" s="30"/>
      <c r="C245" s="14" t="str">
        <f t="shared" si="12"/>
        <v/>
      </c>
      <c r="D245" s="11"/>
      <c r="E245" s="14" t="str">
        <f>IF(D245="","",IFERROR(VLOOKUP(D245,Categorias!$B$5:$C$200,2,FALSE),"Revisar"))</f>
        <v/>
      </c>
      <c r="F245" s="11"/>
      <c r="G245" s="31"/>
      <c r="H245" s="32">
        <f t="shared" si="13"/>
        <v>0</v>
      </c>
      <c r="I245" s="32">
        <f t="shared" si="14"/>
        <v>0</v>
      </c>
      <c r="J245" s="32">
        <f t="shared" si="15"/>
        <v>0</v>
      </c>
      <c r="K245" s="11"/>
      <c r="M245" s="12"/>
      <c r="N245" s="12"/>
    </row>
    <row r="246" spans="2:14" ht="21.95" customHeight="1" x14ac:dyDescent="0.25">
      <c r="B246" s="30"/>
      <c r="C246" s="14" t="str">
        <f t="shared" si="12"/>
        <v/>
      </c>
      <c r="D246" s="11"/>
      <c r="E246" s="14" t="str">
        <f>IF(D246="","",IFERROR(VLOOKUP(D246,Categorias!$B$5:$C$200,2,FALSE),"Revisar"))</f>
        <v/>
      </c>
      <c r="F246" s="11"/>
      <c r="G246" s="31"/>
      <c r="H246" s="32">
        <f t="shared" si="13"/>
        <v>0</v>
      </c>
      <c r="I246" s="32">
        <f t="shared" si="14"/>
        <v>0</v>
      </c>
      <c r="J246" s="32">
        <f t="shared" si="15"/>
        <v>0</v>
      </c>
      <c r="K246" s="11"/>
      <c r="M246" s="12"/>
      <c r="N246" s="12"/>
    </row>
    <row r="247" spans="2:14" ht="21.95" customHeight="1" x14ac:dyDescent="0.25">
      <c r="B247" s="30"/>
      <c r="C247" s="14" t="str">
        <f t="shared" si="12"/>
        <v/>
      </c>
      <c r="D247" s="11"/>
      <c r="E247" s="14" t="str">
        <f>IF(D247="","",IFERROR(VLOOKUP(D247,Categorias!$B$5:$C$200,2,FALSE),"Revisar"))</f>
        <v/>
      </c>
      <c r="F247" s="11"/>
      <c r="G247" s="31"/>
      <c r="H247" s="32">
        <f t="shared" si="13"/>
        <v>0</v>
      </c>
      <c r="I247" s="32">
        <f t="shared" si="14"/>
        <v>0</v>
      </c>
      <c r="J247" s="32">
        <f t="shared" si="15"/>
        <v>0</v>
      </c>
      <c r="K247" s="11"/>
      <c r="M247" s="12"/>
      <c r="N247" s="12"/>
    </row>
    <row r="248" spans="2:14" ht="21.95" customHeight="1" x14ac:dyDescent="0.25">
      <c r="B248" s="30"/>
      <c r="C248" s="14" t="str">
        <f t="shared" si="12"/>
        <v/>
      </c>
      <c r="D248" s="11"/>
      <c r="E248" s="14" t="str">
        <f>IF(D248="","",IFERROR(VLOOKUP(D248,Categorias!$B$5:$C$200,2,FALSE),"Revisar"))</f>
        <v/>
      </c>
      <c r="F248" s="11"/>
      <c r="G248" s="31"/>
      <c r="H248" s="32">
        <f t="shared" si="13"/>
        <v>0</v>
      </c>
      <c r="I248" s="32">
        <f t="shared" si="14"/>
        <v>0</v>
      </c>
      <c r="J248" s="32">
        <f t="shared" si="15"/>
        <v>0</v>
      </c>
      <c r="K248" s="11"/>
      <c r="M248" s="12"/>
      <c r="N248" s="12"/>
    </row>
    <row r="249" spans="2:14" ht="21.95" customHeight="1" x14ac:dyDescent="0.25">
      <c r="B249" s="30"/>
      <c r="C249" s="14" t="str">
        <f t="shared" si="12"/>
        <v/>
      </c>
      <c r="D249" s="11"/>
      <c r="E249" s="14" t="str">
        <f>IF(D249="","",IFERROR(VLOOKUP(D249,Categorias!$B$5:$C$200,2,FALSE),"Revisar"))</f>
        <v/>
      </c>
      <c r="F249" s="11"/>
      <c r="G249" s="31"/>
      <c r="H249" s="32">
        <f t="shared" si="13"/>
        <v>0</v>
      </c>
      <c r="I249" s="32">
        <f t="shared" si="14"/>
        <v>0</v>
      </c>
      <c r="J249" s="32">
        <f t="shared" si="15"/>
        <v>0</v>
      </c>
      <c r="K249" s="11"/>
      <c r="M249" s="12"/>
      <c r="N249" s="12"/>
    </row>
    <row r="250" spans="2:14" ht="21.95" customHeight="1" x14ac:dyDescent="0.25">
      <c r="B250" s="30"/>
      <c r="C250" s="14" t="str">
        <f t="shared" si="12"/>
        <v/>
      </c>
      <c r="D250" s="11"/>
      <c r="E250" s="14" t="str">
        <f>IF(D250="","",IFERROR(VLOOKUP(D250,Categorias!$B$5:$C$200,2,FALSE),"Revisar"))</f>
        <v/>
      </c>
      <c r="F250" s="11"/>
      <c r="G250" s="31"/>
      <c r="H250" s="32">
        <f t="shared" si="13"/>
        <v>0</v>
      </c>
      <c r="I250" s="32">
        <f t="shared" si="14"/>
        <v>0</v>
      </c>
      <c r="J250" s="32">
        <f t="shared" si="15"/>
        <v>0</v>
      </c>
      <c r="K250" s="11"/>
      <c r="M250" s="12"/>
      <c r="N250" s="12"/>
    </row>
    <row r="251" spans="2:14" ht="21.95" customHeight="1" x14ac:dyDescent="0.25">
      <c r="B251" s="30"/>
      <c r="C251" s="14" t="str">
        <f t="shared" si="12"/>
        <v/>
      </c>
      <c r="D251" s="11"/>
      <c r="E251" s="14" t="str">
        <f>IF(D251="","",IFERROR(VLOOKUP(D251,Categorias!$B$5:$C$200,2,FALSE),"Revisar"))</f>
        <v/>
      </c>
      <c r="F251" s="11"/>
      <c r="G251" s="31"/>
      <c r="H251" s="32">
        <f t="shared" si="13"/>
        <v>0</v>
      </c>
      <c r="I251" s="32">
        <f t="shared" si="14"/>
        <v>0</v>
      </c>
      <c r="J251" s="32">
        <f t="shared" si="15"/>
        <v>0</v>
      </c>
      <c r="K251" s="11"/>
      <c r="M251" s="12"/>
      <c r="N251" s="12"/>
    </row>
    <row r="252" spans="2:14" ht="21.95" customHeight="1" x14ac:dyDescent="0.25">
      <c r="B252" s="30"/>
      <c r="C252" s="14" t="str">
        <f t="shared" si="12"/>
        <v/>
      </c>
      <c r="D252" s="11"/>
      <c r="E252" s="14" t="str">
        <f>IF(D252="","",IFERROR(VLOOKUP(D252,Categorias!$B$5:$C$200,2,FALSE),"Revisar"))</f>
        <v/>
      </c>
      <c r="F252" s="11"/>
      <c r="G252" s="31"/>
      <c r="H252" s="32">
        <f t="shared" si="13"/>
        <v>0</v>
      </c>
      <c r="I252" s="32">
        <f t="shared" si="14"/>
        <v>0</v>
      </c>
      <c r="J252" s="32">
        <f t="shared" si="15"/>
        <v>0</v>
      </c>
      <c r="K252" s="11"/>
      <c r="M252" s="12"/>
      <c r="N252" s="12"/>
    </row>
    <row r="253" spans="2:14" ht="21.95" customHeight="1" x14ac:dyDescent="0.25">
      <c r="B253" s="30"/>
      <c r="C253" s="14" t="str">
        <f t="shared" si="12"/>
        <v/>
      </c>
      <c r="D253" s="11"/>
      <c r="E253" s="14" t="str">
        <f>IF(D253="","",IFERROR(VLOOKUP(D253,Categorias!$B$5:$C$200,2,FALSE),"Revisar"))</f>
        <v/>
      </c>
      <c r="F253" s="11"/>
      <c r="G253" s="31"/>
      <c r="H253" s="32">
        <f t="shared" si="13"/>
        <v>0</v>
      </c>
      <c r="I253" s="32">
        <f t="shared" si="14"/>
        <v>0</v>
      </c>
      <c r="J253" s="32">
        <f t="shared" si="15"/>
        <v>0</v>
      </c>
      <c r="K253" s="11"/>
      <c r="M253" s="12"/>
      <c r="N253" s="12"/>
    </row>
    <row r="254" spans="2:14" ht="21.95" customHeight="1" x14ac:dyDescent="0.25">
      <c r="B254" s="30"/>
      <c r="C254" s="14" t="str">
        <f t="shared" si="12"/>
        <v/>
      </c>
      <c r="D254" s="11"/>
      <c r="E254" s="14" t="str">
        <f>IF(D254="","",IFERROR(VLOOKUP(D254,Categorias!$B$5:$C$200,2,FALSE),"Revisar"))</f>
        <v/>
      </c>
      <c r="F254" s="11"/>
      <c r="G254" s="31"/>
      <c r="H254" s="32">
        <f t="shared" si="13"/>
        <v>0</v>
      </c>
      <c r="I254" s="32">
        <f t="shared" si="14"/>
        <v>0</v>
      </c>
      <c r="J254" s="32">
        <f t="shared" si="15"/>
        <v>0</v>
      </c>
      <c r="K254" s="11"/>
      <c r="M254" s="12"/>
      <c r="N254" s="12"/>
    </row>
    <row r="255" spans="2:14" ht="21.95" customHeight="1" x14ac:dyDescent="0.25">
      <c r="B255" s="30"/>
      <c r="C255" s="14" t="str">
        <f t="shared" si="12"/>
        <v/>
      </c>
      <c r="D255" s="11"/>
      <c r="E255" s="14" t="str">
        <f>IF(D255="","",IFERROR(VLOOKUP(D255,Categorias!$B$5:$C$200,2,FALSE),"Revisar"))</f>
        <v/>
      </c>
      <c r="F255" s="11"/>
      <c r="G255" s="31"/>
      <c r="H255" s="32">
        <f t="shared" si="13"/>
        <v>0</v>
      </c>
      <c r="I255" s="32">
        <f t="shared" si="14"/>
        <v>0</v>
      </c>
      <c r="J255" s="32">
        <f t="shared" si="15"/>
        <v>0</v>
      </c>
      <c r="K255" s="11"/>
      <c r="M255" s="12"/>
      <c r="N255" s="12"/>
    </row>
    <row r="256" spans="2:14" ht="21.95" customHeight="1" x14ac:dyDescent="0.25">
      <c r="B256" s="30"/>
      <c r="C256" s="14" t="str">
        <f t="shared" si="12"/>
        <v/>
      </c>
      <c r="D256" s="11"/>
      <c r="E256" s="14" t="str">
        <f>IF(D256="","",IFERROR(VLOOKUP(D256,Categorias!$B$5:$C$200,2,FALSE),"Revisar"))</f>
        <v/>
      </c>
      <c r="F256" s="11"/>
      <c r="G256" s="31"/>
      <c r="H256" s="32">
        <f t="shared" si="13"/>
        <v>0</v>
      </c>
      <c r="I256" s="32">
        <f t="shared" si="14"/>
        <v>0</v>
      </c>
      <c r="J256" s="32">
        <f t="shared" si="15"/>
        <v>0</v>
      </c>
      <c r="K256" s="11"/>
      <c r="M256" s="12"/>
      <c r="N256" s="12"/>
    </row>
    <row r="257" spans="2:14" ht="21.95" customHeight="1" x14ac:dyDescent="0.25">
      <c r="B257" s="30"/>
      <c r="C257" s="14" t="str">
        <f t="shared" si="12"/>
        <v/>
      </c>
      <c r="D257" s="11"/>
      <c r="E257" s="14" t="str">
        <f>IF(D257="","",IFERROR(VLOOKUP(D257,Categorias!$B$5:$C$200,2,FALSE),"Revisar"))</f>
        <v/>
      </c>
      <c r="F257" s="11"/>
      <c r="G257" s="31"/>
      <c r="H257" s="32">
        <f t="shared" si="13"/>
        <v>0</v>
      </c>
      <c r="I257" s="32">
        <f t="shared" si="14"/>
        <v>0</v>
      </c>
      <c r="J257" s="32">
        <f t="shared" si="15"/>
        <v>0</v>
      </c>
      <c r="K257" s="11"/>
      <c r="M257" s="12"/>
      <c r="N257" s="12"/>
    </row>
    <row r="258" spans="2:14" ht="21.95" customHeight="1" x14ac:dyDescent="0.25">
      <c r="B258" s="30"/>
      <c r="C258" s="14" t="str">
        <f t="shared" si="12"/>
        <v/>
      </c>
      <c r="D258" s="11"/>
      <c r="E258" s="14" t="str">
        <f>IF(D258="","",IFERROR(VLOOKUP(D258,Categorias!$B$5:$C$200,2,FALSE),"Revisar"))</f>
        <v/>
      </c>
      <c r="F258" s="11"/>
      <c r="G258" s="31"/>
      <c r="H258" s="32">
        <f t="shared" si="13"/>
        <v>0</v>
      </c>
      <c r="I258" s="32">
        <f t="shared" si="14"/>
        <v>0</v>
      </c>
      <c r="J258" s="32">
        <f t="shared" si="15"/>
        <v>0</v>
      </c>
      <c r="K258" s="11"/>
      <c r="M258" s="12"/>
      <c r="N258" s="12"/>
    </row>
    <row r="259" spans="2:14" ht="21.95" customHeight="1" x14ac:dyDescent="0.25">
      <c r="B259" s="30"/>
      <c r="C259" s="14" t="str">
        <f t="shared" si="12"/>
        <v/>
      </c>
      <c r="D259" s="11"/>
      <c r="E259" s="14" t="str">
        <f>IF(D259="","",IFERROR(VLOOKUP(D259,Categorias!$B$5:$C$200,2,FALSE),"Revisar"))</f>
        <v/>
      </c>
      <c r="F259" s="11"/>
      <c r="G259" s="31"/>
      <c r="H259" s="32">
        <f t="shared" si="13"/>
        <v>0</v>
      </c>
      <c r="I259" s="32">
        <f t="shared" si="14"/>
        <v>0</v>
      </c>
      <c r="J259" s="32">
        <f t="shared" si="15"/>
        <v>0</v>
      </c>
      <c r="K259" s="11"/>
      <c r="M259" s="12"/>
      <c r="N259" s="12"/>
    </row>
    <row r="260" spans="2:14" ht="21.95" customHeight="1" x14ac:dyDescent="0.25">
      <c r="B260" s="30"/>
      <c r="C260" s="14" t="str">
        <f t="shared" si="12"/>
        <v/>
      </c>
      <c r="D260" s="11"/>
      <c r="E260" s="14" t="str">
        <f>IF(D260="","",IFERROR(VLOOKUP(D260,Categorias!$B$5:$C$200,2,FALSE),"Revisar"))</f>
        <v/>
      </c>
      <c r="F260" s="11"/>
      <c r="G260" s="31"/>
      <c r="H260" s="32">
        <f t="shared" si="13"/>
        <v>0</v>
      </c>
      <c r="I260" s="32">
        <f t="shared" si="14"/>
        <v>0</v>
      </c>
      <c r="J260" s="32">
        <f t="shared" si="15"/>
        <v>0</v>
      </c>
      <c r="K260" s="11"/>
      <c r="M260" s="12"/>
      <c r="N260" s="12"/>
    </row>
    <row r="261" spans="2:14" ht="21.95" customHeight="1" x14ac:dyDescent="0.25">
      <c r="B261" s="30"/>
      <c r="C261" s="14" t="str">
        <f t="shared" si="12"/>
        <v/>
      </c>
      <c r="D261" s="11"/>
      <c r="E261" s="14" t="str">
        <f>IF(D261="","",IFERROR(VLOOKUP(D261,Categorias!$B$5:$C$200,2,FALSE),"Revisar"))</f>
        <v/>
      </c>
      <c r="F261" s="11"/>
      <c r="G261" s="31"/>
      <c r="H261" s="32">
        <f t="shared" si="13"/>
        <v>0</v>
      </c>
      <c r="I261" s="32">
        <f t="shared" si="14"/>
        <v>0</v>
      </c>
      <c r="J261" s="32">
        <f t="shared" si="15"/>
        <v>0</v>
      </c>
      <c r="K261" s="11"/>
      <c r="M261" s="12"/>
      <c r="N261" s="12"/>
    </row>
    <row r="262" spans="2:14" ht="21.95" customHeight="1" x14ac:dyDescent="0.25">
      <c r="B262" s="30"/>
      <c r="C262" s="14" t="str">
        <f t="shared" si="12"/>
        <v/>
      </c>
      <c r="D262" s="11"/>
      <c r="E262" s="14" t="str">
        <f>IF(D262="","",IFERROR(VLOOKUP(D262,Categorias!$B$5:$C$200,2,FALSE),"Revisar"))</f>
        <v/>
      </c>
      <c r="F262" s="11"/>
      <c r="G262" s="31"/>
      <c r="H262" s="32">
        <f t="shared" si="13"/>
        <v>0</v>
      </c>
      <c r="I262" s="32">
        <f t="shared" si="14"/>
        <v>0</v>
      </c>
      <c r="J262" s="32">
        <f t="shared" si="15"/>
        <v>0</v>
      </c>
      <c r="K262" s="11"/>
      <c r="M262" s="12"/>
      <c r="N262" s="12"/>
    </row>
    <row r="263" spans="2:14" ht="21.95" customHeight="1" x14ac:dyDescent="0.25">
      <c r="B263" s="30"/>
      <c r="C263" s="14" t="str">
        <f t="shared" si="12"/>
        <v/>
      </c>
      <c r="D263" s="11"/>
      <c r="E263" s="14" t="str">
        <f>IF(D263="","",IFERROR(VLOOKUP(D263,Categorias!$B$5:$C$200,2,FALSE),"Revisar"))</f>
        <v/>
      </c>
      <c r="F263" s="11"/>
      <c r="G263" s="31"/>
      <c r="H263" s="32">
        <f t="shared" si="13"/>
        <v>0</v>
      </c>
      <c r="I263" s="32">
        <f t="shared" si="14"/>
        <v>0</v>
      </c>
      <c r="J263" s="32">
        <f t="shared" si="15"/>
        <v>0</v>
      </c>
      <c r="K263" s="11"/>
      <c r="M263" s="12"/>
      <c r="N263" s="12"/>
    </row>
    <row r="264" spans="2:14" ht="21.95" customHeight="1" x14ac:dyDescent="0.25">
      <c r="B264" s="30"/>
      <c r="C264" s="14" t="str">
        <f t="shared" si="12"/>
        <v/>
      </c>
      <c r="D264" s="11"/>
      <c r="E264" s="14" t="str">
        <f>IF(D264="","",IFERROR(VLOOKUP(D264,Categorias!$B$5:$C$200,2,FALSE),"Revisar"))</f>
        <v/>
      </c>
      <c r="F264" s="11"/>
      <c r="G264" s="31"/>
      <c r="H264" s="32">
        <f t="shared" si="13"/>
        <v>0</v>
      </c>
      <c r="I264" s="32">
        <f t="shared" si="14"/>
        <v>0</v>
      </c>
      <c r="J264" s="32">
        <f t="shared" si="15"/>
        <v>0</v>
      </c>
      <c r="K264" s="11"/>
      <c r="M264" s="12"/>
      <c r="N264" s="12"/>
    </row>
    <row r="265" spans="2:14" ht="21.95" customHeight="1" x14ac:dyDescent="0.25">
      <c r="B265" s="30"/>
      <c r="C265" s="14" t="str">
        <f t="shared" ref="C265:C328" si="16">IF(B265="","",CHOOSE(MONTH(B265),"Enero","Febrero","Marzo","Abril","Mayo","Junio","Julio","Agosto","Septiembre","Octubre","Noviembre","Diciembre"))</f>
        <v/>
      </c>
      <c r="D265" s="11"/>
      <c r="E265" s="14" t="str">
        <f>IF(D265="","",IFERROR(VLOOKUP(D265,Categorias!$B$5:$C$200,2,FALSE),"Revisar"))</f>
        <v/>
      </c>
      <c r="F265" s="11"/>
      <c r="G265" s="31"/>
      <c r="H265" s="32">
        <f t="shared" ref="H265:H328" si="17">IF($E265="Ingreso",$G265,0)</f>
        <v>0</v>
      </c>
      <c r="I265" s="32">
        <f t="shared" ref="I265:I328" si="18">IF($E265="Gasto",$G265,0)</f>
        <v>0</v>
      </c>
      <c r="J265" s="32">
        <f t="shared" ref="J265:J328" si="19">IF($E265="Reserva",$G265,0)</f>
        <v>0</v>
      </c>
      <c r="K265" s="11"/>
      <c r="M265" s="12"/>
      <c r="N265" s="12"/>
    </row>
    <row r="266" spans="2:14" ht="21.95" customHeight="1" x14ac:dyDescent="0.25">
      <c r="B266" s="30"/>
      <c r="C266" s="14" t="str">
        <f t="shared" si="16"/>
        <v/>
      </c>
      <c r="D266" s="11"/>
      <c r="E266" s="14" t="str">
        <f>IF(D266="","",IFERROR(VLOOKUP(D266,Categorias!$B$5:$C$200,2,FALSE),"Revisar"))</f>
        <v/>
      </c>
      <c r="F266" s="11"/>
      <c r="G266" s="31"/>
      <c r="H266" s="32">
        <f t="shared" si="17"/>
        <v>0</v>
      </c>
      <c r="I266" s="32">
        <f t="shared" si="18"/>
        <v>0</v>
      </c>
      <c r="J266" s="32">
        <f t="shared" si="19"/>
        <v>0</v>
      </c>
      <c r="K266" s="11"/>
      <c r="M266" s="12"/>
      <c r="N266" s="12"/>
    </row>
    <row r="267" spans="2:14" ht="21.95" customHeight="1" x14ac:dyDescent="0.25">
      <c r="B267" s="30"/>
      <c r="C267" s="14" t="str">
        <f t="shared" si="16"/>
        <v/>
      </c>
      <c r="D267" s="11"/>
      <c r="E267" s="14" t="str">
        <f>IF(D267="","",IFERROR(VLOOKUP(D267,Categorias!$B$5:$C$200,2,FALSE),"Revisar"))</f>
        <v/>
      </c>
      <c r="F267" s="11"/>
      <c r="G267" s="31"/>
      <c r="H267" s="32">
        <f t="shared" si="17"/>
        <v>0</v>
      </c>
      <c r="I267" s="32">
        <f t="shared" si="18"/>
        <v>0</v>
      </c>
      <c r="J267" s="32">
        <f t="shared" si="19"/>
        <v>0</v>
      </c>
      <c r="K267" s="11"/>
      <c r="M267" s="12"/>
      <c r="N267" s="12"/>
    </row>
    <row r="268" spans="2:14" ht="21.95" customHeight="1" x14ac:dyDescent="0.25">
      <c r="B268" s="30"/>
      <c r="C268" s="14" t="str">
        <f t="shared" si="16"/>
        <v/>
      </c>
      <c r="D268" s="11"/>
      <c r="E268" s="14" t="str">
        <f>IF(D268="","",IFERROR(VLOOKUP(D268,Categorias!$B$5:$C$200,2,FALSE),"Revisar"))</f>
        <v/>
      </c>
      <c r="F268" s="11"/>
      <c r="G268" s="31"/>
      <c r="H268" s="32">
        <f t="shared" si="17"/>
        <v>0</v>
      </c>
      <c r="I268" s="32">
        <f t="shared" si="18"/>
        <v>0</v>
      </c>
      <c r="J268" s="32">
        <f t="shared" si="19"/>
        <v>0</v>
      </c>
      <c r="K268" s="11"/>
      <c r="M268" s="12"/>
      <c r="N268" s="12"/>
    </row>
    <row r="269" spans="2:14" ht="21.95" customHeight="1" x14ac:dyDescent="0.25">
      <c r="B269" s="30"/>
      <c r="C269" s="14" t="str">
        <f t="shared" si="16"/>
        <v/>
      </c>
      <c r="D269" s="11"/>
      <c r="E269" s="14" t="str">
        <f>IF(D269="","",IFERROR(VLOOKUP(D269,Categorias!$B$5:$C$200,2,FALSE),"Revisar"))</f>
        <v/>
      </c>
      <c r="F269" s="11"/>
      <c r="G269" s="31"/>
      <c r="H269" s="32">
        <f t="shared" si="17"/>
        <v>0</v>
      </c>
      <c r="I269" s="32">
        <f t="shared" si="18"/>
        <v>0</v>
      </c>
      <c r="J269" s="32">
        <f t="shared" si="19"/>
        <v>0</v>
      </c>
      <c r="K269" s="11"/>
      <c r="M269" s="12"/>
      <c r="N269" s="12"/>
    </row>
    <row r="270" spans="2:14" ht="21.95" customHeight="1" x14ac:dyDescent="0.25">
      <c r="B270" s="30"/>
      <c r="C270" s="14" t="str">
        <f t="shared" si="16"/>
        <v/>
      </c>
      <c r="D270" s="11"/>
      <c r="E270" s="14" t="str">
        <f>IF(D270="","",IFERROR(VLOOKUP(D270,Categorias!$B$5:$C$200,2,FALSE),"Revisar"))</f>
        <v/>
      </c>
      <c r="F270" s="11"/>
      <c r="G270" s="31"/>
      <c r="H270" s="32">
        <f t="shared" si="17"/>
        <v>0</v>
      </c>
      <c r="I270" s="32">
        <f t="shared" si="18"/>
        <v>0</v>
      </c>
      <c r="J270" s="32">
        <f t="shared" si="19"/>
        <v>0</v>
      </c>
      <c r="K270" s="11"/>
      <c r="M270" s="12"/>
      <c r="N270" s="12"/>
    </row>
    <row r="271" spans="2:14" ht="21.95" customHeight="1" x14ac:dyDescent="0.25">
      <c r="B271" s="30"/>
      <c r="C271" s="14" t="str">
        <f t="shared" si="16"/>
        <v/>
      </c>
      <c r="D271" s="11"/>
      <c r="E271" s="14" t="str">
        <f>IF(D271="","",IFERROR(VLOOKUP(D271,Categorias!$B$5:$C$200,2,FALSE),"Revisar"))</f>
        <v/>
      </c>
      <c r="F271" s="11"/>
      <c r="G271" s="31"/>
      <c r="H271" s="32">
        <f t="shared" si="17"/>
        <v>0</v>
      </c>
      <c r="I271" s="32">
        <f t="shared" si="18"/>
        <v>0</v>
      </c>
      <c r="J271" s="32">
        <f t="shared" si="19"/>
        <v>0</v>
      </c>
      <c r="K271" s="11"/>
      <c r="M271" s="12"/>
      <c r="N271" s="12"/>
    </row>
    <row r="272" spans="2:14" ht="21.95" customHeight="1" x14ac:dyDescent="0.25">
      <c r="B272" s="30"/>
      <c r="C272" s="14" t="str">
        <f t="shared" si="16"/>
        <v/>
      </c>
      <c r="D272" s="11"/>
      <c r="E272" s="14" t="str">
        <f>IF(D272="","",IFERROR(VLOOKUP(D272,Categorias!$B$5:$C$200,2,FALSE),"Revisar"))</f>
        <v/>
      </c>
      <c r="F272" s="11"/>
      <c r="G272" s="31"/>
      <c r="H272" s="32">
        <f t="shared" si="17"/>
        <v>0</v>
      </c>
      <c r="I272" s="32">
        <f t="shared" si="18"/>
        <v>0</v>
      </c>
      <c r="J272" s="32">
        <f t="shared" si="19"/>
        <v>0</v>
      </c>
      <c r="K272" s="11"/>
      <c r="M272" s="12"/>
      <c r="N272" s="12"/>
    </row>
    <row r="273" spans="2:14" ht="21.95" customHeight="1" x14ac:dyDescent="0.25">
      <c r="B273" s="30"/>
      <c r="C273" s="14" t="str">
        <f t="shared" si="16"/>
        <v/>
      </c>
      <c r="D273" s="11"/>
      <c r="E273" s="14" t="str">
        <f>IF(D273="","",IFERROR(VLOOKUP(D273,Categorias!$B$5:$C$200,2,FALSE),"Revisar"))</f>
        <v/>
      </c>
      <c r="F273" s="11"/>
      <c r="G273" s="31"/>
      <c r="H273" s="32">
        <f t="shared" si="17"/>
        <v>0</v>
      </c>
      <c r="I273" s="32">
        <f t="shared" si="18"/>
        <v>0</v>
      </c>
      <c r="J273" s="32">
        <f t="shared" si="19"/>
        <v>0</v>
      </c>
      <c r="K273" s="11"/>
      <c r="M273" s="12"/>
      <c r="N273" s="12"/>
    </row>
    <row r="274" spans="2:14" ht="21.95" customHeight="1" x14ac:dyDescent="0.25">
      <c r="B274" s="30"/>
      <c r="C274" s="14" t="str">
        <f t="shared" si="16"/>
        <v/>
      </c>
      <c r="D274" s="11"/>
      <c r="E274" s="14" t="str">
        <f>IF(D274="","",IFERROR(VLOOKUP(D274,Categorias!$B$5:$C$200,2,FALSE),"Revisar"))</f>
        <v/>
      </c>
      <c r="F274" s="11"/>
      <c r="G274" s="31"/>
      <c r="H274" s="32">
        <f t="shared" si="17"/>
        <v>0</v>
      </c>
      <c r="I274" s="32">
        <f t="shared" si="18"/>
        <v>0</v>
      </c>
      <c r="J274" s="32">
        <f t="shared" si="19"/>
        <v>0</v>
      </c>
      <c r="K274" s="11"/>
      <c r="M274" s="12"/>
      <c r="N274" s="12"/>
    </row>
    <row r="275" spans="2:14" ht="21.95" customHeight="1" x14ac:dyDescent="0.25">
      <c r="B275" s="30"/>
      <c r="C275" s="14" t="str">
        <f t="shared" si="16"/>
        <v/>
      </c>
      <c r="D275" s="11"/>
      <c r="E275" s="14" t="str">
        <f>IF(D275="","",IFERROR(VLOOKUP(D275,Categorias!$B$5:$C$200,2,FALSE),"Revisar"))</f>
        <v/>
      </c>
      <c r="F275" s="11"/>
      <c r="G275" s="31"/>
      <c r="H275" s="32">
        <f t="shared" si="17"/>
        <v>0</v>
      </c>
      <c r="I275" s="32">
        <f t="shared" si="18"/>
        <v>0</v>
      </c>
      <c r="J275" s="32">
        <f t="shared" si="19"/>
        <v>0</v>
      </c>
      <c r="K275" s="11"/>
      <c r="M275" s="12"/>
      <c r="N275" s="12"/>
    </row>
    <row r="276" spans="2:14" ht="21.95" customHeight="1" x14ac:dyDescent="0.25">
      <c r="B276" s="30"/>
      <c r="C276" s="14" t="str">
        <f t="shared" si="16"/>
        <v/>
      </c>
      <c r="D276" s="11"/>
      <c r="E276" s="14" t="str">
        <f>IF(D276="","",IFERROR(VLOOKUP(D276,Categorias!$B$5:$C$200,2,FALSE),"Revisar"))</f>
        <v/>
      </c>
      <c r="F276" s="11"/>
      <c r="G276" s="31"/>
      <c r="H276" s="32">
        <f t="shared" si="17"/>
        <v>0</v>
      </c>
      <c r="I276" s="32">
        <f t="shared" si="18"/>
        <v>0</v>
      </c>
      <c r="J276" s="32">
        <f t="shared" si="19"/>
        <v>0</v>
      </c>
      <c r="K276" s="11"/>
      <c r="M276" s="12"/>
      <c r="N276" s="12"/>
    </row>
    <row r="277" spans="2:14" ht="21.95" customHeight="1" x14ac:dyDescent="0.25">
      <c r="B277" s="30"/>
      <c r="C277" s="14" t="str">
        <f t="shared" si="16"/>
        <v/>
      </c>
      <c r="D277" s="11"/>
      <c r="E277" s="14" t="str">
        <f>IF(D277="","",IFERROR(VLOOKUP(D277,Categorias!$B$5:$C$200,2,FALSE),"Revisar"))</f>
        <v/>
      </c>
      <c r="F277" s="11"/>
      <c r="G277" s="31"/>
      <c r="H277" s="32">
        <f t="shared" si="17"/>
        <v>0</v>
      </c>
      <c r="I277" s="32">
        <f t="shared" si="18"/>
        <v>0</v>
      </c>
      <c r="J277" s="32">
        <f t="shared" si="19"/>
        <v>0</v>
      </c>
      <c r="K277" s="11"/>
      <c r="M277" s="12"/>
      <c r="N277" s="12"/>
    </row>
    <row r="278" spans="2:14" ht="21.95" customHeight="1" x14ac:dyDescent="0.25">
      <c r="B278" s="30"/>
      <c r="C278" s="14" t="str">
        <f t="shared" si="16"/>
        <v/>
      </c>
      <c r="D278" s="11"/>
      <c r="E278" s="14" t="str">
        <f>IF(D278="","",IFERROR(VLOOKUP(D278,Categorias!$B$5:$C$200,2,FALSE),"Revisar"))</f>
        <v/>
      </c>
      <c r="F278" s="11"/>
      <c r="G278" s="31"/>
      <c r="H278" s="32">
        <f t="shared" si="17"/>
        <v>0</v>
      </c>
      <c r="I278" s="32">
        <f t="shared" si="18"/>
        <v>0</v>
      </c>
      <c r="J278" s="32">
        <f t="shared" si="19"/>
        <v>0</v>
      </c>
      <c r="K278" s="11"/>
      <c r="M278" s="12"/>
      <c r="N278" s="12"/>
    </row>
    <row r="279" spans="2:14" ht="21.95" customHeight="1" x14ac:dyDescent="0.25">
      <c r="B279" s="30"/>
      <c r="C279" s="14" t="str">
        <f t="shared" si="16"/>
        <v/>
      </c>
      <c r="D279" s="11"/>
      <c r="E279" s="14" t="str">
        <f>IF(D279="","",IFERROR(VLOOKUP(D279,Categorias!$B$5:$C$200,2,FALSE),"Revisar"))</f>
        <v/>
      </c>
      <c r="F279" s="11"/>
      <c r="G279" s="31"/>
      <c r="H279" s="32">
        <f t="shared" si="17"/>
        <v>0</v>
      </c>
      <c r="I279" s="32">
        <f t="shared" si="18"/>
        <v>0</v>
      </c>
      <c r="J279" s="32">
        <f t="shared" si="19"/>
        <v>0</v>
      </c>
      <c r="K279" s="11"/>
      <c r="M279" s="12"/>
      <c r="N279" s="12"/>
    </row>
    <row r="280" spans="2:14" ht="21.95" customHeight="1" x14ac:dyDescent="0.25">
      <c r="B280" s="30"/>
      <c r="C280" s="14" t="str">
        <f t="shared" si="16"/>
        <v/>
      </c>
      <c r="D280" s="11"/>
      <c r="E280" s="14" t="str">
        <f>IF(D280="","",IFERROR(VLOOKUP(D280,Categorias!$B$5:$C$200,2,FALSE),"Revisar"))</f>
        <v/>
      </c>
      <c r="F280" s="11"/>
      <c r="G280" s="31"/>
      <c r="H280" s="32">
        <f t="shared" si="17"/>
        <v>0</v>
      </c>
      <c r="I280" s="32">
        <f t="shared" si="18"/>
        <v>0</v>
      </c>
      <c r="J280" s="32">
        <f t="shared" si="19"/>
        <v>0</v>
      </c>
      <c r="K280" s="11"/>
      <c r="M280" s="12"/>
      <c r="N280" s="12"/>
    </row>
    <row r="281" spans="2:14" ht="21.95" customHeight="1" x14ac:dyDescent="0.25">
      <c r="B281" s="30"/>
      <c r="C281" s="14" t="str">
        <f t="shared" si="16"/>
        <v/>
      </c>
      <c r="D281" s="11"/>
      <c r="E281" s="14" t="str">
        <f>IF(D281="","",IFERROR(VLOOKUP(D281,Categorias!$B$5:$C$200,2,FALSE),"Revisar"))</f>
        <v/>
      </c>
      <c r="F281" s="11"/>
      <c r="G281" s="31"/>
      <c r="H281" s="32">
        <f t="shared" si="17"/>
        <v>0</v>
      </c>
      <c r="I281" s="32">
        <f t="shared" si="18"/>
        <v>0</v>
      </c>
      <c r="J281" s="32">
        <f t="shared" si="19"/>
        <v>0</v>
      </c>
      <c r="K281" s="11"/>
      <c r="M281" s="12"/>
      <c r="N281" s="12"/>
    </row>
    <row r="282" spans="2:14" ht="21.95" customHeight="1" x14ac:dyDescent="0.25">
      <c r="B282" s="30"/>
      <c r="C282" s="14" t="str">
        <f t="shared" si="16"/>
        <v/>
      </c>
      <c r="D282" s="11"/>
      <c r="E282" s="14" t="str">
        <f>IF(D282="","",IFERROR(VLOOKUP(D282,Categorias!$B$5:$C$200,2,FALSE),"Revisar"))</f>
        <v/>
      </c>
      <c r="F282" s="11"/>
      <c r="G282" s="31"/>
      <c r="H282" s="32">
        <f t="shared" si="17"/>
        <v>0</v>
      </c>
      <c r="I282" s="32">
        <f t="shared" si="18"/>
        <v>0</v>
      </c>
      <c r="J282" s="32">
        <f t="shared" si="19"/>
        <v>0</v>
      </c>
      <c r="K282" s="11"/>
      <c r="M282" s="12"/>
      <c r="N282" s="12"/>
    </row>
    <row r="283" spans="2:14" ht="21.95" customHeight="1" x14ac:dyDescent="0.25">
      <c r="B283" s="30"/>
      <c r="C283" s="14" t="str">
        <f t="shared" si="16"/>
        <v/>
      </c>
      <c r="D283" s="11"/>
      <c r="E283" s="14" t="str">
        <f>IF(D283="","",IFERROR(VLOOKUP(D283,Categorias!$B$5:$C$200,2,FALSE),"Revisar"))</f>
        <v/>
      </c>
      <c r="F283" s="11"/>
      <c r="G283" s="31"/>
      <c r="H283" s="32">
        <f t="shared" si="17"/>
        <v>0</v>
      </c>
      <c r="I283" s="32">
        <f t="shared" si="18"/>
        <v>0</v>
      </c>
      <c r="J283" s="32">
        <f t="shared" si="19"/>
        <v>0</v>
      </c>
      <c r="K283" s="11"/>
      <c r="M283" s="12"/>
      <c r="N283" s="12"/>
    </row>
    <row r="284" spans="2:14" ht="21.95" customHeight="1" x14ac:dyDescent="0.25">
      <c r="B284" s="30"/>
      <c r="C284" s="14" t="str">
        <f t="shared" si="16"/>
        <v/>
      </c>
      <c r="D284" s="11"/>
      <c r="E284" s="14" t="str">
        <f>IF(D284="","",IFERROR(VLOOKUP(D284,Categorias!$B$5:$C$200,2,FALSE),"Revisar"))</f>
        <v/>
      </c>
      <c r="F284" s="11"/>
      <c r="G284" s="31"/>
      <c r="H284" s="32">
        <f t="shared" si="17"/>
        <v>0</v>
      </c>
      <c r="I284" s="32">
        <f t="shared" si="18"/>
        <v>0</v>
      </c>
      <c r="J284" s="32">
        <f t="shared" si="19"/>
        <v>0</v>
      </c>
      <c r="K284" s="11"/>
      <c r="M284" s="12"/>
      <c r="N284" s="12"/>
    </row>
    <row r="285" spans="2:14" ht="21.95" customHeight="1" x14ac:dyDescent="0.25">
      <c r="B285" s="30"/>
      <c r="C285" s="14" t="str">
        <f t="shared" si="16"/>
        <v/>
      </c>
      <c r="D285" s="11"/>
      <c r="E285" s="14" t="str">
        <f>IF(D285="","",IFERROR(VLOOKUP(D285,Categorias!$B$5:$C$200,2,FALSE),"Revisar"))</f>
        <v/>
      </c>
      <c r="F285" s="11"/>
      <c r="G285" s="31"/>
      <c r="H285" s="32">
        <f t="shared" si="17"/>
        <v>0</v>
      </c>
      <c r="I285" s="32">
        <f t="shared" si="18"/>
        <v>0</v>
      </c>
      <c r="J285" s="32">
        <f t="shared" si="19"/>
        <v>0</v>
      </c>
      <c r="K285" s="11"/>
      <c r="M285" s="12"/>
      <c r="N285" s="12"/>
    </row>
    <row r="286" spans="2:14" ht="21.95" customHeight="1" x14ac:dyDescent="0.25">
      <c r="B286" s="30"/>
      <c r="C286" s="14" t="str">
        <f t="shared" si="16"/>
        <v/>
      </c>
      <c r="D286" s="11"/>
      <c r="E286" s="14" t="str">
        <f>IF(D286="","",IFERROR(VLOOKUP(D286,Categorias!$B$5:$C$200,2,FALSE),"Revisar"))</f>
        <v/>
      </c>
      <c r="F286" s="11"/>
      <c r="G286" s="31"/>
      <c r="H286" s="32">
        <f t="shared" si="17"/>
        <v>0</v>
      </c>
      <c r="I286" s="32">
        <f t="shared" si="18"/>
        <v>0</v>
      </c>
      <c r="J286" s="32">
        <f t="shared" si="19"/>
        <v>0</v>
      </c>
      <c r="K286" s="11"/>
      <c r="M286" s="12"/>
      <c r="N286" s="12"/>
    </row>
    <row r="287" spans="2:14" ht="21.95" customHeight="1" x14ac:dyDescent="0.25">
      <c r="B287" s="30"/>
      <c r="C287" s="14" t="str">
        <f t="shared" si="16"/>
        <v/>
      </c>
      <c r="D287" s="11"/>
      <c r="E287" s="14" t="str">
        <f>IF(D287="","",IFERROR(VLOOKUP(D287,Categorias!$B$5:$C$200,2,FALSE),"Revisar"))</f>
        <v/>
      </c>
      <c r="F287" s="11"/>
      <c r="G287" s="31"/>
      <c r="H287" s="32">
        <f t="shared" si="17"/>
        <v>0</v>
      </c>
      <c r="I287" s="32">
        <f t="shared" si="18"/>
        <v>0</v>
      </c>
      <c r="J287" s="32">
        <f t="shared" si="19"/>
        <v>0</v>
      </c>
      <c r="K287" s="11"/>
      <c r="M287" s="12"/>
      <c r="N287" s="12"/>
    </row>
    <row r="288" spans="2:14" ht="21.95" customHeight="1" x14ac:dyDescent="0.25">
      <c r="B288" s="30"/>
      <c r="C288" s="14" t="str">
        <f t="shared" si="16"/>
        <v/>
      </c>
      <c r="D288" s="11"/>
      <c r="E288" s="14" t="str">
        <f>IF(D288="","",IFERROR(VLOOKUP(D288,Categorias!$B$5:$C$200,2,FALSE),"Revisar"))</f>
        <v/>
      </c>
      <c r="F288" s="11"/>
      <c r="G288" s="31"/>
      <c r="H288" s="32">
        <f t="shared" si="17"/>
        <v>0</v>
      </c>
      <c r="I288" s="32">
        <f t="shared" si="18"/>
        <v>0</v>
      </c>
      <c r="J288" s="32">
        <f t="shared" si="19"/>
        <v>0</v>
      </c>
      <c r="K288" s="11"/>
      <c r="M288" s="12"/>
      <c r="N288" s="12"/>
    </row>
    <row r="289" spans="2:14" ht="21.95" customHeight="1" x14ac:dyDescent="0.25">
      <c r="B289" s="30"/>
      <c r="C289" s="14" t="str">
        <f t="shared" si="16"/>
        <v/>
      </c>
      <c r="D289" s="11"/>
      <c r="E289" s="14" t="str">
        <f>IF(D289="","",IFERROR(VLOOKUP(D289,Categorias!$B$5:$C$200,2,FALSE),"Revisar"))</f>
        <v/>
      </c>
      <c r="F289" s="11"/>
      <c r="G289" s="31"/>
      <c r="H289" s="32">
        <f t="shared" si="17"/>
        <v>0</v>
      </c>
      <c r="I289" s="32">
        <f t="shared" si="18"/>
        <v>0</v>
      </c>
      <c r="J289" s="32">
        <f t="shared" si="19"/>
        <v>0</v>
      </c>
      <c r="K289" s="11"/>
      <c r="M289" s="12"/>
      <c r="N289" s="12"/>
    </row>
    <row r="290" spans="2:14" ht="21.95" customHeight="1" x14ac:dyDescent="0.25">
      <c r="B290" s="30"/>
      <c r="C290" s="14" t="str">
        <f t="shared" si="16"/>
        <v/>
      </c>
      <c r="D290" s="11"/>
      <c r="E290" s="14" t="str">
        <f>IF(D290="","",IFERROR(VLOOKUP(D290,Categorias!$B$5:$C$200,2,FALSE),"Revisar"))</f>
        <v/>
      </c>
      <c r="F290" s="11"/>
      <c r="G290" s="31"/>
      <c r="H290" s="32">
        <f t="shared" si="17"/>
        <v>0</v>
      </c>
      <c r="I290" s="32">
        <f t="shared" si="18"/>
        <v>0</v>
      </c>
      <c r="J290" s="32">
        <f t="shared" si="19"/>
        <v>0</v>
      </c>
      <c r="K290" s="11"/>
      <c r="M290" s="12"/>
      <c r="N290" s="12"/>
    </row>
    <row r="291" spans="2:14" ht="21.95" customHeight="1" x14ac:dyDescent="0.25">
      <c r="B291" s="30"/>
      <c r="C291" s="14" t="str">
        <f t="shared" si="16"/>
        <v/>
      </c>
      <c r="D291" s="11"/>
      <c r="E291" s="14" t="str">
        <f>IF(D291="","",IFERROR(VLOOKUP(D291,Categorias!$B$5:$C$200,2,FALSE),"Revisar"))</f>
        <v/>
      </c>
      <c r="F291" s="11"/>
      <c r="G291" s="31"/>
      <c r="H291" s="32">
        <f t="shared" si="17"/>
        <v>0</v>
      </c>
      <c r="I291" s="32">
        <f t="shared" si="18"/>
        <v>0</v>
      </c>
      <c r="J291" s="32">
        <f t="shared" si="19"/>
        <v>0</v>
      </c>
      <c r="K291" s="11"/>
      <c r="M291" s="12"/>
      <c r="N291" s="12"/>
    </row>
    <row r="292" spans="2:14" ht="21.95" customHeight="1" x14ac:dyDescent="0.25">
      <c r="B292" s="30"/>
      <c r="C292" s="14" t="str">
        <f t="shared" si="16"/>
        <v/>
      </c>
      <c r="D292" s="11"/>
      <c r="E292" s="14" t="str">
        <f>IF(D292="","",IFERROR(VLOOKUP(D292,Categorias!$B$5:$C$200,2,FALSE),"Revisar"))</f>
        <v/>
      </c>
      <c r="F292" s="11"/>
      <c r="G292" s="31"/>
      <c r="H292" s="32">
        <f t="shared" si="17"/>
        <v>0</v>
      </c>
      <c r="I292" s="32">
        <f t="shared" si="18"/>
        <v>0</v>
      </c>
      <c r="J292" s="32">
        <f t="shared" si="19"/>
        <v>0</v>
      </c>
      <c r="K292" s="11"/>
      <c r="M292" s="12"/>
      <c r="N292" s="12"/>
    </row>
    <row r="293" spans="2:14" ht="21.95" customHeight="1" x14ac:dyDescent="0.25">
      <c r="B293" s="30"/>
      <c r="C293" s="14" t="str">
        <f t="shared" si="16"/>
        <v/>
      </c>
      <c r="D293" s="11"/>
      <c r="E293" s="14" t="str">
        <f>IF(D293="","",IFERROR(VLOOKUP(D293,Categorias!$B$5:$C$200,2,FALSE),"Revisar"))</f>
        <v/>
      </c>
      <c r="F293" s="11"/>
      <c r="G293" s="31"/>
      <c r="H293" s="32">
        <f t="shared" si="17"/>
        <v>0</v>
      </c>
      <c r="I293" s="32">
        <f t="shared" si="18"/>
        <v>0</v>
      </c>
      <c r="J293" s="32">
        <f t="shared" si="19"/>
        <v>0</v>
      </c>
      <c r="K293" s="11"/>
      <c r="M293" s="12"/>
      <c r="N293" s="12"/>
    </row>
    <row r="294" spans="2:14" ht="21.95" customHeight="1" x14ac:dyDescent="0.25">
      <c r="B294" s="30"/>
      <c r="C294" s="14" t="str">
        <f t="shared" si="16"/>
        <v/>
      </c>
      <c r="D294" s="11"/>
      <c r="E294" s="14" t="str">
        <f>IF(D294="","",IFERROR(VLOOKUP(D294,Categorias!$B$5:$C$200,2,FALSE),"Revisar"))</f>
        <v/>
      </c>
      <c r="F294" s="11"/>
      <c r="G294" s="31"/>
      <c r="H294" s="32">
        <f t="shared" si="17"/>
        <v>0</v>
      </c>
      <c r="I294" s="32">
        <f t="shared" si="18"/>
        <v>0</v>
      </c>
      <c r="J294" s="32">
        <f t="shared" si="19"/>
        <v>0</v>
      </c>
      <c r="K294" s="11"/>
      <c r="M294" s="12"/>
      <c r="N294" s="12"/>
    </row>
    <row r="295" spans="2:14" ht="21.95" customHeight="1" x14ac:dyDescent="0.25">
      <c r="B295" s="30"/>
      <c r="C295" s="14" t="str">
        <f t="shared" si="16"/>
        <v/>
      </c>
      <c r="D295" s="11"/>
      <c r="E295" s="14" t="str">
        <f>IF(D295="","",IFERROR(VLOOKUP(D295,Categorias!$B$5:$C$200,2,FALSE),"Revisar"))</f>
        <v/>
      </c>
      <c r="F295" s="11"/>
      <c r="G295" s="31"/>
      <c r="H295" s="32">
        <f t="shared" si="17"/>
        <v>0</v>
      </c>
      <c r="I295" s="32">
        <f t="shared" si="18"/>
        <v>0</v>
      </c>
      <c r="J295" s="32">
        <f t="shared" si="19"/>
        <v>0</v>
      </c>
      <c r="K295" s="11"/>
      <c r="M295" s="12"/>
      <c r="N295" s="12"/>
    </row>
    <row r="296" spans="2:14" ht="21.95" customHeight="1" x14ac:dyDescent="0.25">
      <c r="B296" s="30"/>
      <c r="C296" s="14" t="str">
        <f t="shared" si="16"/>
        <v/>
      </c>
      <c r="D296" s="11"/>
      <c r="E296" s="14" t="str">
        <f>IF(D296="","",IFERROR(VLOOKUP(D296,Categorias!$B$5:$C$200,2,FALSE),"Revisar"))</f>
        <v/>
      </c>
      <c r="F296" s="11"/>
      <c r="G296" s="31"/>
      <c r="H296" s="32">
        <f t="shared" si="17"/>
        <v>0</v>
      </c>
      <c r="I296" s="32">
        <f t="shared" si="18"/>
        <v>0</v>
      </c>
      <c r="J296" s="32">
        <f t="shared" si="19"/>
        <v>0</v>
      </c>
      <c r="K296" s="11"/>
      <c r="M296" s="12"/>
      <c r="N296" s="12"/>
    </row>
    <row r="297" spans="2:14" ht="21.95" customHeight="1" x14ac:dyDescent="0.25">
      <c r="B297" s="30"/>
      <c r="C297" s="14" t="str">
        <f t="shared" si="16"/>
        <v/>
      </c>
      <c r="D297" s="11"/>
      <c r="E297" s="14" t="str">
        <f>IF(D297="","",IFERROR(VLOOKUP(D297,Categorias!$B$5:$C$200,2,FALSE),"Revisar"))</f>
        <v/>
      </c>
      <c r="F297" s="11"/>
      <c r="G297" s="31"/>
      <c r="H297" s="32">
        <f t="shared" si="17"/>
        <v>0</v>
      </c>
      <c r="I297" s="32">
        <f t="shared" si="18"/>
        <v>0</v>
      </c>
      <c r="J297" s="32">
        <f t="shared" si="19"/>
        <v>0</v>
      </c>
      <c r="K297" s="11"/>
      <c r="M297" s="12"/>
      <c r="N297" s="12"/>
    </row>
    <row r="298" spans="2:14" ht="21.95" customHeight="1" x14ac:dyDescent="0.25">
      <c r="B298" s="30"/>
      <c r="C298" s="14" t="str">
        <f t="shared" si="16"/>
        <v/>
      </c>
      <c r="D298" s="11"/>
      <c r="E298" s="14" t="str">
        <f>IF(D298="","",IFERROR(VLOOKUP(D298,Categorias!$B$5:$C$200,2,FALSE),"Revisar"))</f>
        <v/>
      </c>
      <c r="F298" s="11"/>
      <c r="G298" s="31"/>
      <c r="H298" s="32">
        <f t="shared" si="17"/>
        <v>0</v>
      </c>
      <c r="I298" s="32">
        <f t="shared" si="18"/>
        <v>0</v>
      </c>
      <c r="J298" s="32">
        <f t="shared" si="19"/>
        <v>0</v>
      </c>
      <c r="K298" s="11"/>
      <c r="M298" s="12"/>
      <c r="N298" s="12"/>
    </row>
    <row r="299" spans="2:14" ht="21.95" customHeight="1" x14ac:dyDescent="0.25">
      <c r="B299" s="30"/>
      <c r="C299" s="14" t="str">
        <f t="shared" si="16"/>
        <v/>
      </c>
      <c r="D299" s="11"/>
      <c r="E299" s="14" t="str">
        <f>IF(D299="","",IFERROR(VLOOKUP(D299,Categorias!$B$5:$C$200,2,FALSE),"Revisar"))</f>
        <v/>
      </c>
      <c r="F299" s="11"/>
      <c r="G299" s="31"/>
      <c r="H299" s="32">
        <f t="shared" si="17"/>
        <v>0</v>
      </c>
      <c r="I299" s="32">
        <f t="shared" si="18"/>
        <v>0</v>
      </c>
      <c r="J299" s="32">
        <f t="shared" si="19"/>
        <v>0</v>
      </c>
      <c r="K299" s="11"/>
      <c r="M299" s="12"/>
      <c r="N299" s="12"/>
    </row>
    <row r="300" spans="2:14" ht="21.95" customHeight="1" x14ac:dyDescent="0.25">
      <c r="B300" s="30"/>
      <c r="C300" s="14" t="str">
        <f t="shared" si="16"/>
        <v/>
      </c>
      <c r="D300" s="11"/>
      <c r="E300" s="14" t="str">
        <f>IF(D300="","",IFERROR(VLOOKUP(D300,Categorias!$B$5:$C$200,2,FALSE),"Revisar"))</f>
        <v/>
      </c>
      <c r="F300" s="11"/>
      <c r="G300" s="31"/>
      <c r="H300" s="32">
        <f t="shared" si="17"/>
        <v>0</v>
      </c>
      <c r="I300" s="32">
        <f t="shared" si="18"/>
        <v>0</v>
      </c>
      <c r="J300" s="32">
        <f t="shared" si="19"/>
        <v>0</v>
      </c>
      <c r="K300" s="11"/>
      <c r="M300" s="12"/>
      <c r="N300" s="12"/>
    </row>
    <row r="301" spans="2:14" ht="21.95" customHeight="1" x14ac:dyDescent="0.25">
      <c r="B301" s="30"/>
      <c r="C301" s="14" t="str">
        <f t="shared" si="16"/>
        <v/>
      </c>
      <c r="D301" s="11"/>
      <c r="E301" s="14" t="str">
        <f>IF(D301="","",IFERROR(VLOOKUP(D301,Categorias!$B$5:$C$200,2,FALSE),"Revisar"))</f>
        <v/>
      </c>
      <c r="F301" s="11"/>
      <c r="G301" s="31"/>
      <c r="H301" s="32">
        <f t="shared" si="17"/>
        <v>0</v>
      </c>
      <c r="I301" s="32">
        <f t="shared" si="18"/>
        <v>0</v>
      </c>
      <c r="J301" s="32">
        <f t="shared" si="19"/>
        <v>0</v>
      </c>
      <c r="K301" s="11"/>
      <c r="M301" s="12"/>
      <c r="N301" s="12"/>
    </row>
    <row r="302" spans="2:14" ht="21.95" customHeight="1" x14ac:dyDescent="0.25">
      <c r="B302" s="30"/>
      <c r="C302" s="14" t="str">
        <f t="shared" si="16"/>
        <v/>
      </c>
      <c r="D302" s="11"/>
      <c r="E302" s="14" t="str">
        <f>IF(D302="","",IFERROR(VLOOKUP(D302,Categorias!$B$5:$C$200,2,FALSE),"Revisar"))</f>
        <v/>
      </c>
      <c r="F302" s="11"/>
      <c r="G302" s="31"/>
      <c r="H302" s="32">
        <f t="shared" si="17"/>
        <v>0</v>
      </c>
      <c r="I302" s="32">
        <f t="shared" si="18"/>
        <v>0</v>
      </c>
      <c r="J302" s="32">
        <f t="shared" si="19"/>
        <v>0</v>
      </c>
      <c r="K302" s="11"/>
      <c r="M302" s="12"/>
      <c r="N302" s="12"/>
    </row>
    <row r="303" spans="2:14" ht="21.95" customHeight="1" x14ac:dyDescent="0.25">
      <c r="B303" s="30"/>
      <c r="C303" s="14" t="str">
        <f t="shared" si="16"/>
        <v/>
      </c>
      <c r="D303" s="11"/>
      <c r="E303" s="14" t="str">
        <f>IF(D303="","",IFERROR(VLOOKUP(D303,Categorias!$B$5:$C$200,2,FALSE),"Revisar"))</f>
        <v/>
      </c>
      <c r="F303" s="11"/>
      <c r="G303" s="31"/>
      <c r="H303" s="32">
        <f t="shared" si="17"/>
        <v>0</v>
      </c>
      <c r="I303" s="32">
        <f t="shared" si="18"/>
        <v>0</v>
      </c>
      <c r="J303" s="32">
        <f t="shared" si="19"/>
        <v>0</v>
      </c>
      <c r="K303" s="11"/>
      <c r="M303" s="12"/>
      <c r="N303" s="12"/>
    </row>
    <row r="304" spans="2:14" ht="21.95" customHeight="1" x14ac:dyDescent="0.25">
      <c r="B304" s="30"/>
      <c r="C304" s="14" t="str">
        <f t="shared" si="16"/>
        <v/>
      </c>
      <c r="D304" s="11"/>
      <c r="E304" s="14" t="str">
        <f>IF(D304="","",IFERROR(VLOOKUP(D304,Categorias!$B$5:$C$200,2,FALSE),"Revisar"))</f>
        <v/>
      </c>
      <c r="F304" s="11"/>
      <c r="G304" s="31"/>
      <c r="H304" s="32">
        <f t="shared" si="17"/>
        <v>0</v>
      </c>
      <c r="I304" s="32">
        <f t="shared" si="18"/>
        <v>0</v>
      </c>
      <c r="J304" s="32">
        <f t="shared" si="19"/>
        <v>0</v>
      </c>
      <c r="K304" s="11"/>
      <c r="M304" s="12"/>
      <c r="N304" s="12"/>
    </row>
    <row r="305" spans="2:14" ht="21.95" customHeight="1" x14ac:dyDescent="0.25">
      <c r="B305" s="30"/>
      <c r="C305" s="14" t="str">
        <f t="shared" si="16"/>
        <v/>
      </c>
      <c r="D305" s="11"/>
      <c r="E305" s="14" t="str">
        <f>IF(D305="","",IFERROR(VLOOKUP(D305,Categorias!$B$5:$C$200,2,FALSE),"Revisar"))</f>
        <v/>
      </c>
      <c r="F305" s="11"/>
      <c r="G305" s="31"/>
      <c r="H305" s="32">
        <f t="shared" si="17"/>
        <v>0</v>
      </c>
      <c r="I305" s="32">
        <f t="shared" si="18"/>
        <v>0</v>
      </c>
      <c r="J305" s="32">
        <f t="shared" si="19"/>
        <v>0</v>
      </c>
      <c r="K305" s="11"/>
      <c r="M305" s="12"/>
      <c r="N305" s="12"/>
    </row>
    <row r="306" spans="2:14" ht="21.95" customHeight="1" x14ac:dyDescent="0.25">
      <c r="B306" s="30"/>
      <c r="C306" s="14" t="str">
        <f t="shared" si="16"/>
        <v/>
      </c>
      <c r="D306" s="11"/>
      <c r="E306" s="14" t="str">
        <f>IF(D306="","",IFERROR(VLOOKUP(D306,Categorias!$B$5:$C$200,2,FALSE),"Revisar"))</f>
        <v/>
      </c>
      <c r="F306" s="11"/>
      <c r="G306" s="31"/>
      <c r="H306" s="32">
        <f t="shared" si="17"/>
        <v>0</v>
      </c>
      <c r="I306" s="32">
        <f t="shared" si="18"/>
        <v>0</v>
      </c>
      <c r="J306" s="32">
        <f t="shared" si="19"/>
        <v>0</v>
      </c>
      <c r="K306" s="11"/>
      <c r="M306" s="12"/>
      <c r="N306" s="12"/>
    </row>
    <row r="307" spans="2:14" ht="21.95" customHeight="1" x14ac:dyDescent="0.25">
      <c r="B307" s="30"/>
      <c r="C307" s="14" t="str">
        <f t="shared" si="16"/>
        <v/>
      </c>
      <c r="D307" s="11"/>
      <c r="E307" s="14" t="str">
        <f>IF(D307="","",IFERROR(VLOOKUP(D307,Categorias!$B$5:$C$200,2,FALSE),"Revisar"))</f>
        <v/>
      </c>
      <c r="F307" s="11"/>
      <c r="G307" s="31"/>
      <c r="H307" s="32">
        <f t="shared" si="17"/>
        <v>0</v>
      </c>
      <c r="I307" s="32">
        <f t="shared" si="18"/>
        <v>0</v>
      </c>
      <c r="J307" s="32">
        <f t="shared" si="19"/>
        <v>0</v>
      </c>
      <c r="K307" s="11"/>
      <c r="M307" s="12"/>
      <c r="N307" s="12"/>
    </row>
    <row r="308" spans="2:14" ht="21.95" customHeight="1" x14ac:dyDescent="0.25">
      <c r="B308" s="30"/>
      <c r="C308" s="14" t="str">
        <f t="shared" si="16"/>
        <v/>
      </c>
      <c r="D308" s="11"/>
      <c r="E308" s="14" t="str">
        <f>IF(D308="","",IFERROR(VLOOKUP(D308,Categorias!$B$5:$C$200,2,FALSE),"Revisar"))</f>
        <v/>
      </c>
      <c r="F308" s="11"/>
      <c r="G308" s="31"/>
      <c r="H308" s="32">
        <f t="shared" si="17"/>
        <v>0</v>
      </c>
      <c r="I308" s="32">
        <f t="shared" si="18"/>
        <v>0</v>
      </c>
      <c r="J308" s="32">
        <f t="shared" si="19"/>
        <v>0</v>
      </c>
      <c r="K308" s="11"/>
      <c r="M308" s="12"/>
      <c r="N308" s="12"/>
    </row>
    <row r="309" spans="2:14" ht="21.95" customHeight="1" x14ac:dyDescent="0.25">
      <c r="B309" s="30"/>
      <c r="C309" s="14" t="str">
        <f t="shared" si="16"/>
        <v/>
      </c>
      <c r="D309" s="11"/>
      <c r="E309" s="14" t="str">
        <f>IF(D309="","",IFERROR(VLOOKUP(D309,Categorias!$B$5:$C$200,2,FALSE),"Revisar"))</f>
        <v/>
      </c>
      <c r="F309" s="11"/>
      <c r="G309" s="31"/>
      <c r="H309" s="32">
        <f t="shared" si="17"/>
        <v>0</v>
      </c>
      <c r="I309" s="32">
        <f t="shared" si="18"/>
        <v>0</v>
      </c>
      <c r="J309" s="32">
        <f t="shared" si="19"/>
        <v>0</v>
      </c>
      <c r="K309" s="11"/>
      <c r="M309" s="12"/>
      <c r="N309" s="12"/>
    </row>
    <row r="310" spans="2:14" ht="21.95" customHeight="1" x14ac:dyDescent="0.25">
      <c r="B310" s="30"/>
      <c r="C310" s="14" t="str">
        <f t="shared" si="16"/>
        <v/>
      </c>
      <c r="D310" s="11"/>
      <c r="E310" s="14" t="str">
        <f>IF(D310="","",IFERROR(VLOOKUP(D310,Categorias!$B$5:$C$200,2,FALSE),"Revisar"))</f>
        <v/>
      </c>
      <c r="F310" s="11"/>
      <c r="G310" s="31"/>
      <c r="H310" s="32">
        <f t="shared" si="17"/>
        <v>0</v>
      </c>
      <c r="I310" s="32">
        <f t="shared" si="18"/>
        <v>0</v>
      </c>
      <c r="J310" s="32">
        <f t="shared" si="19"/>
        <v>0</v>
      </c>
      <c r="K310" s="11"/>
      <c r="M310" s="12"/>
      <c r="N310" s="12"/>
    </row>
    <row r="311" spans="2:14" ht="21.95" customHeight="1" x14ac:dyDescent="0.25">
      <c r="B311" s="30"/>
      <c r="C311" s="14" t="str">
        <f t="shared" si="16"/>
        <v/>
      </c>
      <c r="D311" s="11"/>
      <c r="E311" s="14" t="str">
        <f>IF(D311="","",IFERROR(VLOOKUP(D311,Categorias!$B$5:$C$200,2,FALSE),"Revisar"))</f>
        <v/>
      </c>
      <c r="F311" s="11"/>
      <c r="G311" s="31"/>
      <c r="H311" s="32">
        <f t="shared" si="17"/>
        <v>0</v>
      </c>
      <c r="I311" s="32">
        <f t="shared" si="18"/>
        <v>0</v>
      </c>
      <c r="J311" s="32">
        <f t="shared" si="19"/>
        <v>0</v>
      </c>
      <c r="K311" s="11"/>
      <c r="M311" s="12"/>
      <c r="N311" s="12"/>
    </row>
    <row r="312" spans="2:14" ht="21.95" customHeight="1" x14ac:dyDescent="0.25">
      <c r="B312" s="30"/>
      <c r="C312" s="14" t="str">
        <f t="shared" si="16"/>
        <v/>
      </c>
      <c r="D312" s="11"/>
      <c r="E312" s="14" t="str">
        <f>IF(D312="","",IFERROR(VLOOKUP(D312,Categorias!$B$5:$C$200,2,FALSE),"Revisar"))</f>
        <v/>
      </c>
      <c r="F312" s="11"/>
      <c r="G312" s="31"/>
      <c r="H312" s="32">
        <f t="shared" si="17"/>
        <v>0</v>
      </c>
      <c r="I312" s="32">
        <f t="shared" si="18"/>
        <v>0</v>
      </c>
      <c r="J312" s="32">
        <f t="shared" si="19"/>
        <v>0</v>
      </c>
      <c r="K312" s="11"/>
      <c r="M312" s="12"/>
      <c r="N312" s="12"/>
    </row>
    <row r="313" spans="2:14" ht="21.95" customHeight="1" x14ac:dyDescent="0.25">
      <c r="B313" s="30"/>
      <c r="C313" s="14" t="str">
        <f t="shared" si="16"/>
        <v/>
      </c>
      <c r="D313" s="11"/>
      <c r="E313" s="14" t="str">
        <f>IF(D313="","",IFERROR(VLOOKUP(D313,Categorias!$B$5:$C$200,2,FALSE),"Revisar"))</f>
        <v/>
      </c>
      <c r="F313" s="11"/>
      <c r="G313" s="31"/>
      <c r="H313" s="32">
        <f t="shared" si="17"/>
        <v>0</v>
      </c>
      <c r="I313" s="32">
        <f t="shared" si="18"/>
        <v>0</v>
      </c>
      <c r="J313" s="32">
        <f t="shared" si="19"/>
        <v>0</v>
      </c>
      <c r="K313" s="11"/>
      <c r="M313" s="12"/>
      <c r="N313" s="12"/>
    </row>
    <row r="314" spans="2:14" ht="21.95" customHeight="1" x14ac:dyDescent="0.25">
      <c r="B314" s="30"/>
      <c r="C314" s="14" t="str">
        <f t="shared" si="16"/>
        <v/>
      </c>
      <c r="D314" s="11"/>
      <c r="E314" s="14" t="str">
        <f>IF(D314="","",IFERROR(VLOOKUP(D314,Categorias!$B$5:$C$200,2,FALSE),"Revisar"))</f>
        <v/>
      </c>
      <c r="F314" s="11"/>
      <c r="G314" s="31"/>
      <c r="H314" s="32">
        <f t="shared" si="17"/>
        <v>0</v>
      </c>
      <c r="I314" s="32">
        <f t="shared" si="18"/>
        <v>0</v>
      </c>
      <c r="J314" s="32">
        <f t="shared" si="19"/>
        <v>0</v>
      </c>
      <c r="K314" s="11"/>
      <c r="M314" s="12"/>
      <c r="N314" s="12"/>
    </row>
    <row r="315" spans="2:14" ht="21.95" customHeight="1" x14ac:dyDescent="0.25">
      <c r="B315" s="30"/>
      <c r="C315" s="14" t="str">
        <f t="shared" si="16"/>
        <v/>
      </c>
      <c r="D315" s="11"/>
      <c r="E315" s="14" t="str">
        <f>IF(D315="","",IFERROR(VLOOKUP(D315,Categorias!$B$5:$C$200,2,FALSE),"Revisar"))</f>
        <v/>
      </c>
      <c r="F315" s="11"/>
      <c r="G315" s="31"/>
      <c r="H315" s="32">
        <f t="shared" si="17"/>
        <v>0</v>
      </c>
      <c r="I315" s="32">
        <f t="shared" si="18"/>
        <v>0</v>
      </c>
      <c r="J315" s="32">
        <f t="shared" si="19"/>
        <v>0</v>
      </c>
      <c r="K315" s="11"/>
      <c r="M315" s="12"/>
      <c r="N315" s="12"/>
    </row>
    <row r="316" spans="2:14" ht="21.95" customHeight="1" x14ac:dyDescent="0.25">
      <c r="B316" s="30"/>
      <c r="C316" s="14" t="str">
        <f t="shared" si="16"/>
        <v/>
      </c>
      <c r="D316" s="11"/>
      <c r="E316" s="14" t="str">
        <f>IF(D316="","",IFERROR(VLOOKUP(D316,Categorias!$B$5:$C$200,2,FALSE),"Revisar"))</f>
        <v/>
      </c>
      <c r="F316" s="11"/>
      <c r="G316" s="31"/>
      <c r="H316" s="32">
        <f t="shared" si="17"/>
        <v>0</v>
      </c>
      <c r="I316" s="32">
        <f t="shared" si="18"/>
        <v>0</v>
      </c>
      <c r="J316" s="32">
        <f t="shared" si="19"/>
        <v>0</v>
      </c>
      <c r="K316" s="11"/>
      <c r="M316" s="12"/>
      <c r="N316" s="12"/>
    </row>
    <row r="317" spans="2:14" ht="21.95" customHeight="1" x14ac:dyDescent="0.25">
      <c r="B317" s="30"/>
      <c r="C317" s="14" t="str">
        <f t="shared" si="16"/>
        <v/>
      </c>
      <c r="D317" s="11"/>
      <c r="E317" s="14" t="str">
        <f>IF(D317="","",IFERROR(VLOOKUP(D317,Categorias!$B$5:$C$200,2,FALSE),"Revisar"))</f>
        <v/>
      </c>
      <c r="F317" s="11"/>
      <c r="G317" s="31"/>
      <c r="H317" s="32">
        <f t="shared" si="17"/>
        <v>0</v>
      </c>
      <c r="I317" s="32">
        <f t="shared" si="18"/>
        <v>0</v>
      </c>
      <c r="J317" s="32">
        <f t="shared" si="19"/>
        <v>0</v>
      </c>
      <c r="K317" s="11"/>
      <c r="M317" s="12"/>
      <c r="N317" s="12"/>
    </row>
    <row r="318" spans="2:14" ht="21.95" customHeight="1" x14ac:dyDescent="0.25">
      <c r="B318" s="30"/>
      <c r="C318" s="14" t="str">
        <f t="shared" si="16"/>
        <v/>
      </c>
      <c r="D318" s="11"/>
      <c r="E318" s="14" t="str">
        <f>IF(D318="","",IFERROR(VLOOKUP(D318,Categorias!$B$5:$C$200,2,FALSE),"Revisar"))</f>
        <v/>
      </c>
      <c r="F318" s="11"/>
      <c r="G318" s="31"/>
      <c r="H318" s="32">
        <f t="shared" si="17"/>
        <v>0</v>
      </c>
      <c r="I318" s="32">
        <f t="shared" si="18"/>
        <v>0</v>
      </c>
      <c r="J318" s="32">
        <f t="shared" si="19"/>
        <v>0</v>
      </c>
      <c r="K318" s="11"/>
      <c r="M318" s="12"/>
      <c r="N318" s="12"/>
    </row>
    <row r="319" spans="2:14" ht="21.95" customHeight="1" x14ac:dyDescent="0.25">
      <c r="B319" s="30"/>
      <c r="C319" s="14" t="str">
        <f t="shared" si="16"/>
        <v/>
      </c>
      <c r="D319" s="11"/>
      <c r="E319" s="14" t="str">
        <f>IF(D319="","",IFERROR(VLOOKUP(D319,Categorias!$B$5:$C$200,2,FALSE),"Revisar"))</f>
        <v/>
      </c>
      <c r="F319" s="11"/>
      <c r="G319" s="31"/>
      <c r="H319" s="32">
        <f t="shared" si="17"/>
        <v>0</v>
      </c>
      <c r="I319" s="32">
        <f t="shared" si="18"/>
        <v>0</v>
      </c>
      <c r="J319" s="32">
        <f t="shared" si="19"/>
        <v>0</v>
      </c>
      <c r="K319" s="11"/>
      <c r="M319" s="12"/>
      <c r="N319" s="12"/>
    </row>
    <row r="320" spans="2:14" ht="21.95" customHeight="1" x14ac:dyDescent="0.25">
      <c r="B320" s="30"/>
      <c r="C320" s="14" t="str">
        <f t="shared" si="16"/>
        <v/>
      </c>
      <c r="D320" s="11"/>
      <c r="E320" s="14" t="str">
        <f>IF(D320="","",IFERROR(VLOOKUP(D320,Categorias!$B$5:$C$200,2,FALSE),"Revisar"))</f>
        <v/>
      </c>
      <c r="F320" s="11"/>
      <c r="G320" s="31"/>
      <c r="H320" s="32">
        <f t="shared" si="17"/>
        <v>0</v>
      </c>
      <c r="I320" s="32">
        <f t="shared" si="18"/>
        <v>0</v>
      </c>
      <c r="J320" s="32">
        <f t="shared" si="19"/>
        <v>0</v>
      </c>
      <c r="K320" s="11"/>
      <c r="M320" s="12"/>
      <c r="N320" s="12"/>
    </row>
    <row r="321" spans="2:14" ht="21.95" customHeight="1" x14ac:dyDescent="0.25">
      <c r="B321" s="30"/>
      <c r="C321" s="14" t="str">
        <f t="shared" si="16"/>
        <v/>
      </c>
      <c r="D321" s="11"/>
      <c r="E321" s="14" t="str">
        <f>IF(D321="","",IFERROR(VLOOKUP(D321,Categorias!$B$5:$C$200,2,FALSE),"Revisar"))</f>
        <v/>
      </c>
      <c r="F321" s="11"/>
      <c r="G321" s="31"/>
      <c r="H321" s="32">
        <f t="shared" si="17"/>
        <v>0</v>
      </c>
      <c r="I321" s="32">
        <f t="shared" si="18"/>
        <v>0</v>
      </c>
      <c r="J321" s="32">
        <f t="shared" si="19"/>
        <v>0</v>
      </c>
      <c r="K321" s="11"/>
      <c r="M321" s="12"/>
      <c r="N321" s="12"/>
    </row>
    <row r="322" spans="2:14" ht="21.95" customHeight="1" x14ac:dyDescent="0.25">
      <c r="B322" s="30"/>
      <c r="C322" s="14" t="str">
        <f t="shared" si="16"/>
        <v/>
      </c>
      <c r="D322" s="11"/>
      <c r="E322" s="14" t="str">
        <f>IF(D322="","",IFERROR(VLOOKUP(D322,Categorias!$B$5:$C$200,2,FALSE),"Revisar"))</f>
        <v/>
      </c>
      <c r="F322" s="11"/>
      <c r="G322" s="31"/>
      <c r="H322" s="32">
        <f t="shared" si="17"/>
        <v>0</v>
      </c>
      <c r="I322" s="32">
        <f t="shared" si="18"/>
        <v>0</v>
      </c>
      <c r="J322" s="32">
        <f t="shared" si="19"/>
        <v>0</v>
      </c>
      <c r="K322" s="11"/>
      <c r="M322" s="12"/>
      <c r="N322" s="12"/>
    </row>
    <row r="323" spans="2:14" ht="21.95" customHeight="1" x14ac:dyDescent="0.25">
      <c r="B323" s="30"/>
      <c r="C323" s="14" t="str">
        <f t="shared" si="16"/>
        <v/>
      </c>
      <c r="D323" s="11"/>
      <c r="E323" s="14" t="str">
        <f>IF(D323="","",IFERROR(VLOOKUP(D323,Categorias!$B$5:$C$200,2,FALSE),"Revisar"))</f>
        <v/>
      </c>
      <c r="F323" s="11"/>
      <c r="G323" s="31"/>
      <c r="H323" s="32">
        <f t="shared" si="17"/>
        <v>0</v>
      </c>
      <c r="I323" s="32">
        <f t="shared" si="18"/>
        <v>0</v>
      </c>
      <c r="J323" s="32">
        <f t="shared" si="19"/>
        <v>0</v>
      </c>
      <c r="K323" s="11"/>
      <c r="M323" s="12"/>
      <c r="N323" s="12"/>
    </row>
    <row r="324" spans="2:14" ht="21.95" customHeight="1" x14ac:dyDescent="0.25">
      <c r="B324" s="30"/>
      <c r="C324" s="14" t="str">
        <f t="shared" si="16"/>
        <v/>
      </c>
      <c r="D324" s="11"/>
      <c r="E324" s="14" t="str">
        <f>IF(D324="","",IFERROR(VLOOKUP(D324,Categorias!$B$5:$C$200,2,FALSE),"Revisar"))</f>
        <v/>
      </c>
      <c r="F324" s="11"/>
      <c r="G324" s="31"/>
      <c r="H324" s="32">
        <f t="shared" si="17"/>
        <v>0</v>
      </c>
      <c r="I324" s="32">
        <f t="shared" si="18"/>
        <v>0</v>
      </c>
      <c r="J324" s="32">
        <f t="shared" si="19"/>
        <v>0</v>
      </c>
      <c r="K324" s="11"/>
      <c r="M324" s="12"/>
      <c r="N324" s="12"/>
    </row>
    <row r="325" spans="2:14" ht="21.95" customHeight="1" x14ac:dyDescent="0.25">
      <c r="B325" s="30"/>
      <c r="C325" s="14" t="str">
        <f t="shared" si="16"/>
        <v/>
      </c>
      <c r="D325" s="11"/>
      <c r="E325" s="14" t="str">
        <f>IF(D325="","",IFERROR(VLOOKUP(D325,Categorias!$B$5:$C$200,2,FALSE),"Revisar"))</f>
        <v/>
      </c>
      <c r="F325" s="11"/>
      <c r="G325" s="31"/>
      <c r="H325" s="32">
        <f t="shared" si="17"/>
        <v>0</v>
      </c>
      <c r="I325" s="32">
        <f t="shared" si="18"/>
        <v>0</v>
      </c>
      <c r="J325" s="32">
        <f t="shared" si="19"/>
        <v>0</v>
      </c>
      <c r="K325" s="11"/>
      <c r="M325" s="12"/>
      <c r="N325" s="12"/>
    </row>
    <row r="326" spans="2:14" ht="21.95" customHeight="1" x14ac:dyDescent="0.25">
      <c r="B326" s="30"/>
      <c r="C326" s="14" t="str">
        <f t="shared" si="16"/>
        <v/>
      </c>
      <c r="D326" s="11"/>
      <c r="E326" s="14" t="str">
        <f>IF(D326="","",IFERROR(VLOOKUP(D326,Categorias!$B$5:$C$200,2,FALSE),"Revisar"))</f>
        <v/>
      </c>
      <c r="F326" s="11"/>
      <c r="G326" s="31"/>
      <c r="H326" s="32">
        <f t="shared" si="17"/>
        <v>0</v>
      </c>
      <c r="I326" s="32">
        <f t="shared" si="18"/>
        <v>0</v>
      </c>
      <c r="J326" s="32">
        <f t="shared" si="19"/>
        <v>0</v>
      </c>
      <c r="K326" s="11"/>
      <c r="M326" s="12"/>
      <c r="N326" s="12"/>
    </row>
    <row r="327" spans="2:14" ht="21.95" customHeight="1" x14ac:dyDescent="0.25">
      <c r="B327" s="30"/>
      <c r="C327" s="14" t="str">
        <f t="shared" si="16"/>
        <v/>
      </c>
      <c r="D327" s="11"/>
      <c r="E327" s="14" t="str">
        <f>IF(D327="","",IFERROR(VLOOKUP(D327,Categorias!$B$5:$C$200,2,FALSE),"Revisar"))</f>
        <v/>
      </c>
      <c r="F327" s="11"/>
      <c r="G327" s="31"/>
      <c r="H327" s="32">
        <f t="shared" si="17"/>
        <v>0</v>
      </c>
      <c r="I327" s="32">
        <f t="shared" si="18"/>
        <v>0</v>
      </c>
      <c r="J327" s="32">
        <f t="shared" si="19"/>
        <v>0</v>
      </c>
      <c r="K327" s="11"/>
      <c r="M327" s="12"/>
      <c r="N327" s="12"/>
    </row>
    <row r="328" spans="2:14" ht="21.95" customHeight="1" x14ac:dyDescent="0.25">
      <c r="B328" s="30"/>
      <c r="C328" s="14" t="str">
        <f t="shared" si="16"/>
        <v/>
      </c>
      <c r="D328" s="11"/>
      <c r="E328" s="14" t="str">
        <f>IF(D328="","",IFERROR(VLOOKUP(D328,Categorias!$B$5:$C$200,2,FALSE),"Revisar"))</f>
        <v/>
      </c>
      <c r="F328" s="11"/>
      <c r="G328" s="31"/>
      <c r="H328" s="32">
        <f t="shared" si="17"/>
        <v>0</v>
      </c>
      <c r="I328" s="32">
        <f t="shared" si="18"/>
        <v>0</v>
      </c>
      <c r="J328" s="32">
        <f t="shared" si="19"/>
        <v>0</v>
      </c>
      <c r="K328" s="11"/>
      <c r="M328" s="12"/>
      <c r="N328" s="12"/>
    </row>
    <row r="329" spans="2:14" ht="21.95" customHeight="1" x14ac:dyDescent="0.25">
      <c r="B329" s="30"/>
      <c r="C329" s="14" t="str">
        <f t="shared" ref="C329:C392" si="20">IF(B329="","",CHOOSE(MONTH(B329),"Enero","Febrero","Marzo","Abril","Mayo","Junio","Julio","Agosto","Septiembre","Octubre","Noviembre","Diciembre"))</f>
        <v/>
      </c>
      <c r="D329" s="11"/>
      <c r="E329" s="14" t="str">
        <f>IF(D329="","",IFERROR(VLOOKUP(D329,Categorias!$B$5:$C$200,2,FALSE),"Revisar"))</f>
        <v/>
      </c>
      <c r="F329" s="11"/>
      <c r="G329" s="31"/>
      <c r="H329" s="32">
        <f t="shared" ref="H329:H392" si="21">IF($E329="Ingreso",$G329,0)</f>
        <v>0</v>
      </c>
      <c r="I329" s="32">
        <f t="shared" ref="I329:I392" si="22">IF($E329="Gasto",$G329,0)</f>
        <v>0</v>
      </c>
      <c r="J329" s="32">
        <f t="shared" ref="J329:J392" si="23">IF($E329="Reserva",$G329,0)</f>
        <v>0</v>
      </c>
      <c r="K329" s="11"/>
      <c r="M329" s="12"/>
      <c r="N329" s="12"/>
    </row>
    <row r="330" spans="2:14" ht="21.95" customHeight="1" x14ac:dyDescent="0.25">
      <c r="B330" s="30"/>
      <c r="C330" s="14" t="str">
        <f t="shared" si="20"/>
        <v/>
      </c>
      <c r="D330" s="11"/>
      <c r="E330" s="14" t="str">
        <f>IF(D330="","",IFERROR(VLOOKUP(D330,Categorias!$B$5:$C$200,2,FALSE),"Revisar"))</f>
        <v/>
      </c>
      <c r="F330" s="11"/>
      <c r="G330" s="31"/>
      <c r="H330" s="32">
        <f t="shared" si="21"/>
        <v>0</v>
      </c>
      <c r="I330" s="32">
        <f t="shared" si="22"/>
        <v>0</v>
      </c>
      <c r="J330" s="32">
        <f t="shared" si="23"/>
        <v>0</v>
      </c>
      <c r="K330" s="11"/>
      <c r="M330" s="12"/>
      <c r="N330" s="12"/>
    </row>
    <row r="331" spans="2:14" ht="21.95" customHeight="1" x14ac:dyDescent="0.25">
      <c r="B331" s="30"/>
      <c r="C331" s="14" t="str">
        <f t="shared" si="20"/>
        <v/>
      </c>
      <c r="D331" s="11"/>
      <c r="E331" s="14" t="str">
        <f>IF(D331="","",IFERROR(VLOOKUP(D331,Categorias!$B$5:$C$200,2,FALSE),"Revisar"))</f>
        <v/>
      </c>
      <c r="F331" s="11"/>
      <c r="G331" s="31"/>
      <c r="H331" s="32">
        <f t="shared" si="21"/>
        <v>0</v>
      </c>
      <c r="I331" s="32">
        <f t="shared" si="22"/>
        <v>0</v>
      </c>
      <c r="J331" s="32">
        <f t="shared" si="23"/>
        <v>0</v>
      </c>
      <c r="K331" s="11"/>
      <c r="M331" s="12"/>
      <c r="N331" s="12"/>
    </row>
    <row r="332" spans="2:14" ht="21.95" customHeight="1" x14ac:dyDescent="0.25">
      <c r="B332" s="30"/>
      <c r="C332" s="14" t="str">
        <f t="shared" si="20"/>
        <v/>
      </c>
      <c r="D332" s="11"/>
      <c r="E332" s="14" t="str">
        <f>IF(D332="","",IFERROR(VLOOKUP(D332,Categorias!$B$5:$C$200,2,FALSE),"Revisar"))</f>
        <v/>
      </c>
      <c r="F332" s="11"/>
      <c r="G332" s="31"/>
      <c r="H332" s="32">
        <f t="shared" si="21"/>
        <v>0</v>
      </c>
      <c r="I332" s="32">
        <f t="shared" si="22"/>
        <v>0</v>
      </c>
      <c r="J332" s="32">
        <f t="shared" si="23"/>
        <v>0</v>
      </c>
      <c r="K332" s="11"/>
      <c r="M332" s="12"/>
      <c r="N332" s="12"/>
    </row>
    <row r="333" spans="2:14" ht="21.95" customHeight="1" x14ac:dyDescent="0.25">
      <c r="B333" s="30"/>
      <c r="C333" s="14" t="str">
        <f t="shared" si="20"/>
        <v/>
      </c>
      <c r="D333" s="11"/>
      <c r="E333" s="14" t="str">
        <f>IF(D333="","",IFERROR(VLOOKUP(D333,Categorias!$B$5:$C$200,2,FALSE),"Revisar"))</f>
        <v/>
      </c>
      <c r="F333" s="11"/>
      <c r="G333" s="31"/>
      <c r="H333" s="32">
        <f t="shared" si="21"/>
        <v>0</v>
      </c>
      <c r="I333" s="32">
        <f t="shared" si="22"/>
        <v>0</v>
      </c>
      <c r="J333" s="32">
        <f t="shared" si="23"/>
        <v>0</v>
      </c>
      <c r="K333" s="11"/>
      <c r="M333" s="12"/>
      <c r="N333" s="12"/>
    </row>
    <row r="334" spans="2:14" ht="21.95" customHeight="1" x14ac:dyDescent="0.25">
      <c r="B334" s="30"/>
      <c r="C334" s="14" t="str">
        <f t="shared" si="20"/>
        <v/>
      </c>
      <c r="D334" s="11"/>
      <c r="E334" s="14" t="str">
        <f>IF(D334="","",IFERROR(VLOOKUP(D334,Categorias!$B$5:$C$200,2,FALSE),"Revisar"))</f>
        <v/>
      </c>
      <c r="F334" s="11"/>
      <c r="G334" s="31"/>
      <c r="H334" s="32">
        <f t="shared" si="21"/>
        <v>0</v>
      </c>
      <c r="I334" s="32">
        <f t="shared" si="22"/>
        <v>0</v>
      </c>
      <c r="J334" s="32">
        <f t="shared" si="23"/>
        <v>0</v>
      </c>
      <c r="K334" s="11"/>
      <c r="M334" s="12"/>
      <c r="N334" s="12"/>
    </row>
    <row r="335" spans="2:14" ht="21.95" customHeight="1" x14ac:dyDescent="0.25">
      <c r="B335" s="30"/>
      <c r="C335" s="14" t="str">
        <f t="shared" si="20"/>
        <v/>
      </c>
      <c r="D335" s="11"/>
      <c r="E335" s="14" t="str">
        <f>IF(D335="","",IFERROR(VLOOKUP(D335,Categorias!$B$5:$C$200,2,FALSE),"Revisar"))</f>
        <v/>
      </c>
      <c r="F335" s="11"/>
      <c r="G335" s="31"/>
      <c r="H335" s="32">
        <f t="shared" si="21"/>
        <v>0</v>
      </c>
      <c r="I335" s="32">
        <f t="shared" si="22"/>
        <v>0</v>
      </c>
      <c r="J335" s="32">
        <f t="shared" si="23"/>
        <v>0</v>
      </c>
      <c r="K335" s="11"/>
      <c r="M335" s="12"/>
      <c r="N335" s="12"/>
    </row>
    <row r="336" spans="2:14" ht="21.95" customHeight="1" x14ac:dyDescent="0.25">
      <c r="B336" s="30"/>
      <c r="C336" s="14" t="str">
        <f t="shared" si="20"/>
        <v/>
      </c>
      <c r="D336" s="11"/>
      <c r="E336" s="14" t="str">
        <f>IF(D336="","",IFERROR(VLOOKUP(D336,Categorias!$B$5:$C$200,2,FALSE),"Revisar"))</f>
        <v/>
      </c>
      <c r="F336" s="11"/>
      <c r="G336" s="31"/>
      <c r="H336" s="32">
        <f t="shared" si="21"/>
        <v>0</v>
      </c>
      <c r="I336" s="32">
        <f t="shared" si="22"/>
        <v>0</v>
      </c>
      <c r="J336" s="32">
        <f t="shared" si="23"/>
        <v>0</v>
      </c>
      <c r="K336" s="11"/>
      <c r="M336" s="12"/>
      <c r="N336" s="12"/>
    </row>
    <row r="337" spans="2:14" ht="21.95" customHeight="1" x14ac:dyDescent="0.25">
      <c r="B337" s="30"/>
      <c r="C337" s="14" t="str">
        <f t="shared" si="20"/>
        <v/>
      </c>
      <c r="D337" s="11"/>
      <c r="E337" s="14" t="str">
        <f>IF(D337="","",IFERROR(VLOOKUP(D337,Categorias!$B$5:$C$200,2,FALSE),"Revisar"))</f>
        <v/>
      </c>
      <c r="F337" s="11"/>
      <c r="G337" s="31"/>
      <c r="H337" s="32">
        <f t="shared" si="21"/>
        <v>0</v>
      </c>
      <c r="I337" s="32">
        <f t="shared" si="22"/>
        <v>0</v>
      </c>
      <c r="J337" s="32">
        <f t="shared" si="23"/>
        <v>0</v>
      </c>
      <c r="K337" s="11"/>
      <c r="M337" s="12"/>
      <c r="N337" s="12"/>
    </row>
    <row r="338" spans="2:14" ht="21.95" customHeight="1" x14ac:dyDescent="0.25">
      <c r="B338" s="30"/>
      <c r="C338" s="14" t="str">
        <f t="shared" si="20"/>
        <v/>
      </c>
      <c r="D338" s="11"/>
      <c r="E338" s="14" t="str">
        <f>IF(D338="","",IFERROR(VLOOKUP(D338,Categorias!$B$5:$C$200,2,FALSE),"Revisar"))</f>
        <v/>
      </c>
      <c r="F338" s="11"/>
      <c r="G338" s="31"/>
      <c r="H338" s="32">
        <f t="shared" si="21"/>
        <v>0</v>
      </c>
      <c r="I338" s="32">
        <f t="shared" si="22"/>
        <v>0</v>
      </c>
      <c r="J338" s="32">
        <f t="shared" si="23"/>
        <v>0</v>
      </c>
      <c r="K338" s="11"/>
      <c r="M338" s="12"/>
      <c r="N338" s="12"/>
    </row>
    <row r="339" spans="2:14" ht="21.95" customHeight="1" x14ac:dyDescent="0.25">
      <c r="B339" s="30"/>
      <c r="C339" s="14" t="str">
        <f t="shared" si="20"/>
        <v/>
      </c>
      <c r="D339" s="11"/>
      <c r="E339" s="14" t="str">
        <f>IF(D339="","",IFERROR(VLOOKUP(D339,Categorias!$B$5:$C$200,2,FALSE),"Revisar"))</f>
        <v/>
      </c>
      <c r="F339" s="11"/>
      <c r="G339" s="31"/>
      <c r="H339" s="32">
        <f t="shared" si="21"/>
        <v>0</v>
      </c>
      <c r="I339" s="32">
        <f t="shared" si="22"/>
        <v>0</v>
      </c>
      <c r="J339" s="32">
        <f t="shared" si="23"/>
        <v>0</v>
      </c>
      <c r="K339" s="11"/>
      <c r="M339" s="12"/>
      <c r="N339" s="12"/>
    </row>
    <row r="340" spans="2:14" ht="21.95" customHeight="1" x14ac:dyDescent="0.25">
      <c r="B340" s="30"/>
      <c r="C340" s="14" t="str">
        <f t="shared" si="20"/>
        <v/>
      </c>
      <c r="D340" s="11"/>
      <c r="E340" s="14" t="str">
        <f>IF(D340="","",IFERROR(VLOOKUP(D340,Categorias!$B$5:$C$200,2,FALSE),"Revisar"))</f>
        <v/>
      </c>
      <c r="F340" s="11"/>
      <c r="G340" s="31"/>
      <c r="H340" s="32">
        <f t="shared" si="21"/>
        <v>0</v>
      </c>
      <c r="I340" s="32">
        <f t="shared" si="22"/>
        <v>0</v>
      </c>
      <c r="J340" s="32">
        <f t="shared" si="23"/>
        <v>0</v>
      </c>
      <c r="K340" s="11"/>
      <c r="M340" s="12"/>
      <c r="N340" s="12"/>
    </row>
    <row r="341" spans="2:14" ht="21.95" customHeight="1" x14ac:dyDescent="0.25">
      <c r="B341" s="30"/>
      <c r="C341" s="14" t="str">
        <f t="shared" si="20"/>
        <v/>
      </c>
      <c r="D341" s="11"/>
      <c r="E341" s="14" t="str">
        <f>IF(D341="","",IFERROR(VLOOKUP(D341,Categorias!$B$5:$C$200,2,FALSE),"Revisar"))</f>
        <v/>
      </c>
      <c r="F341" s="11"/>
      <c r="G341" s="31"/>
      <c r="H341" s="32">
        <f t="shared" si="21"/>
        <v>0</v>
      </c>
      <c r="I341" s="32">
        <f t="shared" si="22"/>
        <v>0</v>
      </c>
      <c r="J341" s="32">
        <f t="shared" si="23"/>
        <v>0</v>
      </c>
      <c r="K341" s="11"/>
      <c r="M341" s="12"/>
      <c r="N341" s="12"/>
    </row>
    <row r="342" spans="2:14" ht="21.95" customHeight="1" x14ac:dyDescent="0.25">
      <c r="B342" s="30"/>
      <c r="C342" s="14" t="str">
        <f t="shared" si="20"/>
        <v/>
      </c>
      <c r="D342" s="11"/>
      <c r="E342" s="14" t="str">
        <f>IF(D342="","",IFERROR(VLOOKUP(D342,Categorias!$B$5:$C$200,2,FALSE),"Revisar"))</f>
        <v/>
      </c>
      <c r="F342" s="11"/>
      <c r="G342" s="31"/>
      <c r="H342" s="32">
        <f t="shared" si="21"/>
        <v>0</v>
      </c>
      <c r="I342" s="32">
        <f t="shared" si="22"/>
        <v>0</v>
      </c>
      <c r="J342" s="32">
        <f t="shared" si="23"/>
        <v>0</v>
      </c>
      <c r="K342" s="11"/>
      <c r="M342" s="12"/>
      <c r="N342" s="12"/>
    </row>
    <row r="343" spans="2:14" ht="21.95" customHeight="1" x14ac:dyDescent="0.25">
      <c r="B343" s="30"/>
      <c r="C343" s="14" t="str">
        <f t="shared" si="20"/>
        <v/>
      </c>
      <c r="D343" s="11"/>
      <c r="E343" s="14" t="str">
        <f>IF(D343="","",IFERROR(VLOOKUP(D343,Categorias!$B$5:$C$200,2,FALSE),"Revisar"))</f>
        <v/>
      </c>
      <c r="F343" s="11"/>
      <c r="G343" s="31"/>
      <c r="H343" s="32">
        <f t="shared" si="21"/>
        <v>0</v>
      </c>
      <c r="I343" s="32">
        <f t="shared" si="22"/>
        <v>0</v>
      </c>
      <c r="J343" s="32">
        <f t="shared" si="23"/>
        <v>0</v>
      </c>
      <c r="K343" s="11"/>
      <c r="M343" s="12"/>
      <c r="N343" s="12"/>
    </row>
    <row r="344" spans="2:14" ht="21.95" customHeight="1" x14ac:dyDescent="0.25">
      <c r="B344" s="30"/>
      <c r="C344" s="14" t="str">
        <f t="shared" si="20"/>
        <v/>
      </c>
      <c r="D344" s="11"/>
      <c r="E344" s="14" t="str">
        <f>IF(D344="","",IFERROR(VLOOKUP(D344,Categorias!$B$5:$C$200,2,FALSE),"Revisar"))</f>
        <v/>
      </c>
      <c r="F344" s="11"/>
      <c r="G344" s="31"/>
      <c r="H344" s="32">
        <f t="shared" si="21"/>
        <v>0</v>
      </c>
      <c r="I344" s="32">
        <f t="shared" si="22"/>
        <v>0</v>
      </c>
      <c r="J344" s="32">
        <f t="shared" si="23"/>
        <v>0</v>
      </c>
      <c r="K344" s="11"/>
      <c r="M344" s="12"/>
      <c r="N344" s="12"/>
    </row>
    <row r="345" spans="2:14" ht="21.95" customHeight="1" x14ac:dyDescent="0.25">
      <c r="B345" s="30"/>
      <c r="C345" s="14" t="str">
        <f t="shared" si="20"/>
        <v/>
      </c>
      <c r="D345" s="11"/>
      <c r="E345" s="14" t="str">
        <f>IF(D345="","",IFERROR(VLOOKUP(D345,Categorias!$B$5:$C$200,2,FALSE),"Revisar"))</f>
        <v/>
      </c>
      <c r="F345" s="11"/>
      <c r="G345" s="31"/>
      <c r="H345" s="32">
        <f t="shared" si="21"/>
        <v>0</v>
      </c>
      <c r="I345" s="32">
        <f t="shared" si="22"/>
        <v>0</v>
      </c>
      <c r="J345" s="32">
        <f t="shared" si="23"/>
        <v>0</v>
      </c>
      <c r="K345" s="11"/>
      <c r="M345" s="12"/>
      <c r="N345" s="12"/>
    </row>
    <row r="346" spans="2:14" ht="21.95" customHeight="1" x14ac:dyDescent="0.25">
      <c r="B346" s="30"/>
      <c r="C346" s="14" t="str">
        <f t="shared" si="20"/>
        <v/>
      </c>
      <c r="D346" s="11"/>
      <c r="E346" s="14" t="str">
        <f>IF(D346="","",IFERROR(VLOOKUP(D346,Categorias!$B$5:$C$200,2,FALSE),"Revisar"))</f>
        <v/>
      </c>
      <c r="F346" s="11"/>
      <c r="G346" s="31"/>
      <c r="H346" s="32">
        <f t="shared" si="21"/>
        <v>0</v>
      </c>
      <c r="I346" s="32">
        <f t="shared" si="22"/>
        <v>0</v>
      </c>
      <c r="J346" s="32">
        <f t="shared" si="23"/>
        <v>0</v>
      </c>
      <c r="K346" s="11"/>
      <c r="M346" s="12"/>
      <c r="N346" s="12"/>
    </row>
    <row r="347" spans="2:14" ht="21.95" customHeight="1" x14ac:dyDescent="0.25">
      <c r="B347" s="30"/>
      <c r="C347" s="14" t="str">
        <f t="shared" si="20"/>
        <v/>
      </c>
      <c r="D347" s="11"/>
      <c r="E347" s="14" t="str">
        <f>IF(D347="","",IFERROR(VLOOKUP(D347,Categorias!$B$5:$C$200,2,FALSE),"Revisar"))</f>
        <v/>
      </c>
      <c r="F347" s="11"/>
      <c r="G347" s="31"/>
      <c r="H347" s="32">
        <f t="shared" si="21"/>
        <v>0</v>
      </c>
      <c r="I347" s="32">
        <f t="shared" si="22"/>
        <v>0</v>
      </c>
      <c r="J347" s="32">
        <f t="shared" si="23"/>
        <v>0</v>
      </c>
      <c r="K347" s="11"/>
      <c r="M347" s="12"/>
      <c r="N347" s="12"/>
    </row>
    <row r="348" spans="2:14" ht="21.95" customHeight="1" x14ac:dyDescent="0.25">
      <c r="B348" s="30"/>
      <c r="C348" s="14" t="str">
        <f t="shared" si="20"/>
        <v/>
      </c>
      <c r="D348" s="11"/>
      <c r="E348" s="14" t="str">
        <f>IF(D348="","",IFERROR(VLOOKUP(D348,Categorias!$B$5:$C$200,2,FALSE),"Revisar"))</f>
        <v/>
      </c>
      <c r="F348" s="11"/>
      <c r="G348" s="31"/>
      <c r="H348" s="32">
        <f t="shared" si="21"/>
        <v>0</v>
      </c>
      <c r="I348" s="32">
        <f t="shared" si="22"/>
        <v>0</v>
      </c>
      <c r="J348" s="32">
        <f t="shared" si="23"/>
        <v>0</v>
      </c>
      <c r="K348" s="11"/>
      <c r="M348" s="12"/>
      <c r="N348" s="12"/>
    </row>
    <row r="349" spans="2:14" ht="21.95" customHeight="1" x14ac:dyDescent="0.25">
      <c r="B349" s="30"/>
      <c r="C349" s="14" t="str">
        <f t="shared" si="20"/>
        <v/>
      </c>
      <c r="D349" s="11"/>
      <c r="E349" s="14" t="str">
        <f>IF(D349="","",IFERROR(VLOOKUP(D349,Categorias!$B$5:$C$200,2,FALSE),"Revisar"))</f>
        <v/>
      </c>
      <c r="F349" s="11"/>
      <c r="G349" s="31"/>
      <c r="H349" s="32">
        <f t="shared" si="21"/>
        <v>0</v>
      </c>
      <c r="I349" s="32">
        <f t="shared" si="22"/>
        <v>0</v>
      </c>
      <c r="J349" s="32">
        <f t="shared" si="23"/>
        <v>0</v>
      </c>
      <c r="K349" s="11"/>
      <c r="M349" s="12"/>
      <c r="N349" s="12"/>
    </row>
    <row r="350" spans="2:14" ht="21.95" customHeight="1" x14ac:dyDescent="0.25">
      <c r="B350" s="30"/>
      <c r="C350" s="14" t="str">
        <f t="shared" si="20"/>
        <v/>
      </c>
      <c r="D350" s="11"/>
      <c r="E350" s="14" t="str">
        <f>IF(D350="","",IFERROR(VLOOKUP(D350,Categorias!$B$5:$C$200,2,FALSE),"Revisar"))</f>
        <v/>
      </c>
      <c r="F350" s="11"/>
      <c r="G350" s="31"/>
      <c r="H350" s="32">
        <f t="shared" si="21"/>
        <v>0</v>
      </c>
      <c r="I350" s="32">
        <f t="shared" si="22"/>
        <v>0</v>
      </c>
      <c r="J350" s="32">
        <f t="shared" si="23"/>
        <v>0</v>
      </c>
      <c r="K350" s="11"/>
      <c r="M350" s="12"/>
      <c r="N350" s="12"/>
    </row>
    <row r="351" spans="2:14" ht="21.95" customHeight="1" x14ac:dyDescent="0.25">
      <c r="B351" s="30"/>
      <c r="C351" s="14" t="str">
        <f t="shared" si="20"/>
        <v/>
      </c>
      <c r="D351" s="11"/>
      <c r="E351" s="14" t="str">
        <f>IF(D351="","",IFERROR(VLOOKUP(D351,Categorias!$B$5:$C$200,2,FALSE),"Revisar"))</f>
        <v/>
      </c>
      <c r="F351" s="11"/>
      <c r="G351" s="31"/>
      <c r="H351" s="32">
        <f t="shared" si="21"/>
        <v>0</v>
      </c>
      <c r="I351" s="32">
        <f t="shared" si="22"/>
        <v>0</v>
      </c>
      <c r="J351" s="32">
        <f t="shared" si="23"/>
        <v>0</v>
      </c>
      <c r="K351" s="11"/>
      <c r="M351" s="12"/>
      <c r="N351" s="12"/>
    </row>
    <row r="352" spans="2:14" ht="21.95" customHeight="1" x14ac:dyDescent="0.25">
      <c r="B352" s="30"/>
      <c r="C352" s="14" t="str">
        <f t="shared" si="20"/>
        <v/>
      </c>
      <c r="D352" s="11"/>
      <c r="E352" s="14" t="str">
        <f>IF(D352="","",IFERROR(VLOOKUP(D352,Categorias!$B$5:$C$200,2,FALSE),"Revisar"))</f>
        <v/>
      </c>
      <c r="F352" s="11"/>
      <c r="G352" s="31"/>
      <c r="H352" s="32">
        <f t="shared" si="21"/>
        <v>0</v>
      </c>
      <c r="I352" s="32">
        <f t="shared" si="22"/>
        <v>0</v>
      </c>
      <c r="J352" s="32">
        <f t="shared" si="23"/>
        <v>0</v>
      </c>
      <c r="K352" s="11"/>
      <c r="M352" s="12"/>
      <c r="N352" s="12"/>
    </row>
    <row r="353" spans="2:14" ht="21.95" customHeight="1" x14ac:dyDescent="0.25">
      <c r="B353" s="30"/>
      <c r="C353" s="14" t="str">
        <f t="shared" si="20"/>
        <v/>
      </c>
      <c r="D353" s="11"/>
      <c r="E353" s="14" t="str">
        <f>IF(D353="","",IFERROR(VLOOKUP(D353,Categorias!$B$5:$C$200,2,FALSE),"Revisar"))</f>
        <v/>
      </c>
      <c r="F353" s="11"/>
      <c r="G353" s="31"/>
      <c r="H353" s="32">
        <f t="shared" si="21"/>
        <v>0</v>
      </c>
      <c r="I353" s="32">
        <f t="shared" si="22"/>
        <v>0</v>
      </c>
      <c r="J353" s="32">
        <f t="shared" si="23"/>
        <v>0</v>
      </c>
      <c r="K353" s="11"/>
      <c r="M353" s="12"/>
      <c r="N353" s="12"/>
    </row>
    <row r="354" spans="2:14" ht="21.95" customHeight="1" x14ac:dyDescent="0.25">
      <c r="B354" s="30"/>
      <c r="C354" s="14" t="str">
        <f t="shared" si="20"/>
        <v/>
      </c>
      <c r="D354" s="11"/>
      <c r="E354" s="14" t="str">
        <f>IF(D354="","",IFERROR(VLOOKUP(D354,Categorias!$B$5:$C$200,2,FALSE),"Revisar"))</f>
        <v/>
      </c>
      <c r="F354" s="11"/>
      <c r="G354" s="31"/>
      <c r="H354" s="32">
        <f t="shared" si="21"/>
        <v>0</v>
      </c>
      <c r="I354" s="32">
        <f t="shared" si="22"/>
        <v>0</v>
      </c>
      <c r="J354" s="32">
        <f t="shared" si="23"/>
        <v>0</v>
      </c>
      <c r="K354" s="11"/>
      <c r="M354" s="12"/>
      <c r="N354" s="12"/>
    </row>
    <row r="355" spans="2:14" ht="21.95" customHeight="1" x14ac:dyDescent="0.25">
      <c r="B355" s="30"/>
      <c r="C355" s="14" t="str">
        <f t="shared" si="20"/>
        <v/>
      </c>
      <c r="D355" s="11"/>
      <c r="E355" s="14" t="str">
        <f>IF(D355="","",IFERROR(VLOOKUP(D355,Categorias!$B$5:$C$200,2,FALSE),"Revisar"))</f>
        <v/>
      </c>
      <c r="F355" s="11"/>
      <c r="G355" s="31"/>
      <c r="H355" s="32">
        <f t="shared" si="21"/>
        <v>0</v>
      </c>
      <c r="I355" s="32">
        <f t="shared" si="22"/>
        <v>0</v>
      </c>
      <c r="J355" s="32">
        <f t="shared" si="23"/>
        <v>0</v>
      </c>
      <c r="K355" s="11"/>
      <c r="M355" s="12"/>
      <c r="N355" s="12"/>
    </row>
    <row r="356" spans="2:14" ht="21.95" customHeight="1" x14ac:dyDescent="0.25">
      <c r="B356" s="30"/>
      <c r="C356" s="14" t="str">
        <f t="shared" si="20"/>
        <v/>
      </c>
      <c r="D356" s="11"/>
      <c r="E356" s="14" t="str">
        <f>IF(D356="","",IFERROR(VLOOKUP(D356,Categorias!$B$5:$C$200,2,FALSE),"Revisar"))</f>
        <v/>
      </c>
      <c r="F356" s="11"/>
      <c r="G356" s="31"/>
      <c r="H356" s="32">
        <f t="shared" si="21"/>
        <v>0</v>
      </c>
      <c r="I356" s="32">
        <f t="shared" si="22"/>
        <v>0</v>
      </c>
      <c r="J356" s="32">
        <f t="shared" si="23"/>
        <v>0</v>
      </c>
      <c r="K356" s="11"/>
      <c r="M356" s="12"/>
      <c r="N356" s="12"/>
    </row>
    <row r="357" spans="2:14" ht="21.95" customHeight="1" x14ac:dyDescent="0.25">
      <c r="B357" s="30"/>
      <c r="C357" s="14" t="str">
        <f t="shared" si="20"/>
        <v/>
      </c>
      <c r="D357" s="11"/>
      <c r="E357" s="14" t="str">
        <f>IF(D357="","",IFERROR(VLOOKUP(D357,Categorias!$B$5:$C$200,2,FALSE),"Revisar"))</f>
        <v/>
      </c>
      <c r="F357" s="11"/>
      <c r="G357" s="31"/>
      <c r="H357" s="32">
        <f t="shared" si="21"/>
        <v>0</v>
      </c>
      <c r="I357" s="32">
        <f t="shared" si="22"/>
        <v>0</v>
      </c>
      <c r="J357" s="32">
        <f t="shared" si="23"/>
        <v>0</v>
      </c>
      <c r="K357" s="11"/>
      <c r="M357" s="12"/>
      <c r="N357" s="12"/>
    </row>
    <row r="358" spans="2:14" ht="21.95" customHeight="1" x14ac:dyDescent="0.25">
      <c r="B358" s="30"/>
      <c r="C358" s="14" t="str">
        <f t="shared" si="20"/>
        <v/>
      </c>
      <c r="D358" s="11"/>
      <c r="E358" s="14" t="str">
        <f>IF(D358="","",IFERROR(VLOOKUP(D358,Categorias!$B$5:$C$200,2,FALSE),"Revisar"))</f>
        <v/>
      </c>
      <c r="F358" s="11"/>
      <c r="G358" s="31"/>
      <c r="H358" s="32">
        <f t="shared" si="21"/>
        <v>0</v>
      </c>
      <c r="I358" s="32">
        <f t="shared" si="22"/>
        <v>0</v>
      </c>
      <c r="J358" s="32">
        <f t="shared" si="23"/>
        <v>0</v>
      </c>
      <c r="K358" s="11"/>
      <c r="M358" s="12"/>
      <c r="N358" s="12"/>
    </row>
    <row r="359" spans="2:14" ht="21.95" customHeight="1" x14ac:dyDescent="0.25">
      <c r="B359" s="30"/>
      <c r="C359" s="14" t="str">
        <f t="shared" si="20"/>
        <v/>
      </c>
      <c r="D359" s="11"/>
      <c r="E359" s="14" t="str">
        <f>IF(D359="","",IFERROR(VLOOKUP(D359,Categorias!$B$5:$C$200,2,FALSE),"Revisar"))</f>
        <v/>
      </c>
      <c r="F359" s="11"/>
      <c r="G359" s="31"/>
      <c r="H359" s="32">
        <f t="shared" si="21"/>
        <v>0</v>
      </c>
      <c r="I359" s="32">
        <f t="shared" si="22"/>
        <v>0</v>
      </c>
      <c r="J359" s="32">
        <f t="shared" si="23"/>
        <v>0</v>
      </c>
      <c r="K359" s="11"/>
      <c r="M359" s="12"/>
      <c r="N359" s="12"/>
    </row>
    <row r="360" spans="2:14" ht="21.95" customHeight="1" x14ac:dyDescent="0.25">
      <c r="B360" s="30"/>
      <c r="C360" s="14" t="str">
        <f t="shared" si="20"/>
        <v/>
      </c>
      <c r="D360" s="11"/>
      <c r="E360" s="14" t="str">
        <f>IF(D360="","",IFERROR(VLOOKUP(D360,Categorias!$B$5:$C$200,2,FALSE),"Revisar"))</f>
        <v/>
      </c>
      <c r="F360" s="11"/>
      <c r="G360" s="31"/>
      <c r="H360" s="32">
        <f t="shared" si="21"/>
        <v>0</v>
      </c>
      <c r="I360" s="32">
        <f t="shared" si="22"/>
        <v>0</v>
      </c>
      <c r="J360" s="32">
        <f t="shared" si="23"/>
        <v>0</v>
      </c>
      <c r="K360" s="11"/>
      <c r="M360" s="12"/>
      <c r="N360" s="12"/>
    </row>
    <row r="361" spans="2:14" ht="21.95" customHeight="1" x14ac:dyDescent="0.25">
      <c r="B361" s="30"/>
      <c r="C361" s="14" t="str">
        <f t="shared" si="20"/>
        <v/>
      </c>
      <c r="D361" s="11"/>
      <c r="E361" s="14" t="str">
        <f>IF(D361="","",IFERROR(VLOOKUP(D361,Categorias!$B$5:$C$200,2,FALSE),"Revisar"))</f>
        <v/>
      </c>
      <c r="F361" s="11"/>
      <c r="G361" s="31"/>
      <c r="H361" s="32">
        <f t="shared" si="21"/>
        <v>0</v>
      </c>
      <c r="I361" s="32">
        <f t="shared" si="22"/>
        <v>0</v>
      </c>
      <c r="J361" s="32">
        <f t="shared" si="23"/>
        <v>0</v>
      </c>
      <c r="K361" s="11"/>
      <c r="M361" s="12"/>
      <c r="N361" s="12"/>
    </row>
    <row r="362" spans="2:14" ht="21.95" customHeight="1" x14ac:dyDescent="0.25">
      <c r="B362" s="30"/>
      <c r="C362" s="14" t="str">
        <f t="shared" si="20"/>
        <v/>
      </c>
      <c r="D362" s="11"/>
      <c r="E362" s="14" t="str">
        <f>IF(D362="","",IFERROR(VLOOKUP(D362,Categorias!$B$5:$C$200,2,FALSE),"Revisar"))</f>
        <v/>
      </c>
      <c r="F362" s="11"/>
      <c r="G362" s="31"/>
      <c r="H362" s="32">
        <f t="shared" si="21"/>
        <v>0</v>
      </c>
      <c r="I362" s="32">
        <f t="shared" si="22"/>
        <v>0</v>
      </c>
      <c r="J362" s="32">
        <f t="shared" si="23"/>
        <v>0</v>
      </c>
      <c r="K362" s="11"/>
      <c r="M362" s="12"/>
      <c r="N362" s="12"/>
    </row>
    <row r="363" spans="2:14" ht="21.95" customHeight="1" x14ac:dyDescent="0.25">
      <c r="B363" s="30"/>
      <c r="C363" s="14" t="str">
        <f t="shared" si="20"/>
        <v/>
      </c>
      <c r="D363" s="11"/>
      <c r="E363" s="14" t="str">
        <f>IF(D363="","",IFERROR(VLOOKUP(D363,Categorias!$B$5:$C$200,2,FALSE),"Revisar"))</f>
        <v/>
      </c>
      <c r="F363" s="11"/>
      <c r="G363" s="31"/>
      <c r="H363" s="32">
        <f t="shared" si="21"/>
        <v>0</v>
      </c>
      <c r="I363" s="32">
        <f t="shared" si="22"/>
        <v>0</v>
      </c>
      <c r="J363" s="32">
        <f t="shared" si="23"/>
        <v>0</v>
      </c>
      <c r="K363" s="11"/>
      <c r="M363" s="12"/>
      <c r="N363" s="12"/>
    </row>
    <row r="364" spans="2:14" ht="21.95" customHeight="1" x14ac:dyDescent="0.25">
      <c r="B364" s="30"/>
      <c r="C364" s="14" t="str">
        <f t="shared" si="20"/>
        <v/>
      </c>
      <c r="D364" s="11"/>
      <c r="E364" s="14" t="str">
        <f>IF(D364="","",IFERROR(VLOOKUP(D364,Categorias!$B$5:$C$200,2,FALSE),"Revisar"))</f>
        <v/>
      </c>
      <c r="F364" s="11"/>
      <c r="G364" s="31"/>
      <c r="H364" s="32">
        <f t="shared" si="21"/>
        <v>0</v>
      </c>
      <c r="I364" s="32">
        <f t="shared" si="22"/>
        <v>0</v>
      </c>
      <c r="J364" s="32">
        <f t="shared" si="23"/>
        <v>0</v>
      </c>
      <c r="K364" s="11"/>
      <c r="M364" s="12"/>
      <c r="N364" s="12"/>
    </row>
    <row r="365" spans="2:14" ht="21.95" customHeight="1" x14ac:dyDescent="0.25">
      <c r="B365" s="30"/>
      <c r="C365" s="14" t="str">
        <f t="shared" si="20"/>
        <v/>
      </c>
      <c r="D365" s="11"/>
      <c r="E365" s="14" t="str">
        <f>IF(D365="","",IFERROR(VLOOKUP(D365,Categorias!$B$5:$C$200,2,FALSE),"Revisar"))</f>
        <v/>
      </c>
      <c r="F365" s="11"/>
      <c r="G365" s="31"/>
      <c r="H365" s="32">
        <f t="shared" si="21"/>
        <v>0</v>
      </c>
      <c r="I365" s="32">
        <f t="shared" si="22"/>
        <v>0</v>
      </c>
      <c r="J365" s="32">
        <f t="shared" si="23"/>
        <v>0</v>
      </c>
      <c r="K365" s="11"/>
      <c r="M365" s="12"/>
      <c r="N365" s="12"/>
    </row>
    <row r="366" spans="2:14" ht="21.95" customHeight="1" x14ac:dyDescent="0.25">
      <c r="B366" s="30"/>
      <c r="C366" s="14" t="str">
        <f t="shared" si="20"/>
        <v/>
      </c>
      <c r="D366" s="11"/>
      <c r="E366" s="14" t="str">
        <f>IF(D366="","",IFERROR(VLOOKUP(D366,Categorias!$B$5:$C$200,2,FALSE),"Revisar"))</f>
        <v/>
      </c>
      <c r="F366" s="11"/>
      <c r="G366" s="31"/>
      <c r="H366" s="32">
        <f t="shared" si="21"/>
        <v>0</v>
      </c>
      <c r="I366" s="32">
        <f t="shared" si="22"/>
        <v>0</v>
      </c>
      <c r="J366" s="32">
        <f t="shared" si="23"/>
        <v>0</v>
      </c>
      <c r="K366" s="11"/>
      <c r="M366" s="12"/>
      <c r="N366" s="12"/>
    </row>
    <row r="367" spans="2:14" ht="21.95" customHeight="1" x14ac:dyDescent="0.25">
      <c r="B367" s="30"/>
      <c r="C367" s="14" t="str">
        <f t="shared" si="20"/>
        <v/>
      </c>
      <c r="D367" s="11"/>
      <c r="E367" s="14" t="str">
        <f>IF(D367="","",IFERROR(VLOOKUP(D367,Categorias!$B$5:$C$200,2,FALSE),"Revisar"))</f>
        <v/>
      </c>
      <c r="F367" s="11"/>
      <c r="G367" s="31"/>
      <c r="H367" s="32">
        <f t="shared" si="21"/>
        <v>0</v>
      </c>
      <c r="I367" s="32">
        <f t="shared" si="22"/>
        <v>0</v>
      </c>
      <c r="J367" s="32">
        <f t="shared" si="23"/>
        <v>0</v>
      </c>
      <c r="K367" s="11"/>
      <c r="M367" s="12"/>
      <c r="N367" s="12"/>
    </row>
    <row r="368" spans="2:14" ht="21.95" customHeight="1" x14ac:dyDescent="0.25">
      <c r="B368" s="30"/>
      <c r="C368" s="14" t="str">
        <f t="shared" si="20"/>
        <v/>
      </c>
      <c r="D368" s="11"/>
      <c r="E368" s="14" t="str">
        <f>IF(D368="","",IFERROR(VLOOKUP(D368,Categorias!$B$5:$C$200,2,FALSE),"Revisar"))</f>
        <v/>
      </c>
      <c r="F368" s="11"/>
      <c r="G368" s="31"/>
      <c r="H368" s="32">
        <f t="shared" si="21"/>
        <v>0</v>
      </c>
      <c r="I368" s="32">
        <f t="shared" si="22"/>
        <v>0</v>
      </c>
      <c r="J368" s="32">
        <f t="shared" si="23"/>
        <v>0</v>
      </c>
      <c r="K368" s="11"/>
      <c r="M368" s="12"/>
      <c r="N368" s="12"/>
    </row>
    <row r="369" spans="2:14" ht="21.95" customHeight="1" x14ac:dyDescent="0.25">
      <c r="B369" s="30"/>
      <c r="C369" s="14" t="str">
        <f t="shared" si="20"/>
        <v/>
      </c>
      <c r="D369" s="11"/>
      <c r="E369" s="14" t="str">
        <f>IF(D369="","",IFERROR(VLOOKUP(D369,Categorias!$B$5:$C$200,2,FALSE),"Revisar"))</f>
        <v/>
      </c>
      <c r="F369" s="11"/>
      <c r="G369" s="31"/>
      <c r="H369" s="32">
        <f t="shared" si="21"/>
        <v>0</v>
      </c>
      <c r="I369" s="32">
        <f t="shared" si="22"/>
        <v>0</v>
      </c>
      <c r="J369" s="32">
        <f t="shared" si="23"/>
        <v>0</v>
      </c>
      <c r="K369" s="11"/>
      <c r="M369" s="12"/>
      <c r="N369" s="12"/>
    </row>
    <row r="370" spans="2:14" ht="21.95" customHeight="1" x14ac:dyDescent="0.25">
      <c r="B370" s="30"/>
      <c r="C370" s="14" t="str">
        <f t="shared" si="20"/>
        <v/>
      </c>
      <c r="D370" s="11"/>
      <c r="E370" s="14" t="str">
        <f>IF(D370="","",IFERROR(VLOOKUP(D370,Categorias!$B$5:$C$200,2,FALSE),"Revisar"))</f>
        <v/>
      </c>
      <c r="F370" s="11"/>
      <c r="G370" s="31"/>
      <c r="H370" s="32">
        <f t="shared" si="21"/>
        <v>0</v>
      </c>
      <c r="I370" s="32">
        <f t="shared" si="22"/>
        <v>0</v>
      </c>
      <c r="J370" s="32">
        <f t="shared" si="23"/>
        <v>0</v>
      </c>
      <c r="K370" s="11"/>
      <c r="M370" s="12"/>
      <c r="N370" s="12"/>
    </row>
    <row r="371" spans="2:14" ht="21.95" customHeight="1" x14ac:dyDescent="0.25">
      <c r="B371" s="30"/>
      <c r="C371" s="14" t="str">
        <f t="shared" si="20"/>
        <v/>
      </c>
      <c r="D371" s="11"/>
      <c r="E371" s="14" t="str">
        <f>IF(D371="","",IFERROR(VLOOKUP(D371,Categorias!$B$5:$C$200,2,FALSE),"Revisar"))</f>
        <v/>
      </c>
      <c r="F371" s="11"/>
      <c r="G371" s="31"/>
      <c r="H371" s="32">
        <f t="shared" si="21"/>
        <v>0</v>
      </c>
      <c r="I371" s="32">
        <f t="shared" si="22"/>
        <v>0</v>
      </c>
      <c r="J371" s="32">
        <f t="shared" si="23"/>
        <v>0</v>
      </c>
      <c r="K371" s="11"/>
      <c r="M371" s="12"/>
      <c r="N371" s="12"/>
    </row>
    <row r="372" spans="2:14" ht="21.95" customHeight="1" x14ac:dyDescent="0.25">
      <c r="B372" s="30"/>
      <c r="C372" s="14" t="str">
        <f t="shared" si="20"/>
        <v/>
      </c>
      <c r="D372" s="11"/>
      <c r="E372" s="14" t="str">
        <f>IF(D372="","",IFERROR(VLOOKUP(D372,Categorias!$B$5:$C$200,2,FALSE),"Revisar"))</f>
        <v/>
      </c>
      <c r="F372" s="11"/>
      <c r="G372" s="31"/>
      <c r="H372" s="32">
        <f t="shared" si="21"/>
        <v>0</v>
      </c>
      <c r="I372" s="32">
        <f t="shared" si="22"/>
        <v>0</v>
      </c>
      <c r="J372" s="32">
        <f t="shared" si="23"/>
        <v>0</v>
      </c>
      <c r="K372" s="11"/>
      <c r="M372" s="12"/>
      <c r="N372" s="12"/>
    </row>
    <row r="373" spans="2:14" ht="21.95" customHeight="1" x14ac:dyDescent="0.25">
      <c r="B373" s="30"/>
      <c r="C373" s="14" t="str">
        <f t="shared" si="20"/>
        <v/>
      </c>
      <c r="D373" s="11"/>
      <c r="E373" s="14" t="str">
        <f>IF(D373="","",IFERROR(VLOOKUP(D373,Categorias!$B$5:$C$200,2,FALSE),"Revisar"))</f>
        <v/>
      </c>
      <c r="F373" s="11"/>
      <c r="G373" s="31"/>
      <c r="H373" s="32">
        <f t="shared" si="21"/>
        <v>0</v>
      </c>
      <c r="I373" s="32">
        <f t="shared" si="22"/>
        <v>0</v>
      </c>
      <c r="J373" s="32">
        <f t="shared" si="23"/>
        <v>0</v>
      </c>
      <c r="K373" s="11"/>
      <c r="M373" s="12"/>
      <c r="N373" s="12"/>
    </row>
    <row r="374" spans="2:14" ht="21.95" customHeight="1" x14ac:dyDescent="0.25">
      <c r="B374" s="30"/>
      <c r="C374" s="14" t="str">
        <f t="shared" si="20"/>
        <v/>
      </c>
      <c r="D374" s="11"/>
      <c r="E374" s="14" t="str">
        <f>IF(D374="","",IFERROR(VLOOKUP(D374,Categorias!$B$5:$C$200,2,FALSE),"Revisar"))</f>
        <v/>
      </c>
      <c r="F374" s="11"/>
      <c r="G374" s="31"/>
      <c r="H374" s="32">
        <f t="shared" si="21"/>
        <v>0</v>
      </c>
      <c r="I374" s="32">
        <f t="shared" si="22"/>
        <v>0</v>
      </c>
      <c r="J374" s="32">
        <f t="shared" si="23"/>
        <v>0</v>
      </c>
      <c r="K374" s="11"/>
      <c r="M374" s="12"/>
      <c r="N374" s="12"/>
    </row>
    <row r="375" spans="2:14" ht="21.95" customHeight="1" x14ac:dyDescent="0.25">
      <c r="B375" s="30"/>
      <c r="C375" s="14" t="str">
        <f t="shared" si="20"/>
        <v/>
      </c>
      <c r="D375" s="11"/>
      <c r="E375" s="14" t="str">
        <f>IF(D375="","",IFERROR(VLOOKUP(D375,Categorias!$B$5:$C$200,2,FALSE),"Revisar"))</f>
        <v/>
      </c>
      <c r="F375" s="11"/>
      <c r="G375" s="31"/>
      <c r="H375" s="32">
        <f t="shared" si="21"/>
        <v>0</v>
      </c>
      <c r="I375" s="32">
        <f t="shared" si="22"/>
        <v>0</v>
      </c>
      <c r="J375" s="32">
        <f t="shared" si="23"/>
        <v>0</v>
      </c>
      <c r="K375" s="11"/>
      <c r="M375" s="12"/>
      <c r="N375" s="12"/>
    </row>
    <row r="376" spans="2:14" ht="21.95" customHeight="1" x14ac:dyDescent="0.25">
      <c r="B376" s="30"/>
      <c r="C376" s="14" t="str">
        <f t="shared" si="20"/>
        <v/>
      </c>
      <c r="D376" s="11"/>
      <c r="E376" s="14" t="str">
        <f>IF(D376="","",IFERROR(VLOOKUP(D376,Categorias!$B$5:$C$200,2,FALSE),"Revisar"))</f>
        <v/>
      </c>
      <c r="F376" s="11"/>
      <c r="G376" s="31"/>
      <c r="H376" s="32">
        <f t="shared" si="21"/>
        <v>0</v>
      </c>
      <c r="I376" s="32">
        <f t="shared" si="22"/>
        <v>0</v>
      </c>
      <c r="J376" s="32">
        <f t="shared" si="23"/>
        <v>0</v>
      </c>
      <c r="K376" s="11"/>
      <c r="M376" s="12"/>
      <c r="N376" s="12"/>
    </row>
    <row r="377" spans="2:14" ht="21.95" customHeight="1" x14ac:dyDescent="0.25">
      <c r="B377" s="30"/>
      <c r="C377" s="14" t="str">
        <f t="shared" si="20"/>
        <v/>
      </c>
      <c r="D377" s="11"/>
      <c r="E377" s="14" t="str">
        <f>IF(D377="","",IFERROR(VLOOKUP(D377,Categorias!$B$5:$C$200,2,FALSE),"Revisar"))</f>
        <v/>
      </c>
      <c r="F377" s="11"/>
      <c r="G377" s="31"/>
      <c r="H377" s="32">
        <f t="shared" si="21"/>
        <v>0</v>
      </c>
      <c r="I377" s="32">
        <f t="shared" si="22"/>
        <v>0</v>
      </c>
      <c r="J377" s="32">
        <f t="shared" si="23"/>
        <v>0</v>
      </c>
      <c r="K377" s="11"/>
      <c r="M377" s="12"/>
      <c r="N377" s="12"/>
    </row>
    <row r="378" spans="2:14" ht="21.95" customHeight="1" x14ac:dyDescent="0.25">
      <c r="B378" s="30"/>
      <c r="C378" s="14" t="str">
        <f t="shared" si="20"/>
        <v/>
      </c>
      <c r="D378" s="11"/>
      <c r="E378" s="14" t="str">
        <f>IF(D378="","",IFERROR(VLOOKUP(D378,Categorias!$B$5:$C$200,2,FALSE),"Revisar"))</f>
        <v/>
      </c>
      <c r="F378" s="11"/>
      <c r="G378" s="31"/>
      <c r="H378" s="32">
        <f t="shared" si="21"/>
        <v>0</v>
      </c>
      <c r="I378" s="32">
        <f t="shared" si="22"/>
        <v>0</v>
      </c>
      <c r="J378" s="32">
        <f t="shared" si="23"/>
        <v>0</v>
      </c>
      <c r="K378" s="11"/>
      <c r="M378" s="12"/>
      <c r="N378" s="12"/>
    </row>
    <row r="379" spans="2:14" ht="21.95" customHeight="1" x14ac:dyDescent="0.25">
      <c r="B379" s="30"/>
      <c r="C379" s="14" t="str">
        <f t="shared" si="20"/>
        <v/>
      </c>
      <c r="D379" s="11"/>
      <c r="E379" s="14" t="str">
        <f>IF(D379="","",IFERROR(VLOOKUP(D379,Categorias!$B$5:$C$200,2,FALSE),"Revisar"))</f>
        <v/>
      </c>
      <c r="F379" s="11"/>
      <c r="G379" s="31"/>
      <c r="H379" s="32">
        <f t="shared" si="21"/>
        <v>0</v>
      </c>
      <c r="I379" s="32">
        <f t="shared" si="22"/>
        <v>0</v>
      </c>
      <c r="J379" s="32">
        <f t="shared" si="23"/>
        <v>0</v>
      </c>
      <c r="K379" s="11"/>
      <c r="M379" s="12"/>
      <c r="N379" s="12"/>
    </row>
    <row r="380" spans="2:14" ht="21.95" customHeight="1" x14ac:dyDescent="0.25">
      <c r="B380" s="30"/>
      <c r="C380" s="14" t="str">
        <f t="shared" si="20"/>
        <v/>
      </c>
      <c r="D380" s="11"/>
      <c r="E380" s="14" t="str">
        <f>IF(D380="","",IFERROR(VLOOKUP(D380,Categorias!$B$5:$C$200,2,FALSE),"Revisar"))</f>
        <v/>
      </c>
      <c r="F380" s="11"/>
      <c r="G380" s="31"/>
      <c r="H380" s="32">
        <f t="shared" si="21"/>
        <v>0</v>
      </c>
      <c r="I380" s="32">
        <f t="shared" si="22"/>
        <v>0</v>
      </c>
      <c r="J380" s="32">
        <f t="shared" si="23"/>
        <v>0</v>
      </c>
      <c r="K380" s="11"/>
      <c r="M380" s="12"/>
      <c r="N380" s="12"/>
    </row>
    <row r="381" spans="2:14" ht="21.95" customHeight="1" x14ac:dyDescent="0.25">
      <c r="B381" s="30"/>
      <c r="C381" s="14" t="str">
        <f t="shared" si="20"/>
        <v/>
      </c>
      <c r="D381" s="11"/>
      <c r="E381" s="14" t="str">
        <f>IF(D381="","",IFERROR(VLOOKUP(D381,Categorias!$B$5:$C$200,2,FALSE),"Revisar"))</f>
        <v/>
      </c>
      <c r="F381" s="11"/>
      <c r="G381" s="31"/>
      <c r="H381" s="32">
        <f t="shared" si="21"/>
        <v>0</v>
      </c>
      <c r="I381" s="32">
        <f t="shared" si="22"/>
        <v>0</v>
      </c>
      <c r="J381" s="32">
        <f t="shared" si="23"/>
        <v>0</v>
      </c>
      <c r="K381" s="11"/>
      <c r="M381" s="12"/>
      <c r="N381" s="12"/>
    </row>
    <row r="382" spans="2:14" ht="21.95" customHeight="1" x14ac:dyDescent="0.25">
      <c r="B382" s="30"/>
      <c r="C382" s="14" t="str">
        <f t="shared" si="20"/>
        <v/>
      </c>
      <c r="D382" s="11"/>
      <c r="E382" s="14" t="str">
        <f>IF(D382="","",IFERROR(VLOOKUP(D382,Categorias!$B$5:$C$200,2,FALSE),"Revisar"))</f>
        <v/>
      </c>
      <c r="F382" s="11"/>
      <c r="G382" s="31"/>
      <c r="H382" s="32">
        <f t="shared" si="21"/>
        <v>0</v>
      </c>
      <c r="I382" s="32">
        <f t="shared" si="22"/>
        <v>0</v>
      </c>
      <c r="J382" s="32">
        <f t="shared" si="23"/>
        <v>0</v>
      </c>
      <c r="K382" s="11"/>
      <c r="M382" s="12"/>
      <c r="N382" s="12"/>
    </row>
    <row r="383" spans="2:14" ht="21.95" customHeight="1" x14ac:dyDescent="0.25">
      <c r="B383" s="30"/>
      <c r="C383" s="14" t="str">
        <f t="shared" si="20"/>
        <v/>
      </c>
      <c r="D383" s="11"/>
      <c r="E383" s="14" t="str">
        <f>IF(D383="","",IFERROR(VLOOKUP(D383,Categorias!$B$5:$C$200,2,FALSE),"Revisar"))</f>
        <v/>
      </c>
      <c r="F383" s="11"/>
      <c r="G383" s="31"/>
      <c r="H383" s="32">
        <f t="shared" si="21"/>
        <v>0</v>
      </c>
      <c r="I383" s="32">
        <f t="shared" si="22"/>
        <v>0</v>
      </c>
      <c r="J383" s="32">
        <f t="shared" si="23"/>
        <v>0</v>
      </c>
      <c r="K383" s="11"/>
      <c r="M383" s="12"/>
      <c r="N383" s="12"/>
    </row>
    <row r="384" spans="2:14" ht="21.95" customHeight="1" x14ac:dyDescent="0.25">
      <c r="B384" s="30"/>
      <c r="C384" s="14" t="str">
        <f t="shared" si="20"/>
        <v/>
      </c>
      <c r="D384" s="11"/>
      <c r="E384" s="14" t="str">
        <f>IF(D384="","",IFERROR(VLOOKUP(D384,Categorias!$B$5:$C$200,2,FALSE),"Revisar"))</f>
        <v/>
      </c>
      <c r="F384" s="11"/>
      <c r="G384" s="31"/>
      <c r="H384" s="32">
        <f t="shared" si="21"/>
        <v>0</v>
      </c>
      <c r="I384" s="32">
        <f t="shared" si="22"/>
        <v>0</v>
      </c>
      <c r="J384" s="32">
        <f t="shared" si="23"/>
        <v>0</v>
      </c>
      <c r="K384" s="11"/>
      <c r="M384" s="12"/>
      <c r="N384" s="12"/>
    </row>
    <row r="385" spans="2:14" ht="21.95" customHeight="1" x14ac:dyDescent="0.25">
      <c r="B385" s="30"/>
      <c r="C385" s="14" t="str">
        <f t="shared" si="20"/>
        <v/>
      </c>
      <c r="D385" s="11"/>
      <c r="E385" s="14" t="str">
        <f>IF(D385="","",IFERROR(VLOOKUP(D385,Categorias!$B$5:$C$200,2,FALSE),"Revisar"))</f>
        <v/>
      </c>
      <c r="F385" s="11"/>
      <c r="G385" s="31"/>
      <c r="H385" s="32">
        <f t="shared" si="21"/>
        <v>0</v>
      </c>
      <c r="I385" s="32">
        <f t="shared" si="22"/>
        <v>0</v>
      </c>
      <c r="J385" s="32">
        <f t="shared" si="23"/>
        <v>0</v>
      </c>
      <c r="K385" s="11"/>
      <c r="M385" s="12"/>
      <c r="N385" s="12"/>
    </row>
    <row r="386" spans="2:14" ht="21.95" customHeight="1" x14ac:dyDescent="0.25">
      <c r="B386" s="30"/>
      <c r="C386" s="14" t="str">
        <f t="shared" si="20"/>
        <v/>
      </c>
      <c r="D386" s="11"/>
      <c r="E386" s="14" t="str">
        <f>IF(D386="","",IFERROR(VLOOKUP(D386,Categorias!$B$5:$C$200,2,FALSE),"Revisar"))</f>
        <v/>
      </c>
      <c r="F386" s="11"/>
      <c r="G386" s="31"/>
      <c r="H386" s="32">
        <f t="shared" si="21"/>
        <v>0</v>
      </c>
      <c r="I386" s="32">
        <f t="shared" si="22"/>
        <v>0</v>
      </c>
      <c r="J386" s="32">
        <f t="shared" si="23"/>
        <v>0</v>
      </c>
      <c r="K386" s="11"/>
      <c r="M386" s="12"/>
      <c r="N386" s="12"/>
    </row>
    <row r="387" spans="2:14" ht="21.95" customHeight="1" x14ac:dyDescent="0.25">
      <c r="B387" s="30"/>
      <c r="C387" s="14" t="str">
        <f t="shared" si="20"/>
        <v/>
      </c>
      <c r="D387" s="11"/>
      <c r="E387" s="14" t="str">
        <f>IF(D387="","",IFERROR(VLOOKUP(D387,Categorias!$B$5:$C$200,2,FALSE),"Revisar"))</f>
        <v/>
      </c>
      <c r="F387" s="11"/>
      <c r="G387" s="31"/>
      <c r="H387" s="32">
        <f t="shared" si="21"/>
        <v>0</v>
      </c>
      <c r="I387" s="32">
        <f t="shared" si="22"/>
        <v>0</v>
      </c>
      <c r="J387" s="32">
        <f t="shared" si="23"/>
        <v>0</v>
      </c>
      <c r="K387" s="11"/>
      <c r="M387" s="12"/>
      <c r="N387" s="12"/>
    </row>
    <row r="388" spans="2:14" ht="21.95" customHeight="1" x14ac:dyDescent="0.25">
      <c r="B388" s="30"/>
      <c r="C388" s="14" t="str">
        <f t="shared" si="20"/>
        <v/>
      </c>
      <c r="D388" s="11"/>
      <c r="E388" s="14" t="str">
        <f>IF(D388="","",IFERROR(VLOOKUP(D388,Categorias!$B$5:$C$200,2,FALSE),"Revisar"))</f>
        <v/>
      </c>
      <c r="F388" s="11"/>
      <c r="G388" s="31"/>
      <c r="H388" s="32">
        <f t="shared" si="21"/>
        <v>0</v>
      </c>
      <c r="I388" s="32">
        <f t="shared" si="22"/>
        <v>0</v>
      </c>
      <c r="J388" s="32">
        <f t="shared" si="23"/>
        <v>0</v>
      </c>
      <c r="K388" s="11"/>
      <c r="M388" s="12"/>
      <c r="N388" s="12"/>
    </row>
    <row r="389" spans="2:14" ht="21.95" customHeight="1" x14ac:dyDescent="0.25">
      <c r="B389" s="30"/>
      <c r="C389" s="14" t="str">
        <f t="shared" si="20"/>
        <v/>
      </c>
      <c r="D389" s="11"/>
      <c r="E389" s="14" t="str">
        <f>IF(D389="","",IFERROR(VLOOKUP(D389,Categorias!$B$5:$C$200,2,FALSE),"Revisar"))</f>
        <v/>
      </c>
      <c r="F389" s="11"/>
      <c r="G389" s="31"/>
      <c r="H389" s="32">
        <f t="shared" si="21"/>
        <v>0</v>
      </c>
      <c r="I389" s="32">
        <f t="shared" si="22"/>
        <v>0</v>
      </c>
      <c r="J389" s="32">
        <f t="shared" si="23"/>
        <v>0</v>
      </c>
      <c r="K389" s="11"/>
      <c r="M389" s="12"/>
      <c r="N389" s="12"/>
    </row>
    <row r="390" spans="2:14" ht="21.95" customHeight="1" x14ac:dyDescent="0.25">
      <c r="B390" s="30"/>
      <c r="C390" s="14" t="str">
        <f t="shared" si="20"/>
        <v/>
      </c>
      <c r="D390" s="11"/>
      <c r="E390" s="14" t="str">
        <f>IF(D390="","",IFERROR(VLOOKUP(D390,Categorias!$B$5:$C$200,2,FALSE),"Revisar"))</f>
        <v/>
      </c>
      <c r="F390" s="11"/>
      <c r="G390" s="31"/>
      <c r="H390" s="32">
        <f t="shared" si="21"/>
        <v>0</v>
      </c>
      <c r="I390" s="32">
        <f t="shared" si="22"/>
        <v>0</v>
      </c>
      <c r="J390" s="32">
        <f t="shared" si="23"/>
        <v>0</v>
      </c>
      <c r="K390" s="11"/>
      <c r="M390" s="12"/>
      <c r="N390" s="12"/>
    </row>
    <row r="391" spans="2:14" ht="21.95" customHeight="1" x14ac:dyDescent="0.25">
      <c r="B391" s="30"/>
      <c r="C391" s="14" t="str">
        <f t="shared" si="20"/>
        <v/>
      </c>
      <c r="D391" s="11"/>
      <c r="E391" s="14" t="str">
        <f>IF(D391="","",IFERROR(VLOOKUP(D391,Categorias!$B$5:$C$200,2,FALSE),"Revisar"))</f>
        <v/>
      </c>
      <c r="F391" s="11"/>
      <c r="G391" s="31"/>
      <c r="H391" s="32">
        <f t="shared" si="21"/>
        <v>0</v>
      </c>
      <c r="I391" s="32">
        <f t="shared" si="22"/>
        <v>0</v>
      </c>
      <c r="J391" s="32">
        <f t="shared" si="23"/>
        <v>0</v>
      </c>
      <c r="K391" s="11"/>
      <c r="M391" s="12"/>
      <c r="N391" s="12"/>
    </row>
    <row r="392" spans="2:14" ht="21.95" customHeight="1" x14ac:dyDescent="0.25">
      <c r="B392" s="30"/>
      <c r="C392" s="14" t="str">
        <f t="shared" si="20"/>
        <v/>
      </c>
      <c r="D392" s="11"/>
      <c r="E392" s="14" t="str">
        <f>IF(D392="","",IFERROR(VLOOKUP(D392,Categorias!$B$5:$C$200,2,FALSE),"Revisar"))</f>
        <v/>
      </c>
      <c r="F392" s="11"/>
      <c r="G392" s="31"/>
      <c r="H392" s="32">
        <f t="shared" si="21"/>
        <v>0</v>
      </c>
      <c r="I392" s="32">
        <f t="shared" si="22"/>
        <v>0</v>
      </c>
      <c r="J392" s="32">
        <f t="shared" si="23"/>
        <v>0</v>
      </c>
      <c r="K392" s="11"/>
      <c r="M392" s="12"/>
      <c r="N392" s="12"/>
    </row>
    <row r="393" spans="2:14" ht="21.95" customHeight="1" x14ac:dyDescent="0.25">
      <c r="B393" s="30"/>
      <c r="C393" s="14" t="str">
        <f t="shared" ref="C393:C456" si="24">IF(B393="","",CHOOSE(MONTH(B393),"Enero","Febrero","Marzo","Abril","Mayo","Junio","Julio","Agosto","Septiembre","Octubre","Noviembre","Diciembre"))</f>
        <v/>
      </c>
      <c r="D393" s="11"/>
      <c r="E393" s="14" t="str">
        <f>IF(D393="","",IFERROR(VLOOKUP(D393,Categorias!$B$5:$C$200,2,FALSE),"Revisar"))</f>
        <v/>
      </c>
      <c r="F393" s="11"/>
      <c r="G393" s="31"/>
      <c r="H393" s="32">
        <f t="shared" ref="H393:H456" si="25">IF($E393="Ingreso",$G393,0)</f>
        <v>0</v>
      </c>
      <c r="I393" s="32">
        <f t="shared" ref="I393:I456" si="26">IF($E393="Gasto",$G393,0)</f>
        <v>0</v>
      </c>
      <c r="J393" s="32">
        <f t="shared" ref="J393:J456" si="27">IF($E393="Reserva",$G393,0)</f>
        <v>0</v>
      </c>
      <c r="K393" s="11"/>
      <c r="M393" s="12"/>
      <c r="N393" s="12"/>
    </row>
    <row r="394" spans="2:14" ht="21.95" customHeight="1" x14ac:dyDescent="0.25">
      <c r="B394" s="30"/>
      <c r="C394" s="14" t="str">
        <f t="shared" si="24"/>
        <v/>
      </c>
      <c r="D394" s="11"/>
      <c r="E394" s="14" t="str">
        <f>IF(D394="","",IFERROR(VLOOKUP(D394,Categorias!$B$5:$C$200,2,FALSE),"Revisar"))</f>
        <v/>
      </c>
      <c r="F394" s="11"/>
      <c r="G394" s="31"/>
      <c r="H394" s="32">
        <f t="shared" si="25"/>
        <v>0</v>
      </c>
      <c r="I394" s="32">
        <f t="shared" si="26"/>
        <v>0</v>
      </c>
      <c r="J394" s="32">
        <f t="shared" si="27"/>
        <v>0</v>
      </c>
      <c r="K394" s="11"/>
      <c r="M394" s="12"/>
      <c r="N394" s="12"/>
    </row>
    <row r="395" spans="2:14" ht="21.95" customHeight="1" x14ac:dyDescent="0.25">
      <c r="B395" s="30"/>
      <c r="C395" s="14" t="str">
        <f t="shared" si="24"/>
        <v/>
      </c>
      <c r="D395" s="11"/>
      <c r="E395" s="14" t="str">
        <f>IF(D395="","",IFERROR(VLOOKUP(D395,Categorias!$B$5:$C$200,2,FALSE),"Revisar"))</f>
        <v/>
      </c>
      <c r="F395" s="11"/>
      <c r="G395" s="31"/>
      <c r="H395" s="32">
        <f t="shared" si="25"/>
        <v>0</v>
      </c>
      <c r="I395" s="32">
        <f t="shared" si="26"/>
        <v>0</v>
      </c>
      <c r="J395" s="32">
        <f t="shared" si="27"/>
        <v>0</v>
      </c>
      <c r="K395" s="11"/>
      <c r="M395" s="12"/>
      <c r="N395" s="12"/>
    </row>
    <row r="396" spans="2:14" ht="21.95" customHeight="1" x14ac:dyDescent="0.25">
      <c r="B396" s="30"/>
      <c r="C396" s="14" t="str">
        <f t="shared" si="24"/>
        <v/>
      </c>
      <c r="D396" s="11"/>
      <c r="E396" s="14" t="str">
        <f>IF(D396="","",IFERROR(VLOOKUP(D396,Categorias!$B$5:$C$200,2,FALSE),"Revisar"))</f>
        <v/>
      </c>
      <c r="F396" s="11"/>
      <c r="G396" s="31"/>
      <c r="H396" s="32">
        <f t="shared" si="25"/>
        <v>0</v>
      </c>
      <c r="I396" s="32">
        <f t="shared" si="26"/>
        <v>0</v>
      </c>
      <c r="J396" s="32">
        <f t="shared" si="27"/>
        <v>0</v>
      </c>
      <c r="K396" s="11"/>
      <c r="M396" s="12"/>
      <c r="N396" s="12"/>
    </row>
    <row r="397" spans="2:14" ht="21.95" customHeight="1" x14ac:dyDescent="0.25">
      <c r="B397" s="30"/>
      <c r="C397" s="14" t="str">
        <f t="shared" si="24"/>
        <v/>
      </c>
      <c r="D397" s="11"/>
      <c r="E397" s="14" t="str">
        <f>IF(D397="","",IFERROR(VLOOKUP(D397,Categorias!$B$5:$C$200,2,FALSE),"Revisar"))</f>
        <v/>
      </c>
      <c r="F397" s="11"/>
      <c r="G397" s="31"/>
      <c r="H397" s="32">
        <f t="shared" si="25"/>
        <v>0</v>
      </c>
      <c r="I397" s="32">
        <f t="shared" si="26"/>
        <v>0</v>
      </c>
      <c r="J397" s="32">
        <f t="shared" si="27"/>
        <v>0</v>
      </c>
      <c r="K397" s="11"/>
      <c r="M397" s="12"/>
      <c r="N397" s="12"/>
    </row>
    <row r="398" spans="2:14" ht="21.95" customHeight="1" x14ac:dyDescent="0.25">
      <c r="B398" s="30"/>
      <c r="C398" s="14" t="str">
        <f t="shared" si="24"/>
        <v/>
      </c>
      <c r="D398" s="11"/>
      <c r="E398" s="14" t="str">
        <f>IF(D398="","",IFERROR(VLOOKUP(D398,Categorias!$B$5:$C$200,2,FALSE),"Revisar"))</f>
        <v/>
      </c>
      <c r="F398" s="11"/>
      <c r="G398" s="31"/>
      <c r="H398" s="32">
        <f t="shared" si="25"/>
        <v>0</v>
      </c>
      <c r="I398" s="32">
        <f t="shared" si="26"/>
        <v>0</v>
      </c>
      <c r="J398" s="32">
        <f t="shared" si="27"/>
        <v>0</v>
      </c>
      <c r="K398" s="11"/>
      <c r="M398" s="12"/>
      <c r="N398" s="12"/>
    </row>
    <row r="399" spans="2:14" ht="21.95" customHeight="1" x14ac:dyDescent="0.25">
      <c r="B399" s="30"/>
      <c r="C399" s="14" t="str">
        <f t="shared" si="24"/>
        <v/>
      </c>
      <c r="D399" s="11"/>
      <c r="E399" s="14" t="str">
        <f>IF(D399="","",IFERROR(VLOOKUP(D399,Categorias!$B$5:$C$200,2,FALSE),"Revisar"))</f>
        <v/>
      </c>
      <c r="F399" s="11"/>
      <c r="G399" s="31"/>
      <c r="H399" s="32">
        <f t="shared" si="25"/>
        <v>0</v>
      </c>
      <c r="I399" s="32">
        <f t="shared" si="26"/>
        <v>0</v>
      </c>
      <c r="J399" s="32">
        <f t="shared" si="27"/>
        <v>0</v>
      </c>
      <c r="K399" s="11"/>
      <c r="M399" s="12"/>
      <c r="N399" s="12"/>
    </row>
    <row r="400" spans="2:14" ht="21.95" customHeight="1" x14ac:dyDescent="0.25">
      <c r="B400" s="30"/>
      <c r="C400" s="14" t="str">
        <f t="shared" si="24"/>
        <v/>
      </c>
      <c r="D400" s="11"/>
      <c r="E400" s="14" t="str">
        <f>IF(D400="","",IFERROR(VLOOKUP(D400,Categorias!$B$5:$C$200,2,FALSE),"Revisar"))</f>
        <v/>
      </c>
      <c r="F400" s="11"/>
      <c r="G400" s="31"/>
      <c r="H400" s="32">
        <f t="shared" si="25"/>
        <v>0</v>
      </c>
      <c r="I400" s="32">
        <f t="shared" si="26"/>
        <v>0</v>
      </c>
      <c r="J400" s="32">
        <f t="shared" si="27"/>
        <v>0</v>
      </c>
      <c r="K400" s="11"/>
      <c r="M400" s="12"/>
      <c r="N400" s="12"/>
    </row>
    <row r="401" spans="2:14" ht="21.95" customHeight="1" x14ac:dyDescent="0.25">
      <c r="B401" s="30"/>
      <c r="C401" s="14" t="str">
        <f t="shared" si="24"/>
        <v/>
      </c>
      <c r="D401" s="11"/>
      <c r="E401" s="14" t="str">
        <f>IF(D401="","",IFERROR(VLOOKUP(D401,Categorias!$B$5:$C$200,2,FALSE),"Revisar"))</f>
        <v/>
      </c>
      <c r="F401" s="11"/>
      <c r="G401" s="31"/>
      <c r="H401" s="32">
        <f t="shared" si="25"/>
        <v>0</v>
      </c>
      <c r="I401" s="32">
        <f t="shared" si="26"/>
        <v>0</v>
      </c>
      <c r="J401" s="32">
        <f t="shared" si="27"/>
        <v>0</v>
      </c>
      <c r="K401" s="11"/>
      <c r="M401" s="12"/>
      <c r="N401" s="12"/>
    </row>
    <row r="402" spans="2:14" ht="21.95" customHeight="1" x14ac:dyDescent="0.25">
      <c r="B402" s="30"/>
      <c r="C402" s="14" t="str">
        <f t="shared" si="24"/>
        <v/>
      </c>
      <c r="D402" s="11"/>
      <c r="E402" s="14" t="str">
        <f>IF(D402="","",IFERROR(VLOOKUP(D402,Categorias!$B$5:$C$200,2,FALSE),"Revisar"))</f>
        <v/>
      </c>
      <c r="F402" s="11"/>
      <c r="G402" s="31"/>
      <c r="H402" s="32">
        <f t="shared" si="25"/>
        <v>0</v>
      </c>
      <c r="I402" s="32">
        <f t="shared" si="26"/>
        <v>0</v>
      </c>
      <c r="J402" s="32">
        <f t="shared" si="27"/>
        <v>0</v>
      </c>
      <c r="K402" s="11"/>
      <c r="M402" s="12"/>
      <c r="N402" s="12"/>
    </row>
    <row r="403" spans="2:14" ht="21.95" customHeight="1" x14ac:dyDescent="0.25">
      <c r="B403" s="30"/>
      <c r="C403" s="14" t="str">
        <f t="shared" si="24"/>
        <v/>
      </c>
      <c r="D403" s="11"/>
      <c r="E403" s="14" t="str">
        <f>IF(D403="","",IFERROR(VLOOKUP(D403,Categorias!$B$5:$C$200,2,FALSE),"Revisar"))</f>
        <v/>
      </c>
      <c r="F403" s="11"/>
      <c r="G403" s="31"/>
      <c r="H403" s="32">
        <f t="shared" si="25"/>
        <v>0</v>
      </c>
      <c r="I403" s="32">
        <f t="shared" si="26"/>
        <v>0</v>
      </c>
      <c r="J403" s="32">
        <f t="shared" si="27"/>
        <v>0</v>
      </c>
      <c r="K403" s="11"/>
      <c r="M403" s="12"/>
      <c r="N403" s="12"/>
    </row>
    <row r="404" spans="2:14" ht="21.95" customHeight="1" x14ac:dyDescent="0.25">
      <c r="B404" s="30"/>
      <c r="C404" s="14" t="str">
        <f t="shared" si="24"/>
        <v/>
      </c>
      <c r="D404" s="11"/>
      <c r="E404" s="14" t="str">
        <f>IF(D404="","",IFERROR(VLOOKUP(D404,Categorias!$B$5:$C$200,2,FALSE),"Revisar"))</f>
        <v/>
      </c>
      <c r="F404" s="11"/>
      <c r="G404" s="31"/>
      <c r="H404" s="32">
        <f t="shared" si="25"/>
        <v>0</v>
      </c>
      <c r="I404" s="32">
        <f t="shared" si="26"/>
        <v>0</v>
      </c>
      <c r="J404" s="32">
        <f t="shared" si="27"/>
        <v>0</v>
      </c>
      <c r="K404" s="11"/>
      <c r="M404" s="12"/>
      <c r="N404" s="12"/>
    </row>
    <row r="405" spans="2:14" ht="21.95" customHeight="1" x14ac:dyDescent="0.25">
      <c r="B405" s="30"/>
      <c r="C405" s="14" t="str">
        <f t="shared" si="24"/>
        <v/>
      </c>
      <c r="D405" s="11"/>
      <c r="E405" s="14" t="str">
        <f>IF(D405="","",IFERROR(VLOOKUP(D405,Categorias!$B$5:$C$200,2,FALSE),"Revisar"))</f>
        <v/>
      </c>
      <c r="F405" s="11"/>
      <c r="G405" s="31"/>
      <c r="H405" s="32">
        <f t="shared" si="25"/>
        <v>0</v>
      </c>
      <c r="I405" s="32">
        <f t="shared" si="26"/>
        <v>0</v>
      </c>
      <c r="J405" s="32">
        <f t="shared" si="27"/>
        <v>0</v>
      </c>
      <c r="K405" s="11"/>
      <c r="M405" s="12"/>
      <c r="N405" s="12"/>
    </row>
    <row r="406" spans="2:14" ht="21.95" customHeight="1" x14ac:dyDescent="0.25">
      <c r="B406" s="30"/>
      <c r="C406" s="14" t="str">
        <f t="shared" si="24"/>
        <v/>
      </c>
      <c r="D406" s="11"/>
      <c r="E406" s="14" t="str">
        <f>IF(D406="","",IFERROR(VLOOKUP(D406,Categorias!$B$5:$C$200,2,FALSE),"Revisar"))</f>
        <v/>
      </c>
      <c r="F406" s="11"/>
      <c r="G406" s="31"/>
      <c r="H406" s="32">
        <f t="shared" si="25"/>
        <v>0</v>
      </c>
      <c r="I406" s="32">
        <f t="shared" si="26"/>
        <v>0</v>
      </c>
      <c r="J406" s="32">
        <f t="shared" si="27"/>
        <v>0</v>
      </c>
      <c r="K406" s="11"/>
      <c r="M406" s="12"/>
      <c r="N406" s="12"/>
    </row>
    <row r="407" spans="2:14" ht="21.95" customHeight="1" x14ac:dyDescent="0.25">
      <c r="B407" s="30"/>
      <c r="C407" s="14" t="str">
        <f t="shared" si="24"/>
        <v/>
      </c>
      <c r="D407" s="11"/>
      <c r="E407" s="14" t="str">
        <f>IF(D407="","",IFERROR(VLOOKUP(D407,Categorias!$B$5:$C$200,2,FALSE),"Revisar"))</f>
        <v/>
      </c>
      <c r="F407" s="11"/>
      <c r="G407" s="31"/>
      <c r="H407" s="32">
        <f t="shared" si="25"/>
        <v>0</v>
      </c>
      <c r="I407" s="32">
        <f t="shared" si="26"/>
        <v>0</v>
      </c>
      <c r="J407" s="32">
        <f t="shared" si="27"/>
        <v>0</v>
      </c>
      <c r="K407" s="11"/>
      <c r="M407" s="12"/>
      <c r="N407" s="12"/>
    </row>
    <row r="408" spans="2:14" ht="21.95" customHeight="1" x14ac:dyDescent="0.25">
      <c r="B408" s="30"/>
      <c r="C408" s="14" t="str">
        <f t="shared" si="24"/>
        <v/>
      </c>
      <c r="D408" s="11"/>
      <c r="E408" s="14" t="str">
        <f>IF(D408="","",IFERROR(VLOOKUP(D408,Categorias!$B$5:$C$200,2,FALSE),"Revisar"))</f>
        <v/>
      </c>
      <c r="F408" s="11"/>
      <c r="G408" s="31"/>
      <c r="H408" s="32">
        <f t="shared" si="25"/>
        <v>0</v>
      </c>
      <c r="I408" s="32">
        <f t="shared" si="26"/>
        <v>0</v>
      </c>
      <c r="J408" s="32">
        <f t="shared" si="27"/>
        <v>0</v>
      </c>
      <c r="K408" s="11"/>
      <c r="M408" s="12"/>
      <c r="N408" s="12"/>
    </row>
    <row r="409" spans="2:14" ht="21.95" customHeight="1" x14ac:dyDescent="0.25">
      <c r="B409" s="30"/>
      <c r="C409" s="14" t="str">
        <f t="shared" si="24"/>
        <v/>
      </c>
      <c r="D409" s="11"/>
      <c r="E409" s="14" t="str">
        <f>IF(D409="","",IFERROR(VLOOKUP(D409,Categorias!$B$5:$C$200,2,FALSE),"Revisar"))</f>
        <v/>
      </c>
      <c r="F409" s="11"/>
      <c r="G409" s="31"/>
      <c r="H409" s="32">
        <f t="shared" si="25"/>
        <v>0</v>
      </c>
      <c r="I409" s="32">
        <f t="shared" si="26"/>
        <v>0</v>
      </c>
      <c r="J409" s="32">
        <f t="shared" si="27"/>
        <v>0</v>
      </c>
      <c r="K409" s="11"/>
      <c r="M409" s="12"/>
      <c r="N409" s="12"/>
    </row>
    <row r="410" spans="2:14" ht="21.95" customHeight="1" x14ac:dyDescent="0.25">
      <c r="B410" s="30"/>
      <c r="C410" s="14" t="str">
        <f t="shared" si="24"/>
        <v/>
      </c>
      <c r="D410" s="11"/>
      <c r="E410" s="14" t="str">
        <f>IF(D410="","",IFERROR(VLOOKUP(D410,Categorias!$B$5:$C$200,2,FALSE),"Revisar"))</f>
        <v/>
      </c>
      <c r="F410" s="11"/>
      <c r="G410" s="31"/>
      <c r="H410" s="32">
        <f t="shared" si="25"/>
        <v>0</v>
      </c>
      <c r="I410" s="32">
        <f t="shared" si="26"/>
        <v>0</v>
      </c>
      <c r="J410" s="32">
        <f t="shared" si="27"/>
        <v>0</v>
      </c>
      <c r="K410" s="11"/>
      <c r="M410" s="12"/>
      <c r="N410" s="12"/>
    </row>
    <row r="411" spans="2:14" ht="21.95" customHeight="1" x14ac:dyDescent="0.25">
      <c r="B411" s="30"/>
      <c r="C411" s="14" t="str">
        <f t="shared" si="24"/>
        <v/>
      </c>
      <c r="D411" s="11"/>
      <c r="E411" s="14" t="str">
        <f>IF(D411="","",IFERROR(VLOOKUP(D411,Categorias!$B$5:$C$200,2,FALSE),"Revisar"))</f>
        <v/>
      </c>
      <c r="F411" s="11"/>
      <c r="G411" s="31"/>
      <c r="H411" s="32">
        <f t="shared" si="25"/>
        <v>0</v>
      </c>
      <c r="I411" s="32">
        <f t="shared" si="26"/>
        <v>0</v>
      </c>
      <c r="J411" s="32">
        <f t="shared" si="27"/>
        <v>0</v>
      </c>
      <c r="K411" s="11"/>
      <c r="M411" s="12"/>
      <c r="N411" s="12"/>
    </row>
    <row r="412" spans="2:14" ht="21.95" customHeight="1" x14ac:dyDescent="0.25">
      <c r="B412" s="30"/>
      <c r="C412" s="14" t="str">
        <f t="shared" si="24"/>
        <v/>
      </c>
      <c r="D412" s="11"/>
      <c r="E412" s="14" t="str">
        <f>IF(D412="","",IFERROR(VLOOKUP(D412,Categorias!$B$5:$C$200,2,FALSE),"Revisar"))</f>
        <v/>
      </c>
      <c r="F412" s="11"/>
      <c r="G412" s="31"/>
      <c r="H412" s="32">
        <f t="shared" si="25"/>
        <v>0</v>
      </c>
      <c r="I412" s="32">
        <f t="shared" si="26"/>
        <v>0</v>
      </c>
      <c r="J412" s="32">
        <f t="shared" si="27"/>
        <v>0</v>
      </c>
      <c r="K412" s="11"/>
      <c r="M412" s="12"/>
      <c r="N412" s="12"/>
    </row>
    <row r="413" spans="2:14" ht="21.95" customHeight="1" x14ac:dyDescent="0.25">
      <c r="B413" s="30"/>
      <c r="C413" s="14" t="str">
        <f t="shared" si="24"/>
        <v/>
      </c>
      <c r="D413" s="11"/>
      <c r="E413" s="14" t="str">
        <f>IF(D413="","",IFERROR(VLOOKUP(D413,Categorias!$B$5:$C$200,2,FALSE),"Revisar"))</f>
        <v/>
      </c>
      <c r="F413" s="11"/>
      <c r="G413" s="31"/>
      <c r="H413" s="32">
        <f t="shared" si="25"/>
        <v>0</v>
      </c>
      <c r="I413" s="32">
        <f t="shared" si="26"/>
        <v>0</v>
      </c>
      <c r="J413" s="32">
        <f t="shared" si="27"/>
        <v>0</v>
      </c>
      <c r="K413" s="11"/>
      <c r="M413" s="12"/>
      <c r="N413" s="12"/>
    </row>
    <row r="414" spans="2:14" ht="21.95" customHeight="1" x14ac:dyDescent="0.25">
      <c r="B414" s="30"/>
      <c r="C414" s="14" t="str">
        <f t="shared" si="24"/>
        <v/>
      </c>
      <c r="D414" s="11"/>
      <c r="E414" s="14" t="str">
        <f>IF(D414="","",IFERROR(VLOOKUP(D414,Categorias!$B$5:$C$200,2,FALSE),"Revisar"))</f>
        <v/>
      </c>
      <c r="F414" s="11"/>
      <c r="G414" s="31"/>
      <c r="H414" s="32">
        <f t="shared" si="25"/>
        <v>0</v>
      </c>
      <c r="I414" s="32">
        <f t="shared" si="26"/>
        <v>0</v>
      </c>
      <c r="J414" s="32">
        <f t="shared" si="27"/>
        <v>0</v>
      </c>
      <c r="K414" s="11"/>
      <c r="M414" s="12"/>
      <c r="N414" s="12"/>
    </row>
    <row r="415" spans="2:14" ht="21.95" customHeight="1" x14ac:dyDescent="0.25">
      <c r="B415" s="30"/>
      <c r="C415" s="14" t="str">
        <f t="shared" si="24"/>
        <v/>
      </c>
      <c r="D415" s="11"/>
      <c r="E415" s="14" t="str">
        <f>IF(D415="","",IFERROR(VLOOKUP(D415,Categorias!$B$5:$C$200,2,FALSE),"Revisar"))</f>
        <v/>
      </c>
      <c r="F415" s="11"/>
      <c r="G415" s="31"/>
      <c r="H415" s="32">
        <f t="shared" si="25"/>
        <v>0</v>
      </c>
      <c r="I415" s="32">
        <f t="shared" si="26"/>
        <v>0</v>
      </c>
      <c r="J415" s="32">
        <f t="shared" si="27"/>
        <v>0</v>
      </c>
      <c r="K415" s="11"/>
      <c r="M415" s="12"/>
      <c r="N415" s="12"/>
    </row>
    <row r="416" spans="2:14" ht="21.95" customHeight="1" x14ac:dyDescent="0.25">
      <c r="B416" s="30"/>
      <c r="C416" s="14" t="str">
        <f t="shared" si="24"/>
        <v/>
      </c>
      <c r="D416" s="11"/>
      <c r="E416" s="14" t="str">
        <f>IF(D416="","",IFERROR(VLOOKUP(D416,Categorias!$B$5:$C$200,2,FALSE),"Revisar"))</f>
        <v/>
      </c>
      <c r="F416" s="11"/>
      <c r="G416" s="31"/>
      <c r="H416" s="32">
        <f t="shared" si="25"/>
        <v>0</v>
      </c>
      <c r="I416" s="32">
        <f t="shared" si="26"/>
        <v>0</v>
      </c>
      <c r="J416" s="32">
        <f t="shared" si="27"/>
        <v>0</v>
      </c>
      <c r="K416" s="11"/>
      <c r="M416" s="12"/>
      <c r="N416" s="12"/>
    </row>
    <row r="417" spans="2:14" ht="21.95" customHeight="1" x14ac:dyDescent="0.25">
      <c r="B417" s="30"/>
      <c r="C417" s="14" t="str">
        <f t="shared" si="24"/>
        <v/>
      </c>
      <c r="D417" s="11"/>
      <c r="E417" s="14" t="str">
        <f>IF(D417="","",IFERROR(VLOOKUP(D417,Categorias!$B$5:$C$200,2,FALSE),"Revisar"))</f>
        <v/>
      </c>
      <c r="F417" s="11"/>
      <c r="G417" s="31"/>
      <c r="H417" s="32">
        <f t="shared" si="25"/>
        <v>0</v>
      </c>
      <c r="I417" s="32">
        <f t="shared" si="26"/>
        <v>0</v>
      </c>
      <c r="J417" s="32">
        <f t="shared" si="27"/>
        <v>0</v>
      </c>
      <c r="K417" s="11"/>
      <c r="M417" s="12"/>
      <c r="N417" s="12"/>
    </row>
    <row r="418" spans="2:14" ht="21.95" customHeight="1" x14ac:dyDescent="0.25">
      <c r="B418" s="30"/>
      <c r="C418" s="14" t="str">
        <f t="shared" si="24"/>
        <v/>
      </c>
      <c r="D418" s="11"/>
      <c r="E418" s="14" t="str">
        <f>IF(D418="","",IFERROR(VLOOKUP(D418,Categorias!$B$5:$C$200,2,FALSE),"Revisar"))</f>
        <v/>
      </c>
      <c r="F418" s="11"/>
      <c r="G418" s="31"/>
      <c r="H418" s="32">
        <f t="shared" si="25"/>
        <v>0</v>
      </c>
      <c r="I418" s="32">
        <f t="shared" si="26"/>
        <v>0</v>
      </c>
      <c r="J418" s="32">
        <f t="shared" si="27"/>
        <v>0</v>
      </c>
      <c r="K418" s="11"/>
      <c r="M418" s="12"/>
      <c r="N418" s="12"/>
    </row>
    <row r="419" spans="2:14" ht="21.95" customHeight="1" x14ac:dyDescent="0.25">
      <c r="B419" s="30"/>
      <c r="C419" s="14" t="str">
        <f t="shared" si="24"/>
        <v/>
      </c>
      <c r="D419" s="11"/>
      <c r="E419" s="14" t="str">
        <f>IF(D419="","",IFERROR(VLOOKUP(D419,Categorias!$B$5:$C$200,2,FALSE),"Revisar"))</f>
        <v/>
      </c>
      <c r="F419" s="11"/>
      <c r="G419" s="31"/>
      <c r="H419" s="32">
        <f t="shared" si="25"/>
        <v>0</v>
      </c>
      <c r="I419" s="32">
        <f t="shared" si="26"/>
        <v>0</v>
      </c>
      <c r="J419" s="32">
        <f t="shared" si="27"/>
        <v>0</v>
      </c>
      <c r="K419" s="11"/>
      <c r="M419" s="12"/>
      <c r="N419" s="12"/>
    </row>
    <row r="420" spans="2:14" ht="21.95" customHeight="1" x14ac:dyDescent="0.25">
      <c r="B420" s="30"/>
      <c r="C420" s="14" t="str">
        <f t="shared" si="24"/>
        <v/>
      </c>
      <c r="D420" s="11"/>
      <c r="E420" s="14" t="str">
        <f>IF(D420="","",IFERROR(VLOOKUP(D420,Categorias!$B$5:$C$200,2,FALSE),"Revisar"))</f>
        <v/>
      </c>
      <c r="F420" s="11"/>
      <c r="G420" s="31"/>
      <c r="H420" s="32">
        <f t="shared" si="25"/>
        <v>0</v>
      </c>
      <c r="I420" s="32">
        <f t="shared" si="26"/>
        <v>0</v>
      </c>
      <c r="J420" s="32">
        <f t="shared" si="27"/>
        <v>0</v>
      </c>
      <c r="K420" s="11"/>
      <c r="M420" s="12"/>
      <c r="N420" s="12"/>
    </row>
    <row r="421" spans="2:14" ht="21.95" customHeight="1" x14ac:dyDescent="0.25">
      <c r="B421" s="30"/>
      <c r="C421" s="14" t="str">
        <f t="shared" si="24"/>
        <v/>
      </c>
      <c r="D421" s="11"/>
      <c r="E421" s="14" t="str">
        <f>IF(D421="","",IFERROR(VLOOKUP(D421,Categorias!$B$5:$C$200,2,FALSE),"Revisar"))</f>
        <v/>
      </c>
      <c r="F421" s="11"/>
      <c r="G421" s="31"/>
      <c r="H421" s="32">
        <f t="shared" si="25"/>
        <v>0</v>
      </c>
      <c r="I421" s="32">
        <f t="shared" si="26"/>
        <v>0</v>
      </c>
      <c r="J421" s="32">
        <f t="shared" si="27"/>
        <v>0</v>
      </c>
      <c r="K421" s="11"/>
      <c r="M421" s="12"/>
      <c r="N421" s="12"/>
    </row>
    <row r="422" spans="2:14" ht="21.95" customHeight="1" x14ac:dyDescent="0.25">
      <c r="B422" s="30"/>
      <c r="C422" s="14" t="str">
        <f t="shared" si="24"/>
        <v/>
      </c>
      <c r="D422" s="11"/>
      <c r="E422" s="14" t="str">
        <f>IF(D422="","",IFERROR(VLOOKUP(D422,Categorias!$B$5:$C$200,2,FALSE),"Revisar"))</f>
        <v/>
      </c>
      <c r="F422" s="11"/>
      <c r="G422" s="31"/>
      <c r="H422" s="32">
        <f t="shared" si="25"/>
        <v>0</v>
      </c>
      <c r="I422" s="32">
        <f t="shared" si="26"/>
        <v>0</v>
      </c>
      <c r="J422" s="32">
        <f t="shared" si="27"/>
        <v>0</v>
      </c>
      <c r="K422" s="11"/>
      <c r="M422" s="12"/>
      <c r="N422" s="12"/>
    </row>
    <row r="423" spans="2:14" ht="21.95" customHeight="1" x14ac:dyDescent="0.25">
      <c r="B423" s="30"/>
      <c r="C423" s="14" t="str">
        <f t="shared" si="24"/>
        <v/>
      </c>
      <c r="D423" s="11"/>
      <c r="E423" s="14" t="str">
        <f>IF(D423="","",IFERROR(VLOOKUP(D423,Categorias!$B$5:$C$200,2,FALSE),"Revisar"))</f>
        <v/>
      </c>
      <c r="F423" s="11"/>
      <c r="G423" s="31"/>
      <c r="H423" s="32">
        <f t="shared" si="25"/>
        <v>0</v>
      </c>
      <c r="I423" s="32">
        <f t="shared" si="26"/>
        <v>0</v>
      </c>
      <c r="J423" s="32">
        <f t="shared" si="27"/>
        <v>0</v>
      </c>
      <c r="K423" s="11"/>
      <c r="M423" s="12"/>
      <c r="N423" s="12"/>
    </row>
    <row r="424" spans="2:14" ht="21.95" customHeight="1" x14ac:dyDescent="0.25">
      <c r="B424" s="30"/>
      <c r="C424" s="14" t="str">
        <f t="shared" si="24"/>
        <v/>
      </c>
      <c r="D424" s="11"/>
      <c r="E424" s="14" t="str">
        <f>IF(D424="","",IFERROR(VLOOKUP(D424,Categorias!$B$5:$C$200,2,FALSE),"Revisar"))</f>
        <v/>
      </c>
      <c r="F424" s="11"/>
      <c r="G424" s="31"/>
      <c r="H424" s="32">
        <f t="shared" si="25"/>
        <v>0</v>
      </c>
      <c r="I424" s="32">
        <f t="shared" si="26"/>
        <v>0</v>
      </c>
      <c r="J424" s="32">
        <f t="shared" si="27"/>
        <v>0</v>
      </c>
      <c r="K424" s="11"/>
      <c r="M424" s="12"/>
      <c r="N424" s="12"/>
    </row>
    <row r="425" spans="2:14" ht="21.95" customHeight="1" x14ac:dyDescent="0.25">
      <c r="B425" s="30"/>
      <c r="C425" s="14" t="str">
        <f t="shared" si="24"/>
        <v/>
      </c>
      <c r="D425" s="11"/>
      <c r="E425" s="14" t="str">
        <f>IF(D425="","",IFERROR(VLOOKUP(D425,Categorias!$B$5:$C$200,2,FALSE),"Revisar"))</f>
        <v/>
      </c>
      <c r="F425" s="11"/>
      <c r="G425" s="31"/>
      <c r="H425" s="32">
        <f t="shared" si="25"/>
        <v>0</v>
      </c>
      <c r="I425" s="32">
        <f t="shared" si="26"/>
        <v>0</v>
      </c>
      <c r="J425" s="32">
        <f t="shared" si="27"/>
        <v>0</v>
      </c>
      <c r="K425" s="11"/>
      <c r="M425" s="12"/>
      <c r="N425" s="12"/>
    </row>
    <row r="426" spans="2:14" ht="21.95" customHeight="1" x14ac:dyDescent="0.25">
      <c r="B426" s="30"/>
      <c r="C426" s="14" t="str">
        <f t="shared" si="24"/>
        <v/>
      </c>
      <c r="D426" s="11"/>
      <c r="E426" s="14" t="str">
        <f>IF(D426="","",IFERROR(VLOOKUP(D426,Categorias!$B$5:$C$200,2,FALSE),"Revisar"))</f>
        <v/>
      </c>
      <c r="F426" s="11"/>
      <c r="G426" s="31"/>
      <c r="H426" s="32">
        <f t="shared" si="25"/>
        <v>0</v>
      </c>
      <c r="I426" s="32">
        <f t="shared" si="26"/>
        <v>0</v>
      </c>
      <c r="J426" s="32">
        <f t="shared" si="27"/>
        <v>0</v>
      </c>
      <c r="K426" s="11"/>
      <c r="M426" s="12"/>
      <c r="N426" s="12"/>
    </row>
    <row r="427" spans="2:14" ht="21.95" customHeight="1" x14ac:dyDescent="0.25">
      <c r="B427" s="30"/>
      <c r="C427" s="14" t="str">
        <f t="shared" si="24"/>
        <v/>
      </c>
      <c r="D427" s="11"/>
      <c r="E427" s="14" t="str">
        <f>IF(D427="","",IFERROR(VLOOKUP(D427,Categorias!$B$5:$C$200,2,FALSE),"Revisar"))</f>
        <v/>
      </c>
      <c r="F427" s="11"/>
      <c r="G427" s="31"/>
      <c r="H427" s="32">
        <f t="shared" si="25"/>
        <v>0</v>
      </c>
      <c r="I427" s="32">
        <f t="shared" si="26"/>
        <v>0</v>
      </c>
      <c r="J427" s="32">
        <f t="shared" si="27"/>
        <v>0</v>
      </c>
      <c r="K427" s="11"/>
      <c r="M427" s="12"/>
      <c r="N427" s="12"/>
    </row>
    <row r="428" spans="2:14" ht="21.95" customHeight="1" x14ac:dyDescent="0.25">
      <c r="B428" s="30"/>
      <c r="C428" s="14" t="str">
        <f t="shared" si="24"/>
        <v/>
      </c>
      <c r="D428" s="11"/>
      <c r="E428" s="14" t="str">
        <f>IF(D428="","",IFERROR(VLOOKUP(D428,Categorias!$B$5:$C$200,2,FALSE),"Revisar"))</f>
        <v/>
      </c>
      <c r="F428" s="11"/>
      <c r="G428" s="31"/>
      <c r="H428" s="32">
        <f t="shared" si="25"/>
        <v>0</v>
      </c>
      <c r="I428" s="32">
        <f t="shared" si="26"/>
        <v>0</v>
      </c>
      <c r="J428" s="32">
        <f t="shared" si="27"/>
        <v>0</v>
      </c>
      <c r="K428" s="11"/>
      <c r="M428" s="12"/>
      <c r="N428" s="12"/>
    </row>
    <row r="429" spans="2:14" ht="21.95" customHeight="1" x14ac:dyDescent="0.25">
      <c r="B429" s="30"/>
      <c r="C429" s="14" t="str">
        <f t="shared" si="24"/>
        <v/>
      </c>
      <c r="D429" s="11"/>
      <c r="E429" s="14" t="str">
        <f>IF(D429="","",IFERROR(VLOOKUP(D429,Categorias!$B$5:$C$200,2,FALSE),"Revisar"))</f>
        <v/>
      </c>
      <c r="F429" s="11"/>
      <c r="G429" s="31"/>
      <c r="H429" s="32">
        <f t="shared" si="25"/>
        <v>0</v>
      </c>
      <c r="I429" s="32">
        <f t="shared" si="26"/>
        <v>0</v>
      </c>
      <c r="J429" s="32">
        <f t="shared" si="27"/>
        <v>0</v>
      </c>
      <c r="K429" s="11"/>
      <c r="M429" s="12"/>
      <c r="N429" s="12"/>
    </row>
    <row r="430" spans="2:14" ht="21.95" customHeight="1" x14ac:dyDescent="0.25">
      <c r="B430" s="30"/>
      <c r="C430" s="14" t="str">
        <f t="shared" si="24"/>
        <v/>
      </c>
      <c r="D430" s="11"/>
      <c r="E430" s="14" t="str">
        <f>IF(D430="","",IFERROR(VLOOKUP(D430,Categorias!$B$5:$C$200,2,FALSE),"Revisar"))</f>
        <v/>
      </c>
      <c r="F430" s="11"/>
      <c r="G430" s="31"/>
      <c r="H430" s="32">
        <f t="shared" si="25"/>
        <v>0</v>
      </c>
      <c r="I430" s="32">
        <f t="shared" si="26"/>
        <v>0</v>
      </c>
      <c r="J430" s="32">
        <f t="shared" si="27"/>
        <v>0</v>
      </c>
      <c r="K430" s="11"/>
      <c r="M430" s="12"/>
      <c r="N430" s="12"/>
    </row>
    <row r="431" spans="2:14" ht="21.95" customHeight="1" x14ac:dyDescent="0.25">
      <c r="B431" s="30"/>
      <c r="C431" s="14" t="str">
        <f t="shared" si="24"/>
        <v/>
      </c>
      <c r="D431" s="11"/>
      <c r="E431" s="14" t="str">
        <f>IF(D431="","",IFERROR(VLOOKUP(D431,Categorias!$B$5:$C$200,2,FALSE),"Revisar"))</f>
        <v/>
      </c>
      <c r="F431" s="11"/>
      <c r="G431" s="31"/>
      <c r="H431" s="32">
        <f t="shared" si="25"/>
        <v>0</v>
      </c>
      <c r="I431" s="32">
        <f t="shared" si="26"/>
        <v>0</v>
      </c>
      <c r="J431" s="32">
        <f t="shared" si="27"/>
        <v>0</v>
      </c>
      <c r="K431" s="11"/>
      <c r="M431" s="12"/>
      <c r="N431" s="12"/>
    </row>
    <row r="432" spans="2:14" ht="21.95" customHeight="1" x14ac:dyDescent="0.25">
      <c r="B432" s="30"/>
      <c r="C432" s="14" t="str">
        <f t="shared" si="24"/>
        <v/>
      </c>
      <c r="D432" s="11"/>
      <c r="E432" s="14" t="str">
        <f>IF(D432="","",IFERROR(VLOOKUP(D432,Categorias!$B$5:$C$200,2,FALSE),"Revisar"))</f>
        <v/>
      </c>
      <c r="F432" s="11"/>
      <c r="G432" s="31"/>
      <c r="H432" s="32">
        <f t="shared" si="25"/>
        <v>0</v>
      </c>
      <c r="I432" s="32">
        <f t="shared" si="26"/>
        <v>0</v>
      </c>
      <c r="J432" s="32">
        <f t="shared" si="27"/>
        <v>0</v>
      </c>
      <c r="K432" s="11"/>
      <c r="M432" s="12"/>
      <c r="N432" s="12"/>
    </row>
    <row r="433" spans="2:14" ht="21.95" customHeight="1" x14ac:dyDescent="0.25">
      <c r="B433" s="30"/>
      <c r="C433" s="14" t="str">
        <f t="shared" si="24"/>
        <v/>
      </c>
      <c r="D433" s="11"/>
      <c r="E433" s="14" t="str">
        <f>IF(D433="","",IFERROR(VLOOKUP(D433,Categorias!$B$5:$C$200,2,FALSE),"Revisar"))</f>
        <v/>
      </c>
      <c r="F433" s="11"/>
      <c r="G433" s="31"/>
      <c r="H433" s="32">
        <f t="shared" si="25"/>
        <v>0</v>
      </c>
      <c r="I433" s="32">
        <f t="shared" si="26"/>
        <v>0</v>
      </c>
      <c r="J433" s="32">
        <f t="shared" si="27"/>
        <v>0</v>
      </c>
      <c r="K433" s="11"/>
      <c r="M433" s="12"/>
      <c r="N433" s="12"/>
    </row>
    <row r="434" spans="2:14" ht="21.95" customHeight="1" x14ac:dyDescent="0.25">
      <c r="B434" s="30"/>
      <c r="C434" s="14" t="str">
        <f t="shared" si="24"/>
        <v/>
      </c>
      <c r="D434" s="11"/>
      <c r="E434" s="14" t="str">
        <f>IF(D434="","",IFERROR(VLOOKUP(D434,Categorias!$B$5:$C$200,2,FALSE),"Revisar"))</f>
        <v/>
      </c>
      <c r="F434" s="11"/>
      <c r="G434" s="31"/>
      <c r="H434" s="32">
        <f t="shared" si="25"/>
        <v>0</v>
      </c>
      <c r="I434" s="32">
        <f t="shared" si="26"/>
        <v>0</v>
      </c>
      <c r="J434" s="32">
        <f t="shared" si="27"/>
        <v>0</v>
      </c>
      <c r="K434" s="11"/>
      <c r="M434" s="12"/>
      <c r="N434" s="12"/>
    </row>
    <row r="435" spans="2:14" ht="21.95" customHeight="1" x14ac:dyDescent="0.25">
      <c r="B435" s="30"/>
      <c r="C435" s="14" t="str">
        <f t="shared" si="24"/>
        <v/>
      </c>
      <c r="D435" s="11"/>
      <c r="E435" s="14" t="str">
        <f>IF(D435="","",IFERROR(VLOOKUP(D435,Categorias!$B$5:$C$200,2,FALSE),"Revisar"))</f>
        <v/>
      </c>
      <c r="F435" s="11"/>
      <c r="G435" s="31"/>
      <c r="H435" s="32">
        <f t="shared" si="25"/>
        <v>0</v>
      </c>
      <c r="I435" s="32">
        <f t="shared" si="26"/>
        <v>0</v>
      </c>
      <c r="J435" s="32">
        <f t="shared" si="27"/>
        <v>0</v>
      </c>
      <c r="K435" s="11"/>
      <c r="M435" s="12"/>
      <c r="N435" s="12"/>
    </row>
    <row r="436" spans="2:14" ht="21.95" customHeight="1" x14ac:dyDescent="0.25">
      <c r="B436" s="30"/>
      <c r="C436" s="14" t="str">
        <f t="shared" si="24"/>
        <v/>
      </c>
      <c r="D436" s="11"/>
      <c r="E436" s="14" t="str">
        <f>IF(D436="","",IFERROR(VLOOKUP(D436,Categorias!$B$5:$C$200,2,FALSE),"Revisar"))</f>
        <v/>
      </c>
      <c r="F436" s="11"/>
      <c r="G436" s="31"/>
      <c r="H436" s="32">
        <f t="shared" si="25"/>
        <v>0</v>
      </c>
      <c r="I436" s="32">
        <f t="shared" si="26"/>
        <v>0</v>
      </c>
      <c r="J436" s="32">
        <f t="shared" si="27"/>
        <v>0</v>
      </c>
      <c r="K436" s="11"/>
      <c r="M436" s="12"/>
      <c r="N436" s="12"/>
    </row>
    <row r="437" spans="2:14" ht="21.95" customHeight="1" x14ac:dyDescent="0.25">
      <c r="B437" s="30"/>
      <c r="C437" s="14" t="str">
        <f t="shared" si="24"/>
        <v/>
      </c>
      <c r="D437" s="11"/>
      <c r="E437" s="14" t="str">
        <f>IF(D437="","",IFERROR(VLOOKUP(D437,Categorias!$B$5:$C$200,2,FALSE),"Revisar"))</f>
        <v/>
      </c>
      <c r="F437" s="11"/>
      <c r="G437" s="31"/>
      <c r="H437" s="32">
        <f t="shared" si="25"/>
        <v>0</v>
      </c>
      <c r="I437" s="32">
        <f t="shared" si="26"/>
        <v>0</v>
      </c>
      <c r="J437" s="32">
        <f t="shared" si="27"/>
        <v>0</v>
      </c>
      <c r="K437" s="11"/>
      <c r="M437" s="12"/>
      <c r="N437" s="12"/>
    </row>
    <row r="438" spans="2:14" ht="21.95" customHeight="1" x14ac:dyDescent="0.25">
      <c r="B438" s="30"/>
      <c r="C438" s="14" t="str">
        <f t="shared" si="24"/>
        <v/>
      </c>
      <c r="D438" s="11"/>
      <c r="E438" s="14" t="str">
        <f>IF(D438="","",IFERROR(VLOOKUP(D438,Categorias!$B$5:$C$200,2,FALSE),"Revisar"))</f>
        <v/>
      </c>
      <c r="F438" s="11"/>
      <c r="G438" s="31"/>
      <c r="H438" s="32">
        <f t="shared" si="25"/>
        <v>0</v>
      </c>
      <c r="I438" s="32">
        <f t="shared" si="26"/>
        <v>0</v>
      </c>
      <c r="J438" s="32">
        <f t="shared" si="27"/>
        <v>0</v>
      </c>
      <c r="K438" s="11"/>
      <c r="M438" s="12"/>
      <c r="N438" s="12"/>
    </row>
    <row r="439" spans="2:14" ht="21.95" customHeight="1" x14ac:dyDescent="0.25">
      <c r="B439" s="30"/>
      <c r="C439" s="14" t="str">
        <f t="shared" si="24"/>
        <v/>
      </c>
      <c r="D439" s="11"/>
      <c r="E439" s="14" t="str">
        <f>IF(D439="","",IFERROR(VLOOKUP(D439,Categorias!$B$5:$C$200,2,FALSE),"Revisar"))</f>
        <v/>
      </c>
      <c r="F439" s="11"/>
      <c r="G439" s="31"/>
      <c r="H439" s="32">
        <f t="shared" si="25"/>
        <v>0</v>
      </c>
      <c r="I439" s="32">
        <f t="shared" si="26"/>
        <v>0</v>
      </c>
      <c r="J439" s="32">
        <f t="shared" si="27"/>
        <v>0</v>
      </c>
      <c r="K439" s="11"/>
      <c r="M439" s="12"/>
      <c r="N439" s="12"/>
    </row>
    <row r="440" spans="2:14" ht="21.95" customHeight="1" x14ac:dyDescent="0.25">
      <c r="B440" s="30"/>
      <c r="C440" s="14" t="str">
        <f t="shared" si="24"/>
        <v/>
      </c>
      <c r="D440" s="11"/>
      <c r="E440" s="14" t="str">
        <f>IF(D440="","",IFERROR(VLOOKUP(D440,Categorias!$B$5:$C$200,2,FALSE),"Revisar"))</f>
        <v/>
      </c>
      <c r="F440" s="11"/>
      <c r="G440" s="31"/>
      <c r="H440" s="32">
        <f t="shared" si="25"/>
        <v>0</v>
      </c>
      <c r="I440" s="32">
        <f t="shared" si="26"/>
        <v>0</v>
      </c>
      <c r="J440" s="32">
        <f t="shared" si="27"/>
        <v>0</v>
      </c>
      <c r="K440" s="11"/>
      <c r="M440" s="12"/>
      <c r="N440" s="12"/>
    </row>
    <row r="441" spans="2:14" ht="21.95" customHeight="1" x14ac:dyDescent="0.25">
      <c r="B441" s="30"/>
      <c r="C441" s="14" t="str">
        <f t="shared" si="24"/>
        <v/>
      </c>
      <c r="D441" s="11"/>
      <c r="E441" s="14" t="str">
        <f>IF(D441="","",IFERROR(VLOOKUP(D441,Categorias!$B$5:$C$200,2,FALSE),"Revisar"))</f>
        <v/>
      </c>
      <c r="F441" s="11"/>
      <c r="G441" s="31"/>
      <c r="H441" s="32">
        <f t="shared" si="25"/>
        <v>0</v>
      </c>
      <c r="I441" s="32">
        <f t="shared" si="26"/>
        <v>0</v>
      </c>
      <c r="J441" s="32">
        <f t="shared" si="27"/>
        <v>0</v>
      </c>
      <c r="K441" s="11"/>
      <c r="M441" s="12"/>
      <c r="N441" s="12"/>
    </row>
    <row r="442" spans="2:14" ht="21.95" customHeight="1" x14ac:dyDescent="0.25">
      <c r="B442" s="30"/>
      <c r="C442" s="14" t="str">
        <f t="shared" si="24"/>
        <v/>
      </c>
      <c r="D442" s="11"/>
      <c r="E442" s="14" t="str">
        <f>IF(D442="","",IFERROR(VLOOKUP(D442,Categorias!$B$5:$C$200,2,FALSE),"Revisar"))</f>
        <v/>
      </c>
      <c r="F442" s="11"/>
      <c r="G442" s="31"/>
      <c r="H442" s="32">
        <f t="shared" si="25"/>
        <v>0</v>
      </c>
      <c r="I442" s="32">
        <f t="shared" si="26"/>
        <v>0</v>
      </c>
      <c r="J442" s="32">
        <f t="shared" si="27"/>
        <v>0</v>
      </c>
      <c r="K442" s="11"/>
      <c r="M442" s="12"/>
      <c r="N442" s="12"/>
    </row>
    <row r="443" spans="2:14" ht="21.95" customHeight="1" x14ac:dyDescent="0.25">
      <c r="B443" s="30"/>
      <c r="C443" s="14" t="str">
        <f t="shared" si="24"/>
        <v/>
      </c>
      <c r="D443" s="11"/>
      <c r="E443" s="14" t="str">
        <f>IF(D443="","",IFERROR(VLOOKUP(D443,Categorias!$B$5:$C$200,2,FALSE),"Revisar"))</f>
        <v/>
      </c>
      <c r="F443" s="11"/>
      <c r="G443" s="31"/>
      <c r="H443" s="32">
        <f t="shared" si="25"/>
        <v>0</v>
      </c>
      <c r="I443" s="32">
        <f t="shared" si="26"/>
        <v>0</v>
      </c>
      <c r="J443" s="32">
        <f t="shared" si="27"/>
        <v>0</v>
      </c>
      <c r="K443" s="11"/>
      <c r="M443" s="12"/>
      <c r="N443" s="12"/>
    </row>
    <row r="444" spans="2:14" ht="21.95" customHeight="1" x14ac:dyDescent="0.25">
      <c r="B444" s="30"/>
      <c r="C444" s="14" t="str">
        <f t="shared" si="24"/>
        <v/>
      </c>
      <c r="D444" s="11"/>
      <c r="E444" s="14" t="str">
        <f>IF(D444="","",IFERROR(VLOOKUP(D444,Categorias!$B$5:$C$200,2,FALSE),"Revisar"))</f>
        <v/>
      </c>
      <c r="F444" s="11"/>
      <c r="G444" s="31"/>
      <c r="H444" s="32">
        <f t="shared" si="25"/>
        <v>0</v>
      </c>
      <c r="I444" s="32">
        <f t="shared" si="26"/>
        <v>0</v>
      </c>
      <c r="J444" s="32">
        <f t="shared" si="27"/>
        <v>0</v>
      </c>
      <c r="K444" s="11"/>
      <c r="M444" s="12"/>
      <c r="N444" s="12"/>
    </row>
    <row r="445" spans="2:14" ht="21.95" customHeight="1" x14ac:dyDescent="0.25">
      <c r="B445" s="30"/>
      <c r="C445" s="14" t="str">
        <f t="shared" si="24"/>
        <v/>
      </c>
      <c r="D445" s="11"/>
      <c r="E445" s="14" t="str">
        <f>IF(D445="","",IFERROR(VLOOKUP(D445,Categorias!$B$5:$C$200,2,FALSE),"Revisar"))</f>
        <v/>
      </c>
      <c r="F445" s="11"/>
      <c r="G445" s="31"/>
      <c r="H445" s="32">
        <f t="shared" si="25"/>
        <v>0</v>
      </c>
      <c r="I445" s="32">
        <f t="shared" si="26"/>
        <v>0</v>
      </c>
      <c r="J445" s="32">
        <f t="shared" si="27"/>
        <v>0</v>
      </c>
      <c r="K445" s="11"/>
      <c r="M445" s="12"/>
      <c r="N445" s="12"/>
    </row>
    <row r="446" spans="2:14" ht="21.95" customHeight="1" x14ac:dyDescent="0.25">
      <c r="B446" s="30"/>
      <c r="C446" s="14" t="str">
        <f t="shared" si="24"/>
        <v/>
      </c>
      <c r="D446" s="11"/>
      <c r="E446" s="14" t="str">
        <f>IF(D446="","",IFERROR(VLOOKUP(D446,Categorias!$B$5:$C$200,2,FALSE),"Revisar"))</f>
        <v/>
      </c>
      <c r="F446" s="11"/>
      <c r="G446" s="31"/>
      <c r="H446" s="32">
        <f t="shared" si="25"/>
        <v>0</v>
      </c>
      <c r="I446" s="32">
        <f t="shared" si="26"/>
        <v>0</v>
      </c>
      <c r="J446" s="32">
        <f t="shared" si="27"/>
        <v>0</v>
      </c>
      <c r="K446" s="11"/>
      <c r="M446" s="12"/>
      <c r="N446" s="12"/>
    </row>
    <row r="447" spans="2:14" ht="21.95" customHeight="1" x14ac:dyDescent="0.25">
      <c r="B447" s="30"/>
      <c r="C447" s="14" t="str">
        <f t="shared" si="24"/>
        <v/>
      </c>
      <c r="D447" s="11"/>
      <c r="E447" s="14" t="str">
        <f>IF(D447="","",IFERROR(VLOOKUP(D447,Categorias!$B$5:$C$200,2,FALSE),"Revisar"))</f>
        <v/>
      </c>
      <c r="F447" s="11"/>
      <c r="G447" s="31"/>
      <c r="H447" s="32">
        <f t="shared" si="25"/>
        <v>0</v>
      </c>
      <c r="I447" s="32">
        <f t="shared" si="26"/>
        <v>0</v>
      </c>
      <c r="J447" s="32">
        <f t="shared" si="27"/>
        <v>0</v>
      </c>
      <c r="K447" s="11"/>
      <c r="M447" s="12"/>
      <c r="N447" s="12"/>
    </row>
    <row r="448" spans="2:14" ht="21.95" customHeight="1" x14ac:dyDescent="0.25">
      <c r="B448" s="30"/>
      <c r="C448" s="14" t="str">
        <f t="shared" si="24"/>
        <v/>
      </c>
      <c r="D448" s="11"/>
      <c r="E448" s="14" t="str">
        <f>IF(D448="","",IFERROR(VLOOKUP(D448,Categorias!$B$5:$C$200,2,FALSE),"Revisar"))</f>
        <v/>
      </c>
      <c r="F448" s="11"/>
      <c r="G448" s="31"/>
      <c r="H448" s="32">
        <f t="shared" si="25"/>
        <v>0</v>
      </c>
      <c r="I448" s="32">
        <f t="shared" si="26"/>
        <v>0</v>
      </c>
      <c r="J448" s="32">
        <f t="shared" si="27"/>
        <v>0</v>
      </c>
      <c r="K448" s="11"/>
      <c r="M448" s="12"/>
      <c r="N448" s="12"/>
    </row>
    <row r="449" spans="2:14" ht="21.95" customHeight="1" x14ac:dyDescent="0.25">
      <c r="B449" s="30"/>
      <c r="C449" s="14" t="str">
        <f t="shared" si="24"/>
        <v/>
      </c>
      <c r="D449" s="11"/>
      <c r="E449" s="14" t="str">
        <f>IF(D449="","",IFERROR(VLOOKUP(D449,Categorias!$B$5:$C$200,2,FALSE),"Revisar"))</f>
        <v/>
      </c>
      <c r="F449" s="11"/>
      <c r="G449" s="31"/>
      <c r="H449" s="32">
        <f t="shared" si="25"/>
        <v>0</v>
      </c>
      <c r="I449" s="32">
        <f t="shared" si="26"/>
        <v>0</v>
      </c>
      <c r="J449" s="32">
        <f t="shared" si="27"/>
        <v>0</v>
      </c>
      <c r="K449" s="11"/>
      <c r="M449" s="12"/>
      <c r="N449" s="12"/>
    </row>
    <row r="450" spans="2:14" ht="21.95" customHeight="1" x14ac:dyDescent="0.25">
      <c r="B450" s="30"/>
      <c r="C450" s="14" t="str">
        <f t="shared" si="24"/>
        <v/>
      </c>
      <c r="D450" s="11"/>
      <c r="E450" s="14" t="str">
        <f>IF(D450="","",IFERROR(VLOOKUP(D450,Categorias!$B$5:$C$200,2,FALSE),"Revisar"))</f>
        <v/>
      </c>
      <c r="F450" s="11"/>
      <c r="G450" s="31"/>
      <c r="H450" s="32">
        <f t="shared" si="25"/>
        <v>0</v>
      </c>
      <c r="I450" s="32">
        <f t="shared" si="26"/>
        <v>0</v>
      </c>
      <c r="J450" s="32">
        <f t="shared" si="27"/>
        <v>0</v>
      </c>
      <c r="K450" s="11"/>
      <c r="M450" s="12"/>
      <c r="N450" s="12"/>
    </row>
    <row r="451" spans="2:14" ht="21.95" customHeight="1" x14ac:dyDescent="0.25">
      <c r="B451" s="30"/>
      <c r="C451" s="14" t="str">
        <f t="shared" si="24"/>
        <v/>
      </c>
      <c r="D451" s="11"/>
      <c r="E451" s="14" t="str">
        <f>IF(D451="","",IFERROR(VLOOKUP(D451,Categorias!$B$5:$C$200,2,FALSE),"Revisar"))</f>
        <v/>
      </c>
      <c r="F451" s="11"/>
      <c r="G451" s="31"/>
      <c r="H451" s="32">
        <f t="shared" si="25"/>
        <v>0</v>
      </c>
      <c r="I451" s="32">
        <f t="shared" si="26"/>
        <v>0</v>
      </c>
      <c r="J451" s="32">
        <f t="shared" si="27"/>
        <v>0</v>
      </c>
      <c r="K451" s="11"/>
      <c r="M451" s="12"/>
      <c r="N451" s="12"/>
    </row>
    <row r="452" spans="2:14" ht="21.95" customHeight="1" x14ac:dyDescent="0.25">
      <c r="B452" s="30"/>
      <c r="C452" s="14" t="str">
        <f t="shared" si="24"/>
        <v/>
      </c>
      <c r="D452" s="11"/>
      <c r="E452" s="14" t="str">
        <f>IF(D452="","",IFERROR(VLOOKUP(D452,Categorias!$B$5:$C$200,2,FALSE),"Revisar"))</f>
        <v/>
      </c>
      <c r="F452" s="11"/>
      <c r="G452" s="31"/>
      <c r="H452" s="32">
        <f t="shared" si="25"/>
        <v>0</v>
      </c>
      <c r="I452" s="32">
        <f t="shared" si="26"/>
        <v>0</v>
      </c>
      <c r="J452" s="32">
        <f t="shared" si="27"/>
        <v>0</v>
      </c>
      <c r="K452" s="11"/>
      <c r="M452" s="12"/>
      <c r="N452" s="12"/>
    </row>
    <row r="453" spans="2:14" ht="21.95" customHeight="1" x14ac:dyDescent="0.25">
      <c r="B453" s="30"/>
      <c r="C453" s="14" t="str">
        <f t="shared" si="24"/>
        <v/>
      </c>
      <c r="D453" s="11"/>
      <c r="E453" s="14" t="str">
        <f>IF(D453="","",IFERROR(VLOOKUP(D453,Categorias!$B$5:$C$200,2,FALSE),"Revisar"))</f>
        <v/>
      </c>
      <c r="F453" s="11"/>
      <c r="G453" s="31"/>
      <c r="H453" s="32">
        <f t="shared" si="25"/>
        <v>0</v>
      </c>
      <c r="I453" s="32">
        <f t="shared" si="26"/>
        <v>0</v>
      </c>
      <c r="J453" s="32">
        <f t="shared" si="27"/>
        <v>0</v>
      </c>
      <c r="K453" s="11"/>
      <c r="M453" s="12"/>
      <c r="N453" s="12"/>
    </row>
    <row r="454" spans="2:14" ht="21.95" customHeight="1" x14ac:dyDescent="0.25">
      <c r="B454" s="30"/>
      <c r="C454" s="14" t="str">
        <f t="shared" si="24"/>
        <v/>
      </c>
      <c r="D454" s="11"/>
      <c r="E454" s="14" t="str">
        <f>IF(D454="","",IFERROR(VLOOKUP(D454,Categorias!$B$5:$C$200,2,FALSE),"Revisar"))</f>
        <v/>
      </c>
      <c r="F454" s="11"/>
      <c r="G454" s="31"/>
      <c r="H454" s="32">
        <f t="shared" si="25"/>
        <v>0</v>
      </c>
      <c r="I454" s="32">
        <f t="shared" si="26"/>
        <v>0</v>
      </c>
      <c r="J454" s="32">
        <f t="shared" si="27"/>
        <v>0</v>
      </c>
      <c r="K454" s="11"/>
      <c r="M454" s="12"/>
      <c r="N454" s="12"/>
    </row>
    <row r="455" spans="2:14" ht="21.95" customHeight="1" x14ac:dyDescent="0.25">
      <c r="B455" s="30"/>
      <c r="C455" s="14" t="str">
        <f t="shared" si="24"/>
        <v/>
      </c>
      <c r="D455" s="11"/>
      <c r="E455" s="14" t="str">
        <f>IF(D455="","",IFERROR(VLOOKUP(D455,Categorias!$B$5:$C$200,2,FALSE),"Revisar"))</f>
        <v/>
      </c>
      <c r="F455" s="11"/>
      <c r="G455" s="31"/>
      <c r="H455" s="32">
        <f t="shared" si="25"/>
        <v>0</v>
      </c>
      <c r="I455" s="32">
        <f t="shared" si="26"/>
        <v>0</v>
      </c>
      <c r="J455" s="32">
        <f t="shared" si="27"/>
        <v>0</v>
      </c>
      <c r="K455" s="11"/>
      <c r="M455" s="12"/>
      <c r="N455" s="12"/>
    </row>
    <row r="456" spans="2:14" ht="21.95" customHeight="1" x14ac:dyDescent="0.25">
      <c r="B456" s="30"/>
      <c r="C456" s="14" t="str">
        <f t="shared" si="24"/>
        <v/>
      </c>
      <c r="D456" s="11"/>
      <c r="E456" s="14" t="str">
        <f>IF(D456="","",IFERROR(VLOOKUP(D456,Categorias!$B$5:$C$200,2,FALSE),"Revisar"))</f>
        <v/>
      </c>
      <c r="F456" s="11"/>
      <c r="G456" s="31"/>
      <c r="H456" s="32">
        <f t="shared" si="25"/>
        <v>0</v>
      </c>
      <c r="I456" s="32">
        <f t="shared" si="26"/>
        <v>0</v>
      </c>
      <c r="J456" s="32">
        <f t="shared" si="27"/>
        <v>0</v>
      </c>
      <c r="K456" s="11"/>
      <c r="M456" s="12"/>
      <c r="N456" s="12"/>
    </row>
    <row r="457" spans="2:14" ht="21.95" customHeight="1" x14ac:dyDescent="0.25">
      <c r="B457" s="30"/>
      <c r="C457" s="14" t="str">
        <f t="shared" ref="C457:C520" si="28">IF(B457="","",CHOOSE(MONTH(B457),"Enero","Febrero","Marzo","Abril","Mayo","Junio","Julio","Agosto","Septiembre","Octubre","Noviembre","Diciembre"))</f>
        <v/>
      </c>
      <c r="D457" s="11"/>
      <c r="E457" s="14" t="str">
        <f>IF(D457="","",IFERROR(VLOOKUP(D457,Categorias!$B$5:$C$200,2,FALSE),"Revisar"))</f>
        <v/>
      </c>
      <c r="F457" s="11"/>
      <c r="G457" s="31"/>
      <c r="H457" s="32">
        <f t="shared" ref="H457:H520" si="29">IF($E457="Ingreso",$G457,0)</f>
        <v>0</v>
      </c>
      <c r="I457" s="32">
        <f t="shared" ref="I457:I520" si="30">IF($E457="Gasto",$G457,0)</f>
        <v>0</v>
      </c>
      <c r="J457" s="32">
        <f t="shared" ref="J457:J520" si="31">IF($E457="Reserva",$G457,0)</f>
        <v>0</v>
      </c>
      <c r="K457" s="11"/>
      <c r="M457" s="12"/>
      <c r="N457" s="12"/>
    </row>
    <row r="458" spans="2:14" ht="21.95" customHeight="1" x14ac:dyDescent="0.25">
      <c r="B458" s="30"/>
      <c r="C458" s="14" t="str">
        <f t="shared" si="28"/>
        <v/>
      </c>
      <c r="D458" s="11"/>
      <c r="E458" s="14" t="str">
        <f>IF(D458="","",IFERROR(VLOOKUP(D458,Categorias!$B$5:$C$200,2,FALSE),"Revisar"))</f>
        <v/>
      </c>
      <c r="F458" s="11"/>
      <c r="G458" s="31"/>
      <c r="H458" s="32">
        <f t="shared" si="29"/>
        <v>0</v>
      </c>
      <c r="I458" s="32">
        <f t="shared" si="30"/>
        <v>0</v>
      </c>
      <c r="J458" s="32">
        <f t="shared" si="31"/>
        <v>0</v>
      </c>
      <c r="K458" s="11"/>
      <c r="M458" s="12"/>
      <c r="N458" s="12"/>
    </row>
    <row r="459" spans="2:14" ht="21.95" customHeight="1" x14ac:dyDescent="0.25">
      <c r="B459" s="30"/>
      <c r="C459" s="14" t="str">
        <f t="shared" si="28"/>
        <v/>
      </c>
      <c r="D459" s="11"/>
      <c r="E459" s="14" t="str">
        <f>IF(D459="","",IFERROR(VLOOKUP(D459,Categorias!$B$5:$C$200,2,FALSE),"Revisar"))</f>
        <v/>
      </c>
      <c r="F459" s="11"/>
      <c r="G459" s="31"/>
      <c r="H459" s="32">
        <f t="shared" si="29"/>
        <v>0</v>
      </c>
      <c r="I459" s="32">
        <f t="shared" si="30"/>
        <v>0</v>
      </c>
      <c r="J459" s="32">
        <f t="shared" si="31"/>
        <v>0</v>
      </c>
      <c r="K459" s="11"/>
      <c r="M459" s="12"/>
      <c r="N459" s="12"/>
    </row>
    <row r="460" spans="2:14" ht="21.95" customHeight="1" x14ac:dyDescent="0.25">
      <c r="B460" s="30"/>
      <c r="C460" s="14" t="str">
        <f t="shared" si="28"/>
        <v/>
      </c>
      <c r="D460" s="11"/>
      <c r="E460" s="14" t="str">
        <f>IF(D460="","",IFERROR(VLOOKUP(D460,Categorias!$B$5:$C$200,2,FALSE),"Revisar"))</f>
        <v/>
      </c>
      <c r="F460" s="11"/>
      <c r="G460" s="31"/>
      <c r="H460" s="32">
        <f t="shared" si="29"/>
        <v>0</v>
      </c>
      <c r="I460" s="32">
        <f t="shared" si="30"/>
        <v>0</v>
      </c>
      <c r="J460" s="32">
        <f t="shared" si="31"/>
        <v>0</v>
      </c>
      <c r="K460" s="11"/>
      <c r="M460" s="12"/>
      <c r="N460" s="12"/>
    </row>
    <row r="461" spans="2:14" ht="21.95" customHeight="1" x14ac:dyDescent="0.25">
      <c r="B461" s="30"/>
      <c r="C461" s="14" t="str">
        <f t="shared" si="28"/>
        <v/>
      </c>
      <c r="D461" s="11"/>
      <c r="E461" s="14" t="str">
        <f>IF(D461="","",IFERROR(VLOOKUP(D461,Categorias!$B$5:$C$200,2,FALSE),"Revisar"))</f>
        <v/>
      </c>
      <c r="F461" s="11"/>
      <c r="G461" s="31"/>
      <c r="H461" s="32">
        <f t="shared" si="29"/>
        <v>0</v>
      </c>
      <c r="I461" s="32">
        <f t="shared" si="30"/>
        <v>0</v>
      </c>
      <c r="J461" s="32">
        <f t="shared" si="31"/>
        <v>0</v>
      </c>
      <c r="K461" s="11"/>
      <c r="M461" s="12"/>
      <c r="N461" s="12"/>
    </row>
    <row r="462" spans="2:14" ht="21.95" customHeight="1" x14ac:dyDescent="0.25">
      <c r="B462" s="30"/>
      <c r="C462" s="14" t="str">
        <f t="shared" si="28"/>
        <v/>
      </c>
      <c r="D462" s="11"/>
      <c r="E462" s="14" t="str">
        <f>IF(D462="","",IFERROR(VLOOKUP(D462,Categorias!$B$5:$C$200,2,FALSE),"Revisar"))</f>
        <v/>
      </c>
      <c r="F462" s="11"/>
      <c r="G462" s="31"/>
      <c r="H462" s="32">
        <f t="shared" si="29"/>
        <v>0</v>
      </c>
      <c r="I462" s="32">
        <f t="shared" si="30"/>
        <v>0</v>
      </c>
      <c r="J462" s="32">
        <f t="shared" si="31"/>
        <v>0</v>
      </c>
      <c r="K462" s="11"/>
      <c r="M462" s="12"/>
      <c r="N462" s="12"/>
    </row>
    <row r="463" spans="2:14" ht="21.95" customHeight="1" x14ac:dyDescent="0.25">
      <c r="B463" s="30"/>
      <c r="C463" s="14" t="str">
        <f t="shared" si="28"/>
        <v/>
      </c>
      <c r="D463" s="11"/>
      <c r="E463" s="14" t="str">
        <f>IF(D463="","",IFERROR(VLOOKUP(D463,Categorias!$B$5:$C$200,2,FALSE),"Revisar"))</f>
        <v/>
      </c>
      <c r="F463" s="11"/>
      <c r="G463" s="31"/>
      <c r="H463" s="32">
        <f t="shared" si="29"/>
        <v>0</v>
      </c>
      <c r="I463" s="32">
        <f t="shared" si="30"/>
        <v>0</v>
      </c>
      <c r="J463" s="32">
        <f t="shared" si="31"/>
        <v>0</v>
      </c>
      <c r="K463" s="11"/>
      <c r="M463" s="12"/>
      <c r="N463" s="12"/>
    </row>
    <row r="464" spans="2:14" ht="21.95" customHeight="1" x14ac:dyDescent="0.25">
      <c r="B464" s="30"/>
      <c r="C464" s="14" t="str">
        <f t="shared" si="28"/>
        <v/>
      </c>
      <c r="D464" s="11"/>
      <c r="E464" s="14" t="str">
        <f>IF(D464="","",IFERROR(VLOOKUP(D464,Categorias!$B$5:$C$200,2,FALSE),"Revisar"))</f>
        <v/>
      </c>
      <c r="F464" s="11"/>
      <c r="G464" s="31"/>
      <c r="H464" s="32">
        <f t="shared" si="29"/>
        <v>0</v>
      </c>
      <c r="I464" s="32">
        <f t="shared" si="30"/>
        <v>0</v>
      </c>
      <c r="J464" s="32">
        <f t="shared" si="31"/>
        <v>0</v>
      </c>
      <c r="K464" s="11"/>
      <c r="M464" s="12"/>
      <c r="N464" s="12"/>
    </row>
    <row r="465" spans="2:14" ht="21.95" customHeight="1" x14ac:dyDescent="0.25">
      <c r="B465" s="30"/>
      <c r="C465" s="14" t="str">
        <f t="shared" si="28"/>
        <v/>
      </c>
      <c r="D465" s="11"/>
      <c r="E465" s="14" t="str">
        <f>IF(D465="","",IFERROR(VLOOKUP(D465,Categorias!$B$5:$C$200,2,FALSE),"Revisar"))</f>
        <v/>
      </c>
      <c r="F465" s="11"/>
      <c r="G465" s="31"/>
      <c r="H465" s="32">
        <f t="shared" si="29"/>
        <v>0</v>
      </c>
      <c r="I465" s="32">
        <f t="shared" si="30"/>
        <v>0</v>
      </c>
      <c r="J465" s="32">
        <f t="shared" si="31"/>
        <v>0</v>
      </c>
      <c r="K465" s="11"/>
      <c r="M465" s="12"/>
      <c r="N465" s="12"/>
    </row>
    <row r="466" spans="2:14" ht="21.95" customHeight="1" x14ac:dyDescent="0.25">
      <c r="B466" s="30"/>
      <c r="C466" s="14" t="str">
        <f t="shared" si="28"/>
        <v/>
      </c>
      <c r="D466" s="11"/>
      <c r="E466" s="14" t="str">
        <f>IF(D466="","",IFERROR(VLOOKUP(D466,Categorias!$B$5:$C$200,2,FALSE),"Revisar"))</f>
        <v/>
      </c>
      <c r="F466" s="11"/>
      <c r="G466" s="31"/>
      <c r="H466" s="32">
        <f t="shared" si="29"/>
        <v>0</v>
      </c>
      <c r="I466" s="32">
        <f t="shared" si="30"/>
        <v>0</v>
      </c>
      <c r="J466" s="32">
        <f t="shared" si="31"/>
        <v>0</v>
      </c>
      <c r="K466" s="11"/>
      <c r="M466" s="12"/>
      <c r="N466" s="12"/>
    </row>
    <row r="467" spans="2:14" ht="21.95" customHeight="1" x14ac:dyDescent="0.25">
      <c r="B467" s="30"/>
      <c r="C467" s="14" t="str">
        <f t="shared" si="28"/>
        <v/>
      </c>
      <c r="D467" s="11"/>
      <c r="E467" s="14" t="str">
        <f>IF(D467="","",IFERROR(VLOOKUP(D467,Categorias!$B$5:$C$200,2,FALSE),"Revisar"))</f>
        <v/>
      </c>
      <c r="F467" s="11"/>
      <c r="G467" s="31"/>
      <c r="H467" s="32">
        <f t="shared" si="29"/>
        <v>0</v>
      </c>
      <c r="I467" s="32">
        <f t="shared" si="30"/>
        <v>0</v>
      </c>
      <c r="J467" s="32">
        <f t="shared" si="31"/>
        <v>0</v>
      </c>
      <c r="K467" s="11"/>
      <c r="M467" s="12"/>
      <c r="N467" s="12"/>
    </row>
    <row r="468" spans="2:14" ht="21.95" customHeight="1" x14ac:dyDescent="0.25">
      <c r="B468" s="30"/>
      <c r="C468" s="14" t="str">
        <f t="shared" si="28"/>
        <v/>
      </c>
      <c r="D468" s="11"/>
      <c r="E468" s="14" t="str">
        <f>IF(D468="","",IFERROR(VLOOKUP(D468,Categorias!$B$5:$C$200,2,FALSE),"Revisar"))</f>
        <v/>
      </c>
      <c r="F468" s="11"/>
      <c r="G468" s="31"/>
      <c r="H468" s="32">
        <f t="shared" si="29"/>
        <v>0</v>
      </c>
      <c r="I468" s="32">
        <f t="shared" si="30"/>
        <v>0</v>
      </c>
      <c r="J468" s="32">
        <f t="shared" si="31"/>
        <v>0</v>
      </c>
      <c r="K468" s="11"/>
      <c r="M468" s="12"/>
      <c r="N468" s="12"/>
    </row>
    <row r="469" spans="2:14" ht="21.95" customHeight="1" x14ac:dyDescent="0.25">
      <c r="B469" s="30"/>
      <c r="C469" s="14" t="str">
        <f t="shared" si="28"/>
        <v/>
      </c>
      <c r="D469" s="11"/>
      <c r="E469" s="14" t="str">
        <f>IF(D469="","",IFERROR(VLOOKUP(D469,Categorias!$B$5:$C$200,2,FALSE),"Revisar"))</f>
        <v/>
      </c>
      <c r="F469" s="11"/>
      <c r="G469" s="31"/>
      <c r="H469" s="32">
        <f t="shared" si="29"/>
        <v>0</v>
      </c>
      <c r="I469" s="32">
        <f t="shared" si="30"/>
        <v>0</v>
      </c>
      <c r="J469" s="32">
        <f t="shared" si="31"/>
        <v>0</v>
      </c>
      <c r="K469" s="11"/>
      <c r="M469" s="12"/>
      <c r="N469" s="12"/>
    </row>
    <row r="470" spans="2:14" ht="21.95" customHeight="1" x14ac:dyDescent="0.25">
      <c r="B470" s="30"/>
      <c r="C470" s="14" t="str">
        <f t="shared" si="28"/>
        <v/>
      </c>
      <c r="D470" s="11"/>
      <c r="E470" s="14" t="str">
        <f>IF(D470="","",IFERROR(VLOOKUP(D470,Categorias!$B$5:$C$200,2,FALSE),"Revisar"))</f>
        <v/>
      </c>
      <c r="F470" s="11"/>
      <c r="G470" s="31"/>
      <c r="H470" s="32">
        <f t="shared" si="29"/>
        <v>0</v>
      </c>
      <c r="I470" s="32">
        <f t="shared" si="30"/>
        <v>0</v>
      </c>
      <c r="J470" s="32">
        <f t="shared" si="31"/>
        <v>0</v>
      </c>
      <c r="K470" s="11"/>
      <c r="M470" s="12"/>
      <c r="N470" s="12"/>
    </row>
    <row r="471" spans="2:14" ht="21.95" customHeight="1" x14ac:dyDescent="0.25">
      <c r="B471" s="30"/>
      <c r="C471" s="14" t="str">
        <f t="shared" si="28"/>
        <v/>
      </c>
      <c r="D471" s="11"/>
      <c r="E471" s="14" t="str">
        <f>IF(D471="","",IFERROR(VLOOKUP(D471,Categorias!$B$5:$C$200,2,FALSE),"Revisar"))</f>
        <v/>
      </c>
      <c r="F471" s="11"/>
      <c r="G471" s="31"/>
      <c r="H471" s="32">
        <f t="shared" si="29"/>
        <v>0</v>
      </c>
      <c r="I471" s="32">
        <f t="shared" si="30"/>
        <v>0</v>
      </c>
      <c r="J471" s="32">
        <f t="shared" si="31"/>
        <v>0</v>
      </c>
      <c r="K471" s="11"/>
      <c r="M471" s="12"/>
      <c r="N471" s="12"/>
    </row>
    <row r="472" spans="2:14" ht="21.95" customHeight="1" x14ac:dyDescent="0.25">
      <c r="B472" s="30"/>
      <c r="C472" s="14" t="str">
        <f t="shared" si="28"/>
        <v/>
      </c>
      <c r="D472" s="11"/>
      <c r="E472" s="14" t="str">
        <f>IF(D472="","",IFERROR(VLOOKUP(D472,Categorias!$B$5:$C$200,2,FALSE),"Revisar"))</f>
        <v/>
      </c>
      <c r="F472" s="11"/>
      <c r="G472" s="31"/>
      <c r="H472" s="32">
        <f t="shared" si="29"/>
        <v>0</v>
      </c>
      <c r="I472" s="32">
        <f t="shared" si="30"/>
        <v>0</v>
      </c>
      <c r="J472" s="32">
        <f t="shared" si="31"/>
        <v>0</v>
      </c>
      <c r="K472" s="11"/>
      <c r="M472" s="12"/>
      <c r="N472" s="12"/>
    </row>
    <row r="473" spans="2:14" ht="21.95" customHeight="1" x14ac:dyDescent="0.25">
      <c r="B473" s="30"/>
      <c r="C473" s="14" t="str">
        <f t="shared" si="28"/>
        <v/>
      </c>
      <c r="D473" s="11"/>
      <c r="E473" s="14" t="str">
        <f>IF(D473="","",IFERROR(VLOOKUP(D473,Categorias!$B$5:$C$200,2,FALSE),"Revisar"))</f>
        <v/>
      </c>
      <c r="F473" s="11"/>
      <c r="G473" s="31"/>
      <c r="H473" s="32">
        <f t="shared" si="29"/>
        <v>0</v>
      </c>
      <c r="I473" s="32">
        <f t="shared" si="30"/>
        <v>0</v>
      </c>
      <c r="J473" s="32">
        <f t="shared" si="31"/>
        <v>0</v>
      </c>
      <c r="K473" s="11"/>
      <c r="M473" s="12"/>
      <c r="N473" s="12"/>
    </row>
    <row r="474" spans="2:14" ht="21.95" customHeight="1" x14ac:dyDescent="0.25">
      <c r="B474" s="30"/>
      <c r="C474" s="14" t="str">
        <f t="shared" si="28"/>
        <v/>
      </c>
      <c r="D474" s="11"/>
      <c r="E474" s="14" t="str">
        <f>IF(D474="","",IFERROR(VLOOKUP(D474,Categorias!$B$5:$C$200,2,FALSE),"Revisar"))</f>
        <v/>
      </c>
      <c r="F474" s="11"/>
      <c r="G474" s="31"/>
      <c r="H474" s="32">
        <f t="shared" si="29"/>
        <v>0</v>
      </c>
      <c r="I474" s="32">
        <f t="shared" si="30"/>
        <v>0</v>
      </c>
      <c r="J474" s="32">
        <f t="shared" si="31"/>
        <v>0</v>
      </c>
      <c r="K474" s="11"/>
      <c r="M474" s="12"/>
      <c r="N474" s="12"/>
    </row>
    <row r="475" spans="2:14" ht="21.95" customHeight="1" x14ac:dyDescent="0.25">
      <c r="B475" s="30"/>
      <c r="C475" s="14" t="str">
        <f t="shared" si="28"/>
        <v/>
      </c>
      <c r="D475" s="11"/>
      <c r="E475" s="14" t="str">
        <f>IF(D475="","",IFERROR(VLOOKUP(D475,Categorias!$B$5:$C$200,2,FALSE),"Revisar"))</f>
        <v/>
      </c>
      <c r="F475" s="11"/>
      <c r="G475" s="31"/>
      <c r="H475" s="32">
        <f t="shared" si="29"/>
        <v>0</v>
      </c>
      <c r="I475" s="32">
        <f t="shared" si="30"/>
        <v>0</v>
      </c>
      <c r="J475" s="32">
        <f t="shared" si="31"/>
        <v>0</v>
      </c>
      <c r="K475" s="11"/>
      <c r="M475" s="12"/>
      <c r="N475" s="12"/>
    </row>
    <row r="476" spans="2:14" ht="21.95" customHeight="1" x14ac:dyDescent="0.25">
      <c r="B476" s="30"/>
      <c r="C476" s="14" t="str">
        <f t="shared" si="28"/>
        <v/>
      </c>
      <c r="D476" s="11"/>
      <c r="E476" s="14" t="str">
        <f>IF(D476="","",IFERROR(VLOOKUP(D476,Categorias!$B$5:$C$200,2,FALSE),"Revisar"))</f>
        <v/>
      </c>
      <c r="F476" s="11"/>
      <c r="G476" s="31"/>
      <c r="H476" s="32">
        <f t="shared" si="29"/>
        <v>0</v>
      </c>
      <c r="I476" s="32">
        <f t="shared" si="30"/>
        <v>0</v>
      </c>
      <c r="J476" s="32">
        <f t="shared" si="31"/>
        <v>0</v>
      </c>
      <c r="K476" s="11"/>
      <c r="M476" s="12"/>
      <c r="N476" s="12"/>
    </row>
    <row r="477" spans="2:14" ht="21.95" customHeight="1" x14ac:dyDescent="0.25">
      <c r="B477" s="30"/>
      <c r="C477" s="14" t="str">
        <f t="shared" si="28"/>
        <v/>
      </c>
      <c r="D477" s="11"/>
      <c r="E477" s="14" t="str">
        <f>IF(D477="","",IFERROR(VLOOKUP(D477,Categorias!$B$5:$C$200,2,FALSE),"Revisar"))</f>
        <v/>
      </c>
      <c r="F477" s="11"/>
      <c r="G477" s="31"/>
      <c r="H477" s="32">
        <f t="shared" si="29"/>
        <v>0</v>
      </c>
      <c r="I477" s="32">
        <f t="shared" si="30"/>
        <v>0</v>
      </c>
      <c r="J477" s="32">
        <f t="shared" si="31"/>
        <v>0</v>
      </c>
      <c r="K477" s="11"/>
      <c r="M477" s="12"/>
      <c r="N477" s="12"/>
    </row>
    <row r="478" spans="2:14" ht="21.95" customHeight="1" x14ac:dyDescent="0.25">
      <c r="B478" s="30"/>
      <c r="C478" s="14" t="str">
        <f t="shared" si="28"/>
        <v/>
      </c>
      <c r="D478" s="11"/>
      <c r="E478" s="14" t="str">
        <f>IF(D478="","",IFERROR(VLOOKUP(D478,Categorias!$B$5:$C$200,2,FALSE),"Revisar"))</f>
        <v/>
      </c>
      <c r="F478" s="11"/>
      <c r="G478" s="31"/>
      <c r="H478" s="32">
        <f t="shared" si="29"/>
        <v>0</v>
      </c>
      <c r="I478" s="32">
        <f t="shared" si="30"/>
        <v>0</v>
      </c>
      <c r="J478" s="32">
        <f t="shared" si="31"/>
        <v>0</v>
      </c>
      <c r="K478" s="11"/>
      <c r="M478" s="12"/>
      <c r="N478" s="12"/>
    </row>
    <row r="479" spans="2:14" ht="21.95" customHeight="1" x14ac:dyDescent="0.25">
      <c r="B479" s="30"/>
      <c r="C479" s="14" t="str">
        <f t="shared" si="28"/>
        <v/>
      </c>
      <c r="D479" s="11"/>
      <c r="E479" s="14" t="str">
        <f>IF(D479="","",IFERROR(VLOOKUP(D479,Categorias!$B$5:$C$200,2,FALSE),"Revisar"))</f>
        <v/>
      </c>
      <c r="F479" s="11"/>
      <c r="G479" s="31"/>
      <c r="H479" s="32">
        <f t="shared" si="29"/>
        <v>0</v>
      </c>
      <c r="I479" s="32">
        <f t="shared" si="30"/>
        <v>0</v>
      </c>
      <c r="J479" s="32">
        <f t="shared" si="31"/>
        <v>0</v>
      </c>
      <c r="K479" s="11"/>
      <c r="M479" s="12"/>
      <c r="N479" s="12"/>
    </row>
    <row r="480" spans="2:14" ht="21.95" customHeight="1" x14ac:dyDescent="0.25">
      <c r="B480" s="30"/>
      <c r="C480" s="14" t="str">
        <f t="shared" si="28"/>
        <v/>
      </c>
      <c r="D480" s="11"/>
      <c r="E480" s="14" t="str">
        <f>IF(D480="","",IFERROR(VLOOKUP(D480,Categorias!$B$5:$C$200,2,FALSE),"Revisar"))</f>
        <v/>
      </c>
      <c r="F480" s="11"/>
      <c r="G480" s="31"/>
      <c r="H480" s="32">
        <f t="shared" si="29"/>
        <v>0</v>
      </c>
      <c r="I480" s="32">
        <f t="shared" si="30"/>
        <v>0</v>
      </c>
      <c r="J480" s="32">
        <f t="shared" si="31"/>
        <v>0</v>
      </c>
      <c r="K480" s="11"/>
      <c r="M480" s="12"/>
      <c r="N480" s="12"/>
    </row>
    <row r="481" spans="2:14" ht="21.95" customHeight="1" x14ac:dyDescent="0.25">
      <c r="B481" s="30"/>
      <c r="C481" s="14" t="str">
        <f t="shared" si="28"/>
        <v/>
      </c>
      <c r="D481" s="11"/>
      <c r="E481" s="14" t="str">
        <f>IF(D481="","",IFERROR(VLOOKUP(D481,Categorias!$B$5:$C$200,2,FALSE),"Revisar"))</f>
        <v/>
      </c>
      <c r="F481" s="11"/>
      <c r="G481" s="31"/>
      <c r="H481" s="32">
        <f t="shared" si="29"/>
        <v>0</v>
      </c>
      <c r="I481" s="32">
        <f t="shared" si="30"/>
        <v>0</v>
      </c>
      <c r="J481" s="32">
        <f t="shared" si="31"/>
        <v>0</v>
      </c>
      <c r="K481" s="11"/>
      <c r="M481" s="12"/>
      <c r="N481" s="12"/>
    </row>
    <row r="482" spans="2:14" ht="21.95" customHeight="1" x14ac:dyDescent="0.25">
      <c r="B482" s="30"/>
      <c r="C482" s="14" t="str">
        <f t="shared" si="28"/>
        <v/>
      </c>
      <c r="D482" s="11"/>
      <c r="E482" s="14" t="str">
        <f>IF(D482="","",IFERROR(VLOOKUP(D482,Categorias!$B$5:$C$200,2,FALSE),"Revisar"))</f>
        <v/>
      </c>
      <c r="F482" s="11"/>
      <c r="G482" s="31"/>
      <c r="H482" s="32">
        <f t="shared" si="29"/>
        <v>0</v>
      </c>
      <c r="I482" s="32">
        <f t="shared" si="30"/>
        <v>0</v>
      </c>
      <c r="J482" s="32">
        <f t="shared" si="31"/>
        <v>0</v>
      </c>
      <c r="K482" s="11"/>
      <c r="M482" s="12"/>
      <c r="N482" s="12"/>
    </row>
    <row r="483" spans="2:14" ht="21.95" customHeight="1" x14ac:dyDescent="0.25">
      <c r="B483" s="30"/>
      <c r="C483" s="14" t="str">
        <f t="shared" si="28"/>
        <v/>
      </c>
      <c r="D483" s="11"/>
      <c r="E483" s="14" t="str">
        <f>IF(D483="","",IFERROR(VLOOKUP(D483,Categorias!$B$5:$C$200,2,FALSE),"Revisar"))</f>
        <v/>
      </c>
      <c r="F483" s="11"/>
      <c r="G483" s="31"/>
      <c r="H483" s="32">
        <f t="shared" si="29"/>
        <v>0</v>
      </c>
      <c r="I483" s="32">
        <f t="shared" si="30"/>
        <v>0</v>
      </c>
      <c r="J483" s="32">
        <f t="shared" si="31"/>
        <v>0</v>
      </c>
      <c r="K483" s="11"/>
      <c r="M483" s="12"/>
      <c r="N483" s="12"/>
    </row>
    <row r="484" spans="2:14" ht="21.95" customHeight="1" x14ac:dyDescent="0.25">
      <c r="B484" s="30"/>
      <c r="C484" s="14" t="str">
        <f t="shared" si="28"/>
        <v/>
      </c>
      <c r="D484" s="11"/>
      <c r="E484" s="14" t="str">
        <f>IF(D484="","",IFERROR(VLOOKUP(D484,Categorias!$B$5:$C$200,2,FALSE),"Revisar"))</f>
        <v/>
      </c>
      <c r="F484" s="11"/>
      <c r="G484" s="31"/>
      <c r="H484" s="32">
        <f t="shared" si="29"/>
        <v>0</v>
      </c>
      <c r="I484" s="32">
        <f t="shared" si="30"/>
        <v>0</v>
      </c>
      <c r="J484" s="32">
        <f t="shared" si="31"/>
        <v>0</v>
      </c>
      <c r="K484" s="11"/>
      <c r="M484" s="12"/>
      <c r="N484" s="12"/>
    </row>
    <row r="485" spans="2:14" ht="21.95" customHeight="1" x14ac:dyDescent="0.25">
      <c r="B485" s="30"/>
      <c r="C485" s="14" t="str">
        <f t="shared" si="28"/>
        <v/>
      </c>
      <c r="D485" s="11"/>
      <c r="E485" s="14" t="str">
        <f>IF(D485="","",IFERROR(VLOOKUP(D485,Categorias!$B$5:$C$200,2,FALSE),"Revisar"))</f>
        <v/>
      </c>
      <c r="F485" s="11"/>
      <c r="G485" s="31"/>
      <c r="H485" s="32">
        <f t="shared" si="29"/>
        <v>0</v>
      </c>
      <c r="I485" s="32">
        <f t="shared" si="30"/>
        <v>0</v>
      </c>
      <c r="J485" s="32">
        <f t="shared" si="31"/>
        <v>0</v>
      </c>
      <c r="K485" s="11"/>
      <c r="M485" s="12"/>
      <c r="N485" s="12"/>
    </row>
    <row r="486" spans="2:14" ht="21.95" customHeight="1" x14ac:dyDescent="0.25">
      <c r="B486" s="30"/>
      <c r="C486" s="14" t="str">
        <f t="shared" si="28"/>
        <v/>
      </c>
      <c r="D486" s="11"/>
      <c r="E486" s="14" t="str">
        <f>IF(D486="","",IFERROR(VLOOKUP(D486,Categorias!$B$5:$C$200,2,FALSE),"Revisar"))</f>
        <v/>
      </c>
      <c r="F486" s="11"/>
      <c r="G486" s="31"/>
      <c r="H486" s="32">
        <f t="shared" si="29"/>
        <v>0</v>
      </c>
      <c r="I486" s="32">
        <f t="shared" si="30"/>
        <v>0</v>
      </c>
      <c r="J486" s="32">
        <f t="shared" si="31"/>
        <v>0</v>
      </c>
      <c r="K486" s="11"/>
      <c r="M486" s="12"/>
      <c r="N486" s="12"/>
    </row>
    <row r="487" spans="2:14" ht="21.95" customHeight="1" x14ac:dyDescent="0.25">
      <c r="B487" s="30"/>
      <c r="C487" s="14" t="str">
        <f t="shared" si="28"/>
        <v/>
      </c>
      <c r="D487" s="11"/>
      <c r="E487" s="14" t="str">
        <f>IF(D487="","",IFERROR(VLOOKUP(D487,Categorias!$B$5:$C$200,2,FALSE),"Revisar"))</f>
        <v/>
      </c>
      <c r="F487" s="11"/>
      <c r="G487" s="31"/>
      <c r="H487" s="32">
        <f t="shared" si="29"/>
        <v>0</v>
      </c>
      <c r="I487" s="32">
        <f t="shared" si="30"/>
        <v>0</v>
      </c>
      <c r="J487" s="32">
        <f t="shared" si="31"/>
        <v>0</v>
      </c>
      <c r="K487" s="11"/>
      <c r="M487" s="12"/>
      <c r="N487" s="12"/>
    </row>
    <row r="488" spans="2:14" ht="21.95" customHeight="1" x14ac:dyDescent="0.25">
      <c r="B488" s="30"/>
      <c r="C488" s="14" t="str">
        <f t="shared" si="28"/>
        <v/>
      </c>
      <c r="D488" s="11"/>
      <c r="E488" s="14" t="str">
        <f>IF(D488="","",IFERROR(VLOOKUP(D488,Categorias!$B$5:$C$200,2,FALSE),"Revisar"))</f>
        <v/>
      </c>
      <c r="F488" s="11"/>
      <c r="G488" s="31"/>
      <c r="H488" s="32">
        <f t="shared" si="29"/>
        <v>0</v>
      </c>
      <c r="I488" s="32">
        <f t="shared" si="30"/>
        <v>0</v>
      </c>
      <c r="J488" s="32">
        <f t="shared" si="31"/>
        <v>0</v>
      </c>
      <c r="K488" s="11"/>
      <c r="M488" s="12"/>
      <c r="N488" s="12"/>
    </row>
    <row r="489" spans="2:14" ht="21.95" customHeight="1" x14ac:dyDescent="0.25">
      <c r="B489" s="30"/>
      <c r="C489" s="14" t="str">
        <f t="shared" si="28"/>
        <v/>
      </c>
      <c r="D489" s="11"/>
      <c r="E489" s="14" t="str">
        <f>IF(D489="","",IFERROR(VLOOKUP(D489,Categorias!$B$5:$C$200,2,FALSE),"Revisar"))</f>
        <v/>
      </c>
      <c r="F489" s="11"/>
      <c r="G489" s="31"/>
      <c r="H489" s="32">
        <f t="shared" si="29"/>
        <v>0</v>
      </c>
      <c r="I489" s="32">
        <f t="shared" si="30"/>
        <v>0</v>
      </c>
      <c r="J489" s="32">
        <f t="shared" si="31"/>
        <v>0</v>
      </c>
      <c r="K489" s="11"/>
      <c r="M489" s="12"/>
      <c r="N489" s="12"/>
    </row>
    <row r="490" spans="2:14" ht="21.95" customHeight="1" x14ac:dyDescent="0.25">
      <c r="B490" s="30"/>
      <c r="C490" s="14" t="str">
        <f t="shared" si="28"/>
        <v/>
      </c>
      <c r="D490" s="11"/>
      <c r="E490" s="14" t="str">
        <f>IF(D490="","",IFERROR(VLOOKUP(D490,Categorias!$B$5:$C$200,2,FALSE),"Revisar"))</f>
        <v/>
      </c>
      <c r="F490" s="11"/>
      <c r="G490" s="31"/>
      <c r="H490" s="32">
        <f t="shared" si="29"/>
        <v>0</v>
      </c>
      <c r="I490" s="32">
        <f t="shared" si="30"/>
        <v>0</v>
      </c>
      <c r="J490" s="32">
        <f t="shared" si="31"/>
        <v>0</v>
      </c>
      <c r="K490" s="11"/>
      <c r="M490" s="12"/>
      <c r="N490" s="12"/>
    </row>
    <row r="491" spans="2:14" ht="21.95" customHeight="1" x14ac:dyDescent="0.25">
      <c r="B491" s="30"/>
      <c r="C491" s="14" t="str">
        <f t="shared" si="28"/>
        <v/>
      </c>
      <c r="D491" s="11"/>
      <c r="E491" s="14" t="str">
        <f>IF(D491="","",IFERROR(VLOOKUP(D491,Categorias!$B$5:$C$200,2,FALSE),"Revisar"))</f>
        <v/>
      </c>
      <c r="F491" s="11"/>
      <c r="G491" s="31"/>
      <c r="H491" s="32">
        <f t="shared" si="29"/>
        <v>0</v>
      </c>
      <c r="I491" s="32">
        <f t="shared" si="30"/>
        <v>0</v>
      </c>
      <c r="J491" s="32">
        <f t="shared" si="31"/>
        <v>0</v>
      </c>
      <c r="K491" s="11"/>
      <c r="M491" s="12"/>
      <c r="N491" s="12"/>
    </row>
    <row r="492" spans="2:14" ht="21.95" customHeight="1" x14ac:dyDescent="0.25">
      <c r="B492" s="30"/>
      <c r="C492" s="14" t="str">
        <f t="shared" si="28"/>
        <v/>
      </c>
      <c r="D492" s="11"/>
      <c r="E492" s="14" t="str">
        <f>IF(D492="","",IFERROR(VLOOKUP(D492,Categorias!$B$5:$C$200,2,FALSE),"Revisar"))</f>
        <v/>
      </c>
      <c r="F492" s="11"/>
      <c r="G492" s="31"/>
      <c r="H492" s="32">
        <f t="shared" si="29"/>
        <v>0</v>
      </c>
      <c r="I492" s="32">
        <f t="shared" si="30"/>
        <v>0</v>
      </c>
      <c r="J492" s="32">
        <f t="shared" si="31"/>
        <v>0</v>
      </c>
      <c r="K492" s="11"/>
      <c r="M492" s="12"/>
      <c r="N492" s="12"/>
    </row>
    <row r="493" spans="2:14" ht="21.95" customHeight="1" x14ac:dyDescent="0.25">
      <c r="B493" s="30"/>
      <c r="C493" s="14" t="str">
        <f t="shared" si="28"/>
        <v/>
      </c>
      <c r="D493" s="11"/>
      <c r="E493" s="14" t="str">
        <f>IF(D493="","",IFERROR(VLOOKUP(D493,Categorias!$B$5:$C$200,2,FALSE),"Revisar"))</f>
        <v/>
      </c>
      <c r="F493" s="11"/>
      <c r="G493" s="31"/>
      <c r="H493" s="32">
        <f t="shared" si="29"/>
        <v>0</v>
      </c>
      <c r="I493" s="32">
        <f t="shared" si="30"/>
        <v>0</v>
      </c>
      <c r="J493" s="32">
        <f t="shared" si="31"/>
        <v>0</v>
      </c>
      <c r="K493" s="11"/>
      <c r="M493" s="12"/>
      <c r="N493" s="12"/>
    </row>
    <row r="494" spans="2:14" ht="21.95" customHeight="1" x14ac:dyDescent="0.25">
      <c r="B494" s="30"/>
      <c r="C494" s="14" t="str">
        <f t="shared" si="28"/>
        <v/>
      </c>
      <c r="D494" s="11"/>
      <c r="E494" s="14" t="str">
        <f>IF(D494="","",IFERROR(VLOOKUP(D494,Categorias!$B$5:$C$200,2,FALSE),"Revisar"))</f>
        <v/>
      </c>
      <c r="F494" s="11"/>
      <c r="G494" s="31"/>
      <c r="H494" s="32">
        <f t="shared" si="29"/>
        <v>0</v>
      </c>
      <c r="I494" s="32">
        <f t="shared" si="30"/>
        <v>0</v>
      </c>
      <c r="J494" s="32">
        <f t="shared" si="31"/>
        <v>0</v>
      </c>
      <c r="K494" s="11"/>
      <c r="M494" s="12"/>
      <c r="N494" s="12"/>
    </row>
    <row r="495" spans="2:14" ht="21.95" customHeight="1" x14ac:dyDescent="0.25">
      <c r="B495" s="30"/>
      <c r="C495" s="14" t="str">
        <f t="shared" si="28"/>
        <v/>
      </c>
      <c r="D495" s="11"/>
      <c r="E495" s="14" t="str">
        <f>IF(D495="","",IFERROR(VLOOKUP(D495,Categorias!$B$5:$C$200,2,FALSE),"Revisar"))</f>
        <v/>
      </c>
      <c r="F495" s="11"/>
      <c r="G495" s="31"/>
      <c r="H495" s="32">
        <f t="shared" si="29"/>
        <v>0</v>
      </c>
      <c r="I495" s="32">
        <f t="shared" si="30"/>
        <v>0</v>
      </c>
      <c r="J495" s="32">
        <f t="shared" si="31"/>
        <v>0</v>
      </c>
      <c r="K495" s="11"/>
      <c r="M495" s="12"/>
      <c r="N495" s="12"/>
    </row>
    <row r="496" spans="2:14" ht="21.95" customHeight="1" x14ac:dyDescent="0.25">
      <c r="B496" s="30"/>
      <c r="C496" s="14" t="str">
        <f t="shared" si="28"/>
        <v/>
      </c>
      <c r="D496" s="11"/>
      <c r="E496" s="14" t="str">
        <f>IF(D496="","",IFERROR(VLOOKUP(D496,Categorias!$B$5:$C$200,2,FALSE),"Revisar"))</f>
        <v/>
      </c>
      <c r="F496" s="11"/>
      <c r="G496" s="31"/>
      <c r="H496" s="32">
        <f t="shared" si="29"/>
        <v>0</v>
      </c>
      <c r="I496" s="32">
        <f t="shared" si="30"/>
        <v>0</v>
      </c>
      <c r="J496" s="32">
        <f t="shared" si="31"/>
        <v>0</v>
      </c>
      <c r="K496" s="11"/>
      <c r="M496" s="12"/>
      <c r="N496" s="12"/>
    </row>
    <row r="497" spans="2:14" ht="21.95" customHeight="1" x14ac:dyDescent="0.25">
      <c r="B497" s="30"/>
      <c r="C497" s="14" t="str">
        <f t="shared" si="28"/>
        <v/>
      </c>
      <c r="D497" s="11"/>
      <c r="E497" s="14" t="str">
        <f>IF(D497="","",IFERROR(VLOOKUP(D497,Categorias!$B$5:$C$200,2,FALSE),"Revisar"))</f>
        <v/>
      </c>
      <c r="F497" s="11"/>
      <c r="G497" s="31"/>
      <c r="H497" s="32">
        <f t="shared" si="29"/>
        <v>0</v>
      </c>
      <c r="I497" s="32">
        <f t="shared" si="30"/>
        <v>0</v>
      </c>
      <c r="J497" s="32">
        <f t="shared" si="31"/>
        <v>0</v>
      </c>
      <c r="K497" s="11"/>
      <c r="M497" s="12"/>
      <c r="N497" s="12"/>
    </row>
    <row r="498" spans="2:14" ht="21.95" customHeight="1" x14ac:dyDescent="0.25">
      <c r="B498" s="30"/>
      <c r="C498" s="14" t="str">
        <f t="shared" si="28"/>
        <v/>
      </c>
      <c r="D498" s="11"/>
      <c r="E498" s="14" t="str">
        <f>IF(D498="","",IFERROR(VLOOKUP(D498,Categorias!$B$5:$C$200,2,FALSE),"Revisar"))</f>
        <v/>
      </c>
      <c r="F498" s="11"/>
      <c r="G498" s="31"/>
      <c r="H498" s="32">
        <f t="shared" si="29"/>
        <v>0</v>
      </c>
      <c r="I498" s="32">
        <f t="shared" si="30"/>
        <v>0</v>
      </c>
      <c r="J498" s="32">
        <f t="shared" si="31"/>
        <v>0</v>
      </c>
      <c r="K498" s="11"/>
      <c r="M498" s="12"/>
      <c r="N498" s="12"/>
    </row>
    <row r="499" spans="2:14" ht="21.95" customHeight="1" x14ac:dyDescent="0.25">
      <c r="B499" s="30"/>
      <c r="C499" s="14" t="str">
        <f t="shared" si="28"/>
        <v/>
      </c>
      <c r="D499" s="11"/>
      <c r="E499" s="14" t="str">
        <f>IF(D499="","",IFERROR(VLOOKUP(D499,Categorias!$B$5:$C$200,2,FALSE),"Revisar"))</f>
        <v/>
      </c>
      <c r="F499" s="11"/>
      <c r="G499" s="31"/>
      <c r="H499" s="32">
        <f t="shared" si="29"/>
        <v>0</v>
      </c>
      <c r="I499" s="32">
        <f t="shared" si="30"/>
        <v>0</v>
      </c>
      <c r="J499" s="32">
        <f t="shared" si="31"/>
        <v>0</v>
      </c>
      <c r="K499" s="11"/>
      <c r="M499" s="12"/>
      <c r="N499" s="12"/>
    </row>
    <row r="500" spans="2:14" ht="21.95" customHeight="1" x14ac:dyDescent="0.25">
      <c r="B500" s="30"/>
      <c r="C500" s="14" t="str">
        <f t="shared" si="28"/>
        <v/>
      </c>
      <c r="D500" s="11"/>
      <c r="E500" s="14" t="str">
        <f>IF(D500="","",IFERROR(VLOOKUP(D500,Categorias!$B$5:$C$200,2,FALSE),"Revisar"))</f>
        <v/>
      </c>
      <c r="F500" s="11"/>
      <c r="G500" s="31"/>
      <c r="H500" s="32">
        <f t="shared" si="29"/>
        <v>0</v>
      </c>
      <c r="I500" s="32">
        <f t="shared" si="30"/>
        <v>0</v>
      </c>
      <c r="J500" s="32">
        <f t="shared" si="31"/>
        <v>0</v>
      </c>
      <c r="K500" s="11"/>
      <c r="M500" s="12"/>
      <c r="N500" s="12"/>
    </row>
    <row r="501" spans="2:14" ht="21.95" customHeight="1" x14ac:dyDescent="0.25">
      <c r="B501" s="30"/>
      <c r="C501" s="14" t="str">
        <f t="shared" si="28"/>
        <v/>
      </c>
      <c r="D501" s="11"/>
      <c r="E501" s="14" t="str">
        <f>IF(D501="","",IFERROR(VLOOKUP(D501,Categorias!$B$5:$C$200,2,FALSE),"Revisar"))</f>
        <v/>
      </c>
      <c r="F501" s="11"/>
      <c r="G501" s="31"/>
      <c r="H501" s="32">
        <f t="shared" si="29"/>
        <v>0</v>
      </c>
      <c r="I501" s="32">
        <f t="shared" si="30"/>
        <v>0</v>
      </c>
      <c r="J501" s="32">
        <f t="shared" si="31"/>
        <v>0</v>
      </c>
      <c r="K501" s="11"/>
      <c r="M501" s="12"/>
      <c r="N501" s="12"/>
    </row>
    <row r="502" spans="2:14" ht="21.95" customHeight="1" x14ac:dyDescent="0.25">
      <c r="B502" s="30"/>
      <c r="C502" s="14" t="str">
        <f t="shared" si="28"/>
        <v/>
      </c>
      <c r="D502" s="11"/>
      <c r="E502" s="14" t="str">
        <f>IF(D502="","",IFERROR(VLOOKUP(D502,Categorias!$B$5:$C$200,2,FALSE),"Revisar"))</f>
        <v/>
      </c>
      <c r="F502" s="11"/>
      <c r="G502" s="31"/>
      <c r="H502" s="32">
        <f t="shared" si="29"/>
        <v>0</v>
      </c>
      <c r="I502" s="32">
        <f t="shared" si="30"/>
        <v>0</v>
      </c>
      <c r="J502" s="32">
        <f t="shared" si="31"/>
        <v>0</v>
      </c>
      <c r="K502" s="11"/>
      <c r="M502" s="12"/>
      <c r="N502" s="12"/>
    </row>
    <row r="503" spans="2:14" ht="21.95" customHeight="1" x14ac:dyDescent="0.25">
      <c r="B503" s="30"/>
      <c r="C503" s="14" t="str">
        <f t="shared" si="28"/>
        <v/>
      </c>
      <c r="D503" s="11"/>
      <c r="E503" s="14" t="str">
        <f>IF(D503="","",IFERROR(VLOOKUP(D503,Categorias!$B$5:$C$200,2,FALSE),"Revisar"))</f>
        <v/>
      </c>
      <c r="F503" s="11"/>
      <c r="G503" s="31"/>
      <c r="H503" s="32">
        <f t="shared" si="29"/>
        <v>0</v>
      </c>
      <c r="I503" s="32">
        <f t="shared" si="30"/>
        <v>0</v>
      </c>
      <c r="J503" s="32">
        <f t="shared" si="31"/>
        <v>0</v>
      </c>
      <c r="K503" s="11"/>
      <c r="M503" s="12"/>
      <c r="N503" s="12"/>
    </row>
    <row r="504" spans="2:14" ht="21.95" customHeight="1" x14ac:dyDescent="0.25">
      <c r="B504" s="30"/>
      <c r="C504" s="14" t="str">
        <f t="shared" si="28"/>
        <v/>
      </c>
      <c r="D504" s="11"/>
      <c r="E504" s="14" t="str">
        <f>IF(D504="","",IFERROR(VLOOKUP(D504,Categorias!$B$5:$C$200,2,FALSE),"Revisar"))</f>
        <v/>
      </c>
      <c r="F504" s="11"/>
      <c r="G504" s="31"/>
      <c r="H504" s="32">
        <f t="shared" si="29"/>
        <v>0</v>
      </c>
      <c r="I504" s="32">
        <f t="shared" si="30"/>
        <v>0</v>
      </c>
      <c r="J504" s="32">
        <f t="shared" si="31"/>
        <v>0</v>
      </c>
      <c r="K504" s="11"/>
      <c r="M504" s="12"/>
      <c r="N504" s="12"/>
    </row>
    <row r="505" spans="2:14" ht="21.95" customHeight="1" x14ac:dyDescent="0.25">
      <c r="B505" s="30"/>
      <c r="C505" s="14" t="str">
        <f t="shared" si="28"/>
        <v/>
      </c>
      <c r="D505" s="11"/>
      <c r="E505" s="14" t="str">
        <f>IF(D505="","",IFERROR(VLOOKUP(D505,Categorias!$B$5:$C$200,2,FALSE),"Revisar"))</f>
        <v/>
      </c>
      <c r="F505" s="11"/>
      <c r="G505" s="31"/>
      <c r="H505" s="32">
        <f t="shared" si="29"/>
        <v>0</v>
      </c>
      <c r="I505" s="32">
        <f t="shared" si="30"/>
        <v>0</v>
      </c>
      <c r="J505" s="32">
        <f t="shared" si="31"/>
        <v>0</v>
      </c>
      <c r="K505" s="11"/>
      <c r="M505" s="12"/>
      <c r="N505" s="12"/>
    </row>
    <row r="506" spans="2:14" ht="21.95" customHeight="1" x14ac:dyDescent="0.25">
      <c r="B506" s="30"/>
      <c r="C506" s="14" t="str">
        <f t="shared" si="28"/>
        <v/>
      </c>
      <c r="D506" s="11"/>
      <c r="E506" s="14" t="str">
        <f>IF(D506="","",IFERROR(VLOOKUP(D506,Categorias!$B$5:$C$200,2,FALSE),"Revisar"))</f>
        <v/>
      </c>
      <c r="F506" s="11"/>
      <c r="G506" s="31"/>
      <c r="H506" s="32">
        <f t="shared" si="29"/>
        <v>0</v>
      </c>
      <c r="I506" s="32">
        <f t="shared" si="30"/>
        <v>0</v>
      </c>
      <c r="J506" s="32">
        <f t="shared" si="31"/>
        <v>0</v>
      </c>
      <c r="K506" s="11"/>
      <c r="M506" s="12"/>
      <c r="N506" s="12"/>
    </row>
    <row r="507" spans="2:14" ht="21.95" customHeight="1" x14ac:dyDescent="0.25">
      <c r="B507" s="30"/>
      <c r="C507" s="14" t="str">
        <f t="shared" si="28"/>
        <v/>
      </c>
      <c r="D507" s="11"/>
      <c r="E507" s="14" t="str">
        <f>IF(D507="","",IFERROR(VLOOKUP(D507,Categorias!$B$5:$C$200,2,FALSE),"Revisar"))</f>
        <v/>
      </c>
      <c r="F507" s="11"/>
      <c r="G507" s="31"/>
      <c r="H507" s="32">
        <f t="shared" si="29"/>
        <v>0</v>
      </c>
      <c r="I507" s="32">
        <f t="shared" si="30"/>
        <v>0</v>
      </c>
      <c r="J507" s="32">
        <f t="shared" si="31"/>
        <v>0</v>
      </c>
      <c r="K507" s="11"/>
      <c r="M507" s="12"/>
      <c r="N507" s="12"/>
    </row>
    <row r="508" spans="2:14" ht="21.95" customHeight="1" x14ac:dyDescent="0.25">
      <c r="B508" s="30"/>
      <c r="C508" s="14" t="str">
        <f t="shared" si="28"/>
        <v/>
      </c>
      <c r="D508" s="11"/>
      <c r="E508" s="14" t="str">
        <f>IF(D508="","",IFERROR(VLOOKUP(D508,Categorias!$B$5:$C$200,2,FALSE),"Revisar"))</f>
        <v/>
      </c>
      <c r="F508" s="11"/>
      <c r="G508" s="31"/>
      <c r="H508" s="32">
        <f t="shared" si="29"/>
        <v>0</v>
      </c>
      <c r="I508" s="32">
        <f t="shared" si="30"/>
        <v>0</v>
      </c>
      <c r="J508" s="32">
        <f t="shared" si="31"/>
        <v>0</v>
      </c>
      <c r="K508" s="11"/>
      <c r="M508" s="12"/>
      <c r="N508" s="12"/>
    </row>
    <row r="509" spans="2:14" ht="21.95" customHeight="1" x14ac:dyDescent="0.25">
      <c r="B509" s="30"/>
      <c r="C509" s="14" t="str">
        <f t="shared" si="28"/>
        <v/>
      </c>
      <c r="D509" s="11"/>
      <c r="E509" s="14" t="str">
        <f>IF(D509="","",IFERROR(VLOOKUP(D509,Categorias!$B$5:$C$200,2,FALSE),"Revisar"))</f>
        <v/>
      </c>
      <c r="F509" s="11"/>
      <c r="G509" s="31"/>
      <c r="H509" s="32">
        <f t="shared" si="29"/>
        <v>0</v>
      </c>
      <c r="I509" s="32">
        <f t="shared" si="30"/>
        <v>0</v>
      </c>
      <c r="J509" s="32">
        <f t="shared" si="31"/>
        <v>0</v>
      </c>
      <c r="K509" s="11"/>
      <c r="M509" s="12"/>
      <c r="N509" s="12"/>
    </row>
    <row r="510" spans="2:14" ht="21.95" customHeight="1" x14ac:dyDescent="0.25">
      <c r="B510" s="30"/>
      <c r="C510" s="14" t="str">
        <f t="shared" si="28"/>
        <v/>
      </c>
      <c r="D510" s="11"/>
      <c r="E510" s="14" t="str">
        <f>IF(D510="","",IFERROR(VLOOKUP(D510,Categorias!$B$5:$C$200,2,FALSE),"Revisar"))</f>
        <v/>
      </c>
      <c r="F510" s="11"/>
      <c r="G510" s="31"/>
      <c r="H510" s="32">
        <f t="shared" si="29"/>
        <v>0</v>
      </c>
      <c r="I510" s="32">
        <f t="shared" si="30"/>
        <v>0</v>
      </c>
      <c r="J510" s="32">
        <f t="shared" si="31"/>
        <v>0</v>
      </c>
      <c r="K510" s="11"/>
      <c r="M510" s="12"/>
      <c r="N510" s="12"/>
    </row>
    <row r="511" spans="2:14" ht="21.95" customHeight="1" x14ac:dyDescent="0.25">
      <c r="B511" s="30"/>
      <c r="C511" s="14" t="str">
        <f t="shared" si="28"/>
        <v/>
      </c>
      <c r="D511" s="11"/>
      <c r="E511" s="14" t="str">
        <f>IF(D511="","",IFERROR(VLOOKUP(D511,Categorias!$B$5:$C$200,2,FALSE),"Revisar"))</f>
        <v/>
      </c>
      <c r="F511" s="11"/>
      <c r="G511" s="31"/>
      <c r="H511" s="32">
        <f t="shared" si="29"/>
        <v>0</v>
      </c>
      <c r="I511" s="32">
        <f t="shared" si="30"/>
        <v>0</v>
      </c>
      <c r="J511" s="32">
        <f t="shared" si="31"/>
        <v>0</v>
      </c>
      <c r="K511" s="11"/>
      <c r="M511" s="12"/>
      <c r="N511" s="12"/>
    </row>
    <row r="512" spans="2:14" ht="21.95" customHeight="1" x14ac:dyDescent="0.25">
      <c r="B512" s="30"/>
      <c r="C512" s="14" t="str">
        <f t="shared" si="28"/>
        <v/>
      </c>
      <c r="D512" s="11"/>
      <c r="E512" s="14" t="str">
        <f>IF(D512="","",IFERROR(VLOOKUP(D512,Categorias!$B$5:$C$200,2,FALSE),"Revisar"))</f>
        <v/>
      </c>
      <c r="F512" s="11"/>
      <c r="G512" s="31"/>
      <c r="H512" s="32">
        <f t="shared" si="29"/>
        <v>0</v>
      </c>
      <c r="I512" s="32">
        <f t="shared" si="30"/>
        <v>0</v>
      </c>
      <c r="J512" s="32">
        <f t="shared" si="31"/>
        <v>0</v>
      </c>
      <c r="K512" s="11"/>
      <c r="M512" s="12"/>
      <c r="N512" s="12"/>
    </row>
    <row r="513" spans="2:14" ht="21.95" customHeight="1" x14ac:dyDescent="0.25">
      <c r="B513" s="30"/>
      <c r="C513" s="14" t="str">
        <f t="shared" si="28"/>
        <v/>
      </c>
      <c r="D513" s="11"/>
      <c r="E513" s="14" t="str">
        <f>IF(D513="","",IFERROR(VLOOKUP(D513,Categorias!$B$5:$C$200,2,FALSE),"Revisar"))</f>
        <v/>
      </c>
      <c r="F513" s="11"/>
      <c r="G513" s="31"/>
      <c r="H513" s="32">
        <f t="shared" si="29"/>
        <v>0</v>
      </c>
      <c r="I513" s="32">
        <f t="shared" si="30"/>
        <v>0</v>
      </c>
      <c r="J513" s="32">
        <f t="shared" si="31"/>
        <v>0</v>
      </c>
      <c r="K513" s="11"/>
      <c r="M513" s="12"/>
      <c r="N513" s="12"/>
    </row>
    <row r="514" spans="2:14" ht="21.95" customHeight="1" x14ac:dyDescent="0.25">
      <c r="B514" s="30"/>
      <c r="C514" s="14" t="str">
        <f t="shared" si="28"/>
        <v/>
      </c>
      <c r="D514" s="11"/>
      <c r="E514" s="14" t="str">
        <f>IF(D514="","",IFERROR(VLOOKUP(D514,Categorias!$B$5:$C$200,2,FALSE),"Revisar"))</f>
        <v/>
      </c>
      <c r="F514" s="11"/>
      <c r="G514" s="31"/>
      <c r="H514" s="32">
        <f t="shared" si="29"/>
        <v>0</v>
      </c>
      <c r="I514" s="32">
        <f t="shared" si="30"/>
        <v>0</v>
      </c>
      <c r="J514" s="32">
        <f t="shared" si="31"/>
        <v>0</v>
      </c>
      <c r="K514" s="11"/>
      <c r="M514" s="12"/>
      <c r="N514" s="12"/>
    </row>
    <row r="515" spans="2:14" ht="21.95" customHeight="1" x14ac:dyDescent="0.25">
      <c r="B515" s="30"/>
      <c r="C515" s="14" t="str">
        <f t="shared" si="28"/>
        <v/>
      </c>
      <c r="D515" s="11"/>
      <c r="E515" s="14" t="str">
        <f>IF(D515="","",IFERROR(VLOOKUP(D515,Categorias!$B$5:$C$200,2,FALSE),"Revisar"))</f>
        <v/>
      </c>
      <c r="F515" s="11"/>
      <c r="G515" s="31"/>
      <c r="H515" s="32">
        <f t="shared" si="29"/>
        <v>0</v>
      </c>
      <c r="I515" s="32">
        <f t="shared" si="30"/>
        <v>0</v>
      </c>
      <c r="J515" s="32">
        <f t="shared" si="31"/>
        <v>0</v>
      </c>
      <c r="K515" s="11"/>
      <c r="M515" s="12"/>
      <c r="N515" s="12"/>
    </row>
    <row r="516" spans="2:14" ht="21.95" customHeight="1" x14ac:dyDescent="0.25">
      <c r="B516" s="30"/>
      <c r="C516" s="14" t="str">
        <f t="shared" si="28"/>
        <v/>
      </c>
      <c r="D516" s="11"/>
      <c r="E516" s="14" t="str">
        <f>IF(D516="","",IFERROR(VLOOKUP(D516,Categorias!$B$5:$C$200,2,FALSE),"Revisar"))</f>
        <v/>
      </c>
      <c r="F516" s="11"/>
      <c r="G516" s="31"/>
      <c r="H516" s="32">
        <f t="shared" si="29"/>
        <v>0</v>
      </c>
      <c r="I516" s="32">
        <f t="shared" si="30"/>
        <v>0</v>
      </c>
      <c r="J516" s="32">
        <f t="shared" si="31"/>
        <v>0</v>
      </c>
      <c r="K516" s="11"/>
      <c r="M516" s="12"/>
      <c r="N516" s="12"/>
    </row>
    <row r="517" spans="2:14" ht="21.95" customHeight="1" x14ac:dyDescent="0.25">
      <c r="B517" s="30"/>
      <c r="C517" s="14" t="str">
        <f t="shared" si="28"/>
        <v/>
      </c>
      <c r="D517" s="11"/>
      <c r="E517" s="14" t="str">
        <f>IF(D517="","",IFERROR(VLOOKUP(D517,Categorias!$B$5:$C$200,2,FALSE),"Revisar"))</f>
        <v/>
      </c>
      <c r="F517" s="11"/>
      <c r="G517" s="31"/>
      <c r="H517" s="32">
        <f t="shared" si="29"/>
        <v>0</v>
      </c>
      <c r="I517" s="32">
        <f t="shared" si="30"/>
        <v>0</v>
      </c>
      <c r="J517" s="32">
        <f t="shared" si="31"/>
        <v>0</v>
      </c>
      <c r="K517" s="11"/>
      <c r="M517" s="12"/>
      <c r="N517" s="12"/>
    </row>
    <row r="518" spans="2:14" ht="21.95" customHeight="1" x14ac:dyDescent="0.25">
      <c r="B518" s="30"/>
      <c r="C518" s="14" t="str">
        <f t="shared" si="28"/>
        <v/>
      </c>
      <c r="D518" s="11"/>
      <c r="E518" s="14" t="str">
        <f>IF(D518="","",IFERROR(VLOOKUP(D518,Categorias!$B$5:$C$200,2,FALSE),"Revisar"))</f>
        <v/>
      </c>
      <c r="F518" s="11"/>
      <c r="G518" s="31"/>
      <c r="H518" s="32">
        <f t="shared" si="29"/>
        <v>0</v>
      </c>
      <c r="I518" s="32">
        <f t="shared" si="30"/>
        <v>0</v>
      </c>
      <c r="J518" s="32">
        <f t="shared" si="31"/>
        <v>0</v>
      </c>
      <c r="K518" s="11"/>
      <c r="M518" s="12"/>
      <c r="N518" s="12"/>
    </row>
    <row r="519" spans="2:14" ht="21.95" customHeight="1" x14ac:dyDescent="0.25">
      <c r="B519" s="30"/>
      <c r="C519" s="14" t="str">
        <f t="shared" si="28"/>
        <v/>
      </c>
      <c r="D519" s="11"/>
      <c r="E519" s="14" t="str">
        <f>IF(D519="","",IFERROR(VLOOKUP(D519,Categorias!$B$5:$C$200,2,FALSE),"Revisar"))</f>
        <v/>
      </c>
      <c r="F519" s="11"/>
      <c r="G519" s="31"/>
      <c r="H519" s="32">
        <f t="shared" si="29"/>
        <v>0</v>
      </c>
      <c r="I519" s="32">
        <f t="shared" si="30"/>
        <v>0</v>
      </c>
      <c r="J519" s="32">
        <f t="shared" si="31"/>
        <v>0</v>
      </c>
      <c r="K519" s="11"/>
      <c r="M519" s="12"/>
      <c r="N519" s="12"/>
    </row>
    <row r="520" spans="2:14" ht="21.95" customHeight="1" x14ac:dyDescent="0.25">
      <c r="B520" s="30"/>
      <c r="C520" s="14" t="str">
        <f t="shared" si="28"/>
        <v/>
      </c>
      <c r="D520" s="11"/>
      <c r="E520" s="14" t="str">
        <f>IF(D520="","",IFERROR(VLOOKUP(D520,Categorias!$B$5:$C$200,2,FALSE),"Revisar"))</f>
        <v/>
      </c>
      <c r="F520" s="11"/>
      <c r="G520" s="31"/>
      <c r="H520" s="32">
        <f t="shared" si="29"/>
        <v>0</v>
      </c>
      <c r="I520" s="32">
        <f t="shared" si="30"/>
        <v>0</v>
      </c>
      <c r="J520" s="32">
        <f t="shared" si="31"/>
        <v>0</v>
      </c>
      <c r="K520" s="11"/>
      <c r="M520" s="12"/>
      <c r="N520" s="12"/>
    </row>
    <row r="521" spans="2:14" ht="21.95" customHeight="1" x14ac:dyDescent="0.25">
      <c r="B521" s="30"/>
      <c r="C521" s="14" t="str">
        <f t="shared" ref="C521:C584" si="32">IF(B521="","",CHOOSE(MONTH(B521),"Enero","Febrero","Marzo","Abril","Mayo","Junio","Julio","Agosto","Septiembre","Octubre","Noviembre","Diciembre"))</f>
        <v/>
      </c>
      <c r="D521" s="11"/>
      <c r="E521" s="14" t="str">
        <f>IF(D521="","",IFERROR(VLOOKUP(D521,Categorias!$B$5:$C$200,2,FALSE),"Revisar"))</f>
        <v/>
      </c>
      <c r="F521" s="11"/>
      <c r="G521" s="31"/>
      <c r="H521" s="32">
        <f t="shared" ref="H521:H584" si="33">IF($E521="Ingreso",$G521,0)</f>
        <v>0</v>
      </c>
      <c r="I521" s="32">
        <f t="shared" ref="I521:I584" si="34">IF($E521="Gasto",$G521,0)</f>
        <v>0</v>
      </c>
      <c r="J521" s="32">
        <f t="shared" ref="J521:J584" si="35">IF($E521="Reserva",$G521,0)</f>
        <v>0</v>
      </c>
      <c r="K521" s="11"/>
      <c r="M521" s="12"/>
      <c r="N521" s="12"/>
    </row>
    <row r="522" spans="2:14" ht="21.95" customHeight="1" x14ac:dyDescent="0.25">
      <c r="B522" s="30"/>
      <c r="C522" s="14" t="str">
        <f t="shared" si="32"/>
        <v/>
      </c>
      <c r="D522" s="11"/>
      <c r="E522" s="14" t="str">
        <f>IF(D522="","",IFERROR(VLOOKUP(D522,Categorias!$B$5:$C$200,2,FALSE),"Revisar"))</f>
        <v/>
      </c>
      <c r="F522" s="11"/>
      <c r="G522" s="31"/>
      <c r="H522" s="32">
        <f t="shared" si="33"/>
        <v>0</v>
      </c>
      <c r="I522" s="32">
        <f t="shared" si="34"/>
        <v>0</v>
      </c>
      <c r="J522" s="32">
        <f t="shared" si="35"/>
        <v>0</v>
      </c>
      <c r="K522" s="11"/>
      <c r="M522" s="12"/>
      <c r="N522" s="12"/>
    </row>
    <row r="523" spans="2:14" ht="21.95" customHeight="1" x14ac:dyDescent="0.25">
      <c r="B523" s="30"/>
      <c r="C523" s="14" t="str">
        <f t="shared" si="32"/>
        <v/>
      </c>
      <c r="D523" s="11"/>
      <c r="E523" s="14" t="str">
        <f>IF(D523="","",IFERROR(VLOOKUP(D523,Categorias!$B$5:$C$200,2,FALSE),"Revisar"))</f>
        <v/>
      </c>
      <c r="F523" s="11"/>
      <c r="G523" s="31"/>
      <c r="H523" s="32">
        <f t="shared" si="33"/>
        <v>0</v>
      </c>
      <c r="I523" s="32">
        <f t="shared" si="34"/>
        <v>0</v>
      </c>
      <c r="J523" s="32">
        <f t="shared" si="35"/>
        <v>0</v>
      </c>
      <c r="K523" s="11"/>
      <c r="M523" s="12"/>
      <c r="N523" s="12"/>
    </row>
    <row r="524" spans="2:14" ht="21.95" customHeight="1" x14ac:dyDescent="0.25">
      <c r="B524" s="30"/>
      <c r="C524" s="14" t="str">
        <f t="shared" si="32"/>
        <v/>
      </c>
      <c r="D524" s="11"/>
      <c r="E524" s="14" t="str">
        <f>IF(D524="","",IFERROR(VLOOKUP(D524,Categorias!$B$5:$C$200,2,FALSE),"Revisar"))</f>
        <v/>
      </c>
      <c r="F524" s="11"/>
      <c r="G524" s="31"/>
      <c r="H524" s="32">
        <f t="shared" si="33"/>
        <v>0</v>
      </c>
      <c r="I524" s="32">
        <f t="shared" si="34"/>
        <v>0</v>
      </c>
      <c r="J524" s="32">
        <f t="shared" si="35"/>
        <v>0</v>
      </c>
      <c r="K524" s="11"/>
      <c r="M524" s="12"/>
      <c r="N524" s="12"/>
    </row>
    <row r="525" spans="2:14" ht="21.95" customHeight="1" x14ac:dyDescent="0.25">
      <c r="B525" s="30"/>
      <c r="C525" s="14" t="str">
        <f t="shared" si="32"/>
        <v/>
      </c>
      <c r="D525" s="11"/>
      <c r="E525" s="14" t="str">
        <f>IF(D525="","",IFERROR(VLOOKUP(D525,Categorias!$B$5:$C$200,2,FALSE),"Revisar"))</f>
        <v/>
      </c>
      <c r="F525" s="11"/>
      <c r="G525" s="31"/>
      <c r="H525" s="32">
        <f t="shared" si="33"/>
        <v>0</v>
      </c>
      <c r="I525" s="32">
        <f t="shared" si="34"/>
        <v>0</v>
      </c>
      <c r="J525" s="32">
        <f t="shared" si="35"/>
        <v>0</v>
      </c>
      <c r="K525" s="11"/>
      <c r="M525" s="12"/>
      <c r="N525" s="12"/>
    </row>
    <row r="526" spans="2:14" ht="21.95" customHeight="1" x14ac:dyDescent="0.25">
      <c r="B526" s="30"/>
      <c r="C526" s="14" t="str">
        <f t="shared" si="32"/>
        <v/>
      </c>
      <c r="D526" s="11"/>
      <c r="E526" s="14" t="str">
        <f>IF(D526="","",IFERROR(VLOOKUP(D526,Categorias!$B$5:$C$200,2,FALSE),"Revisar"))</f>
        <v/>
      </c>
      <c r="F526" s="11"/>
      <c r="G526" s="31"/>
      <c r="H526" s="32">
        <f t="shared" si="33"/>
        <v>0</v>
      </c>
      <c r="I526" s="32">
        <f t="shared" si="34"/>
        <v>0</v>
      </c>
      <c r="J526" s="32">
        <f t="shared" si="35"/>
        <v>0</v>
      </c>
      <c r="K526" s="11"/>
      <c r="M526" s="12"/>
      <c r="N526" s="12"/>
    </row>
    <row r="527" spans="2:14" ht="21.95" customHeight="1" x14ac:dyDescent="0.25">
      <c r="B527" s="30"/>
      <c r="C527" s="14" t="str">
        <f t="shared" si="32"/>
        <v/>
      </c>
      <c r="D527" s="11"/>
      <c r="E527" s="14" t="str">
        <f>IF(D527="","",IFERROR(VLOOKUP(D527,Categorias!$B$5:$C$200,2,FALSE),"Revisar"))</f>
        <v/>
      </c>
      <c r="F527" s="11"/>
      <c r="G527" s="31"/>
      <c r="H527" s="32">
        <f t="shared" si="33"/>
        <v>0</v>
      </c>
      <c r="I527" s="32">
        <f t="shared" si="34"/>
        <v>0</v>
      </c>
      <c r="J527" s="32">
        <f t="shared" si="35"/>
        <v>0</v>
      </c>
      <c r="K527" s="11"/>
      <c r="M527" s="12"/>
      <c r="N527" s="12"/>
    </row>
    <row r="528" spans="2:14" ht="21.95" customHeight="1" x14ac:dyDescent="0.25">
      <c r="B528" s="30"/>
      <c r="C528" s="14" t="str">
        <f t="shared" si="32"/>
        <v/>
      </c>
      <c r="D528" s="11"/>
      <c r="E528" s="14" t="str">
        <f>IF(D528="","",IFERROR(VLOOKUP(D528,Categorias!$B$5:$C$200,2,FALSE),"Revisar"))</f>
        <v/>
      </c>
      <c r="F528" s="11"/>
      <c r="G528" s="31"/>
      <c r="H528" s="32">
        <f t="shared" si="33"/>
        <v>0</v>
      </c>
      <c r="I528" s="32">
        <f t="shared" si="34"/>
        <v>0</v>
      </c>
      <c r="J528" s="32">
        <f t="shared" si="35"/>
        <v>0</v>
      </c>
      <c r="K528" s="11"/>
      <c r="M528" s="12"/>
      <c r="N528" s="12"/>
    </row>
    <row r="529" spans="2:14" ht="21.95" customHeight="1" x14ac:dyDescent="0.25">
      <c r="B529" s="30"/>
      <c r="C529" s="14" t="str">
        <f t="shared" si="32"/>
        <v/>
      </c>
      <c r="D529" s="11"/>
      <c r="E529" s="14" t="str">
        <f>IF(D529="","",IFERROR(VLOOKUP(D529,Categorias!$B$5:$C$200,2,FALSE),"Revisar"))</f>
        <v/>
      </c>
      <c r="F529" s="11"/>
      <c r="G529" s="31"/>
      <c r="H529" s="32">
        <f t="shared" si="33"/>
        <v>0</v>
      </c>
      <c r="I529" s="32">
        <f t="shared" si="34"/>
        <v>0</v>
      </c>
      <c r="J529" s="32">
        <f t="shared" si="35"/>
        <v>0</v>
      </c>
      <c r="K529" s="11"/>
      <c r="M529" s="12"/>
      <c r="N529" s="12"/>
    </row>
    <row r="530" spans="2:14" ht="21.95" customHeight="1" x14ac:dyDescent="0.25">
      <c r="B530" s="30"/>
      <c r="C530" s="14" t="str">
        <f t="shared" si="32"/>
        <v/>
      </c>
      <c r="D530" s="11"/>
      <c r="E530" s="14" t="str">
        <f>IF(D530="","",IFERROR(VLOOKUP(D530,Categorias!$B$5:$C$200,2,FALSE),"Revisar"))</f>
        <v/>
      </c>
      <c r="F530" s="11"/>
      <c r="G530" s="31"/>
      <c r="H530" s="32">
        <f t="shared" si="33"/>
        <v>0</v>
      </c>
      <c r="I530" s="32">
        <f t="shared" si="34"/>
        <v>0</v>
      </c>
      <c r="J530" s="32">
        <f t="shared" si="35"/>
        <v>0</v>
      </c>
      <c r="K530" s="11"/>
      <c r="M530" s="12"/>
      <c r="N530" s="12"/>
    </row>
    <row r="531" spans="2:14" ht="21.95" customHeight="1" x14ac:dyDescent="0.25">
      <c r="B531" s="30"/>
      <c r="C531" s="14" t="str">
        <f t="shared" si="32"/>
        <v/>
      </c>
      <c r="D531" s="11"/>
      <c r="E531" s="14" t="str">
        <f>IF(D531="","",IFERROR(VLOOKUP(D531,Categorias!$B$5:$C$200,2,FALSE),"Revisar"))</f>
        <v/>
      </c>
      <c r="F531" s="11"/>
      <c r="G531" s="31"/>
      <c r="H531" s="32">
        <f t="shared" si="33"/>
        <v>0</v>
      </c>
      <c r="I531" s="32">
        <f t="shared" si="34"/>
        <v>0</v>
      </c>
      <c r="J531" s="32">
        <f t="shared" si="35"/>
        <v>0</v>
      </c>
      <c r="K531" s="11"/>
      <c r="M531" s="12"/>
      <c r="N531" s="12"/>
    </row>
    <row r="532" spans="2:14" ht="21.95" customHeight="1" x14ac:dyDescent="0.25">
      <c r="B532" s="30"/>
      <c r="C532" s="14" t="str">
        <f t="shared" si="32"/>
        <v/>
      </c>
      <c r="D532" s="11"/>
      <c r="E532" s="14" t="str">
        <f>IF(D532="","",IFERROR(VLOOKUP(D532,Categorias!$B$5:$C$200,2,FALSE),"Revisar"))</f>
        <v/>
      </c>
      <c r="F532" s="11"/>
      <c r="G532" s="31"/>
      <c r="H532" s="32">
        <f t="shared" si="33"/>
        <v>0</v>
      </c>
      <c r="I532" s="32">
        <f t="shared" si="34"/>
        <v>0</v>
      </c>
      <c r="J532" s="32">
        <f t="shared" si="35"/>
        <v>0</v>
      </c>
      <c r="K532" s="11"/>
      <c r="M532" s="12"/>
      <c r="N532" s="12"/>
    </row>
    <row r="533" spans="2:14" ht="21.95" customHeight="1" x14ac:dyDescent="0.25">
      <c r="B533" s="30"/>
      <c r="C533" s="14" t="str">
        <f t="shared" si="32"/>
        <v/>
      </c>
      <c r="D533" s="11"/>
      <c r="E533" s="14" t="str">
        <f>IF(D533="","",IFERROR(VLOOKUP(D533,Categorias!$B$5:$C$200,2,FALSE),"Revisar"))</f>
        <v/>
      </c>
      <c r="F533" s="11"/>
      <c r="G533" s="31"/>
      <c r="H533" s="32">
        <f t="shared" si="33"/>
        <v>0</v>
      </c>
      <c r="I533" s="32">
        <f t="shared" si="34"/>
        <v>0</v>
      </c>
      <c r="J533" s="32">
        <f t="shared" si="35"/>
        <v>0</v>
      </c>
      <c r="K533" s="11"/>
      <c r="M533" s="12"/>
      <c r="N533" s="12"/>
    </row>
    <row r="534" spans="2:14" ht="21.95" customHeight="1" x14ac:dyDescent="0.25">
      <c r="B534" s="30"/>
      <c r="C534" s="14" t="str">
        <f t="shared" si="32"/>
        <v/>
      </c>
      <c r="D534" s="11"/>
      <c r="E534" s="14" t="str">
        <f>IF(D534="","",IFERROR(VLOOKUP(D534,Categorias!$B$5:$C$200,2,FALSE),"Revisar"))</f>
        <v/>
      </c>
      <c r="F534" s="11"/>
      <c r="G534" s="31"/>
      <c r="H534" s="32">
        <f t="shared" si="33"/>
        <v>0</v>
      </c>
      <c r="I534" s="32">
        <f t="shared" si="34"/>
        <v>0</v>
      </c>
      <c r="J534" s="32">
        <f t="shared" si="35"/>
        <v>0</v>
      </c>
      <c r="K534" s="11"/>
      <c r="M534" s="12"/>
      <c r="N534" s="12"/>
    </row>
    <row r="535" spans="2:14" ht="21.95" customHeight="1" x14ac:dyDescent="0.25">
      <c r="B535" s="30"/>
      <c r="C535" s="14" t="str">
        <f t="shared" si="32"/>
        <v/>
      </c>
      <c r="D535" s="11"/>
      <c r="E535" s="14" t="str">
        <f>IF(D535="","",IFERROR(VLOOKUP(D535,Categorias!$B$5:$C$200,2,FALSE),"Revisar"))</f>
        <v/>
      </c>
      <c r="F535" s="11"/>
      <c r="G535" s="31"/>
      <c r="H535" s="32">
        <f t="shared" si="33"/>
        <v>0</v>
      </c>
      <c r="I535" s="32">
        <f t="shared" si="34"/>
        <v>0</v>
      </c>
      <c r="J535" s="32">
        <f t="shared" si="35"/>
        <v>0</v>
      </c>
      <c r="K535" s="11"/>
      <c r="M535" s="12"/>
      <c r="N535" s="12"/>
    </row>
    <row r="536" spans="2:14" ht="21.95" customHeight="1" x14ac:dyDescent="0.25">
      <c r="B536" s="30"/>
      <c r="C536" s="14" t="str">
        <f t="shared" si="32"/>
        <v/>
      </c>
      <c r="D536" s="11"/>
      <c r="E536" s="14" t="str">
        <f>IF(D536="","",IFERROR(VLOOKUP(D536,Categorias!$B$5:$C$200,2,FALSE),"Revisar"))</f>
        <v/>
      </c>
      <c r="F536" s="11"/>
      <c r="G536" s="31"/>
      <c r="H536" s="32">
        <f t="shared" si="33"/>
        <v>0</v>
      </c>
      <c r="I536" s="32">
        <f t="shared" si="34"/>
        <v>0</v>
      </c>
      <c r="J536" s="32">
        <f t="shared" si="35"/>
        <v>0</v>
      </c>
      <c r="K536" s="11"/>
      <c r="M536" s="12"/>
      <c r="N536" s="12"/>
    </row>
    <row r="537" spans="2:14" ht="21.95" customHeight="1" x14ac:dyDescent="0.25">
      <c r="B537" s="30"/>
      <c r="C537" s="14" t="str">
        <f t="shared" si="32"/>
        <v/>
      </c>
      <c r="D537" s="11"/>
      <c r="E537" s="14" t="str">
        <f>IF(D537="","",IFERROR(VLOOKUP(D537,Categorias!$B$5:$C$200,2,FALSE),"Revisar"))</f>
        <v/>
      </c>
      <c r="F537" s="11"/>
      <c r="G537" s="31"/>
      <c r="H537" s="32">
        <f t="shared" si="33"/>
        <v>0</v>
      </c>
      <c r="I537" s="32">
        <f t="shared" si="34"/>
        <v>0</v>
      </c>
      <c r="J537" s="32">
        <f t="shared" si="35"/>
        <v>0</v>
      </c>
      <c r="K537" s="11"/>
      <c r="M537" s="12"/>
      <c r="N537" s="12"/>
    </row>
    <row r="538" spans="2:14" ht="21.95" customHeight="1" x14ac:dyDescent="0.25">
      <c r="B538" s="30"/>
      <c r="C538" s="14" t="str">
        <f t="shared" si="32"/>
        <v/>
      </c>
      <c r="D538" s="11"/>
      <c r="E538" s="14" t="str">
        <f>IF(D538="","",IFERROR(VLOOKUP(D538,Categorias!$B$5:$C$200,2,FALSE),"Revisar"))</f>
        <v/>
      </c>
      <c r="F538" s="11"/>
      <c r="G538" s="31"/>
      <c r="H538" s="32">
        <f t="shared" si="33"/>
        <v>0</v>
      </c>
      <c r="I538" s="32">
        <f t="shared" si="34"/>
        <v>0</v>
      </c>
      <c r="J538" s="32">
        <f t="shared" si="35"/>
        <v>0</v>
      </c>
      <c r="K538" s="11"/>
      <c r="M538" s="12"/>
      <c r="N538" s="12"/>
    </row>
    <row r="539" spans="2:14" ht="21.95" customHeight="1" x14ac:dyDescent="0.25">
      <c r="B539" s="30"/>
      <c r="C539" s="14" t="str">
        <f t="shared" si="32"/>
        <v/>
      </c>
      <c r="D539" s="11"/>
      <c r="E539" s="14" t="str">
        <f>IF(D539="","",IFERROR(VLOOKUP(D539,Categorias!$B$5:$C$200,2,FALSE),"Revisar"))</f>
        <v/>
      </c>
      <c r="F539" s="11"/>
      <c r="G539" s="31"/>
      <c r="H539" s="32">
        <f t="shared" si="33"/>
        <v>0</v>
      </c>
      <c r="I539" s="32">
        <f t="shared" si="34"/>
        <v>0</v>
      </c>
      <c r="J539" s="32">
        <f t="shared" si="35"/>
        <v>0</v>
      </c>
      <c r="K539" s="11"/>
      <c r="M539" s="12"/>
      <c r="N539" s="12"/>
    </row>
    <row r="540" spans="2:14" ht="21.95" customHeight="1" x14ac:dyDescent="0.25">
      <c r="B540" s="30"/>
      <c r="C540" s="14" t="str">
        <f t="shared" si="32"/>
        <v/>
      </c>
      <c r="D540" s="11"/>
      <c r="E540" s="14" t="str">
        <f>IF(D540="","",IFERROR(VLOOKUP(D540,Categorias!$B$5:$C$200,2,FALSE),"Revisar"))</f>
        <v/>
      </c>
      <c r="F540" s="11"/>
      <c r="G540" s="31"/>
      <c r="H540" s="32">
        <f t="shared" si="33"/>
        <v>0</v>
      </c>
      <c r="I540" s="32">
        <f t="shared" si="34"/>
        <v>0</v>
      </c>
      <c r="J540" s="32">
        <f t="shared" si="35"/>
        <v>0</v>
      </c>
      <c r="K540" s="11"/>
      <c r="M540" s="12"/>
      <c r="N540" s="12"/>
    </row>
    <row r="541" spans="2:14" ht="21.95" customHeight="1" x14ac:dyDescent="0.25">
      <c r="B541" s="30"/>
      <c r="C541" s="14" t="str">
        <f t="shared" si="32"/>
        <v/>
      </c>
      <c r="D541" s="11"/>
      <c r="E541" s="14" t="str">
        <f>IF(D541="","",IFERROR(VLOOKUP(D541,Categorias!$B$5:$C$200,2,FALSE),"Revisar"))</f>
        <v/>
      </c>
      <c r="F541" s="11"/>
      <c r="G541" s="31"/>
      <c r="H541" s="32">
        <f t="shared" si="33"/>
        <v>0</v>
      </c>
      <c r="I541" s="32">
        <f t="shared" si="34"/>
        <v>0</v>
      </c>
      <c r="J541" s="32">
        <f t="shared" si="35"/>
        <v>0</v>
      </c>
      <c r="K541" s="11"/>
      <c r="M541" s="12"/>
      <c r="N541" s="12"/>
    </row>
    <row r="542" spans="2:14" ht="21.95" customHeight="1" x14ac:dyDescent="0.25">
      <c r="B542" s="30"/>
      <c r="C542" s="14" t="str">
        <f t="shared" si="32"/>
        <v/>
      </c>
      <c r="D542" s="11"/>
      <c r="E542" s="14" t="str">
        <f>IF(D542="","",IFERROR(VLOOKUP(D542,Categorias!$B$5:$C$200,2,FALSE),"Revisar"))</f>
        <v/>
      </c>
      <c r="F542" s="11"/>
      <c r="G542" s="31"/>
      <c r="H542" s="32">
        <f t="shared" si="33"/>
        <v>0</v>
      </c>
      <c r="I542" s="32">
        <f t="shared" si="34"/>
        <v>0</v>
      </c>
      <c r="J542" s="32">
        <f t="shared" si="35"/>
        <v>0</v>
      </c>
      <c r="K542" s="11"/>
      <c r="M542" s="12"/>
      <c r="N542" s="12"/>
    </row>
    <row r="543" spans="2:14" ht="21.95" customHeight="1" x14ac:dyDescent="0.25">
      <c r="B543" s="30"/>
      <c r="C543" s="14" t="str">
        <f t="shared" si="32"/>
        <v/>
      </c>
      <c r="D543" s="11"/>
      <c r="E543" s="14" t="str">
        <f>IF(D543="","",IFERROR(VLOOKUP(D543,Categorias!$B$5:$C$200,2,FALSE),"Revisar"))</f>
        <v/>
      </c>
      <c r="F543" s="11"/>
      <c r="G543" s="31"/>
      <c r="H543" s="32">
        <f t="shared" si="33"/>
        <v>0</v>
      </c>
      <c r="I543" s="32">
        <f t="shared" si="34"/>
        <v>0</v>
      </c>
      <c r="J543" s="32">
        <f t="shared" si="35"/>
        <v>0</v>
      </c>
      <c r="K543" s="11"/>
      <c r="M543" s="12"/>
      <c r="N543" s="12"/>
    </row>
    <row r="544" spans="2:14" ht="21.95" customHeight="1" x14ac:dyDescent="0.25">
      <c r="B544" s="30"/>
      <c r="C544" s="14" t="str">
        <f t="shared" si="32"/>
        <v/>
      </c>
      <c r="D544" s="11"/>
      <c r="E544" s="14" t="str">
        <f>IF(D544="","",IFERROR(VLOOKUP(D544,Categorias!$B$5:$C$200,2,FALSE),"Revisar"))</f>
        <v/>
      </c>
      <c r="F544" s="11"/>
      <c r="G544" s="31"/>
      <c r="H544" s="32">
        <f t="shared" si="33"/>
        <v>0</v>
      </c>
      <c r="I544" s="32">
        <f t="shared" si="34"/>
        <v>0</v>
      </c>
      <c r="J544" s="32">
        <f t="shared" si="35"/>
        <v>0</v>
      </c>
      <c r="K544" s="11"/>
      <c r="M544" s="12"/>
      <c r="N544" s="12"/>
    </row>
    <row r="545" spans="2:14" ht="21.95" customHeight="1" x14ac:dyDescent="0.25">
      <c r="B545" s="30"/>
      <c r="C545" s="14" t="str">
        <f t="shared" si="32"/>
        <v/>
      </c>
      <c r="D545" s="11"/>
      <c r="E545" s="14" t="str">
        <f>IF(D545="","",IFERROR(VLOOKUP(D545,Categorias!$B$5:$C$200,2,FALSE),"Revisar"))</f>
        <v/>
      </c>
      <c r="F545" s="11"/>
      <c r="G545" s="31"/>
      <c r="H545" s="32">
        <f t="shared" si="33"/>
        <v>0</v>
      </c>
      <c r="I545" s="32">
        <f t="shared" si="34"/>
        <v>0</v>
      </c>
      <c r="J545" s="32">
        <f t="shared" si="35"/>
        <v>0</v>
      </c>
      <c r="K545" s="11"/>
      <c r="M545" s="12"/>
      <c r="N545" s="12"/>
    </row>
    <row r="546" spans="2:14" ht="21.95" customHeight="1" x14ac:dyDescent="0.25">
      <c r="B546" s="30"/>
      <c r="C546" s="14" t="str">
        <f t="shared" si="32"/>
        <v/>
      </c>
      <c r="D546" s="11"/>
      <c r="E546" s="14" t="str">
        <f>IF(D546="","",IFERROR(VLOOKUP(D546,Categorias!$B$5:$C$200,2,FALSE),"Revisar"))</f>
        <v/>
      </c>
      <c r="F546" s="11"/>
      <c r="G546" s="31"/>
      <c r="H546" s="32">
        <f t="shared" si="33"/>
        <v>0</v>
      </c>
      <c r="I546" s="32">
        <f t="shared" si="34"/>
        <v>0</v>
      </c>
      <c r="J546" s="32">
        <f t="shared" si="35"/>
        <v>0</v>
      </c>
      <c r="K546" s="11"/>
      <c r="M546" s="12"/>
      <c r="N546" s="12"/>
    </row>
    <row r="547" spans="2:14" ht="21.95" customHeight="1" x14ac:dyDescent="0.25">
      <c r="B547" s="30"/>
      <c r="C547" s="14" t="str">
        <f t="shared" si="32"/>
        <v/>
      </c>
      <c r="D547" s="11"/>
      <c r="E547" s="14" t="str">
        <f>IF(D547="","",IFERROR(VLOOKUP(D547,Categorias!$B$5:$C$200,2,FALSE),"Revisar"))</f>
        <v/>
      </c>
      <c r="F547" s="11"/>
      <c r="G547" s="31"/>
      <c r="H547" s="32">
        <f t="shared" si="33"/>
        <v>0</v>
      </c>
      <c r="I547" s="32">
        <f t="shared" si="34"/>
        <v>0</v>
      </c>
      <c r="J547" s="32">
        <f t="shared" si="35"/>
        <v>0</v>
      </c>
      <c r="K547" s="11"/>
      <c r="M547" s="12"/>
      <c r="N547" s="12"/>
    </row>
    <row r="548" spans="2:14" ht="21.95" customHeight="1" x14ac:dyDescent="0.25">
      <c r="B548" s="30"/>
      <c r="C548" s="14" t="str">
        <f t="shared" si="32"/>
        <v/>
      </c>
      <c r="D548" s="11"/>
      <c r="E548" s="14" t="str">
        <f>IF(D548="","",IFERROR(VLOOKUP(D548,Categorias!$B$5:$C$200,2,FALSE),"Revisar"))</f>
        <v/>
      </c>
      <c r="F548" s="11"/>
      <c r="G548" s="31"/>
      <c r="H548" s="32">
        <f t="shared" si="33"/>
        <v>0</v>
      </c>
      <c r="I548" s="32">
        <f t="shared" si="34"/>
        <v>0</v>
      </c>
      <c r="J548" s="32">
        <f t="shared" si="35"/>
        <v>0</v>
      </c>
      <c r="K548" s="11"/>
      <c r="M548" s="12"/>
      <c r="N548" s="12"/>
    </row>
    <row r="549" spans="2:14" ht="21.95" customHeight="1" x14ac:dyDescent="0.25">
      <c r="B549" s="30"/>
      <c r="C549" s="14" t="str">
        <f t="shared" si="32"/>
        <v/>
      </c>
      <c r="D549" s="11"/>
      <c r="E549" s="14" t="str">
        <f>IF(D549="","",IFERROR(VLOOKUP(D549,Categorias!$B$5:$C$200,2,FALSE),"Revisar"))</f>
        <v/>
      </c>
      <c r="F549" s="11"/>
      <c r="G549" s="31"/>
      <c r="H549" s="32">
        <f t="shared" si="33"/>
        <v>0</v>
      </c>
      <c r="I549" s="32">
        <f t="shared" si="34"/>
        <v>0</v>
      </c>
      <c r="J549" s="32">
        <f t="shared" si="35"/>
        <v>0</v>
      </c>
      <c r="K549" s="11"/>
      <c r="M549" s="12"/>
      <c r="N549" s="12"/>
    </row>
    <row r="550" spans="2:14" ht="21.95" customHeight="1" x14ac:dyDescent="0.25">
      <c r="B550" s="30"/>
      <c r="C550" s="14" t="str">
        <f t="shared" si="32"/>
        <v/>
      </c>
      <c r="D550" s="11"/>
      <c r="E550" s="14" t="str">
        <f>IF(D550="","",IFERROR(VLOOKUP(D550,Categorias!$B$5:$C$200,2,FALSE),"Revisar"))</f>
        <v/>
      </c>
      <c r="F550" s="11"/>
      <c r="G550" s="31"/>
      <c r="H550" s="32">
        <f t="shared" si="33"/>
        <v>0</v>
      </c>
      <c r="I550" s="32">
        <f t="shared" si="34"/>
        <v>0</v>
      </c>
      <c r="J550" s="32">
        <f t="shared" si="35"/>
        <v>0</v>
      </c>
      <c r="K550" s="11"/>
      <c r="M550" s="12"/>
      <c r="N550" s="12"/>
    </row>
    <row r="551" spans="2:14" ht="21.95" customHeight="1" x14ac:dyDescent="0.25">
      <c r="B551" s="30"/>
      <c r="C551" s="14" t="str">
        <f t="shared" si="32"/>
        <v/>
      </c>
      <c r="D551" s="11"/>
      <c r="E551" s="14" t="str">
        <f>IF(D551="","",IFERROR(VLOOKUP(D551,Categorias!$B$5:$C$200,2,FALSE),"Revisar"))</f>
        <v/>
      </c>
      <c r="F551" s="11"/>
      <c r="G551" s="31"/>
      <c r="H551" s="32">
        <f t="shared" si="33"/>
        <v>0</v>
      </c>
      <c r="I551" s="32">
        <f t="shared" si="34"/>
        <v>0</v>
      </c>
      <c r="J551" s="32">
        <f t="shared" si="35"/>
        <v>0</v>
      </c>
      <c r="K551" s="11"/>
      <c r="M551" s="12"/>
      <c r="N551" s="12"/>
    </row>
    <row r="552" spans="2:14" ht="21.95" customHeight="1" x14ac:dyDescent="0.25">
      <c r="B552" s="30"/>
      <c r="C552" s="14" t="str">
        <f t="shared" si="32"/>
        <v/>
      </c>
      <c r="D552" s="11"/>
      <c r="E552" s="14" t="str">
        <f>IF(D552="","",IFERROR(VLOOKUP(D552,Categorias!$B$5:$C$200,2,FALSE),"Revisar"))</f>
        <v/>
      </c>
      <c r="F552" s="11"/>
      <c r="G552" s="31"/>
      <c r="H552" s="32">
        <f t="shared" si="33"/>
        <v>0</v>
      </c>
      <c r="I552" s="32">
        <f t="shared" si="34"/>
        <v>0</v>
      </c>
      <c r="J552" s="32">
        <f t="shared" si="35"/>
        <v>0</v>
      </c>
      <c r="K552" s="11"/>
      <c r="M552" s="12"/>
      <c r="N552" s="12"/>
    </row>
    <row r="553" spans="2:14" ht="21.95" customHeight="1" x14ac:dyDescent="0.25">
      <c r="B553" s="30"/>
      <c r="C553" s="14" t="str">
        <f t="shared" si="32"/>
        <v/>
      </c>
      <c r="D553" s="11"/>
      <c r="E553" s="14" t="str">
        <f>IF(D553="","",IFERROR(VLOOKUP(D553,Categorias!$B$5:$C$200,2,FALSE),"Revisar"))</f>
        <v/>
      </c>
      <c r="F553" s="11"/>
      <c r="G553" s="31"/>
      <c r="H553" s="32">
        <f t="shared" si="33"/>
        <v>0</v>
      </c>
      <c r="I553" s="32">
        <f t="shared" si="34"/>
        <v>0</v>
      </c>
      <c r="J553" s="32">
        <f t="shared" si="35"/>
        <v>0</v>
      </c>
      <c r="K553" s="11"/>
      <c r="M553" s="12"/>
      <c r="N553" s="12"/>
    </row>
    <row r="554" spans="2:14" ht="21.95" customHeight="1" x14ac:dyDescent="0.25">
      <c r="B554" s="30"/>
      <c r="C554" s="14" t="str">
        <f t="shared" si="32"/>
        <v/>
      </c>
      <c r="D554" s="11"/>
      <c r="E554" s="14" t="str">
        <f>IF(D554="","",IFERROR(VLOOKUP(D554,Categorias!$B$5:$C$200,2,FALSE),"Revisar"))</f>
        <v/>
      </c>
      <c r="F554" s="11"/>
      <c r="G554" s="31"/>
      <c r="H554" s="32">
        <f t="shared" si="33"/>
        <v>0</v>
      </c>
      <c r="I554" s="32">
        <f t="shared" si="34"/>
        <v>0</v>
      </c>
      <c r="J554" s="32">
        <f t="shared" si="35"/>
        <v>0</v>
      </c>
      <c r="K554" s="11"/>
      <c r="M554" s="12"/>
      <c r="N554" s="12"/>
    </row>
    <row r="555" spans="2:14" ht="21.95" customHeight="1" x14ac:dyDescent="0.25">
      <c r="B555" s="30"/>
      <c r="C555" s="14" t="str">
        <f t="shared" si="32"/>
        <v/>
      </c>
      <c r="D555" s="11"/>
      <c r="E555" s="14" t="str">
        <f>IF(D555="","",IFERROR(VLOOKUP(D555,Categorias!$B$5:$C$200,2,FALSE),"Revisar"))</f>
        <v/>
      </c>
      <c r="F555" s="11"/>
      <c r="G555" s="31"/>
      <c r="H555" s="32">
        <f t="shared" si="33"/>
        <v>0</v>
      </c>
      <c r="I555" s="32">
        <f t="shared" si="34"/>
        <v>0</v>
      </c>
      <c r="J555" s="32">
        <f t="shared" si="35"/>
        <v>0</v>
      </c>
      <c r="K555" s="11"/>
      <c r="M555" s="12"/>
      <c r="N555" s="12"/>
    </row>
    <row r="556" spans="2:14" ht="21.95" customHeight="1" x14ac:dyDescent="0.25">
      <c r="B556" s="30"/>
      <c r="C556" s="14" t="str">
        <f t="shared" si="32"/>
        <v/>
      </c>
      <c r="D556" s="11"/>
      <c r="E556" s="14" t="str">
        <f>IF(D556="","",IFERROR(VLOOKUP(D556,Categorias!$B$5:$C$200,2,FALSE),"Revisar"))</f>
        <v/>
      </c>
      <c r="F556" s="11"/>
      <c r="G556" s="31"/>
      <c r="H556" s="32">
        <f t="shared" si="33"/>
        <v>0</v>
      </c>
      <c r="I556" s="32">
        <f t="shared" si="34"/>
        <v>0</v>
      </c>
      <c r="J556" s="32">
        <f t="shared" si="35"/>
        <v>0</v>
      </c>
      <c r="K556" s="11"/>
      <c r="M556" s="12"/>
      <c r="N556" s="12"/>
    </row>
    <row r="557" spans="2:14" ht="21.95" customHeight="1" x14ac:dyDescent="0.25">
      <c r="B557" s="30"/>
      <c r="C557" s="14" t="str">
        <f t="shared" si="32"/>
        <v/>
      </c>
      <c r="D557" s="11"/>
      <c r="E557" s="14" t="str">
        <f>IF(D557="","",IFERROR(VLOOKUP(D557,Categorias!$B$5:$C$200,2,FALSE),"Revisar"))</f>
        <v/>
      </c>
      <c r="F557" s="11"/>
      <c r="G557" s="31"/>
      <c r="H557" s="32">
        <f t="shared" si="33"/>
        <v>0</v>
      </c>
      <c r="I557" s="32">
        <f t="shared" si="34"/>
        <v>0</v>
      </c>
      <c r="J557" s="32">
        <f t="shared" si="35"/>
        <v>0</v>
      </c>
      <c r="K557" s="11"/>
      <c r="M557" s="12"/>
      <c r="N557" s="12"/>
    </row>
    <row r="558" spans="2:14" ht="21.95" customHeight="1" x14ac:dyDescent="0.25">
      <c r="B558" s="30"/>
      <c r="C558" s="14" t="str">
        <f t="shared" si="32"/>
        <v/>
      </c>
      <c r="D558" s="11"/>
      <c r="E558" s="14" t="str">
        <f>IF(D558="","",IFERROR(VLOOKUP(D558,Categorias!$B$5:$C$200,2,FALSE),"Revisar"))</f>
        <v/>
      </c>
      <c r="F558" s="11"/>
      <c r="G558" s="31"/>
      <c r="H558" s="32">
        <f t="shared" si="33"/>
        <v>0</v>
      </c>
      <c r="I558" s="32">
        <f t="shared" si="34"/>
        <v>0</v>
      </c>
      <c r="J558" s="32">
        <f t="shared" si="35"/>
        <v>0</v>
      </c>
      <c r="K558" s="11"/>
      <c r="M558" s="12"/>
      <c r="N558" s="12"/>
    </row>
    <row r="559" spans="2:14" ht="21.95" customHeight="1" x14ac:dyDescent="0.25">
      <c r="B559" s="30"/>
      <c r="C559" s="14" t="str">
        <f t="shared" si="32"/>
        <v/>
      </c>
      <c r="D559" s="11"/>
      <c r="E559" s="14" t="str">
        <f>IF(D559="","",IFERROR(VLOOKUP(D559,Categorias!$B$5:$C$200,2,FALSE),"Revisar"))</f>
        <v/>
      </c>
      <c r="F559" s="11"/>
      <c r="G559" s="31"/>
      <c r="H559" s="32">
        <f t="shared" si="33"/>
        <v>0</v>
      </c>
      <c r="I559" s="32">
        <f t="shared" si="34"/>
        <v>0</v>
      </c>
      <c r="J559" s="32">
        <f t="shared" si="35"/>
        <v>0</v>
      </c>
      <c r="K559" s="11"/>
      <c r="M559" s="12"/>
      <c r="N559" s="12"/>
    </row>
    <row r="560" spans="2:14" ht="21.95" customHeight="1" x14ac:dyDescent="0.25">
      <c r="B560" s="30"/>
      <c r="C560" s="14" t="str">
        <f t="shared" si="32"/>
        <v/>
      </c>
      <c r="D560" s="11"/>
      <c r="E560" s="14" t="str">
        <f>IF(D560="","",IFERROR(VLOOKUP(D560,Categorias!$B$5:$C$200,2,FALSE),"Revisar"))</f>
        <v/>
      </c>
      <c r="F560" s="11"/>
      <c r="G560" s="31"/>
      <c r="H560" s="32">
        <f t="shared" si="33"/>
        <v>0</v>
      </c>
      <c r="I560" s="32">
        <f t="shared" si="34"/>
        <v>0</v>
      </c>
      <c r="J560" s="32">
        <f t="shared" si="35"/>
        <v>0</v>
      </c>
      <c r="K560" s="11"/>
      <c r="M560" s="12"/>
      <c r="N560" s="12"/>
    </row>
    <row r="561" spans="2:14" ht="21.95" customHeight="1" x14ac:dyDescent="0.25">
      <c r="B561" s="30"/>
      <c r="C561" s="14" t="str">
        <f t="shared" si="32"/>
        <v/>
      </c>
      <c r="D561" s="11"/>
      <c r="E561" s="14" t="str">
        <f>IF(D561="","",IFERROR(VLOOKUP(D561,Categorias!$B$5:$C$200,2,FALSE),"Revisar"))</f>
        <v/>
      </c>
      <c r="F561" s="11"/>
      <c r="G561" s="31"/>
      <c r="H561" s="32">
        <f t="shared" si="33"/>
        <v>0</v>
      </c>
      <c r="I561" s="32">
        <f t="shared" si="34"/>
        <v>0</v>
      </c>
      <c r="J561" s="32">
        <f t="shared" si="35"/>
        <v>0</v>
      </c>
      <c r="K561" s="11"/>
      <c r="M561" s="12"/>
      <c r="N561" s="12"/>
    </row>
    <row r="562" spans="2:14" ht="21.95" customHeight="1" x14ac:dyDescent="0.25">
      <c r="B562" s="30"/>
      <c r="C562" s="14" t="str">
        <f t="shared" si="32"/>
        <v/>
      </c>
      <c r="D562" s="11"/>
      <c r="E562" s="14" t="str">
        <f>IF(D562="","",IFERROR(VLOOKUP(D562,Categorias!$B$5:$C$200,2,FALSE),"Revisar"))</f>
        <v/>
      </c>
      <c r="F562" s="11"/>
      <c r="G562" s="31"/>
      <c r="H562" s="32">
        <f t="shared" si="33"/>
        <v>0</v>
      </c>
      <c r="I562" s="32">
        <f t="shared" si="34"/>
        <v>0</v>
      </c>
      <c r="J562" s="32">
        <f t="shared" si="35"/>
        <v>0</v>
      </c>
      <c r="K562" s="11"/>
      <c r="M562" s="12"/>
      <c r="N562" s="12"/>
    </row>
    <row r="563" spans="2:14" ht="21.95" customHeight="1" x14ac:dyDescent="0.25">
      <c r="B563" s="30"/>
      <c r="C563" s="14" t="str">
        <f t="shared" si="32"/>
        <v/>
      </c>
      <c r="D563" s="11"/>
      <c r="E563" s="14" t="str">
        <f>IF(D563="","",IFERROR(VLOOKUP(D563,Categorias!$B$5:$C$200,2,FALSE),"Revisar"))</f>
        <v/>
      </c>
      <c r="F563" s="11"/>
      <c r="G563" s="31"/>
      <c r="H563" s="32">
        <f t="shared" si="33"/>
        <v>0</v>
      </c>
      <c r="I563" s="32">
        <f t="shared" si="34"/>
        <v>0</v>
      </c>
      <c r="J563" s="32">
        <f t="shared" si="35"/>
        <v>0</v>
      </c>
      <c r="K563" s="11"/>
      <c r="M563" s="12"/>
      <c r="N563" s="12"/>
    </row>
    <row r="564" spans="2:14" ht="21.95" customHeight="1" x14ac:dyDescent="0.25">
      <c r="B564" s="30"/>
      <c r="C564" s="14" t="str">
        <f t="shared" si="32"/>
        <v/>
      </c>
      <c r="D564" s="11"/>
      <c r="E564" s="14" t="str">
        <f>IF(D564="","",IFERROR(VLOOKUP(D564,Categorias!$B$5:$C$200,2,FALSE),"Revisar"))</f>
        <v/>
      </c>
      <c r="F564" s="11"/>
      <c r="G564" s="31"/>
      <c r="H564" s="32">
        <f t="shared" si="33"/>
        <v>0</v>
      </c>
      <c r="I564" s="32">
        <f t="shared" si="34"/>
        <v>0</v>
      </c>
      <c r="J564" s="32">
        <f t="shared" si="35"/>
        <v>0</v>
      </c>
      <c r="K564" s="11"/>
      <c r="M564" s="12"/>
      <c r="N564" s="12"/>
    </row>
    <row r="565" spans="2:14" ht="21.95" customHeight="1" x14ac:dyDescent="0.25">
      <c r="B565" s="30"/>
      <c r="C565" s="14" t="str">
        <f t="shared" si="32"/>
        <v/>
      </c>
      <c r="D565" s="11"/>
      <c r="E565" s="14" t="str">
        <f>IF(D565="","",IFERROR(VLOOKUP(D565,Categorias!$B$5:$C$200,2,FALSE),"Revisar"))</f>
        <v/>
      </c>
      <c r="F565" s="11"/>
      <c r="G565" s="31"/>
      <c r="H565" s="32">
        <f t="shared" si="33"/>
        <v>0</v>
      </c>
      <c r="I565" s="32">
        <f t="shared" si="34"/>
        <v>0</v>
      </c>
      <c r="J565" s="32">
        <f t="shared" si="35"/>
        <v>0</v>
      </c>
      <c r="K565" s="11"/>
      <c r="M565" s="12"/>
      <c r="N565" s="12"/>
    </row>
    <row r="566" spans="2:14" ht="21.95" customHeight="1" x14ac:dyDescent="0.25">
      <c r="B566" s="30"/>
      <c r="C566" s="14" t="str">
        <f t="shared" si="32"/>
        <v/>
      </c>
      <c r="D566" s="11"/>
      <c r="E566" s="14" t="str">
        <f>IF(D566="","",IFERROR(VLOOKUP(D566,Categorias!$B$5:$C$200,2,FALSE),"Revisar"))</f>
        <v/>
      </c>
      <c r="F566" s="11"/>
      <c r="G566" s="31"/>
      <c r="H566" s="32">
        <f t="shared" si="33"/>
        <v>0</v>
      </c>
      <c r="I566" s="32">
        <f t="shared" si="34"/>
        <v>0</v>
      </c>
      <c r="J566" s="32">
        <f t="shared" si="35"/>
        <v>0</v>
      </c>
      <c r="K566" s="11"/>
      <c r="M566" s="12"/>
      <c r="N566" s="12"/>
    </row>
    <row r="567" spans="2:14" ht="21.95" customHeight="1" x14ac:dyDescent="0.25">
      <c r="B567" s="30"/>
      <c r="C567" s="14" t="str">
        <f t="shared" si="32"/>
        <v/>
      </c>
      <c r="D567" s="11"/>
      <c r="E567" s="14" t="str">
        <f>IF(D567="","",IFERROR(VLOOKUP(D567,Categorias!$B$5:$C$200,2,FALSE),"Revisar"))</f>
        <v/>
      </c>
      <c r="F567" s="11"/>
      <c r="G567" s="31"/>
      <c r="H567" s="32">
        <f t="shared" si="33"/>
        <v>0</v>
      </c>
      <c r="I567" s="32">
        <f t="shared" si="34"/>
        <v>0</v>
      </c>
      <c r="J567" s="32">
        <f t="shared" si="35"/>
        <v>0</v>
      </c>
      <c r="K567" s="11"/>
      <c r="M567" s="12"/>
      <c r="N567" s="12"/>
    </row>
    <row r="568" spans="2:14" ht="21.95" customHeight="1" x14ac:dyDescent="0.25">
      <c r="B568" s="30"/>
      <c r="C568" s="14" t="str">
        <f t="shared" si="32"/>
        <v/>
      </c>
      <c r="D568" s="11"/>
      <c r="E568" s="14" t="str">
        <f>IF(D568="","",IFERROR(VLOOKUP(D568,Categorias!$B$5:$C$200,2,FALSE),"Revisar"))</f>
        <v/>
      </c>
      <c r="F568" s="11"/>
      <c r="G568" s="31"/>
      <c r="H568" s="32">
        <f t="shared" si="33"/>
        <v>0</v>
      </c>
      <c r="I568" s="32">
        <f t="shared" si="34"/>
        <v>0</v>
      </c>
      <c r="J568" s="32">
        <f t="shared" si="35"/>
        <v>0</v>
      </c>
      <c r="K568" s="11"/>
      <c r="M568" s="12"/>
      <c r="N568" s="12"/>
    </row>
    <row r="569" spans="2:14" ht="21.95" customHeight="1" x14ac:dyDescent="0.25">
      <c r="B569" s="30"/>
      <c r="C569" s="14" t="str">
        <f t="shared" si="32"/>
        <v/>
      </c>
      <c r="D569" s="11"/>
      <c r="E569" s="14" t="str">
        <f>IF(D569="","",IFERROR(VLOOKUP(D569,Categorias!$B$5:$C$200,2,FALSE),"Revisar"))</f>
        <v/>
      </c>
      <c r="F569" s="11"/>
      <c r="G569" s="31"/>
      <c r="H569" s="32">
        <f t="shared" si="33"/>
        <v>0</v>
      </c>
      <c r="I569" s="32">
        <f t="shared" si="34"/>
        <v>0</v>
      </c>
      <c r="J569" s="32">
        <f t="shared" si="35"/>
        <v>0</v>
      </c>
      <c r="K569" s="11"/>
      <c r="M569" s="12"/>
      <c r="N569" s="12"/>
    </row>
    <row r="570" spans="2:14" ht="21.95" customHeight="1" x14ac:dyDescent="0.25">
      <c r="B570" s="30"/>
      <c r="C570" s="14" t="str">
        <f t="shared" si="32"/>
        <v/>
      </c>
      <c r="D570" s="11"/>
      <c r="E570" s="14" t="str">
        <f>IF(D570="","",IFERROR(VLOOKUP(D570,Categorias!$B$5:$C$200,2,FALSE),"Revisar"))</f>
        <v/>
      </c>
      <c r="F570" s="11"/>
      <c r="G570" s="31"/>
      <c r="H570" s="32">
        <f t="shared" si="33"/>
        <v>0</v>
      </c>
      <c r="I570" s="32">
        <f t="shared" si="34"/>
        <v>0</v>
      </c>
      <c r="J570" s="32">
        <f t="shared" si="35"/>
        <v>0</v>
      </c>
      <c r="K570" s="11"/>
      <c r="M570" s="12"/>
      <c r="N570" s="12"/>
    </row>
    <row r="571" spans="2:14" ht="21.95" customHeight="1" x14ac:dyDescent="0.25">
      <c r="B571" s="30"/>
      <c r="C571" s="14" t="str">
        <f t="shared" si="32"/>
        <v/>
      </c>
      <c r="D571" s="11"/>
      <c r="E571" s="14" t="str">
        <f>IF(D571="","",IFERROR(VLOOKUP(D571,Categorias!$B$5:$C$200,2,FALSE),"Revisar"))</f>
        <v/>
      </c>
      <c r="F571" s="11"/>
      <c r="G571" s="31"/>
      <c r="H571" s="32">
        <f t="shared" si="33"/>
        <v>0</v>
      </c>
      <c r="I571" s="32">
        <f t="shared" si="34"/>
        <v>0</v>
      </c>
      <c r="J571" s="32">
        <f t="shared" si="35"/>
        <v>0</v>
      </c>
      <c r="K571" s="11"/>
      <c r="M571" s="12"/>
      <c r="N571" s="12"/>
    </row>
    <row r="572" spans="2:14" ht="21.95" customHeight="1" x14ac:dyDescent="0.25">
      <c r="B572" s="30"/>
      <c r="C572" s="14" t="str">
        <f t="shared" si="32"/>
        <v/>
      </c>
      <c r="D572" s="11"/>
      <c r="E572" s="14" t="str">
        <f>IF(D572="","",IFERROR(VLOOKUP(D572,Categorias!$B$5:$C$200,2,FALSE),"Revisar"))</f>
        <v/>
      </c>
      <c r="F572" s="11"/>
      <c r="G572" s="31"/>
      <c r="H572" s="32">
        <f t="shared" si="33"/>
        <v>0</v>
      </c>
      <c r="I572" s="32">
        <f t="shared" si="34"/>
        <v>0</v>
      </c>
      <c r="J572" s="32">
        <f t="shared" si="35"/>
        <v>0</v>
      </c>
      <c r="K572" s="11"/>
      <c r="M572" s="12"/>
      <c r="N572" s="12"/>
    </row>
    <row r="573" spans="2:14" ht="21.95" customHeight="1" x14ac:dyDescent="0.25">
      <c r="B573" s="30"/>
      <c r="C573" s="14" t="str">
        <f t="shared" si="32"/>
        <v/>
      </c>
      <c r="D573" s="11"/>
      <c r="E573" s="14" t="str">
        <f>IF(D573="","",IFERROR(VLOOKUP(D573,Categorias!$B$5:$C$200,2,FALSE),"Revisar"))</f>
        <v/>
      </c>
      <c r="F573" s="11"/>
      <c r="G573" s="31"/>
      <c r="H573" s="32">
        <f t="shared" si="33"/>
        <v>0</v>
      </c>
      <c r="I573" s="32">
        <f t="shared" si="34"/>
        <v>0</v>
      </c>
      <c r="J573" s="32">
        <f t="shared" si="35"/>
        <v>0</v>
      </c>
      <c r="K573" s="11"/>
      <c r="M573" s="12"/>
      <c r="N573" s="12"/>
    </row>
    <row r="574" spans="2:14" ht="21.95" customHeight="1" x14ac:dyDescent="0.25">
      <c r="B574" s="30"/>
      <c r="C574" s="14" t="str">
        <f t="shared" si="32"/>
        <v/>
      </c>
      <c r="D574" s="11"/>
      <c r="E574" s="14" t="str">
        <f>IF(D574="","",IFERROR(VLOOKUP(D574,Categorias!$B$5:$C$200,2,FALSE),"Revisar"))</f>
        <v/>
      </c>
      <c r="F574" s="11"/>
      <c r="G574" s="31"/>
      <c r="H574" s="32">
        <f t="shared" si="33"/>
        <v>0</v>
      </c>
      <c r="I574" s="32">
        <f t="shared" si="34"/>
        <v>0</v>
      </c>
      <c r="J574" s="32">
        <f t="shared" si="35"/>
        <v>0</v>
      </c>
      <c r="K574" s="11"/>
      <c r="M574" s="12"/>
      <c r="N574" s="12"/>
    </row>
    <row r="575" spans="2:14" ht="21.95" customHeight="1" x14ac:dyDescent="0.25">
      <c r="B575" s="30"/>
      <c r="C575" s="14" t="str">
        <f t="shared" si="32"/>
        <v/>
      </c>
      <c r="D575" s="11"/>
      <c r="E575" s="14" t="str">
        <f>IF(D575="","",IFERROR(VLOOKUP(D575,Categorias!$B$5:$C$200,2,FALSE),"Revisar"))</f>
        <v/>
      </c>
      <c r="F575" s="11"/>
      <c r="G575" s="31"/>
      <c r="H575" s="32">
        <f t="shared" si="33"/>
        <v>0</v>
      </c>
      <c r="I575" s="32">
        <f t="shared" si="34"/>
        <v>0</v>
      </c>
      <c r="J575" s="32">
        <f t="shared" si="35"/>
        <v>0</v>
      </c>
      <c r="K575" s="11"/>
      <c r="M575" s="12"/>
      <c r="N575" s="12"/>
    </row>
    <row r="576" spans="2:14" ht="21.95" customHeight="1" x14ac:dyDescent="0.25">
      <c r="B576" s="30"/>
      <c r="C576" s="14" t="str">
        <f t="shared" si="32"/>
        <v/>
      </c>
      <c r="D576" s="11"/>
      <c r="E576" s="14" t="str">
        <f>IF(D576="","",IFERROR(VLOOKUP(D576,Categorias!$B$5:$C$200,2,FALSE),"Revisar"))</f>
        <v/>
      </c>
      <c r="F576" s="11"/>
      <c r="G576" s="31"/>
      <c r="H576" s="32">
        <f t="shared" si="33"/>
        <v>0</v>
      </c>
      <c r="I576" s="32">
        <f t="shared" si="34"/>
        <v>0</v>
      </c>
      <c r="J576" s="32">
        <f t="shared" si="35"/>
        <v>0</v>
      </c>
      <c r="K576" s="11"/>
      <c r="M576" s="12"/>
      <c r="N576" s="12"/>
    </row>
    <row r="577" spans="2:14" ht="21.95" customHeight="1" x14ac:dyDescent="0.25">
      <c r="B577" s="30"/>
      <c r="C577" s="14" t="str">
        <f t="shared" si="32"/>
        <v/>
      </c>
      <c r="D577" s="11"/>
      <c r="E577" s="14" t="str">
        <f>IF(D577="","",IFERROR(VLOOKUP(D577,Categorias!$B$5:$C$200,2,FALSE),"Revisar"))</f>
        <v/>
      </c>
      <c r="F577" s="11"/>
      <c r="G577" s="31"/>
      <c r="H577" s="32">
        <f t="shared" si="33"/>
        <v>0</v>
      </c>
      <c r="I577" s="32">
        <f t="shared" si="34"/>
        <v>0</v>
      </c>
      <c r="J577" s="32">
        <f t="shared" si="35"/>
        <v>0</v>
      </c>
      <c r="K577" s="11"/>
      <c r="M577" s="12"/>
      <c r="N577" s="12"/>
    </row>
    <row r="578" spans="2:14" ht="21.95" customHeight="1" x14ac:dyDescent="0.25">
      <c r="B578" s="30"/>
      <c r="C578" s="14" t="str">
        <f t="shared" si="32"/>
        <v/>
      </c>
      <c r="D578" s="11"/>
      <c r="E578" s="14" t="str">
        <f>IF(D578="","",IFERROR(VLOOKUP(D578,Categorias!$B$5:$C$200,2,FALSE),"Revisar"))</f>
        <v/>
      </c>
      <c r="F578" s="11"/>
      <c r="G578" s="31"/>
      <c r="H578" s="32">
        <f t="shared" si="33"/>
        <v>0</v>
      </c>
      <c r="I578" s="32">
        <f t="shared" si="34"/>
        <v>0</v>
      </c>
      <c r="J578" s="32">
        <f t="shared" si="35"/>
        <v>0</v>
      </c>
      <c r="K578" s="11"/>
      <c r="M578" s="12"/>
      <c r="N578" s="12"/>
    </row>
    <row r="579" spans="2:14" ht="21.95" customHeight="1" x14ac:dyDescent="0.25">
      <c r="B579" s="30"/>
      <c r="C579" s="14" t="str">
        <f t="shared" si="32"/>
        <v/>
      </c>
      <c r="D579" s="11"/>
      <c r="E579" s="14" t="str">
        <f>IF(D579="","",IFERROR(VLOOKUP(D579,Categorias!$B$5:$C$200,2,FALSE),"Revisar"))</f>
        <v/>
      </c>
      <c r="F579" s="11"/>
      <c r="G579" s="31"/>
      <c r="H579" s="32">
        <f t="shared" si="33"/>
        <v>0</v>
      </c>
      <c r="I579" s="32">
        <f t="shared" si="34"/>
        <v>0</v>
      </c>
      <c r="J579" s="32">
        <f t="shared" si="35"/>
        <v>0</v>
      </c>
      <c r="K579" s="11"/>
      <c r="M579" s="12"/>
      <c r="N579" s="12"/>
    </row>
    <row r="580" spans="2:14" ht="21.95" customHeight="1" x14ac:dyDescent="0.25">
      <c r="B580" s="30"/>
      <c r="C580" s="14" t="str">
        <f t="shared" si="32"/>
        <v/>
      </c>
      <c r="D580" s="11"/>
      <c r="E580" s="14" t="str">
        <f>IF(D580="","",IFERROR(VLOOKUP(D580,Categorias!$B$5:$C$200,2,FALSE),"Revisar"))</f>
        <v/>
      </c>
      <c r="F580" s="11"/>
      <c r="G580" s="31"/>
      <c r="H580" s="32">
        <f t="shared" si="33"/>
        <v>0</v>
      </c>
      <c r="I580" s="32">
        <f t="shared" si="34"/>
        <v>0</v>
      </c>
      <c r="J580" s="32">
        <f t="shared" si="35"/>
        <v>0</v>
      </c>
      <c r="K580" s="11"/>
      <c r="M580" s="12"/>
      <c r="N580" s="12"/>
    </row>
    <row r="581" spans="2:14" ht="21.95" customHeight="1" x14ac:dyDescent="0.25">
      <c r="B581" s="30"/>
      <c r="C581" s="14" t="str">
        <f t="shared" si="32"/>
        <v/>
      </c>
      <c r="D581" s="11"/>
      <c r="E581" s="14" t="str">
        <f>IF(D581="","",IFERROR(VLOOKUP(D581,Categorias!$B$5:$C$200,2,FALSE),"Revisar"))</f>
        <v/>
      </c>
      <c r="F581" s="11"/>
      <c r="G581" s="31"/>
      <c r="H581" s="32">
        <f t="shared" si="33"/>
        <v>0</v>
      </c>
      <c r="I581" s="32">
        <f t="shared" si="34"/>
        <v>0</v>
      </c>
      <c r="J581" s="32">
        <f t="shared" si="35"/>
        <v>0</v>
      </c>
      <c r="K581" s="11"/>
      <c r="M581" s="12"/>
      <c r="N581" s="12"/>
    </row>
    <row r="582" spans="2:14" ht="21.95" customHeight="1" x14ac:dyDescent="0.25">
      <c r="B582" s="30"/>
      <c r="C582" s="14" t="str">
        <f t="shared" si="32"/>
        <v/>
      </c>
      <c r="D582" s="11"/>
      <c r="E582" s="14" t="str">
        <f>IF(D582="","",IFERROR(VLOOKUP(D582,Categorias!$B$5:$C$200,2,FALSE),"Revisar"))</f>
        <v/>
      </c>
      <c r="F582" s="11"/>
      <c r="G582" s="31"/>
      <c r="H582" s="32">
        <f t="shared" si="33"/>
        <v>0</v>
      </c>
      <c r="I582" s="32">
        <f t="shared" si="34"/>
        <v>0</v>
      </c>
      <c r="J582" s="32">
        <f t="shared" si="35"/>
        <v>0</v>
      </c>
      <c r="K582" s="11"/>
      <c r="M582" s="12"/>
      <c r="N582" s="12"/>
    </row>
    <row r="583" spans="2:14" ht="21.95" customHeight="1" x14ac:dyDescent="0.25">
      <c r="B583" s="30"/>
      <c r="C583" s="14" t="str">
        <f t="shared" si="32"/>
        <v/>
      </c>
      <c r="D583" s="11"/>
      <c r="E583" s="14" t="str">
        <f>IF(D583="","",IFERROR(VLOOKUP(D583,Categorias!$B$5:$C$200,2,FALSE),"Revisar"))</f>
        <v/>
      </c>
      <c r="F583" s="11"/>
      <c r="G583" s="31"/>
      <c r="H583" s="32">
        <f t="shared" si="33"/>
        <v>0</v>
      </c>
      <c r="I583" s="32">
        <f t="shared" si="34"/>
        <v>0</v>
      </c>
      <c r="J583" s="32">
        <f t="shared" si="35"/>
        <v>0</v>
      </c>
      <c r="K583" s="11"/>
      <c r="M583" s="12"/>
      <c r="N583" s="12"/>
    </row>
    <row r="584" spans="2:14" ht="21.95" customHeight="1" x14ac:dyDescent="0.25">
      <c r="B584" s="30"/>
      <c r="C584" s="14" t="str">
        <f t="shared" si="32"/>
        <v/>
      </c>
      <c r="D584" s="11"/>
      <c r="E584" s="14" t="str">
        <f>IF(D584="","",IFERROR(VLOOKUP(D584,Categorias!$B$5:$C$200,2,FALSE),"Revisar"))</f>
        <v/>
      </c>
      <c r="F584" s="11"/>
      <c r="G584" s="31"/>
      <c r="H584" s="32">
        <f t="shared" si="33"/>
        <v>0</v>
      </c>
      <c r="I584" s="32">
        <f t="shared" si="34"/>
        <v>0</v>
      </c>
      <c r="J584" s="32">
        <f t="shared" si="35"/>
        <v>0</v>
      </c>
      <c r="K584" s="11"/>
      <c r="M584" s="12"/>
      <c r="N584" s="12"/>
    </row>
    <row r="585" spans="2:14" ht="21.95" customHeight="1" x14ac:dyDescent="0.25">
      <c r="B585" s="30"/>
      <c r="C585" s="14" t="str">
        <f t="shared" ref="C585:C648" si="36">IF(B585="","",CHOOSE(MONTH(B585),"Enero","Febrero","Marzo","Abril","Mayo","Junio","Julio","Agosto","Septiembre","Octubre","Noviembre","Diciembre"))</f>
        <v/>
      </c>
      <c r="D585" s="11"/>
      <c r="E585" s="14" t="str">
        <f>IF(D585="","",IFERROR(VLOOKUP(D585,Categorias!$B$5:$C$200,2,FALSE),"Revisar"))</f>
        <v/>
      </c>
      <c r="F585" s="11"/>
      <c r="G585" s="31"/>
      <c r="H585" s="32">
        <f t="shared" ref="H585:H648" si="37">IF($E585="Ingreso",$G585,0)</f>
        <v>0</v>
      </c>
      <c r="I585" s="32">
        <f t="shared" ref="I585:I648" si="38">IF($E585="Gasto",$G585,0)</f>
        <v>0</v>
      </c>
      <c r="J585" s="32">
        <f t="shared" ref="J585:J648" si="39">IF($E585="Reserva",$G585,0)</f>
        <v>0</v>
      </c>
      <c r="K585" s="11"/>
      <c r="M585" s="12"/>
      <c r="N585" s="12"/>
    </row>
    <row r="586" spans="2:14" ht="21.95" customHeight="1" x14ac:dyDescent="0.25">
      <c r="B586" s="30"/>
      <c r="C586" s="14" t="str">
        <f t="shared" si="36"/>
        <v/>
      </c>
      <c r="D586" s="11"/>
      <c r="E586" s="14" t="str">
        <f>IF(D586="","",IFERROR(VLOOKUP(D586,Categorias!$B$5:$C$200,2,FALSE),"Revisar"))</f>
        <v/>
      </c>
      <c r="F586" s="11"/>
      <c r="G586" s="31"/>
      <c r="H586" s="32">
        <f t="shared" si="37"/>
        <v>0</v>
      </c>
      <c r="I586" s="32">
        <f t="shared" si="38"/>
        <v>0</v>
      </c>
      <c r="J586" s="32">
        <f t="shared" si="39"/>
        <v>0</v>
      </c>
      <c r="K586" s="11"/>
      <c r="M586" s="12"/>
      <c r="N586" s="12"/>
    </row>
    <row r="587" spans="2:14" ht="21.95" customHeight="1" x14ac:dyDescent="0.25">
      <c r="B587" s="30"/>
      <c r="C587" s="14" t="str">
        <f t="shared" si="36"/>
        <v/>
      </c>
      <c r="D587" s="11"/>
      <c r="E587" s="14" t="str">
        <f>IF(D587="","",IFERROR(VLOOKUP(D587,Categorias!$B$5:$C$200,2,FALSE),"Revisar"))</f>
        <v/>
      </c>
      <c r="F587" s="11"/>
      <c r="G587" s="31"/>
      <c r="H587" s="32">
        <f t="shared" si="37"/>
        <v>0</v>
      </c>
      <c r="I587" s="32">
        <f t="shared" si="38"/>
        <v>0</v>
      </c>
      <c r="J587" s="32">
        <f t="shared" si="39"/>
        <v>0</v>
      </c>
      <c r="K587" s="11"/>
      <c r="M587" s="12"/>
      <c r="N587" s="12"/>
    </row>
    <row r="588" spans="2:14" ht="21.95" customHeight="1" x14ac:dyDescent="0.25">
      <c r="B588" s="30"/>
      <c r="C588" s="14" t="str">
        <f t="shared" si="36"/>
        <v/>
      </c>
      <c r="D588" s="11"/>
      <c r="E588" s="14" t="str">
        <f>IF(D588="","",IFERROR(VLOOKUP(D588,Categorias!$B$5:$C$200,2,FALSE),"Revisar"))</f>
        <v/>
      </c>
      <c r="F588" s="11"/>
      <c r="G588" s="31"/>
      <c r="H588" s="32">
        <f t="shared" si="37"/>
        <v>0</v>
      </c>
      <c r="I588" s="32">
        <f t="shared" si="38"/>
        <v>0</v>
      </c>
      <c r="J588" s="32">
        <f t="shared" si="39"/>
        <v>0</v>
      </c>
      <c r="K588" s="11"/>
      <c r="M588" s="12"/>
      <c r="N588" s="12"/>
    </row>
    <row r="589" spans="2:14" ht="21.95" customHeight="1" x14ac:dyDescent="0.25">
      <c r="B589" s="30"/>
      <c r="C589" s="14" t="str">
        <f t="shared" si="36"/>
        <v/>
      </c>
      <c r="D589" s="11"/>
      <c r="E589" s="14" t="str">
        <f>IF(D589="","",IFERROR(VLOOKUP(D589,Categorias!$B$5:$C$200,2,FALSE),"Revisar"))</f>
        <v/>
      </c>
      <c r="F589" s="11"/>
      <c r="G589" s="31"/>
      <c r="H589" s="32">
        <f t="shared" si="37"/>
        <v>0</v>
      </c>
      <c r="I589" s="32">
        <f t="shared" si="38"/>
        <v>0</v>
      </c>
      <c r="J589" s="32">
        <f t="shared" si="39"/>
        <v>0</v>
      </c>
      <c r="K589" s="11"/>
      <c r="M589" s="12"/>
      <c r="N589" s="12"/>
    </row>
    <row r="590" spans="2:14" ht="21.95" customHeight="1" x14ac:dyDescent="0.25">
      <c r="B590" s="30"/>
      <c r="C590" s="14" t="str">
        <f t="shared" si="36"/>
        <v/>
      </c>
      <c r="D590" s="11"/>
      <c r="E590" s="14" t="str">
        <f>IF(D590="","",IFERROR(VLOOKUP(D590,Categorias!$B$5:$C$200,2,FALSE),"Revisar"))</f>
        <v/>
      </c>
      <c r="F590" s="11"/>
      <c r="G590" s="31"/>
      <c r="H590" s="32">
        <f t="shared" si="37"/>
        <v>0</v>
      </c>
      <c r="I590" s="32">
        <f t="shared" si="38"/>
        <v>0</v>
      </c>
      <c r="J590" s="32">
        <f t="shared" si="39"/>
        <v>0</v>
      </c>
      <c r="K590" s="11"/>
      <c r="M590" s="12"/>
      <c r="N590" s="12"/>
    </row>
    <row r="591" spans="2:14" ht="21.95" customHeight="1" x14ac:dyDescent="0.25">
      <c r="B591" s="30"/>
      <c r="C591" s="14" t="str">
        <f t="shared" si="36"/>
        <v/>
      </c>
      <c r="D591" s="11"/>
      <c r="E591" s="14" t="str">
        <f>IF(D591="","",IFERROR(VLOOKUP(D591,Categorias!$B$5:$C$200,2,FALSE),"Revisar"))</f>
        <v/>
      </c>
      <c r="F591" s="11"/>
      <c r="G591" s="31"/>
      <c r="H591" s="32">
        <f t="shared" si="37"/>
        <v>0</v>
      </c>
      <c r="I591" s="32">
        <f t="shared" si="38"/>
        <v>0</v>
      </c>
      <c r="J591" s="32">
        <f t="shared" si="39"/>
        <v>0</v>
      </c>
      <c r="K591" s="11"/>
      <c r="M591" s="12"/>
      <c r="N591" s="12"/>
    </row>
    <row r="592" spans="2:14" ht="21.95" customHeight="1" x14ac:dyDescent="0.25">
      <c r="B592" s="30"/>
      <c r="C592" s="14" t="str">
        <f t="shared" si="36"/>
        <v/>
      </c>
      <c r="D592" s="11"/>
      <c r="E592" s="14" t="str">
        <f>IF(D592="","",IFERROR(VLOOKUP(D592,Categorias!$B$5:$C$200,2,FALSE),"Revisar"))</f>
        <v/>
      </c>
      <c r="F592" s="11"/>
      <c r="G592" s="31"/>
      <c r="H592" s="32">
        <f t="shared" si="37"/>
        <v>0</v>
      </c>
      <c r="I592" s="32">
        <f t="shared" si="38"/>
        <v>0</v>
      </c>
      <c r="J592" s="32">
        <f t="shared" si="39"/>
        <v>0</v>
      </c>
      <c r="K592" s="11"/>
      <c r="M592" s="12"/>
      <c r="N592" s="12"/>
    </row>
    <row r="593" spans="2:14" ht="21.95" customHeight="1" x14ac:dyDescent="0.25">
      <c r="B593" s="30"/>
      <c r="C593" s="14" t="str">
        <f t="shared" si="36"/>
        <v/>
      </c>
      <c r="D593" s="11"/>
      <c r="E593" s="14" t="str">
        <f>IF(D593="","",IFERROR(VLOOKUP(D593,Categorias!$B$5:$C$200,2,FALSE),"Revisar"))</f>
        <v/>
      </c>
      <c r="F593" s="11"/>
      <c r="G593" s="31"/>
      <c r="H593" s="32">
        <f t="shared" si="37"/>
        <v>0</v>
      </c>
      <c r="I593" s="32">
        <f t="shared" si="38"/>
        <v>0</v>
      </c>
      <c r="J593" s="32">
        <f t="shared" si="39"/>
        <v>0</v>
      </c>
      <c r="K593" s="11"/>
      <c r="M593" s="12"/>
      <c r="N593" s="12"/>
    </row>
    <row r="594" spans="2:14" ht="21.95" customHeight="1" x14ac:dyDescent="0.25">
      <c r="B594" s="30"/>
      <c r="C594" s="14" t="str">
        <f t="shared" si="36"/>
        <v/>
      </c>
      <c r="D594" s="11"/>
      <c r="E594" s="14" t="str">
        <f>IF(D594="","",IFERROR(VLOOKUP(D594,Categorias!$B$5:$C$200,2,FALSE),"Revisar"))</f>
        <v/>
      </c>
      <c r="F594" s="11"/>
      <c r="G594" s="31"/>
      <c r="H594" s="32">
        <f t="shared" si="37"/>
        <v>0</v>
      </c>
      <c r="I594" s="32">
        <f t="shared" si="38"/>
        <v>0</v>
      </c>
      <c r="J594" s="32">
        <f t="shared" si="39"/>
        <v>0</v>
      </c>
      <c r="K594" s="11"/>
      <c r="M594" s="12"/>
      <c r="N594" s="12"/>
    </row>
    <row r="595" spans="2:14" ht="21.95" customHeight="1" x14ac:dyDescent="0.25">
      <c r="B595" s="30"/>
      <c r="C595" s="14" t="str">
        <f t="shared" si="36"/>
        <v/>
      </c>
      <c r="D595" s="11"/>
      <c r="E595" s="14" t="str">
        <f>IF(D595="","",IFERROR(VLOOKUP(D595,Categorias!$B$5:$C$200,2,FALSE),"Revisar"))</f>
        <v/>
      </c>
      <c r="F595" s="11"/>
      <c r="G595" s="31"/>
      <c r="H595" s="32">
        <f t="shared" si="37"/>
        <v>0</v>
      </c>
      <c r="I595" s="32">
        <f t="shared" si="38"/>
        <v>0</v>
      </c>
      <c r="J595" s="32">
        <f t="shared" si="39"/>
        <v>0</v>
      </c>
      <c r="K595" s="11"/>
      <c r="M595" s="12"/>
      <c r="N595" s="12"/>
    </row>
    <row r="596" spans="2:14" ht="21.95" customHeight="1" x14ac:dyDescent="0.25">
      <c r="B596" s="30"/>
      <c r="C596" s="14" t="str">
        <f t="shared" si="36"/>
        <v/>
      </c>
      <c r="D596" s="11"/>
      <c r="E596" s="14" t="str">
        <f>IF(D596="","",IFERROR(VLOOKUP(D596,Categorias!$B$5:$C$200,2,FALSE),"Revisar"))</f>
        <v/>
      </c>
      <c r="F596" s="11"/>
      <c r="G596" s="31"/>
      <c r="H596" s="32">
        <f t="shared" si="37"/>
        <v>0</v>
      </c>
      <c r="I596" s="32">
        <f t="shared" si="38"/>
        <v>0</v>
      </c>
      <c r="J596" s="32">
        <f t="shared" si="39"/>
        <v>0</v>
      </c>
      <c r="K596" s="11"/>
      <c r="M596" s="12"/>
      <c r="N596" s="12"/>
    </row>
    <row r="597" spans="2:14" ht="21.95" customHeight="1" x14ac:dyDescent="0.25">
      <c r="B597" s="30"/>
      <c r="C597" s="14" t="str">
        <f t="shared" si="36"/>
        <v/>
      </c>
      <c r="D597" s="11"/>
      <c r="E597" s="14" t="str">
        <f>IF(D597="","",IFERROR(VLOOKUP(D597,Categorias!$B$5:$C$200,2,FALSE),"Revisar"))</f>
        <v/>
      </c>
      <c r="F597" s="11"/>
      <c r="G597" s="31"/>
      <c r="H597" s="32">
        <f t="shared" si="37"/>
        <v>0</v>
      </c>
      <c r="I597" s="32">
        <f t="shared" si="38"/>
        <v>0</v>
      </c>
      <c r="J597" s="32">
        <f t="shared" si="39"/>
        <v>0</v>
      </c>
      <c r="K597" s="11"/>
      <c r="M597" s="12"/>
      <c r="N597" s="12"/>
    </row>
    <row r="598" spans="2:14" ht="21.95" customHeight="1" x14ac:dyDescent="0.25">
      <c r="B598" s="30"/>
      <c r="C598" s="14" t="str">
        <f t="shared" si="36"/>
        <v/>
      </c>
      <c r="D598" s="11"/>
      <c r="E598" s="14" t="str">
        <f>IF(D598="","",IFERROR(VLOOKUP(D598,Categorias!$B$5:$C$200,2,FALSE),"Revisar"))</f>
        <v/>
      </c>
      <c r="F598" s="11"/>
      <c r="G598" s="31"/>
      <c r="H598" s="32">
        <f t="shared" si="37"/>
        <v>0</v>
      </c>
      <c r="I598" s="32">
        <f t="shared" si="38"/>
        <v>0</v>
      </c>
      <c r="J598" s="32">
        <f t="shared" si="39"/>
        <v>0</v>
      </c>
      <c r="K598" s="11"/>
      <c r="M598" s="12"/>
      <c r="N598" s="12"/>
    </row>
    <row r="599" spans="2:14" ht="21.95" customHeight="1" x14ac:dyDescent="0.25">
      <c r="B599" s="30"/>
      <c r="C599" s="14" t="str">
        <f t="shared" si="36"/>
        <v/>
      </c>
      <c r="D599" s="11"/>
      <c r="E599" s="14" t="str">
        <f>IF(D599="","",IFERROR(VLOOKUP(D599,Categorias!$B$5:$C$200,2,FALSE),"Revisar"))</f>
        <v/>
      </c>
      <c r="F599" s="11"/>
      <c r="G599" s="31"/>
      <c r="H599" s="32">
        <f t="shared" si="37"/>
        <v>0</v>
      </c>
      <c r="I599" s="32">
        <f t="shared" si="38"/>
        <v>0</v>
      </c>
      <c r="J599" s="32">
        <f t="shared" si="39"/>
        <v>0</v>
      </c>
      <c r="K599" s="11"/>
      <c r="M599" s="12"/>
      <c r="N599" s="12"/>
    </row>
    <row r="600" spans="2:14" ht="21.95" customHeight="1" x14ac:dyDescent="0.25">
      <c r="B600" s="30"/>
      <c r="C600" s="14" t="str">
        <f t="shared" si="36"/>
        <v/>
      </c>
      <c r="D600" s="11"/>
      <c r="E600" s="14" t="str">
        <f>IF(D600="","",IFERROR(VLOOKUP(D600,Categorias!$B$5:$C$200,2,FALSE),"Revisar"))</f>
        <v/>
      </c>
      <c r="F600" s="11"/>
      <c r="G600" s="31"/>
      <c r="H600" s="32">
        <f t="shared" si="37"/>
        <v>0</v>
      </c>
      <c r="I600" s="32">
        <f t="shared" si="38"/>
        <v>0</v>
      </c>
      <c r="J600" s="32">
        <f t="shared" si="39"/>
        <v>0</v>
      </c>
      <c r="K600" s="11"/>
      <c r="M600" s="12"/>
      <c r="N600" s="12"/>
    </row>
    <row r="601" spans="2:14" ht="21.95" customHeight="1" x14ac:dyDescent="0.25">
      <c r="B601" s="30"/>
      <c r="C601" s="14" t="str">
        <f t="shared" si="36"/>
        <v/>
      </c>
      <c r="D601" s="11"/>
      <c r="E601" s="14" t="str">
        <f>IF(D601="","",IFERROR(VLOOKUP(D601,Categorias!$B$5:$C$200,2,FALSE),"Revisar"))</f>
        <v/>
      </c>
      <c r="F601" s="11"/>
      <c r="G601" s="31"/>
      <c r="H601" s="32">
        <f t="shared" si="37"/>
        <v>0</v>
      </c>
      <c r="I601" s="32">
        <f t="shared" si="38"/>
        <v>0</v>
      </c>
      <c r="J601" s="32">
        <f t="shared" si="39"/>
        <v>0</v>
      </c>
      <c r="K601" s="11"/>
      <c r="M601" s="12"/>
      <c r="N601" s="12"/>
    </row>
    <row r="602" spans="2:14" ht="21.95" customHeight="1" x14ac:dyDescent="0.25">
      <c r="B602" s="30"/>
      <c r="C602" s="14" t="str">
        <f t="shared" si="36"/>
        <v/>
      </c>
      <c r="D602" s="11"/>
      <c r="E602" s="14" t="str">
        <f>IF(D602="","",IFERROR(VLOOKUP(D602,Categorias!$B$5:$C$200,2,FALSE),"Revisar"))</f>
        <v/>
      </c>
      <c r="F602" s="11"/>
      <c r="G602" s="31"/>
      <c r="H602" s="32">
        <f t="shared" si="37"/>
        <v>0</v>
      </c>
      <c r="I602" s="32">
        <f t="shared" si="38"/>
        <v>0</v>
      </c>
      <c r="J602" s="32">
        <f t="shared" si="39"/>
        <v>0</v>
      </c>
      <c r="K602" s="11"/>
      <c r="M602" s="12"/>
      <c r="N602" s="12"/>
    </row>
    <row r="603" spans="2:14" ht="21.95" customHeight="1" x14ac:dyDescent="0.25">
      <c r="B603" s="30"/>
      <c r="C603" s="14" t="str">
        <f t="shared" si="36"/>
        <v/>
      </c>
      <c r="D603" s="11"/>
      <c r="E603" s="14" t="str">
        <f>IF(D603="","",IFERROR(VLOOKUP(D603,Categorias!$B$5:$C$200,2,FALSE),"Revisar"))</f>
        <v/>
      </c>
      <c r="F603" s="11"/>
      <c r="G603" s="31"/>
      <c r="H603" s="32">
        <f t="shared" si="37"/>
        <v>0</v>
      </c>
      <c r="I603" s="32">
        <f t="shared" si="38"/>
        <v>0</v>
      </c>
      <c r="J603" s="32">
        <f t="shared" si="39"/>
        <v>0</v>
      </c>
      <c r="K603" s="11"/>
      <c r="M603" s="12"/>
      <c r="N603" s="12"/>
    </row>
    <row r="604" spans="2:14" ht="21.95" customHeight="1" x14ac:dyDescent="0.25">
      <c r="B604" s="30"/>
      <c r="C604" s="14" t="str">
        <f t="shared" si="36"/>
        <v/>
      </c>
      <c r="D604" s="11"/>
      <c r="E604" s="14" t="str">
        <f>IF(D604="","",IFERROR(VLOOKUP(D604,Categorias!$B$5:$C$200,2,FALSE),"Revisar"))</f>
        <v/>
      </c>
      <c r="F604" s="11"/>
      <c r="G604" s="31"/>
      <c r="H604" s="32">
        <f t="shared" si="37"/>
        <v>0</v>
      </c>
      <c r="I604" s="32">
        <f t="shared" si="38"/>
        <v>0</v>
      </c>
      <c r="J604" s="32">
        <f t="shared" si="39"/>
        <v>0</v>
      </c>
      <c r="K604" s="11"/>
      <c r="M604" s="12"/>
      <c r="N604" s="12"/>
    </row>
    <row r="605" spans="2:14" ht="21.95" customHeight="1" x14ac:dyDescent="0.25">
      <c r="B605" s="30"/>
      <c r="C605" s="14" t="str">
        <f t="shared" si="36"/>
        <v/>
      </c>
      <c r="D605" s="11"/>
      <c r="E605" s="14" t="str">
        <f>IF(D605="","",IFERROR(VLOOKUP(D605,Categorias!$B$5:$C$200,2,FALSE),"Revisar"))</f>
        <v/>
      </c>
      <c r="F605" s="11"/>
      <c r="G605" s="31"/>
      <c r="H605" s="32">
        <f t="shared" si="37"/>
        <v>0</v>
      </c>
      <c r="I605" s="32">
        <f t="shared" si="38"/>
        <v>0</v>
      </c>
      <c r="J605" s="32">
        <f t="shared" si="39"/>
        <v>0</v>
      </c>
      <c r="K605" s="11"/>
      <c r="M605" s="12"/>
      <c r="N605" s="12"/>
    </row>
    <row r="606" spans="2:14" ht="21.95" customHeight="1" x14ac:dyDescent="0.25">
      <c r="B606" s="30"/>
      <c r="C606" s="14" t="str">
        <f t="shared" si="36"/>
        <v/>
      </c>
      <c r="D606" s="11"/>
      <c r="E606" s="14" t="str">
        <f>IF(D606="","",IFERROR(VLOOKUP(D606,Categorias!$B$5:$C$200,2,FALSE),"Revisar"))</f>
        <v/>
      </c>
      <c r="F606" s="11"/>
      <c r="G606" s="31"/>
      <c r="H606" s="32">
        <f t="shared" si="37"/>
        <v>0</v>
      </c>
      <c r="I606" s="32">
        <f t="shared" si="38"/>
        <v>0</v>
      </c>
      <c r="J606" s="32">
        <f t="shared" si="39"/>
        <v>0</v>
      </c>
      <c r="K606" s="11"/>
      <c r="M606" s="12"/>
      <c r="N606" s="12"/>
    </row>
    <row r="607" spans="2:14" ht="21.95" customHeight="1" x14ac:dyDescent="0.25">
      <c r="B607" s="30"/>
      <c r="C607" s="14" t="str">
        <f t="shared" si="36"/>
        <v/>
      </c>
      <c r="D607" s="11"/>
      <c r="E607" s="14" t="str">
        <f>IF(D607="","",IFERROR(VLOOKUP(D607,Categorias!$B$5:$C$200,2,FALSE),"Revisar"))</f>
        <v/>
      </c>
      <c r="F607" s="11"/>
      <c r="G607" s="31"/>
      <c r="H607" s="32">
        <f t="shared" si="37"/>
        <v>0</v>
      </c>
      <c r="I607" s="32">
        <f t="shared" si="38"/>
        <v>0</v>
      </c>
      <c r="J607" s="32">
        <f t="shared" si="39"/>
        <v>0</v>
      </c>
      <c r="K607" s="11"/>
      <c r="M607" s="12"/>
      <c r="N607" s="12"/>
    </row>
    <row r="608" spans="2:14" ht="21.95" customHeight="1" x14ac:dyDescent="0.25">
      <c r="B608" s="30"/>
      <c r="C608" s="14" t="str">
        <f t="shared" si="36"/>
        <v/>
      </c>
      <c r="D608" s="11"/>
      <c r="E608" s="14" t="str">
        <f>IF(D608="","",IFERROR(VLOOKUP(D608,Categorias!$B$5:$C$200,2,FALSE),"Revisar"))</f>
        <v/>
      </c>
      <c r="F608" s="11"/>
      <c r="G608" s="31"/>
      <c r="H608" s="32">
        <f t="shared" si="37"/>
        <v>0</v>
      </c>
      <c r="I608" s="32">
        <f t="shared" si="38"/>
        <v>0</v>
      </c>
      <c r="J608" s="32">
        <f t="shared" si="39"/>
        <v>0</v>
      </c>
      <c r="K608" s="11"/>
      <c r="M608" s="12"/>
      <c r="N608" s="12"/>
    </row>
    <row r="609" spans="2:14" ht="21.95" customHeight="1" x14ac:dyDescent="0.25">
      <c r="B609" s="30"/>
      <c r="C609" s="14" t="str">
        <f t="shared" si="36"/>
        <v/>
      </c>
      <c r="D609" s="11"/>
      <c r="E609" s="14" t="str">
        <f>IF(D609="","",IFERROR(VLOOKUP(D609,Categorias!$B$5:$C$200,2,FALSE),"Revisar"))</f>
        <v/>
      </c>
      <c r="F609" s="11"/>
      <c r="G609" s="31"/>
      <c r="H609" s="32">
        <f t="shared" si="37"/>
        <v>0</v>
      </c>
      <c r="I609" s="32">
        <f t="shared" si="38"/>
        <v>0</v>
      </c>
      <c r="J609" s="32">
        <f t="shared" si="39"/>
        <v>0</v>
      </c>
      <c r="K609" s="11"/>
      <c r="M609" s="12"/>
      <c r="N609" s="12"/>
    </row>
    <row r="610" spans="2:14" ht="21.95" customHeight="1" x14ac:dyDescent="0.25">
      <c r="B610" s="30"/>
      <c r="C610" s="14" t="str">
        <f t="shared" si="36"/>
        <v/>
      </c>
      <c r="D610" s="11"/>
      <c r="E610" s="14" t="str">
        <f>IF(D610="","",IFERROR(VLOOKUP(D610,Categorias!$B$5:$C$200,2,FALSE),"Revisar"))</f>
        <v/>
      </c>
      <c r="F610" s="11"/>
      <c r="G610" s="31"/>
      <c r="H610" s="32">
        <f t="shared" si="37"/>
        <v>0</v>
      </c>
      <c r="I610" s="32">
        <f t="shared" si="38"/>
        <v>0</v>
      </c>
      <c r="J610" s="32">
        <f t="shared" si="39"/>
        <v>0</v>
      </c>
      <c r="K610" s="11"/>
      <c r="M610" s="12"/>
      <c r="N610" s="12"/>
    </row>
    <row r="611" spans="2:14" ht="21.95" customHeight="1" x14ac:dyDescent="0.25">
      <c r="B611" s="30"/>
      <c r="C611" s="14" t="str">
        <f t="shared" si="36"/>
        <v/>
      </c>
      <c r="D611" s="11"/>
      <c r="E611" s="14" t="str">
        <f>IF(D611="","",IFERROR(VLOOKUP(D611,Categorias!$B$5:$C$200,2,FALSE),"Revisar"))</f>
        <v/>
      </c>
      <c r="F611" s="11"/>
      <c r="G611" s="31"/>
      <c r="H611" s="32">
        <f t="shared" si="37"/>
        <v>0</v>
      </c>
      <c r="I611" s="32">
        <f t="shared" si="38"/>
        <v>0</v>
      </c>
      <c r="J611" s="32">
        <f t="shared" si="39"/>
        <v>0</v>
      </c>
      <c r="K611" s="11"/>
      <c r="M611" s="12"/>
      <c r="N611" s="12"/>
    </row>
    <row r="612" spans="2:14" ht="21.95" customHeight="1" x14ac:dyDescent="0.25">
      <c r="B612" s="30"/>
      <c r="C612" s="14" t="str">
        <f t="shared" si="36"/>
        <v/>
      </c>
      <c r="D612" s="11"/>
      <c r="E612" s="14" t="str">
        <f>IF(D612="","",IFERROR(VLOOKUP(D612,Categorias!$B$5:$C$200,2,FALSE),"Revisar"))</f>
        <v/>
      </c>
      <c r="F612" s="11"/>
      <c r="G612" s="31"/>
      <c r="H612" s="32">
        <f t="shared" si="37"/>
        <v>0</v>
      </c>
      <c r="I612" s="32">
        <f t="shared" si="38"/>
        <v>0</v>
      </c>
      <c r="J612" s="32">
        <f t="shared" si="39"/>
        <v>0</v>
      </c>
      <c r="K612" s="11"/>
      <c r="M612" s="12"/>
      <c r="N612" s="12"/>
    </row>
    <row r="613" spans="2:14" ht="21.95" customHeight="1" x14ac:dyDescent="0.25">
      <c r="B613" s="30"/>
      <c r="C613" s="14" t="str">
        <f t="shared" si="36"/>
        <v/>
      </c>
      <c r="D613" s="11"/>
      <c r="E613" s="14" t="str">
        <f>IF(D613="","",IFERROR(VLOOKUP(D613,Categorias!$B$5:$C$200,2,FALSE),"Revisar"))</f>
        <v/>
      </c>
      <c r="F613" s="11"/>
      <c r="G613" s="31"/>
      <c r="H613" s="32">
        <f t="shared" si="37"/>
        <v>0</v>
      </c>
      <c r="I613" s="32">
        <f t="shared" si="38"/>
        <v>0</v>
      </c>
      <c r="J613" s="32">
        <f t="shared" si="39"/>
        <v>0</v>
      </c>
      <c r="K613" s="11"/>
      <c r="M613" s="12"/>
      <c r="N613" s="12"/>
    </row>
    <row r="614" spans="2:14" ht="21.95" customHeight="1" x14ac:dyDescent="0.25">
      <c r="B614" s="30"/>
      <c r="C614" s="14" t="str">
        <f t="shared" si="36"/>
        <v/>
      </c>
      <c r="D614" s="11"/>
      <c r="E614" s="14" t="str">
        <f>IF(D614="","",IFERROR(VLOOKUP(D614,Categorias!$B$5:$C$200,2,FALSE),"Revisar"))</f>
        <v/>
      </c>
      <c r="F614" s="11"/>
      <c r="G614" s="31"/>
      <c r="H614" s="32">
        <f t="shared" si="37"/>
        <v>0</v>
      </c>
      <c r="I614" s="32">
        <f t="shared" si="38"/>
        <v>0</v>
      </c>
      <c r="J614" s="32">
        <f t="shared" si="39"/>
        <v>0</v>
      </c>
      <c r="K614" s="11"/>
      <c r="M614" s="12"/>
      <c r="N614" s="12"/>
    </row>
    <row r="615" spans="2:14" ht="21.95" customHeight="1" x14ac:dyDescent="0.25">
      <c r="B615" s="30"/>
      <c r="C615" s="14" t="str">
        <f t="shared" si="36"/>
        <v/>
      </c>
      <c r="D615" s="11"/>
      <c r="E615" s="14" t="str">
        <f>IF(D615="","",IFERROR(VLOOKUP(D615,Categorias!$B$5:$C$200,2,FALSE),"Revisar"))</f>
        <v/>
      </c>
      <c r="F615" s="11"/>
      <c r="G615" s="31"/>
      <c r="H615" s="32">
        <f t="shared" si="37"/>
        <v>0</v>
      </c>
      <c r="I615" s="32">
        <f t="shared" si="38"/>
        <v>0</v>
      </c>
      <c r="J615" s="32">
        <f t="shared" si="39"/>
        <v>0</v>
      </c>
      <c r="K615" s="11"/>
      <c r="M615" s="12"/>
      <c r="N615" s="12"/>
    </row>
    <row r="616" spans="2:14" ht="21.95" customHeight="1" x14ac:dyDescent="0.25">
      <c r="B616" s="30"/>
      <c r="C616" s="14" t="str">
        <f t="shared" si="36"/>
        <v/>
      </c>
      <c r="D616" s="11"/>
      <c r="E616" s="14" t="str">
        <f>IF(D616="","",IFERROR(VLOOKUP(D616,Categorias!$B$5:$C$200,2,FALSE),"Revisar"))</f>
        <v/>
      </c>
      <c r="F616" s="11"/>
      <c r="G616" s="31"/>
      <c r="H616" s="32">
        <f t="shared" si="37"/>
        <v>0</v>
      </c>
      <c r="I616" s="32">
        <f t="shared" si="38"/>
        <v>0</v>
      </c>
      <c r="J616" s="32">
        <f t="shared" si="39"/>
        <v>0</v>
      </c>
      <c r="K616" s="11"/>
      <c r="M616" s="12"/>
      <c r="N616" s="12"/>
    </row>
    <row r="617" spans="2:14" ht="21.95" customHeight="1" x14ac:dyDescent="0.25">
      <c r="B617" s="30"/>
      <c r="C617" s="14" t="str">
        <f t="shared" si="36"/>
        <v/>
      </c>
      <c r="D617" s="11"/>
      <c r="E617" s="14" t="str">
        <f>IF(D617="","",IFERROR(VLOOKUP(D617,Categorias!$B$5:$C$200,2,FALSE),"Revisar"))</f>
        <v/>
      </c>
      <c r="F617" s="11"/>
      <c r="G617" s="31"/>
      <c r="H617" s="32">
        <f t="shared" si="37"/>
        <v>0</v>
      </c>
      <c r="I617" s="32">
        <f t="shared" si="38"/>
        <v>0</v>
      </c>
      <c r="J617" s="32">
        <f t="shared" si="39"/>
        <v>0</v>
      </c>
      <c r="K617" s="11"/>
      <c r="M617" s="12"/>
      <c r="N617" s="12"/>
    </row>
    <row r="618" spans="2:14" ht="21.95" customHeight="1" x14ac:dyDescent="0.25">
      <c r="B618" s="30"/>
      <c r="C618" s="14" t="str">
        <f t="shared" si="36"/>
        <v/>
      </c>
      <c r="D618" s="11"/>
      <c r="E618" s="14" t="str">
        <f>IF(D618="","",IFERROR(VLOOKUP(D618,Categorias!$B$5:$C$200,2,FALSE),"Revisar"))</f>
        <v/>
      </c>
      <c r="F618" s="11"/>
      <c r="G618" s="31"/>
      <c r="H618" s="32">
        <f t="shared" si="37"/>
        <v>0</v>
      </c>
      <c r="I618" s="32">
        <f t="shared" si="38"/>
        <v>0</v>
      </c>
      <c r="J618" s="32">
        <f t="shared" si="39"/>
        <v>0</v>
      </c>
      <c r="K618" s="11"/>
      <c r="M618" s="12"/>
      <c r="N618" s="12"/>
    </row>
    <row r="619" spans="2:14" ht="21.95" customHeight="1" x14ac:dyDescent="0.25">
      <c r="B619" s="30"/>
      <c r="C619" s="14" t="str">
        <f t="shared" si="36"/>
        <v/>
      </c>
      <c r="D619" s="11"/>
      <c r="E619" s="14" t="str">
        <f>IF(D619="","",IFERROR(VLOOKUP(D619,Categorias!$B$5:$C$200,2,FALSE),"Revisar"))</f>
        <v/>
      </c>
      <c r="F619" s="11"/>
      <c r="G619" s="31"/>
      <c r="H619" s="32">
        <f t="shared" si="37"/>
        <v>0</v>
      </c>
      <c r="I619" s="32">
        <f t="shared" si="38"/>
        <v>0</v>
      </c>
      <c r="J619" s="32">
        <f t="shared" si="39"/>
        <v>0</v>
      </c>
      <c r="K619" s="11"/>
      <c r="M619" s="12"/>
      <c r="N619" s="12"/>
    </row>
    <row r="620" spans="2:14" ht="21.95" customHeight="1" x14ac:dyDescent="0.25">
      <c r="B620" s="30"/>
      <c r="C620" s="14" t="str">
        <f t="shared" si="36"/>
        <v/>
      </c>
      <c r="D620" s="11"/>
      <c r="E620" s="14" t="str">
        <f>IF(D620="","",IFERROR(VLOOKUP(D620,Categorias!$B$5:$C$200,2,FALSE),"Revisar"))</f>
        <v/>
      </c>
      <c r="F620" s="11"/>
      <c r="G620" s="31"/>
      <c r="H620" s="32">
        <f t="shared" si="37"/>
        <v>0</v>
      </c>
      <c r="I620" s="32">
        <f t="shared" si="38"/>
        <v>0</v>
      </c>
      <c r="J620" s="32">
        <f t="shared" si="39"/>
        <v>0</v>
      </c>
      <c r="K620" s="11"/>
      <c r="M620" s="12"/>
      <c r="N620" s="12"/>
    </row>
    <row r="621" spans="2:14" ht="21.95" customHeight="1" x14ac:dyDescent="0.25">
      <c r="B621" s="30"/>
      <c r="C621" s="14" t="str">
        <f t="shared" si="36"/>
        <v/>
      </c>
      <c r="D621" s="11"/>
      <c r="E621" s="14" t="str">
        <f>IF(D621="","",IFERROR(VLOOKUP(D621,Categorias!$B$5:$C$200,2,FALSE),"Revisar"))</f>
        <v/>
      </c>
      <c r="F621" s="11"/>
      <c r="G621" s="31"/>
      <c r="H621" s="32">
        <f t="shared" si="37"/>
        <v>0</v>
      </c>
      <c r="I621" s="32">
        <f t="shared" si="38"/>
        <v>0</v>
      </c>
      <c r="J621" s="32">
        <f t="shared" si="39"/>
        <v>0</v>
      </c>
      <c r="K621" s="11"/>
      <c r="M621" s="12"/>
      <c r="N621" s="12"/>
    </row>
    <row r="622" spans="2:14" ht="21.95" customHeight="1" x14ac:dyDescent="0.25">
      <c r="B622" s="30"/>
      <c r="C622" s="14" t="str">
        <f t="shared" si="36"/>
        <v/>
      </c>
      <c r="D622" s="11"/>
      <c r="E622" s="14" t="str">
        <f>IF(D622="","",IFERROR(VLOOKUP(D622,Categorias!$B$5:$C$200,2,FALSE),"Revisar"))</f>
        <v/>
      </c>
      <c r="F622" s="11"/>
      <c r="G622" s="31"/>
      <c r="H622" s="32">
        <f t="shared" si="37"/>
        <v>0</v>
      </c>
      <c r="I622" s="32">
        <f t="shared" si="38"/>
        <v>0</v>
      </c>
      <c r="J622" s="32">
        <f t="shared" si="39"/>
        <v>0</v>
      </c>
      <c r="K622" s="11"/>
      <c r="M622" s="12"/>
      <c r="N622" s="12"/>
    </row>
    <row r="623" spans="2:14" ht="21.95" customHeight="1" x14ac:dyDescent="0.25">
      <c r="B623" s="30"/>
      <c r="C623" s="14" t="str">
        <f t="shared" si="36"/>
        <v/>
      </c>
      <c r="D623" s="11"/>
      <c r="E623" s="14" t="str">
        <f>IF(D623="","",IFERROR(VLOOKUP(D623,Categorias!$B$5:$C$200,2,FALSE),"Revisar"))</f>
        <v/>
      </c>
      <c r="F623" s="11"/>
      <c r="G623" s="31"/>
      <c r="H623" s="32">
        <f t="shared" si="37"/>
        <v>0</v>
      </c>
      <c r="I623" s="32">
        <f t="shared" si="38"/>
        <v>0</v>
      </c>
      <c r="J623" s="32">
        <f t="shared" si="39"/>
        <v>0</v>
      </c>
      <c r="K623" s="11"/>
      <c r="M623" s="12"/>
      <c r="N623" s="12"/>
    </row>
    <row r="624" spans="2:14" ht="21.95" customHeight="1" x14ac:dyDescent="0.25">
      <c r="B624" s="30"/>
      <c r="C624" s="14" t="str">
        <f t="shared" si="36"/>
        <v/>
      </c>
      <c r="D624" s="11"/>
      <c r="E624" s="14" t="str">
        <f>IF(D624="","",IFERROR(VLOOKUP(D624,Categorias!$B$5:$C$200,2,FALSE),"Revisar"))</f>
        <v/>
      </c>
      <c r="F624" s="11"/>
      <c r="G624" s="31"/>
      <c r="H624" s="32">
        <f t="shared" si="37"/>
        <v>0</v>
      </c>
      <c r="I624" s="32">
        <f t="shared" si="38"/>
        <v>0</v>
      </c>
      <c r="J624" s="32">
        <f t="shared" si="39"/>
        <v>0</v>
      </c>
      <c r="K624" s="11"/>
      <c r="M624" s="12"/>
      <c r="N624" s="12"/>
    </row>
    <row r="625" spans="2:14" ht="21.95" customHeight="1" x14ac:dyDescent="0.25">
      <c r="B625" s="30"/>
      <c r="C625" s="14" t="str">
        <f t="shared" si="36"/>
        <v/>
      </c>
      <c r="D625" s="11"/>
      <c r="E625" s="14" t="str">
        <f>IF(D625="","",IFERROR(VLOOKUP(D625,Categorias!$B$5:$C$200,2,FALSE),"Revisar"))</f>
        <v/>
      </c>
      <c r="F625" s="11"/>
      <c r="G625" s="31"/>
      <c r="H625" s="32">
        <f t="shared" si="37"/>
        <v>0</v>
      </c>
      <c r="I625" s="32">
        <f t="shared" si="38"/>
        <v>0</v>
      </c>
      <c r="J625" s="32">
        <f t="shared" si="39"/>
        <v>0</v>
      </c>
      <c r="K625" s="11"/>
      <c r="M625" s="12"/>
      <c r="N625" s="12"/>
    </row>
    <row r="626" spans="2:14" ht="21.95" customHeight="1" x14ac:dyDescent="0.25">
      <c r="B626" s="30"/>
      <c r="C626" s="14" t="str">
        <f t="shared" si="36"/>
        <v/>
      </c>
      <c r="D626" s="11"/>
      <c r="E626" s="14" t="str">
        <f>IF(D626="","",IFERROR(VLOOKUP(D626,Categorias!$B$5:$C$200,2,FALSE),"Revisar"))</f>
        <v/>
      </c>
      <c r="F626" s="11"/>
      <c r="G626" s="31"/>
      <c r="H626" s="32">
        <f t="shared" si="37"/>
        <v>0</v>
      </c>
      <c r="I626" s="32">
        <f t="shared" si="38"/>
        <v>0</v>
      </c>
      <c r="J626" s="32">
        <f t="shared" si="39"/>
        <v>0</v>
      </c>
      <c r="K626" s="11"/>
      <c r="M626" s="12"/>
      <c r="N626" s="12"/>
    </row>
    <row r="627" spans="2:14" ht="21.95" customHeight="1" x14ac:dyDescent="0.25">
      <c r="B627" s="30"/>
      <c r="C627" s="14" t="str">
        <f t="shared" si="36"/>
        <v/>
      </c>
      <c r="D627" s="11"/>
      <c r="E627" s="14" t="str">
        <f>IF(D627="","",IFERROR(VLOOKUP(D627,Categorias!$B$5:$C$200,2,FALSE),"Revisar"))</f>
        <v/>
      </c>
      <c r="F627" s="11"/>
      <c r="G627" s="31"/>
      <c r="H627" s="32">
        <f t="shared" si="37"/>
        <v>0</v>
      </c>
      <c r="I627" s="32">
        <f t="shared" si="38"/>
        <v>0</v>
      </c>
      <c r="J627" s="32">
        <f t="shared" si="39"/>
        <v>0</v>
      </c>
      <c r="K627" s="11"/>
      <c r="M627" s="12"/>
      <c r="N627" s="12"/>
    </row>
    <row r="628" spans="2:14" ht="21.95" customHeight="1" x14ac:dyDescent="0.25">
      <c r="B628" s="30"/>
      <c r="C628" s="14" t="str">
        <f t="shared" si="36"/>
        <v/>
      </c>
      <c r="D628" s="11"/>
      <c r="E628" s="14" t="str">
        <f>IF(D628="","",IFERROR(VLOOKUP(D628,Categorias!$B$5:$C$200,2,FALSE),"Revisar"))</f>
        <v/>
      </c>
      <c r="F628" s="11"/>
      <c r="G628" s="31"/>
      <c r="H628" s="32">
        <f t="shared" si="37"/>
        <v>0</v>
      </c>
      <c r="I628" s="32">
        <f t="shared" si="38"/>
        <v>0</v>
      </c>
      <c r="J628" s="32">
        <f t="shared" si="39"/>
        <v>0</v>
      </c>
      <c r="K628" s="11"/>
      <c r="M628" s="12"/>
      <c r="N628" s="12"/>
    </row>
    <row r="629" spans="2:14" ht="21.95" customHeight="1" x14ac:dyDescent="0.25">
      <c r="B629" s="30"/>
      <c r="C629" s="14" t="str">
        <f t="shared" si="36"/>
        <v/>
      </c>
      <c r="D629" s="11"/>
      <c r="E629" s="14" t="str">
        <f>IF(D629="","",IFERROR(VLOOKUP(D629,Categorias!$B$5:$C$200,2,FALSE),"Revisar"))</f>
        <v/>
      </c>
      <c r="F629" s="11"/>
      <c r="G629" s="31"/>
      <c r="H629" s="32">
        <f t="shared" si="37"/>
        <v>0</v>
      </c>
      <c r="I629" s="32">
        <f t="shared" si="38"/>
        <v>0</v>
      </c>
      <c r="J629" s="32">
        <f t="shared" si="39"/>
        <v>0</v>
      </c>
      <c r="K629" s="11"/>
      <c r="M629" s="12"/>
      <c r="N629" s="12"/>
    </row>
    <row r="630" spans="2:14" ht="21.95" customHeight="1" x14ac:dyDescent="0.25">
      <c r="B630" s="30"/>
      <c r="C630" s="14" t="str">
        <f t="shared" si="36"/>
        <v/>
      </c>
      <c r="D630" s="11"/>
      <c r="E630" s="14" t="str">
        <f>IF(D630="","",IFERROR(VLOOKUP(D630,Categorias!$B$5:$C$200,2,FALSE),"Revisar"))</f>
        <v/>
      </c>
      <c r="F630" s="11"/>
      <c r="G630" s="31"/>
      <c r="H630" s="32">
        <f t="shared" si="37"/>
        <v>0</v>
      </c>
      <c r="I630" s="32">
        <f t="shared" si="38"/>
        <v>0</v>
      </c>
      <c r="J630" s="32">
        <f t="shared" si="39"/>
        <v>0</v>
      </c>
      <c r="K630" s="11"/>
      <c r="M630" s="12"/>
      <c r="N630" s="12"/>
    </row>
    <row r="631" spans="2:14" ht="21.95" customHeight="1" x14ac:dyDescent="0.25">
      <c r="B631" s="30"/>
      <c r="C631" s="14" t="str">
        <f t="shared" si="36"/>
        <v/>
      </c>
      <c r="D631" s="11"/>
      <c r="E631" s="14" t="str">
        <f>IF(D631="","",IFERROR(VLOOKUP(D631,Categorias!$B$5:$C$200,2,FALSE),"Revisar"))</f>
        <v/>
      </c>
      <c r="F631" s="11"/>
      <c r="G631" s="31"/>
      <c r="H631" s="32">
        <f t="shared" si="37"/>
        <v>0</v>
      </c>
      <c r="I631" s="32">
        <f t="shared" si="38"/>
        <v>0</v>
      </c>
      <c r="J631" s="32">
        <f t="shared" si="39"/>
        <v>0</v>
      </c>
      <c r="K631" s="11"/>
      <c r="M631" s="12"/>
      <c r="N631" s="12"/>
    </row>
    <row r="632" spans="2:14" ht="21.95" customHeight="1" x14ac:dyDescent="0.25">
      <c r="B632" s="30"/>
      <c r="C632" s="14" t="str">
        <f t="shared" si="36"/>
        <v/>
      </c>
      <c r="D632" s="11"/>
      <c r="E632" s="14" t="str">
        <f>IF(D632="","",IFERROR(VLOOKUP(D632,Categorias!$B$5:$C$200,2,FALSE),"Revisar"))</f>
        <v/>
      </c>
      <c r="F632" s="11"/>
      <c r="G632" s="31"/>
      <c r="H632" s="32">
        <f t="shared" si="37"/>
        <v>0</v>
      </c>
      <c r="I632" s="32">
        <f t="shared" si="38"/>
        <v>0</v>
      </c>
      <c r="J632" s="32">
        <f t="shared" si="39"/>
        <v>0</v>
      </c>
      <c r="K632" s="11"/>
      <c r="M632" s="12"/>
      <c r="N632" s="12"/>
    </row>
    <row r="633" spans="2:14" ht="21.95" customHeight="1" x14ac:dyDescent="0.25">
      <c r="B633" s="30"/>
      <c r="C633" s="14" t="str">
        <f t="shared" si="36"/>
        <v/>
      </c>
      <c r="D633" s="11"/>
      <c r="E633" s="14" t="str">
        <f>IF(D633="","",IFERROR(VLOOKUP(D633,Categorias!$B$5:$C$200,2,FALSE),"Revisar"))</f>
        <v/>
      </c>
      <c r="F633" s="11"/>
      <c r="G633" s="31"/>
      <c r="H633" s="32">
        <f t="shared" si="37"/>
        <v>0</v>
      </c>
      <c r="I633" s="32">
        <f t="shared" si="38"/>
        <v>0</v>
      </c>
      <c r="J633" s="32">
        <f t="shared" si="39"/>
        <v>0</v>
      </c>
      <c r="K633" s="11"/>
      <c r="M633" s="12"/>
      <c r="N633" s="12"/>
    </row>
    <row r="634" spans="2:14" ht="21.95" customHeight="1" x14ac:dyDescent="0.25">
      <c r="B634" s="30"/>
      <c r="C634" s="14" t="str">
        <f t="shared" si="36"/>
        <v/>
      </c>
      <c r="D634" s="11"/>
      <c r="E634" s="14" t="str">
        <f>IF(D634="","",IFERROR(VLOOKUP(D634,Categorias!$B$5:$C$200,2,FALSE),"Revisar"))</f>
        <v/>
      </c>
      <c r="F634" s="11"/>
      <c r="G634" s="31"/>
      <c r="H634" s="32">
        <f t="shared" si="37"/>
        <v>0</v>
      </c>
      <c r="I634" s="32">
        <f t="shared" si="38"/>
        <v>0</v>
      </c>
      <c r="J634" s="32">
        <f t="shared" si="39"/>
        <v>0</v>
      </c>
      <c r="K634" s="11"/>
      <c r="M634" s="12"/>
      <c r="N634" s="12"/>
    </row>
    <row r="635" spans="2:14" ht="21.95" customHeight="1" x14ac:dyDescent="0.25">
      <c r="B635" s="30"/>
      <c r="C635" s="14" t="str">
        <f t="shared" si="36"/>
        <v/>
      </c>
      <c r="D635" s="11"/>
      <c r="E635" s="14" t="str">
        <f>IF(D635="","",IFERROR(VLOOKUP(D635,Categorias!$B$5:$C$200,2,FALSE),"Revisar"))</f>
        <v/>
      </c>
      <c r="F635" s="11"/>
      <c r="G635" s="31"/>
      <c r="H635" s="32">
        <f t="shared" si="37"/>
        <v>0</v>
      </c>
      <c r="I635" s="32">
        <f t="shared" si="38"/>
        <v>0</v>
      </c>
      <c r="J635" s="32">
        <f t="shared" si="39"/>
        <v>0</v>
      </c>
      <c r="K635" s="11"/>
      <c r="M635" s="12"/>
      <c r="N635" s="12"/>
    </row>
    <row r="636" spans="2:14" ht="21.95" customHeight="1" x14ac:dyDescent="0.25">
      <c r="B636" s="30"/>
      <c r="C636" s="14" t="str">
        <f t="shared" si="36"/>
        <v/>
      </c>
      <c r="D636" s="11"/>
      <c r="E636" s="14" t="str">
        <f>IF(D636="","",IFERROR(VLOOKUP(D636,Categorias!$B$5:$C$200,2,FALSE),"Revisar"))</f>
        <v/>
      </c>
      <c r="F636" s="11"/>
      <c r="G636" s="31"/>
      <c r="H636" s="32">
        <f t="shared" si="37"/>
        <v>0</v>
      </c>
      <c r="I636" s="32">
        <f t="shared" si="38"/>
        <v>0</v>
      </c>
      <c r="J636" s="32">
        <f t="shared" si="39"/>
        <v>0</v>
      </c>
      <c r="K636" s="11"/>
      <c r="M636" s="12"/>
      <c r="N636" s="12"/>
    </row>
    <row r="637" spans="2:14" ht="21.95" customHeight="1" x14ac:dyDescent="0.25">
      <c r="B637" s="30"/>
      <c r="C637" s="14" t="str">
        <f t="shared" si="36"/>
        <v/>
      </c>
      <c r="D637" s="11"/>
      <c r="E637" s="14" t="str">
        <f>IF(D637="","",IFERROR(VLOOKUP(D637,Categorias!$B$5:$C$200,2,FALSE),"Revisar"))</f>
        <v/>
      </c>
      <c r="F637" s="11"/>
      <c r="G637" s="31"/>
      <c r="H637" s="32">
        <f t="shared" si="37"/>
        <v>0</v>
      </c>
      <c r="I637" s="32">
        <f t="shared" si="38"/>
        <v>0</v>
      </c>
      <c r="J637" s="32">
        <f t="shared" si="39"/>
        <v>0</v>
      </c>
      <c r="K637" s="11"/>
      <c r="M637" s="12"/>
      <c r="N637" s="12"/>
    </row>
    <row r="638" spans="2:14" ht="21.95" customHeight="1" x14ac:dyDescent="0.25">
      <c r="B638" s="30"/>
      <c r="C638" s="14" t="str">
        <f t="shared" si="36"/>
        <v/>
      </c>
      <c r="D638" s="11"/>
      <c r="E638" s="14" t="str">
        <f>IF(D638="","",IFERROR(VLOOKUP(D638,Categorias!$B$5:$C$200,2,FALSE),"Revisar"))</f>
        <v/>
      </c>
      <c r="F638" s="11"/>
      <c r="G638" s="31"/>
      <c r="H638" s="32">
        <f t="shared" si="37"/>
        <v>0</v>
      </c>
      <c r="I638" s="32">
        <f t="shared" si="38"/>
        <v>0</v>
      </c>
      <c r="J638" s="32">
        <f t="shared" si="39"/>
        <v>0</v>
      </c>
      <c r="K638" s="11"/>
      <c r="M638" s="12"/>
      <c r="N638" s="12"/>
    </row>
    <row r="639" spans="2:14" ht="21.95" customHeight="1" x14ac:dyDescent="0.25">
      <c r="B639" s="30"/>
      <c r="C639" s="14" t="str">
        <f t="shared" si="36"/>
        <v/>
      </c>
      <c r="D639" s="11"/>
      <c r="E639" s="14" t="str">
        <f>IF(D639="","",IFERROR(VLOOKUP(D639,Categorias!$B$5:$C$200,2,FALSE),"Revisar"))</f>
        <v/>
      </c>
      <c r="F639" s="11"/>
      <c r="G639" s="31"/>
      <c r="H639" s="32">
        <f t="shared" si="37"/>
        <v>0</v>
      </c>
      <c r="I639" s="32">
        <f t="shared" si="38"/>
        <v>0</v>
      </c>
      <c r="J639" s="32">
        <f t="shared" si="39"/>
        <v>0</v>
      </c>
      <c r="K639" s="11"/>
      <c r="M639" s="12"/>
      <c r="N639" s="12"/>
    </row>
    <row r="640" spans="2:14" ht="21.95" customHeight="1" x14ac:dyDescent="0.25">
      <c r="B640" s="30"/>
      <c r="C640" s="14" t="str">
        <f t="shared" si="36"/>
        <v/>
      </c>
      <c r="D640" s="11"/>
      <c r="E640" s="14" t="str">
        <f>IF(D640="","",IFERROR(VLOOKUP(D640,Categorias!$B$5:$C$200,2,FALSE),"Revisar"))</f>
        <v/>
      </c>
      <c r="F640" s="11"/>
      <c r="G640" s="31"/>
      <c r="H640" s="32">
        <f t="shared" si="37"/>
        <v>0</v>
      </c>
      <c r="I640" s="32">
        <f t="shared" si="38"/>
        <v>0</v>
      </c>
      <c r="J640" s="32">
        <f t="shared" si="39"/>
        <v>0</v>
      </c>
      <c r="K640" s="11"/>
      <c r="M640" s="12"/>
      <c r="N640" s="12"/>
    </row>
    <row r="641" spans="2:14" ht="21.95" customHeight="1" x14ac:dyDescent="0.25">
      <c r="B641" s="30"/>
      <c r="C641" s="14" t="str">
        <f t="shared" si="36"/>
        <v/>
      </c>
      <c r="D641" s="11"/>
      <c r="E641" s="14" t="str">
        <f>IF(D641="","",IFERROR(VLOOKUP(D641,Categorias!$B$5:$C$200,2,FALSE),"Revisar"))</f>
        <v/>
      </c>
      <c r="F641" s="11"/>
      <c r="G641" s="31"/>
      <c r="H641" s="32">
        <f t="shared" si="37"/>
        <v>0</v>
      </c>
      <c r="I641" s="32">
        <f t="shared" si="38"/>
        <v>0</v>
      </c>
      <c r="J641" s="32">
        <f t="shared" si="39"/>
        <v>0</v>
      </c>
      <c r="K641" s="11"/>
      <c r="M641" s="12"/>
      <c r="N641" s="12"/>
    </row>
    <row r="642" spans="2:14" ht="21.95" customHeight="1" x14ac:dyDescent="0.25">
      <c r="B642" s="30"/>
      <c r="C642" s="14" t="str">
        <f t="shared" si="36"/>
        <v/>
      </c>
      <c r="D642" s="11"/>
      <c r="E642" s="14" t="str">
        <f>IF(D642="","",IFERROR(VLOOKUP(D642,Categorias!$B$5:$C$200,2,FALSE),"Revisar"))</f>
        <v/>
      </c>
      <c r="F642" s="11"/>
      <c r="G642" s="31"/>
      <c r="H642" s="32">
        <f t="shared" si="37"/>
        <v>0</v>
      </c>
      <c r="I642" s="32">
        <f t="shared" si="38"/>
        <v>0</v>
      </c>
      <c r="J642" s="32">
        <f t="shared" si="39"/>
        <v>0</v>
      </c>
      <c r="K642" s="11"/>
      <c r="M642" s="12"/>
      <c r="N642" s="12"/>
    </row>
    <row r="643" spans="2:14" ht="21.95" customHeight="1" x14ac:dyDescent="0.25">
      <c r="B643" s="30"/>
      <c r="C643" s="14" t="str">
        <f t="shared" si="36"/>
        <v/>
      </c>
      <c r="D643" s="11"/>
      <c r="E643" s="14" t="str">
        <f>IF(D643="","",IFERROR(VLOOKUP(D643,Categorias!$B$5:$C$200,2,FALSE),"Revisar"))</f>
        <v/>
      </c>
      <c r="F643" s="11"/>
      <c r="G643" s="31"/>
      <c r="H643" s="32">
        <f t="shared" si="37"/>
        <v>0</v>
      </c>
      <c r="I643" s="32">
        <f t="shared" si="38"/>
        <v>0</v>
      </c>
      <c r="J643" s="32">
        <f t="shared" si="39"/>
        <v>0</v>
      </c>
      <c r="K643" s="11"/>
      <c r="M643" s="12"/>
      <c r="N643" s="12"/>
    </row>
    <row r="644" spans="2:14" ht="21.95" customHeight="1" x14ac:dyDescent="0.25">
      <c r="B644" s="30"/>
      <c r="C644" s="14" t="str">
        <f t="shared" si="36"/>
        <v/>
      </c>
      <c r="D644" s="11"/>
      <c r="E644" s="14" t="str">
        <f>IF(D644="","",IFERROR(VLOOKUP(D644,Categorias!$B$5:$C$200,2,FALSE),"Revisar"))</f>
        <v/>
      </c>
      <c r="F644" s="11"/>
      <c r="G644" s="31"/>
      <c r="H644" s="32">
        <f t="shared" si="37"/>
        <v>0</v>
      </c>
      <c r="I644" s="32">
        <f t="shared" si="38"/>
        <v>0</v>
      </c>
      <c r="J644" s="32">
        <f t="shared" si="39"/>
        <v>0</v>
      </c>
      <c r="K644" s="11"/>
      <c r="M644" s="12"/>
      <c r="N644" s="12"/>
    </row>
    <row r="645" spans="2:14" ht="21.95" customHeight="1" x14ac:dyDescent="0.25">
      <c r="B645" s="30"/>
      <c r="C645" s="14" t="str">
        <f t="shared" si="36"/>
        <v/>
      </c>
      <c r="D645" s="11"/>
      <c r="E645" s="14" t="str">
        <f>IF(D645="","",IFERROR(VLOOKUP(D645,Categorias!$B$5:$C$200,2,FALSE),"Revisar"))</f>
        <v/>
      </c>
      <c r="F645" s="11"/>
      <c r="G645" s="31"/>
      <c r="H645" s="32">
        <f t="shared" si="37"/>
        <v>0</v>
      </c>
      <c r="I645" s="32">
        <f t="shared" si="38"/>
        <v>0</v>
      </c>
      <c r="J645" s="32">
        <f t="shared" si="39"/>
        <v>0</v>
      </c>
      <c r="K645" s="11"/>
      <c r="M645" s="12"/>
      <c r="N645" s="12"/>
    </row>
    <row r="646" spans="2:14" ht="21.95" customHeight="1" x14ac:dyDescent="0.25">
      <c r="B646" s="30"/>
      <c r="C646" s="14" t="str">
        <f t="shared" si="36"/>
        <v/>
      </c>
      <c r="D646" s="11"/>
      <c r="E646" s="14" t="str">
        <f>IF(D646="","",IFERROR(VLOOKUP(D646,Categorias!$B$5:$C$200,2,FALSE),"Revisar"))</f>
        <v/>
      </c>
      <c r="F646" s="11"/>
      <c r="G646" s="31"/>
      <c r="H646" s="32">
        <f t="shared" si="37"/>
        <v>0</v>
      </c>
      <c r="I646" s="32">
        <f t="shared" si="38"/>
        <v>0</v>
      </c>
      <c r="J646" s="32">
        <f t="shared" si="39"/>
        <v>0</v>
      </c>
      <c r="K646" s="11"/>
      <c r="M646" s="12"/>
      <c r="N646" s="12"/>
    </row>
    <row r="647" spans="2:14" ht="21.95" customHeight="1" x14ac:dyDescent="0.25">
      <c r="B647" s="30"/>
      <c r="C647" s="14" t="str">
        <f t="shared" si="36"/>
        <v/>
      </c>
      <c r="D647" s="11"/>
      <c r="E647" s="14" t="str">
        <f>IF(D647="","",IFERROR(VLOOKUP(D647,Categorias!$B$5:$C$200,2,FALSE),"Revisar"))</f>
        <v/>
      </c>
      <c r="F647" s="11"/>
      <c r="G647" s="31"/>
      <c r="H647" s="32">
        <f t="shared" si="37"/>
        <v>0</v>
      </c>
      <c r="I647" s="32">
        <f t="shared" si="38"/>
        <v>0</v>
      </c>
      <c r="J647" s="32">
        <f t="shared" si="39"/>
        <v>0</v>
      </c>
      <c r="K647" s="11"/>
      <c r="M647" s="12"/>
      <c r="N647" s="12"/>
    </row>
    <row r="648" spans="2:14" ht="21.95" customHeight="1" x14ac:dyDescent="0.25">
      <c r="B648" s="30"/>
      <c r="C648" s="14" t="str">
        <f t="shared" si="36"/>
        <v/>
      </c>
      <c r="D648" s="11"/>
      <c r="E648" s="14" t="str">
        <f>IF(D648="","",IFERROR(VLOOKUP(D648,Categorias!$B$5:$C$200,2,FALSE),"Revisar"))</f>
        <v/>
      </c>
      <c r="F648" s="11"/>
      <c r="G648" s="31"/>
      <c r="H648" s="32">
        <f t="shared" si="37"/>
        <v>0</v>
      </c>
      <c r="I648" s="32">
        <f t="shared" si="38"/>
        <v>0</v>
      </c>
      <c r="J648" s="32">
        <f t="shared" si="39"/>
        <v>0</v>
      </c>
      <c r="K648" s="11"/>
      <c r="M648" s="12"/>
      <c r="N648" s="12"/>
    </row>
    <row r="649" spans="2:14" ht="21.95" customHeight="1" x14ac:dyDescent="0.25">
      <c r="B649" s="30"/>
      <c r="C649" s="14" t="str">
        <f t="shared" ref="C649:C712" si="40">IF(B649="","",CHOOSE(MONTH(B649),"Enero","Febrero","Marzo","Abril","Mayo","Junio","Julio","Agosto","Septiembre","Octubre","Noviembre","Diciembre"))</f>
        <v/>
      </c>
      <c r="D649" s="11"/>
      <c r="E649" s="14" t="str">
        <f>IF(D649="","",IFERROR(VLOOKUP(D649,Categorias!$B$5:$C$200,2,FALSE),"Revisar"))</f>
        <v/>
      </c>
      <c r="F649" s="11"/>
      <c r="G649" s="31"/>
      <c r="H649" s="32">
        <f t="shared" ref="H649:H712" si="41">IF($E649="Ingreso",$G649,0)</f>
        <v>0</v>
      </c>
      <c r="I649" s="32">
        <f t="shared" ref="I649:I712" si="42">IF($E649="Gasto",$G649,0)</f>
        <v>0</v>
      </c>
      <c r="J649" s="32">
        <f t="shared" ref="J649:J712" si="43">IF($E649="Reserva",$G649,0)</f>
        <v>0</v>
      </c>
      <c r="K649" s="11"/>
      <c r="M649" s="12"/>
      <c r="N649" s="12"/>
    </row>
    <row r="650" spans="2:14" ht="21.95" customHeight="1" x14ac:dyDescent="0.25">
      <c r="B650" s="30"/>
      <c r="C650" s="14" t="str">
        <f t="shared" si="40"/>
        <v/>
      </c>
      <c r="D650" s="11"/>
      <c r="E650" s="14" t="str">
        <f>IF(D650="","",IFERROR(VLOOKUP(D650,Categorias!$B$5:$C$200,2,FALSE),"Revisar"))</f>
        <v/>
      </c>
      <c r="F650" s="11"/>
      <c r="G650" s="31"/>
      <c r="H650" s="32">
        <f t="shared" si="41"/>
        <v>0</v>
      </c>
      <c r="I650" s="32">
        <f t="shared" si="42"/>
        <v>0</v>
      </c>
      <c r="J650" s="32">
        <f t="shared" si="43"/>
        <v>0</v>
      </c>
      <c r="K650" s="11"/>
      <c r="M650" s="12"/>
      <c r="N650" s="12"/>
    </row>
    <row r="651" spans="2:14" ht="21.95" customHeight="1" x14ac:dyDescent="0.25">
      <c r="B651" s="30"/>
      <c r="C651" s="14" t="str">
        <f t="shared" si="40"/>
        <v/>
      </c>
      <c r="D651" s="11"/>
      <c r="E651" s="14" t="str">
        <f>IF(D651="","",IFERROR(VLOOKUP(D651,Categorias!$B$5:$C$200,2,FALSE),"Revisar"))</f>
        <v/>
      </c>
      <c r="F651" s="11"/>
      <c r="G651" s="31"/>
      <c r="H651" s="32">
        <f t="shared" si="41"/>
        <v>0</v>
      </c>
      <c r="I651" s="32">
        <f t="shared" si="42"/>
        <v>0</v>
      </c>
      <c r="J651" s="32">
        <f t="shared" si="43"/>
        <v>0</v>
      </c>
      <c r="K651" s="11"/>
      <c r="M651" s="12"/>
      <c r="N651" s="12"/>
    </row>
    <row r="652" spans="2:14" ht="21.95" customHeight="1" x14ac:dyDescent="0.25">
      <c r="B652" s="30"/>
      <c r="C652" s="14" t="str">
        <f t="shared" si="40"/>
        <v/>
      </c>
      <c r="D652" s="11"/>
      <c r="E652" s="14" t="str">
        <f>IF(D652="","",IFERROR(VLOOKUP(D652,Categorias!$B$5:$C$200,2,FALSE),"Revisar"))</f>
        <v/>
      </c>
      <c r="F652" s="11"/>
      <c r="G652" s="31"/>
      <c r="H652" s="32">
        <f t="shared" si="41"/>
        <v>0</v>
      </c>
      <c r="I652" s="32">
        <f t="shared" si="42"/>
        <v>0</v>
      </c>
      <c r="J652" s="32">
        <f t="shared" si="43"/>
        <v>0</v>
      </c>
      <c r="K652" s="11"/>
      <c r="M652" s="12"/>
      <c r="N652" s="12"/>
    </row>
    <row r="653" spans="2:14" ht="21.95" customHeight="1" x14ac:dyDescent="0.25">
      <c r="B653" s="30"/>
      <c r="C653" s="14" t="str">
        <f t="shared" si="40"/>
        <v/>
      </c>
      <c r="D653" s="11"/>
      <c r="E653" s="14" t="str">
        <f>IF(D653="","",IFERROR(VLOOKUP(D653,Categorias!$B$5:$C$200,2,FALSE),"Revisar"))</f>
        <v/>
      </c>
      <c r="F653" s="11"/>
      <c r="G653" s="31"/>
      <c r="H653" s="32">
        <f t="shared" si="41"/>
        <v>0</v>
      </c>
      <c r="I653" s="32">
        <f t="shared" si="42"/>
        <v>0</v>
      </c>
      <c r="J653" s="32">
        <f t="shared" si="43"/>
        <v>0</v>
      </c>
      <c r="K653" s="11"/>
      <c r="M653" s="12"/>
      <c r="N653" s="12"/>
    </row>
    <row r="654" spans="2:14" ht="21.95" customHeight="1" x14ac:dyDescent="0.25">
      <c r="B654" s="30"/>
      <c r="C654" s="14" t="str">
        <f t="shared" si="40"/>
        <v/>
      </c>
      <c r="D654" s="11"/>
      <c r="E654" s="14" t="str">
        <f>IF(D654="","",IFERROR(VLOOKUP(D654,Categorias!$B$5:$C$200,2,FALSE),"Revisar"))</f>
        <v/>
      </c>
      <c r="F654" s="11"/>
      <c r="G654" s="31"/>
      <c r="H654" s="32">
        <f t="shared" si="41"/>
        <v>0</v>
      </c>
      <c r="I654" s="32">
        <f t="shared" si="42"/>
        <v>0</v>
      </c>
      <c r="J654" s="32">
        <f t="shared" si="43"/>
        <v>0</v>
      </c>
      <c r="K654" s="11"/>
      <c r="M654" s="12"/>
      <c r="N654" s="12"/>
    </row>
    <row r="655" spans="2:14" ht="21.95" customHeight="1" x14ac:dyDescent="0.25">
      <c r="B655" s="30"/>
      <c r="C655" s="14" t="str">
        <f t="shared" si="40"/>
        <v/>
      </c>
      <c r="D655" s="11"/>
      <c r="E655" s="14" t="str">
        <f>IF(D655="","",IFERROR(VLOOKUP(D655,Categorias!$B$5:$C$200,2,FALSE),"Revisar"))</f>
        <v/>
      </c>
      <c r="F655" s="11"/>
      <c r="G655" s="31"/>
      <c r="H655" s="32">
        <f t="shared" si="41"/>
        <v>0</v>
      </c>
      <c r="I655" s="32">
        <f t="shared" si="42"/>
        <v>0</v>
      </c>
      <c r="J655" s="32">
        <f t="shared" si="43"/>
        <v>0</v>
      </c>
      <c r="K655" s="11"/>
      <c r="M655" s="12"/>
      <c r="N655" s="12"/>
    </row>
    <row r="656" spans="2:14" ht="21.95" customHeight="1" x14ac:dyDescent="0.25">
      <c r="B656" s="30"/>
      <c r="C656" s="14" t="str">
        <f t="shared" si="40"/>
        <v/>
      </c>
      <c r="D656" s="11"/>
      <c r="E656" s="14" t="str">
        <f>IF(D656="","",IFERROR(VLOOKUP(D656,Categorias!$B$5:$C$200,2,FALSE),"Revisar"))</f>
        <v/>
      </c>
      <c r="F656" s="11"/>
      <c r="G656" s="31"/>
      <c r="H656" s="32">
        <f t="shared" si="41"/>
        <v>0</v>
      </c>
      <c r="I656" s="32">
        <f t="shared" si="42"/>
        <v>0</v>
      </c>
      <c r="J656" s="32">
        <f t="shared" si="43"/>
        <v>0</v>
      </c>
      <c r="K656" s="11"/>
      <c r="M656" s="12"/>
      <c r="N656" s="12"/>
    </row>
    <row r="657" spans="2:14" ht="21.95" customHeight="1" x14ac:dyDescent="0.25">
      <c r="B657" s="30"/>
      <c r="C657" s="14" t="str">
        <f t="shared" si="40"/>
        <v/>
      </c>
      <c r="D657" s="11"/>
      <c r="E657" s="14" t="str">
        <f>IF(D657="","",IFERROR(VLOOKUP(D657,Categorias!$B$5:$C$200,2,FALSE),"Revisar"))</f>
        <v/>
      </c>
      <c r="F657" s="11"/>
      <c r="G657" s="31"/>
      <c r="H657" s="32">
        <f t="shared" si="41"/>
        <v>0</v>
      </c>
      <c r="I657" s="32">
        <f t="shared" si="42"/>
        <v>0</v>
      </c>
      <c r="J657" s="32">
        <f t="shared" si="43"/>
        <v>0</v>
      </c>
      <c r="K657" s="11"/>
      <c r="M657" s="12"/>
      <c r="N657" s="12"/>
    </row>
    <row r="658" spans="2:14" ht="21.95" customHeight="1" x14ac:dyDescent="0.25">
      <c r="B658" s="30"/>
      <c r="C658" s="14" t="str">
        <f t="shared" si="40"/>
        <v/>
      </c>
      <c r="D658" s="11"/>
      <c r="E658" s="14" t="str">
        <f>IF(D658="","",IFERROR(VLOOKUP(D658,Categorias!$B$5:$C$200,2,FALSE),"Revisar"))</f>
        <v/>
      </c>
      <c r="F658" s="11"/>
      <c r="G658" s="31"/>
      <c r="H658" s="32">
        <f t="shared" si="41"/>
        <v>0</v>
      </c>
      <c r="I658" s="32">
        <f t="shared" si="42"/>
        <v>0</v>
      </c>
      <c r="J658" s="32">
        <f t="shared" si="43"/>
        <v>0</v>
      </c>
      <c r="K658" s="11"/>
      <c r="M658" s="12"/>
      <c r="N658" s="12"/>
    </row>
    <row r="659" spans="2:14" ht="21.95" customHeight="1" x14ac:dyDescent="0.25">
      <c r="B659" s="30"/>
      <c r="C659" s="14" t="str">
        <f t="shared" si="40"/>
        <v/>
      </c>
      <c r="D659" s="11"/>
      <c r="E659" s="14" t="str">
        <f>IF(D659="","",IFERROR(VLOOKUP(D659,Categorias!$B$5:$C$200,2,FALSE),"Revisar"))</f>
        <v/>
      </c>
      <c r="F659" s="11"/>
      <c r="G659" s="31"/>
      <c r="H659" s="32">
        <f t="shared" si="41"/>
        <v>0</v>
      </c>
      <c r="I659" s="32">
        <f t="shared" si="42"/>
        <v>0</v>
      </c>
      <c r="J659" s="32">
        <f t="shared" si="43"/>
        <v>0</v>
      </c>
      <c r="K659" s="11"/>
      <c r="M659" s="12"/>
      <c r="N659" s="12"/>
    </row>
    <row r="660" spans="2:14" ht="21.95" customHeight="1" x14ac:dyDescent="0.25">
      <c r="B660" s="30"/>
      <c r="C660" s="14" t="str">
        <f t="shared" si="40"/>
        <v/>
      </c>
      <c r="D660" s="11"/>
      <c r="E660" s="14" t="str">
        <f>IF(D660="","",IFERROR(VLOOKUP(D660,Categorias!$B$5:$C$200,2,FALSE),"Revisar"))</f>
        <v/>
      </c>
      <c r="F660" s="11"/>
      <c r="G660" s="31"/>
      <c r="H660" s="32">
        <f t="shared" si="41"/>
        <v>0</v>
      </c>
      <c r="I660" s="32">
        <f t="shared" si="42"/>
        <v>0</v>
      </c>
      <c r="J660" s="32">
        <f t="shared" si="43"/>
        <v>0</v>
      </c>
      <c r="K660" s="11"/>
      <c r="M660" s="12"/>
      <c r="N660" s="12"/>
    </row>
    <row r="661" spans="2:14" ht="21.95" customHeight="1" x14ac:dyDescent="0.25">
      <c r="B661" s="30"/>
      <c r="C661" s="14" t="str">
        <f t="shared" si="40"/>
        <v/>
      </c>
      <c r="D661" s="11"/>
      <c r="E661" s="14" t="str">
        <f>IF(D661="","",IFERROR(VLOOKUP(D661,Categorias!$B$5:$C$200,2,FALSE),"Revisar"))</f>
        <v/>
      </c>
      <c r="F661" s="11"/>
      <c r="G661" s="31"/>
      <c r="H661" s="32">
        <f t="shared" si="41"/>
        <v>0</v>
      </c>
      <c r="I661" s="32">
        <f t="shared" si="42"/>
        <v>0</v>
      </c>
      <c r="J661" s="32">
        <f t="shared" si="43"/>
        <v>0</v>
      </c>
      <c r="K661" s="11"/>
      <c r="M661" s="12"/>
      <c r="N661" s="12"/>
    </row>
    <row r="662" spans="2:14" ht="21.95" customHeight="1" x14ac:dyDescent="0.25">
      <c r="B662" s="30"/>
      <c r="C662" s="14" t="str">
        <f t="shared" si="40"/>
        <v/>
      </c>
      <c r="D662" s="11"/>
      <c r="E662" s="14" t="str">
        <f>IF(D662="","",IFERROR(VLOOKUP(D662,Categorias!$B$5:$C$200,2,FALSE),"Revisar"))</f>
        <v/>
      </c>
      <c r="F662" s="11"/>
      <c r="G662" s="31"/>
      <c r="H662" s="32">
        <f t="shared" si="41"/>
        <v>0</v>
      </c>
      <c r="I662" s="32">
        <f t="shared" si="42"/>
        <v>0</v>
      </c>
      <c r="J662" s="32">
        <f t="shared" si="43"/>
        <v>0</v>
      </c>
      <c r="K662" s="11"/>
      <c r="M662" s="12"/>
      <c r="N662" s="12"/>
    </row>
    <row r="663" spans="2:14" ht="21.95" customHeight="1" x14ac:dyDescent="0.25">
      <c r="B663" s="30"/>
      <c r="C663" s="14" t="str">
        <f t="shared" si="40"/>
        <v/>
      </c>
      <c r="D663" s="11"/>
      <c r="E663" s="14" t="str">
        <f>IF(D663="","",IFERROR(VLOOKUP(D663,Categorias!$B$5:$C$200,2,FALSE),"Revisar"))</f>
        <v/>
      </c>
      <c r="F663" s="11"/>
      <c r="G663" s="31"/>
      <c r="H663" s="32">
        <f t="shared" si="41"/>
        <v>0</v>
      </c>
      <c r="I663" s="32">
        <f t="shared" si="42"/>
        <v>0</v>
      </c>
      <c r="J663" s="32">
        <f t="shared" si="43"/>
        <v>0</v>
      </c>
      <c r="K663" s="11"/>
      <c r="M663" s="12"/>
      <c r="N663" s="12"/>
    </row>
    <row r="664" spans="2:14" ht="21.95" customHeight="1" x14ac:dyDescent="0.25">
      <c r="B664" s="30"/>
      <c r="C664" s="14" t="str">
        <f t="shared" si="40"/>
        <v/>
      </c>
      <c r="D664" s="11"/>
      <c r="E664" s="14" t="str">
        <f>IF(D664="","",IFERROR(VLOOKUP(D664,Categorias!$B$5:$C$200,2,FALSE),"Revisar"))</f>
        <v/>
      </c>
      <c r="F664" s="11"/>
      <c r="G664" s="31"/>
      <c r="H664" s="32">
        <f t="shared" si="41"/>
        <v>0</v>
      </c>
      <c r="I664" s="32">
        <f t="shared" si="42"/>
        <v>0</v>
      </c>
      <c r="J664" s="32">
        <f t="shared" si="43"/>
        <v>0</v>
      </c>
      <c r="K664" s="11"/>
      <c r="M664" s="12"/>
      <c r="N664" s="12"/>
    </row>
    <row r="665" spans="2:14" ht="21.95" customHeight="1" x14ac:dyDescent="0.25">
      <c r="B665" s="30"/>
      <c r="C665" s="14" t="str">
        <f t="shared" si="40"/>
        <v/>
      </c>
      <c r="D665" s="11"/>
      <c r="E665" s="14" t="str">
        <f>IF(D665="","",IFERROR(VLOOKUP(D665,Categorias!$B$5:$C$200,2,FALSE),"Revisar"))</f>
        <v/>
      </c>
      <c r="F665" s="11"/>
      <c r="G665" s="31"/>
      <c r="H665" s="32">
        <f t="shared" si="41"/>
        <v>0</v>
      </c>
      <c r="I665" s="32">
        <f t="shared" si="42"/>
        <v>0</v>
      </c>
      <c r="J665" s="32">
        <f t="shared" si="43"/>
        <v>0</v>
      </c>
      <c r="K665" s="11"/>
      <c r="M665" s="12"/>
      <c r="N665" s="12"/>
    </row>
    <row r="666" spans="2:14" ht="21.95" customHeight="1" x14ac:dyDescent="0.25">
      <c r="B666" s="30"/>
      <c r="C666" s="14" t="str">
        <f t="shared" si="40"/>
        <v/>
      </c>
      <c r="D666" s="11"/>
      <c r="E666" s="14" t="str">
        <f>IF(D666="","",IFERROR(VLOOKUP(D666,Categorias!$B$5:$C$200,2,FALSE),"Revisar"))</f>
        <v/>
      </c>
      <c r="F666" s="11"/>
      <c r="G666" s="31"/>
      <c r="H666" s="32">
        <f t="shared" si="41"/>
        <v>0</v>
      </c>
      <c r="I666" s="32">
        <f t="shared" si="42"/>
        <v>0</v>
      </c>
      <c r="J666" s="32">
        <f t="shared" si="43"/>
        <v>0</v>
      </c>
      <c r="K666" s="11"/>
      <c r="M666" s="12"/>
      <c r="N666" s="12"/>
    </row>
    <row r="667" spans="2:14" ht="21.95" customHeight="1" x14ac:dyDescent="0.25">
      <c r="B667" s="30"/>
      <c r="C667" s="14" t="str">
        <f t="shared" si="40"/>
        <v/>
      </c>
      <c r="D667" s="11"/>
      <c r="E667" s="14" t="str">
        <f>IF(D667="","",IFERROR(VLOOKUP(D667,Categorias!$B$5:$C$200,2,FALSE),"Revisar"))</f>
        <v/>
      </c>
      <c r="F667" s="11"/>
      <c r="G667" s="31"/>
      <c r="H667" s="32">
        <f t="shared" si="41"/>
        <v>0</v>
      </c>
      <c r="I667" s="32">
        <f t="shared" si="42"/>
        <v>0</v>
      </c>
      <c r="J667" s="32">
        <f t="shared" si="43"/>
        <v>0</v>
      </c>
      <c r="K667" s="11"/>
      <c r="M667" s="12"/>
      <c r="N667" s="12"/>
    </row>
    <row r="668" spans="2:14" ht="21.95" customHeight="1" x14ac:dyDescent="0.25">
      <c r="B668" s="30"/>
      <c r="C668" s="14" t="str">
        <f t="shared" si="40"/>
        <v/>
      </c>
      <c r="D668" s="11"/>
      <c r="E668" s="14" t="str">
        <f>IF(D668="","",IFERROR(VLOOKUP(D668,Categorias!$B$5:$C$200,2,FALSE),"Revisar"))</f>
        <v/>
      </c>
      <c r="F668" s="11"/>
      <c r="G668" s="31"/>
      <c r="H668" s="32">
        <f t="shared" si="41"/>
        <v>0</v>
      </c>
      <c r="I668" s="32">
        <f t="shared" si="42"/>
        <v>0</v>
      </c>
      <c r="J668" s="32">
        <f t="shared" si="43"/>
        <v>0</v>
      </c>
      <c r="K668" s="11"/>
      <c r="M668" s="12"/>
      <c r="N668" s="12"/>
    </row>
    <row r="669" spans="2:14" ht="21.95" customHeight="1" x14ac:dyDescent="0.25">
      <c r="B669" s="30"/>
      <c r="C669" s="14" t="str">
        <f t="shared" si="40"/>
        <v/>
      </c>
      <c r="D669" s="11"/>
      <c r="E669" s="14" t="str">
        <f>IF(D669="","",IFERROR(VLOOKUP(D669,Categorias!$B$5:$C$200,2,FALSE),"Revisar"))</f>
        <v/>
      </c>
      <c r="F669" s="11"/>
      <c r="G669" s="31"/>
      <c r="H669" s="32">
        <f t="shared" si="41"/>
        <v>0</v>
      </c>
      <c r="I669" s="32">
        <f t="shared" si="42"/>
        <v>0</v>
      </c>
      <c r="J669" s="32">
        <f t="shared" si="43"/>
        <v>0</v>
      </c>
      <c r="K669" s="11"/>
      <c r="M669" s="12"/>
      <c r="N669" s="12"/>
    </row>
    <row r="670" spans="2:14" ht="21.95" customHeight="1" x14ac:dyDescent="0.25">
      <c r="B670" s="30"/>
      <c r="C670" s="14" t="str">
        <f t="shared" si="40"/>
        <v/>
      </c>
      <c r="D670" s="11"/>
      <c r="E670" s="14" t="str">
        <f>IF(D670="","",IFERROR(VLOOKUP(D670,Categorias!$B$5:$C$200,2,FALSE),"Revisar"))</f>
        <v/>
      </c>
      <c r="F670" s="11"/>
      <c r="G670" s="31"/>
      <c r="H670" s="32">
        <f t="shared" si="41"/>
        <v>0</v>
      </c>
      <c r="I670" s="32">
        <f t="shared" si="42"/>
        <v>0</v>
      </c>
      <c r="J670" s="32">
        <f t="shared" si="43"/>
        <v>0</v>
      </c>
      <c r="K670" s="11"/>
      <c r="M670" s="12"/>
      <c r="N670" s="12"/>
    </row>
    <row r="671" spans="2:14" ht="21.95" customHeight="1" x14ac:dyDescent="0.25">
      <c r="B671" s="30"/>
      <c r="C671" s="14" t="str">
        <f t="shared" si="40"/>
        <v/>
      </c>
      <c r="D671" s="11"/>
      <c r="E671" s="14" t="str">
        <f>IF(D671="","",IFERROR(VLOOKUP(D671,Categorias!$B$5:$C$200,2,FALSE),"Revisar"))</f>
        <v/>
      </c>
      <c r="F671" s="11"/>
      <c r="G671" s="31"/>
      <c r="H671" s="32">
        <f t="shared" si="41"/>
        <v>0</v>
      </c>
      <c r="I671" s="32">
        <f t="shared" si="42"/>
        <v>0</v>
      </c>
      <c r="J671" s="32">
        <f t="shared" si="43"/>
        <v>0</v>
      </c>
      <c r="K671" s="11"/>
      <c r="M671" s="12"/>
      <c r="N671" s="12"/>
    </row>
    <row r="672" spans="2:14" ht="21.95" customHeight="1" x14ac:dyDescent="0.25">
      <c r="B672" s="30"/>
      <c r="C672" s="14" t="str">
        <f t="shared" si="40"/>
        <v/>
      </c>
      <c r="D672" s="11"/>
      <c r="E672" s="14" t="str">
        <f>IF(D672="","",IFERROR(VLOOKUP(D672,Categorias!$B$5:$C$200,2,FALSE),"Revisar"))</f>
        <v/>
      </c>
      <c r="F672" s="11"/>
      <c r="G672" s="31"/>
      <c r="H672" s="32">
        <f t="shared" si="41"/>
        <v>0</v>
      </c>
      <c r="I672" s="32">
        <f t="shared" si="42"/>
        <v>0</v>
      </c>
      <c r="J672" s="32">
        <f t="shared" si="43"/>
        <v>0</v>
      </c>
      <c r="K672" s="11"/>
      <c r="M672" s="12"/>
      <c r="N672" s="12"/>
    </row>
    <row r="673" spans="2:14" ht="21.95" customHeight="1" x14ac:dyDescent="0.25">
      <c r="B673" s="30"/>
      <c r="C673" s="14" t="str">
        <f t="shared" si="40"/>
        <v/>
      </c>
      <c r="D673" s="11"/>
      <c r="E673" s="14" t="str">
        <f>IF(D673="","",IFERROR(VLOOKUP(D673,Categorias!$B$5:$C$200,2,FALSE),"Revisar"))</f>
        <v/>
      </c>
      <c r="F673" s="11"/>
      <c r="G673" s="31"/>
      <c r="H673" s="32">
        <f t="shared" si="41"/>
        <v>0</v>
      </c>
      <c r="I673" s="32">
        <f t="shared" si="42"/>
        <v>0</v>
      </c>
      <c r="J673" s="32">
        <f t="shared" si="43"/>
        <v>0</v>
      </c>
      <c r="K673" s="11"/>
      <c r="M673" s="12"/>
      <c r="N673" s="12"/>
    </row>
    <row r="674" spans="2:14" ht="21.95" customHeight="1" x14ac:dyDescent="0.25">
      <c r="B674" s="30"/>
      <c r="C674" s="14" t="str">
        <f t="shared" si="40"/>
        <v/>
      </c>
      <c r="D674" s="11"/>
      <c r="E674" s="14" t="str">
        <f>IF(D674="","",IFERROR(VLOOKUP(D674,Categorias!$B$5:$C$200,2,FALSE),"Revisar"))</f>
        <v/>
      </c>
      <c r="F674" s="11"/>
      <c r="G674" s="31"/>
      <c r="H674" s="32">
        <f t="shared" si="41"/>
        <v>0</v>
      </c>
      <c r="I674" s="32">
        <f t="shared" si="42"/>
        <v>0</v>
      </c>
      <c r="J674" s="32">
        <f t="shared" si="43"/>
        <v>0</v>
      </c>
      <c r="K674" s="11"/>
      <c r="M674" s="12"/>
      <c r="N674" s="12"/>
    </row>
    <row r="675" spans="2:14" ht="21.95" customHeight="1" x14ac:dyDescent="0.25">
      <c r="B675" s="30"/>
      <c r="C675" s="14" t="str">
        <f t="shared" si="40"/>
        <v/>
      </c>
      <c r="D675" s="11"/>
      <c r="E675" s="14" t="str">
        <f>IF(D675="","",IFERROR(VLOOKUP(D675,Categorias!$B$5:$C$200,2,FALSE),"Revisar"))</f>
        <v/>
      </c>
      <c r="F675" s="11"/>
      <c r="G675" s="31"/>
      <c r="H675" s="32">
        <f t="shared" si="41"/>
        <v>0</v>
      </c>
      <c r="I675" s="32">
        <f t="shared" si="42"/>
        <v>0</v>
      </c>
      <c r="J675" s="32">
        <f t="shared" si="43"/>
        <v>0</v>
      </c>
      <c r="K675" s="11"/>
      <c r="M675" s="12"/>
      <c r="N675" s="12"/>
    </row>
    <row r="676" spans="2:14" ht="21.95" customHeight="1" x14ac:dyDescent="0.25">
      <c r="B676" s="30"/>
      <c r="C676" s="14" t="str">
        <f t="shared" si="40"/>
        <v/>
      </c>
      <c r="D676" s="11"/>
      <c r="E676" s="14" t="str">
        <f>IF(D676="","",IFERROR(VLOOKUP(D676,Categorias!$B$5:$C$200,2,FALSE),"Revisar"))</f>
        <v/>
      </c>
      <c r="F676" s="11"/>
      <c r="G676" s="31"/>
      <c r="H676" s="32">
        <f t="shared" si="41"/>
        <v>0</v>
      </c>
      <c r="I676" s="32">
        <f t="shared" si="42"/>
        <v>0</v>
      </c>
      <c r="J676" s="32">
        <f t="shared" si="43"/>
        <v>0</v>
      </c>
      <c r="K676" s="11"/>
      <c r="M676" s="12"/>
      <c r="N676" s="12"/>
    </row>
    <row r="677" spans="2:14" ht="21.95" customHeight="1" x14ac:dyDescent="0.25">
      <c r="B677" s="30"/>
      <c r="C677" s="14" t="str">
        <f t="shared" si="40"/>
        <v/>
      </c>
      <c r="D677" s="11"/>
      <c r="E677" s="14" t="str">
        <f>IF(D677="","",IFERROR(VLOOKUP(D677,Categorias!$B$5:$C$200,2,FALSE),"Revisar"))</f>
        <v/>
      </c>
      <c r="F677" s="11"/>
      <c r="G677" s="31"/>
      <c r="H677" s="32">
        <f t="shared" si="41"/>
        <v>0</v>
      </c>
      <c r="I677" s="32">
        <f t="shared" si="42"/>
        <v>0</v>
      </c>
      <c r="J677" s="32">
        <f t="shared" si="43"/>
        <v>0</v>
      </c>
      <c r="K677" s="11"/>
      <c r="M677" s="12"/>
      <c r="N677" s="12"/>
    </row>
    <row r="678" spans="2:14" ht="21.95" customHeight="1" x14ac:dyDescent="0.25">
      <c r="B678" s="30"/>
      <c r="C678" s="14" t="str">
        <f t="shared" si="40"/>
        <v/>
      </c>
      <c r="D678" s="11"/>
      <c r="E678" s="14" t="str">
        <f>IF(D678="","",IFERROR(VLOOKUP(D678,Categorias!$B$5:$C$200,2,FALSE),"Revisar"))</f>
        <v/>
      </c>
      <c r="F678" s="11"/>
      <c r="G678" s="31"/>
      <c r="H678" s="32">
        <f t="shared" si="41"/>
        <v>0</v>
      </c>
      <c r="I678" s="32">
        <f t="shared" si="42"/>
        <v>0</v>
      </c>
      <c r="J678" s="32">
        <f t="shared" si="43"/>
        <v>0</v>
      </c>
      <c r="K678" s="11"/>
      <c r="M678" s="12"/>
      <c r="N678" s="12"/>
    </row>
    <row r="679" spans="2:14" ht="21.95" customHeight="1" x14ac:dyDescent="0.25">
      <c r="B679" s="30"/>
      <c r="C679" s="14" t="str">
        <f t="shared" si="40"/>
        <v/>
      </c>
      <c r="D679" s="11"/>
      <c r="E679" s="14" t="str">
        <f>IF(D679="","",IFERROR(VLOOKUP(D679,Categorias!$B$5:$C$200,2,FALSE),"Revisar"))</f>
        <v/>
      </c>
      <c r="F679" s="11"/>
      <c r="G679" s="31"/>
      <c r="H679" s="32">
        <f t="shared" si="41"/>
        <v>0</v>
      </c>
      <c r="I679" s="32">
        <f t="shared" si="42"/>
        <v>0</v>
      </c>
      <c r="J679" s="32">
        <f t="shared" si="43"/>
        <v>0</v>
      </c>
      <c r="K679" s="11"/>
      <c r="M679" s="12"/>
      <c r="N679" s="12"/>
    </row>
    <row r="680" spans="2:14" ht="21.95" customHeight="1" x14ac:dyDescent="0.25">
      <c r="B680" s="30"/>
      <c r="C680" s="14" t="str">
        <f t="shared" si="40"/>
        <v/>
      </c>
      <c r="D680" s="11"/>
      <c r="E680" s="14" t="str">
        <f>IF(D680="","",IFERROR(VLOOKUP(D680,Categorias!$B$5:$C$200,2,FALSE),"Revisar"))</f>
        <v/>
      </c>
      <c r="F680" s="11"/>
      <c r="G680" s="31"/>
      <c r="H680" s="32">
        <f t="shared" si="41"/>
        <v>0</v>
      </c>
      <c r="I680" s="32">
        <f t="shared" si="42"/>
        <v>0</v>
      </c>
      <c r="J680" s="32">
        <f t="shared" si="43"/>
        <v>0</v>
      </c>
      <c r="K680" s="11"/>
      <c r="M680" s="12"/>
      <c r="N680" s="12"/>
    </row>
    <row r="681" spans="2:14" ht="21.95" customHeight="1" x14ac:dyDescent="0.25">
      <c r="B681" s="30"/>
      <c r="C681" s="14" t="str">
        <f t="shared" si="40"/>
        <v/>
      </c>
      <c r="D681" s="11"/>
      <c r="E681" s="14" t="str">
        <f>IF(D681="","",IFERROR(VLOOKUP(D681,Categorias!$B$5:$C$200,2,FALSE),"Revisar"))</f>
        <v/>
      </c>
      <c r="F681" s="11"/>
      <c r="G681" s="31"/>
      <c r="H681" s="32">
        <f t="shared" si="41"/>
        <v>0</v>
      </c>
      <c r="I681" s="32">
        <f t="shared" si="42"/>
        <v>0</v>
      </c>
      <c r="J681" s="32">
        <f t="shared" si="43"/>
        <v>0</v>
      </c>
      <c r="K681" s="11"/>
      <c r="M681" s="12"/>
      <c r="N681" s="12"/>
    </row>
    <row r="682" spans="2:14" ht="21.95" customHeight="1" x14ac:dyDescent="0.25">
      <c r="B682" s="30"/>
      <c r="C682" s="14" t="str">
        <f t="shared" si="40"/>
        <v/>
      </c>
      <c r="D682" s="11"/>
      <c r="E682" s="14" t="str">
        <f>IF(D682="","",IFERROR(VLOOKUP(D682,Categorias!$B$5:$C$200,2,FALSE),"Revisar"))</f>
        <v/>
      </c>
      <c r="F682" s="11"/>
      <c r="G682" s="31"/>
      <c r="H682" s="32">
        <f t="shared" si="41"/>
        <v>0</v>
      </c>
      <c r="I682" s="32">
        <f t="shared" si="42"/>
        <v>0</v>
      </c>
      <c r="J682" s="32">
        <f t="shared" si="43"/>
        <v>0</v>
      </c>
      <c r="K682" s="11"/>
      <c r="M682" s="12"/>
      <c r="N682" s="12"/>
    </row>
    <row r="683" spans="2:14" ht="21.95" customHeight="1" x14ac:dyDescent="0.25">
      <c r="B683" s="30"/>
      <c r="C683" s="14" t="str">
        <f t="shared" si="40"/>
        <v/>
      </c>
      <c r="D683" s="11"/>
      <c r="E683" s="14" t="str">
        <f>IF(D683="","",IFERROR(VLOOKUP(D683,Categorias!$B$5:$C$200,2,FALSE),"Revisar"))</f>
        <v/>
      </c>
      <c r="F683" s="11"/>
      <c r="G683" s="31"/>
      <c r="H683" s="32">
        <f t="shared" si="41"/>
        <v>0</v>
      </c>
      <c r="I683" s="32">
        <f t="shared" si="42"/>
        <v>0</v>
      </c>
      <c r="J683" s="32">
        <f t="shared" si="43"/>
        <v>0</v>
      </c>
      <c r="K683" s="11"/>
      <c r="M683" s="12"/>
      <c r="N683" s="12"/>
    </row>
    <row r="684" spans="2:14" ht="21.95" customHeight="1" x14ac:dyDescent="0.25">
      <c r="B684" s="30"/>
      <c r="C684" s="14" t="str">
        <f t="shared" si="40"/>
        <v/>
      </c>
      <c r="D684" s="11"/>
      <c r="E684" s="14" t="str">
        <f>IF(D684="","",IFERROR(VLOOKUP(D684,Categorias!$B$5:$C$200,2,FALSE),"Revisar"))</f>
        <v/>
      </c>
      <c r="F684" s="11"/>
      <c r="G684" s="31"/>
      <c r="H684" s="32">
        <f t="shared" si="41"/>
        <v>0</v>
      </c>
      <c r="I684" s="32">
        <f t="shared" si="42"/>
        <v>0</v>
      </c>
      <c r="J684" s="32">
        <f t="shared" si="43"/>
        <v>0</v>
      </c>
      <c r="K684" s="11"/>
      <c r="M684" s="12"/>
      <c r="N684" s="12"/>
    </row>
    <row r="685" spans="2:14" ht="21.95" customHeight="1" x14ac:dyDescent="0.25">
      <c r="B685" s="30"/>
      <c r="C685" s="14" t="str">
        <f t="shared" si="40"/>
        <v/>
      </c>
      <c r="D685" s="11"/>
      <c r="E685" s="14" t="str">
        <f>IF(D685="","",IFERROR(VLOOKUP(D685,Categorias!$B$5:$C$200,2,FALSE),"Revisar"))</f>
        <v/>
      </c>
      <c r="F685" s="11"/>
      <c r="G685" s="31"/>
      <c r="H685" s="32">
        <f t="shared" si="41"/>
        <v>0</v>
      </c>
      <c r="I685" s="32">
        <f t="shared" si="42"/>
        <v>0</v>
      </c>
      <c r="J685" s="32">
        <f t="shared" si="43"/>
        <v>0</v>
      </c>
      <c r="K685" s="11"/>
      <c r="M685" s="12"/>
      <c r="N685" s="12"/>
    </row>
    <row r="686" spans="2:14" ht="21.95" customHeight="1" x14ac:dyDescent="0.25">
      <c r="B686" s="30"/>
      <c r="C686" s="14" t="str">
        <f t="shared" si="40"/>
        <v/>
      </c>
      <c r="D686" s="11"/>
      <c r="E686" s="14" t="str">
        <f>IF(D686="","",IFERROR(VLOOKUP(D686,Categorias!$B$5:$C$200,2,FALSE),"Revisar"))</f>
        <v/>
      </c>
      <c r="F686" s="11"/>
      <c r="G686" s="31"/>
      <c r="H686" s="32">
        <f t="shared" si="41"/>
        <v>0</v>
      </c>
      <c r="I686" s="32">
        <f t="shared" si="42"/>
        <v>0</v>
      </c>
      <c r="J686" s="32">
        <f t="shared" si="43"/>
        <v>0</v>
      </c>
      <c r="K686" s="11"/>
      <c r="M686" s="12"/>
      <c r="N686" s="12"/>
    </row>
    <row r="687" spans="2:14" ht="21.95" customHeight="1" x14ac:dyDescent="0.25">
      <c r="B687" s="30"/>
      <c r="C687" s="14" t="str">
        <f t="shared" si="40"/>
        <v/>
      </c>
      <c r="D687" s="11"/>
      <c r="E687" s="14" t="str">
        <f>IF(D687="","",IFERROR(VLOOKUP(D687,Categorias!$B$5:$C$200,2,FALSE),"Revisar"))</f>
        <v/>
      </c>
      <c r="F687" s="11"/>
      <c r="G687" s="31"/>
      <c r="H687" s="32">
        <f t="shared" si="41"/>
        <v>0</v>
      </c>
      <c r="I687" s="32">
        <f t="shared" si="42"/>
        <v>0</v>
      </c>
      <c r="J687" s="32">
        <f t="shared" si="43"/>
        <v>0</v>
      </c>
      <c r="K687" s="11"/>
      <c r="M687" s="12"/>
      <c r="N687" s="12"/>
    </row>
    <row r="688" spans="2:14" ht="21.95" customHeight="1" x14ac:dyDescent="0.25">
      <c r="B688" s="30"/>
      <c r="C688" s="14" t="str">
        <f t="shared" si="40"/>
        <v/>
      </c>
      <c r="D688" s="11"/>
      <c r="E688" s="14" t="str">
        <f>IF(D688="","",IFERROR(VLOOKUP(D688,Categorias!$B$5:$C$200,2,FALSE),"Revisar"))</f>
        <v/>
      </c>
      <c r="F688" s="11"/>
      <c r="G688" s="31"/>
      <c r="H688" s="32">
        <f t="shared" si="41"/>
        <v>0</v>
      </c>
      <c r="I688" s="32">
        <f t="shared" si="42"/>
        <v>0</v>
      </c>
      <c r="J688" s="32">
        <f t="shared" si="43"/>
        <v>0</v>
      </c>
      <c r="K688" s="11"/>
      <c r="M688" s="12"/>
      <c r="N688" s="12"/>
    </row>
    <row r="689" spans="2:14" ht="21.95" customHeight="1" x14ac:dyDescent="0.25">
      <c r="B689" s="30"/>
      <c r="C689" s="14" t="str">
        <f t="shared" si="40"/>
        <v/>
      </c>
      <c r="D689" s="11"/>
      <c r="E689" s="14" t="str">
        <f>IF(D689="","",IFERROR(VLOOKUP(D689,Categorias!$B$5:$C$200,2,FALSE),"Revisar"))</f>
        <v/>
      </c>
      <c r="F689" s="11"/>
      <c r="G689" s="31"/>
      <c r="H689" s="32">
        <f t="shared" si="41"/>
        <v>0</v>
      </c>
      <c r="I689" s="32">
        <f t="shared" si="42"/>
        <v>0</v>
      </c>
      <c r="J689" s="32">
        <f t="shared" si="43"/>
        <v>0</v>
      </c>
      <c r="K689" s="11"/>
      <c r="M689" s="12"/>
      <c r="N689" s="12"/>
    </row>
    <row r="690" spans="2:14" ht="21.95" customHeight="1" x14ac:dyDescent="0.25">
      <c r="B690" s="30"/>
      <c r="C690" s="14" t="str">
        <f t="shared" si="40"/>
        <v/>
      </c>
      <c r="D690" s="11"/>
      <c r="E690" s="14" t="str">
        <f>IF(D690="","",IFERROR(VLOOKUP(D690,Categorias!$B$5:$C$200,2,FALSE),"Revisar"))</f>
        <v/>
      </c>
      <c r="F690" s="11"/>
      <c r="G690" s="31"/>
      <c r="H690" s="32">
        <f t="shared" si="41"/>
        <v>0</v>
      </c>
      <c r="I690" s="32">
        <f t="shared" si="42"/>
        <v>0</v>
      </c>
      <c r="J690" s="32">
        <f t="shared" si="43"/>
        <v>0</v>
      </c>
      <c r="K690" s="11"/>
      <c r="M690" s="12"/>
      <c r="N690" s="12"/>
    </row>
    <row r="691" spans="2:14" ht="21.95" customHeight="1" x14ac:dyDescent="0.25">
      <c r="B691" s="30"/>
      <c r="C691" s="14" t="str">
        <f t="shared" si="40"/>
        <v/>
      </c>
      <c r="D691" s="11"/>
      <c r="E691" s="14" t="str">
        <f>IF(D691="","",IFERROR(VLOOKUP(D691,Categorias!$B$5:$C$200,2,FALSE),"Revisar"))</f>
        <v/>
      </c>
      <c r="F691" s="11"/>
      <c r="G691" s="31"/>
      <c r="H691" s="32">
        <f t="shared" si="41"/>
        <v>0</v>
      </c>
      <c r="I691" s="32">
        <f t="shared" si="42"/>
        <v>0</v>
      </c>
      <c r="J691" s="32">
        <f t="shared" si="43"/>
        <v>0</v>
      </c>
      <c r="K691" s="11"/>
      <c r="M691" s="12"/>
      <c r="N691" s="12"/>
    </row>
    <row r="692" spans="2:14" ht="21.95" customHeight="1" x14ac:dyDescent="0.25">
      <c r="B692" s="30"/>
      <c r="C692" s="14" t="str">
        <f t="shared" si="40"/>
        <v/>
      </c>
      <c r="D692" s="11"/>
      <c r="E692" s="14" t="str">
        <f>IF(D692="","",IFERROR(VLOOKUP(D692,Categorias!$B$5:$C$200,2,FALSE),"Revisar"))</f>
        <v/>
      </c>
      <c r="F692" s="11"/>
      <c r="G692" s="31"/>
      <c r="H692" s="32">
        <f t="shared" si="41"/>
        <v>0</v>
      </c>
      <c r="I692" s="32">
        <f t="shared" si="42"/>
        <v>0</v>
      </c>
      <c r="J692" s="32">
        <f t="shared" si="43"/>
        <v>0</v>
      </c>
      <c r="K692" s="11"/>
      <c r="M692" s="12"/>
      <c r="N692" s="12"/>
    </row>
    <row r="693" spans="2:14" ht="21.95" customHeight="1" x14ac:dyDescent="0.25">
      <c r="B693" s="30"/>
      <c r="C693" s="14" t="str">
        <f t="shared" si="40"/>
        <v/>
      </c>
      <c r="D693" s="11"/>
      <c r="E693" s="14" t="str">
        <f>IF(D693="","",IFERROR(VLOOKUP(D693,Categorias!$B$5:$C$200,2,FALSE),"Revisar"))</f>
        <v/>
      </c>
      <c r="F693" s="11"/>
      <c r="G693" s="31"/>
      <c r="H693" s="32">
        <f t="shared" si="41"/>
        <v>0</v>
      </c>
      <c r="I693" s="32">
        <f t="shared" si="42"/>
        <v>0</v>
      </c>
      <c r="J693" s="32">
        <f t="shared" si="43"/>
        <v>0</v>
      </c>
      <c r="K693" s="11"/>
      <c r="M693" s="12"/>
      <c r="N693" s="12"/>
    </row>
    <row r="694" spans="2:14" ht="21.95" customHeight="1" x14ac:dyDescent="0.25">
      <c r="B694" s="30"/>
      <c r="C694" s="14" t="str">
        <f t="shared" si="40"/>
        <v/>
      </c>
      <c r="D694" s="11"/>
      <c r="E694" s="14" t="str">
        <f>IF(D694="","",IFERROR(VLOOKUP(D694,Categorias!$B$5:$C$200,2,FALSE),"Revisar"))</f>
        <v/>
      </c>
      <c r="F694" s="11"/>
      <c r="G694" s="31"/>
      <c r="H694" s="32">
        <f t="shared" si="41"/>
        <v>0</v>
      </c>
      <c r="I694" s="32">
        <f t="shared" si="42"/>
        <v>0</v>
      </c>
      <c r="J694" s="32">
        <f t="shared" si="43"/>
        <v>0</v>
      </c>
      <c r="K694" s="11"/>
      <c r="M694" s="12"/>
      <c r="N694" s="12"/>
    </row>
    <row r="695" spans="2:14" ht="21.95" customHeight="1" x14ac:dyDescent="0.25">
      <c r="B695" s="30"/>
      <c r="C695" s="14" t="str">
        <f t="shared" si="40"/>
        <v/>
      </c>
      <c r="D695" s="11"/>
      <c r="E695" s="14" t="str">
        <f>IF(D695="","",IFERROR(VLOOKUP(D695,Categorias!$B$5:$C$200,2,FALSE),"Revisar"))</f>
        <v/>
      </c>
      <c r="F695" s="11"/>
      <c r="G695" s="31"/>
      <c r="H695" s="32">
        <f t="shared" si="41"/>
        <v>0</v>
      </c>
      <c r="I695" s="32">
        <f t="shared" si="42"/>
        <v>0</v>
      </c>
      <c r="J695" s="32">
        <f t="shared" si="43"/>
        <v>0</v>
      </c>
      <c r="K695" s="11"/>
      <c r="M695" s="12"/>
      <c r="N695" s="12"/>
    </row>
    <row r="696" spans="2:14" ht="21.95" customHeight="1" x14ac:dyDescent="0.25">
      <c r="B696" s="30"/>
      <c r="C696" s="14" t="str">
        <f t="shared" si="40"/>
        <v/>
      </c>
      <c r="D696" s="11"/>
      <c r="E696" s="14" t="str">
        <f>IF(D696="","",IFERROR(VLOOKUP(D696,Categorias!$B$5:$C$200,2,FALSE),"Revisar"))</f>
        <v/>
      </c>
      <c r="F696" s="11"/>
      <c r="G696" s="31"/>
      <c r="H696" s="32">
        <f t="shared" si="41"/>
        <v>0</v>
      </c>
      <c r="I696" s="32">
        <f t="shared" si="42"/>
        <v>0</v>
      </c>
      <c r="J696" s="32">
        <f t="shared" si="43"/>
        <v>0</v>
      </c>
      <c r="K696" s="11"/>
      <c r="M696" s="12"/>
      <c r="N696" s="12"/>
    </row>
    <row r="697" spans="2:14" ht="21.95" customHeight="1" x14ac:dyDescent="0.25">
      <c r="B697" s="30"/>
      <c r="C697" s="14" t="str">
        <f t="shared" si="40"/>
        <v/>
      </c>
      <c r="D697" s="11"/>
      <c r="E697" s="14" t="str">
        <f>IF(D697="","",IFERROR(VLOOKUP(D697,Categorias!$B$5:$C$200,2,FALSE),"Revisar"))</f>
        <v/>
      </c>
      <c r="F697" s="11"/>
      <c r="G697" s="31"/>
      <c r="H697" s="32">
        <f t="shared" si="41"/>
        <v>0</v>
      </c>
      <c r="I697" s="32">
        <f t="shared" si="42"/>
        <v>0</v>
      </c>
      <c r="J697" s="32">
        <f t="shared" si="43"/>
        <v>0</v>
      </c>
      <c r="K697" s="11"/>
      <c r="M697" s="12"/>
      <c r="N697" s="12"/>
    </row>
    <row r="698" spans="2:14" ht="21.95" customHeight="1" x14ac:dyDescent="0.25">
      <c r="B698" s="30"/>
      <c r="C698" s="14" t="str">
        <f t="shared" si="40"/>
        <v/>
      </c>
      <c r="D698" s="11"/>
      <c r="E698" s="14" t="str">
        <f>IF(D698="","",IFERROR(VLOOKUP(D698,Categorias!$B$5:$C$200,2,FALSE),"Revisar"))</f>
        <v/>
      </c>
      <c r="F698" s="11"/>
      <c r="G698" s="31"/>
      <c r="H698" s="32">
        <f t="shared" si="41"/>
        <v>0</v>
      </c>
      <c r="I698" s="32">
        <f t="shared" si="42"/>
        <v>0</v>
      </c>
      <c r="J698" s="32">
        <f t="shared" si="43"/>
        <v>0</v>
      </c>
      <c r="K698" s="11"/>
      <c r="M698" s="12"/>
      <c r="N698" s="12"/>
    </row>
    <row r="699" spans="2:14" ht="21.95" customHeight="1" x14ac:dyDescent="0.25">
      <c r="B699" s="30"/>
      <c r="C699" s="14" t="str">
        <f t="shared" si="40"/>
        <v/>
      </c>
      <c r="D699" s="11"/>
      <c r="E699" s="14" t="str">
        <f>IF(D699="","",IFERROR(VLOOKUP(D699,Categorias!$B$5:$C$200,2,FALSE),"Revisar"))</f>
        <v/>
      </c>
      <c r="F699" s="11"/>
      <c r="G699" s="31"/>
      <c r="H699" s="32">
        <f t="shared" si="41"/>
        <v>0</v>
      </c>
      <c r="I699" s="32">
        <f t="shared" si="42"/>
        <v>0</v>
      </c>
      <c r="J699" s="32">
        <f t="shared" si="43"/>
        <v>0</v>
      </c>
      <c r="K699" s="11"/>
      <c r="M699" s="12"/>
      <c r="N699" s="12"/>
    </row>
    <row r="700" spans="2:14" ht="21.95" customHeight="1" x14ac:dyDescent="0.25">
      <c r="B700" s="30"/>
      <c r="C700" s="14" t="str">
        <f t="shared" si="40"/>
        <v/>
      </c>
      <c r="D700" s="11"/>
      <c r="E700" s="14" t="str">
        <f>IF(D700="","",IFERROR(VLOOKUP(D700,Categorias!$B$5:$C$200,2,FALSE),"Revisar"))</f>
        <v/>
      </c>
      <c r="F700" s="11"/>
      <c r="G700" s="31"/>
      <c r="H700" s="32">
        <f t="shared" si="41"/>
        <v>0</v>
      </c>
      <c r="I700" s="32">
        <f t="shared" si="42"/>
        <v>0</v>
      </c>
      <c r="J700" s="32">
        <f t="shared" si="43"/>
        <v>0</v>
      </c>
      <c r="K700" s="11"/>
      <c r="M700" s="12"/>
      <c r="N700" s="12"/>
    </row>
    <row r="701" spans="2:14" ht="21.95" customHeight="1" x14ac:dyDescent="0.25">
      <c r="B701" s="30"/>
      <c r="C701" s="14" t="str">
        <f t="shared" si="40"/>
        <v/>
      </c>
      <c r="D701" s="11"/>
      <c r="E701" s="14" t="str">
        <f>IF(D701="","",IFERROR(VLOOKUP(D701,Categorias!$B$5:$C$200,2,FALSE),"Revisar"))</f>
        <v/>
      </c>
      <c r="F701" s="11"/>
      <c r="G701" s="31"/>
      <c r="H701" s="32">
        <f t="shared" si="41"/>
        <v>0</v>
      </c>
      <c r="I701" s="32">
        <f t="shared" si="42"/>
        <v>0</v>
      </c>
      <c r="J701" s="32">
        <f t="shared" si="43"/>
        <v>0</v>
      </c>
      <c r="K701" s="11"/>
      <c r="M701" s="12"/>
      <c r="N701" s="12"/>
    </row>
    <row r="702" spans="2:14" ht="21.95" customHeight="1" x14ac:dyDescent="0.25">
      <c r="B702" s="30"/>
      <c r="C702" s="14" t="str">
        <f t="shared" si="40"/>
        <v/>
      </c>
      <c r="D702" s="11"/>
      <c r="E702" s="14" t="str">
        <f>IF(D702="","",IFERROR(VLOOKUP(D702,Categorias!$B$5:$C$200,2,FALSE),"Revisar"))</f>
        <v/>
      </c>
      <c r="F702" s="11"/>
      <c r="G702" s="31"/>
      <c r="H702" s="32">
        <f t="shared" si="41"/>
        <v>0</v>
      </c>
      <c r="I702" s="32">
        <f t="shared" si="42"/>
        <v>0</v>
      </c>
      <c r="J702" s="32">
        <f t="shared" si="43"/>
        <v>0</v>
      </c>
      <c r="K702" s="11"/>
      <c r="M702" s="12"/>
      <c r="N702" s="12"/>
    </row>
    <row r="703" spans="2:14" ht="21.95" customHeight="1" x14ac:dyDescent="0.25">
      <c r="B703" s="30"/>
      <c r="C703" s="14" t="str">
        <f t="shared" si="40"/>
        <v/>
      </c>
      <c r="D703" s="11"/>
      <c r="E703" s="14" t="str">
        <f>IF(D703="","",IFERROR(VLOOKUP(D703,Categorias!$B$5:$C$200,2,FALSE),"Revisar"))</f>
        <v/>
      </c>
      <c r="F703" s="11"/>
      <c r="G703" s="31"/>
      <c r="H703" s="32">
        <f t="shared" si="41"/>
        <v>0</v>
      </c>
      <c r="I703" s="32">
        <f t="shared" si="42"/>
        <v>0</v>
      </c>
      <c r="J703" s="32">
        <f t="shared" si="43"/>
        <v>0</v>
      </c>
      <c r="K703" s="11"/>
      <c r="M703" s="12"/>
      <c r="N703" s="12"/>
    </row>
    <row r="704" spans="2:14" ht="21.95" customHeight="1" x14ac:dyDescent="0.25">
      <c r="B704" s="30"/>
      <c r="C704" s="14" t="str">
        <f t="shared" si="40"/>
        <v/>
      </c>
      <c r="D704" s="11"/>
      <c r="E704" s="14" t="str">
        <f>IF(D704="","",IFERROR(VLOOKUP(D704,Categorias!$B$5:$C$200,2,FALSE),"Revisar"))</f>
        <v/>
      </c>
      <c r="F704" s="11"/>
      <c r="G704" s="31"/>
      <c r="H704" s="32">
        <f t="shared" si="41"/>
        <v>0</v>
      </c>
      <c r="I704" s="32">
        <f t="shared" si="42"/>
        <v>0</v>
      </c>
      <c r="J704" s="32">
        <f t="shared" si="43"/>
        <v>0</v>
      </c>
      <c r="K704" s="11"/>
      <c r="M704" s="12"/>
      <c r="N704" s="12"/>
    </row>
    <row r="705" spans="2:14" ht="21.95" customHeight="1" x14ac:dyDescent="0.25">
      <c r="B705" s="30"/>
      <c r="C705" s="14" t="str">
        <f t="shared" si="40"/>
        <v/>
      </c>
      <c r="D705" s="11"/>
      <c r="E705" s="14" t="str">
        <f>IF(D705="","",IFERROR(VLOOKUP(D705,Categorias!$B$5:$C$200,2,FALSE),"Revisar"))</f>
        <v/>
      </c>
      <c r="F705" s="11"/>
      <c r="G705" s="31"/>
      <c r="H705" s="32">
        <f t="shared" si="41"/>
        <v>0</v>
      </c>
      <c r="I705" s="32">
        <f t="shared" si="42"/>
        <v>0</v>
      </c>
      <c r="J705" s="32">
        <f t="shared" si="43"/>
        <v>0</v>
      </c>
      <c r="K705" s="11"/>
      <c r="M705" s="12"/>
      <c r="N705" s="12"/>
    </row>
    <row r="706" spans="2:14" ht="21.95" customHeight="1" x14ac:dyDescent="0.25">
      <c r="B706" s="30"/>
      <c r="C706" s="14" t="str">
        <f t="shared" si="40"/>
        <v/>
      </c>
      <c r="D706" s="11"/>
      <c r="E706" s="14" t="str">
        <f>IF(D706="","",IFERROR(VLOOKUP(D706,Categorias!$B$5:$C$200,2,FALSE),"Revisar"))</f>
        <v/>
      </c>
      <c r="F706" s="11"/>
      <c r="G706" s="31"/>
      <c r="H706" s="32">
        <f t="shared" si="41"/>
        <v>0</v>
      </c>
      <c r="I706" s="32">
        <f t="shared" si="42"/>
        <v>0</v>
      </c>
      <c r="J706" s="32">
        <f t="shared" si="43"/>
        <v>0</v>
      </c>
      <c r="K706" s="11"/>
      <c r="M706" s="12"/>
      <c r="N706" s="12"/>
    </row>
    <row r="707" spans="2:14" ht="21.95" customHeight="1" x14ac:dyDescent="0.25">
      <c r="B707" s="30"/>
      <c r="C707" s="14" t="str">
        <f t="shared" si="40"/>
        <v/>
      </c>
      <c r="D707" s="11"/>
      <c r="E707" s="14" t="str">
        <f>IF(D707="","",IFERROR(VLOOKUP(D707,Categorias!$B$5:$C$200,2,FALSE),"Revisar"))</f>
        <v/>
      </c>
      <c r="F707" s="11"/>
      <c r="G707" s="31"/>
      <c r="H707" s="32">
        <f t="shared" si="41"/>
        <v>0</v>
      </c>
      <c r="I707" s="32">
        <f t="shared" si="42"/>
        <v>0</v>
      </c>
      <c r="J707" s="32">
        <f t="shared" si="43"/>
        <v>0</v>
      </c>
      <c r="K707" s="11"/>
      <c r="M707" s="12"/>
      <c r="N707" s="12"/>
    </row>
    <row r="708" spans="2:14" ht="21.95" customHeight="1" x14ac:dyDescent="0.25">
      <c r="B708" s="30"/>
      <c r="C708" s="14" t="str">
        <f t="shared" si="40"/>
        <v/>
      </c>
      <c r="D708" s="11"/>
      <c r="E708" s="14" t="str">
        <f>IF(D708="","",IFERROR(VLOOKUP(D708,Categorias!$B$5:$C$200,2,FALSE),"Revisar"))</f>
        <v/>
      </c>
      <c r="F708" s="11"/>
      <c r="G708" s="31"/>
      <c r="H708" s="32">
        <f t="shared" si="41"/>
        <v>0</v>
      </c>
      <c r="I708" s="32">
        <f t="shared" si="42"/>
        <v>0</v>
      </c>
      <c r="J708" s="32">
        <f t="shared" si="43"/>
        <v>0</v>
      </c>
      <c r="K708" s="11"/>
      <c r="M708" s="12"/>
      <c r="N708" s="12"/>
    </row>
    <row r="709" spans="2:14" ht="21.95" customHeight="1" x14ac:dyDescent="0.25">
      <c r="B709" s="30"/>
      <c r="C709" s="14" t="str">
        <f t="shared" si="40"/>
        <v/>
      </c>
      <c r="D709" s="11"/>
      <c r="E709" s="14" t="str">
        <f>IF(D709="","",IFERROR(VLOOKUP(D709,Categorias!$B$5:$C$200,2,FALSE),"Revisar"))</f>
        <v/>
      </c>
      <c r="F709" s="11"/>
      <c r="G709" s="31"/>
      <c r="H709" s="32">
        <f t="shared" si="41"/>
        <v>0</v>
      </c>
      <c r="I709" s="32">
        <f t="shared" si="42"/>
        <v>0</v>
      </c>
      <c r="J709" s="32">
        <f t="shared" si="43"/>
        <v>0</v>
      </c>
      <c r="K709" s="11"/>
      <c r="M709" s="12"/>
      <c r="N709" s="12"/>
    </row>
    <row r="710" spans="2:14" ht="21.95" customHeight="1" x14ac:dyDescent="0.25">
      <c r="B710" s="30"/>
      <c r="C710" s="14" t="str">
        <f t="shared" si="40"/>
        <v/>
      </c>
      <c r="D710" s="11"/>
      <c r="E710" s="14" t="str">
        <f>IF(D710="","",IFERROR(VLOOKUP(D710,Categorias!$B$5:$C$200,2,FALSE),"Revisar"))</f>
        <v/>
      </c>
      <c r="F710" s="11"/>
      <c r="G710" s="31"/>
      <c r="H710" s="32">
        <f t="shared" si="41"/>
        <v>0</v>
      </c>
      <c r="I710" s="32">
        <f t="shared" si="42"/>
        <v>0</v>
      </c>
      <c r="J710" s="32">
        <f t="shared" si="43"/>
        <v>0</v>
      </c>
      <c r="K710" s="11"/>
      <c r="M710" s="12"/>
      <c r="N710" s="12"/>
    </row>
    <row r="711" spans="2:14" ht="21.95" customHeight="1" x14ac:dyDescent="0.25">
      <c r="B711" s="30"/>
      <c r="C711" s="14" t="str">
        <f t="shared" si="40"/>
        <v/>
      </c>
      <c r="D711" s="11"/>
      <c r="E711" s="14" t="str">
        <f>IF(D711="","",IFERROR(VLOOKUP(D711,Categorias!$B$5:$C$200,2,FALSE),"Revisar"))</f>
        <v/>
      </c>
      <c r="F711" s="11"/>
      <c r="G711" s="31"/>
      <c r="H711" s="32">
        <f t="shared" si="41"/>
        <v>0</v>
      </c>
      <c r="I711" s="32">
        <f t="shared" si="42"/>
        <v>0</v>
      </c>
      <c r="J711" s="32">
        <f t="shared" si="43"/>
        <v>0</v>
      </c>
      <c r="K711" s="11"/>
      <c r="M711" s="12"/>
      <c r="N711" s="12"/>
    </row>
    <row r="712" spans="2:14" ht="21.95" customHeight="1" x14ac:dyDescent="0.25">
      <c r="B712" s="30"/>
      <c r="C712" s="14" t="str">
        <f t="shared" si="40"/>
        <v/>
      </c>
      <c r="D712" s="11"/>
      <c r="E712" s="14" t="str">
        <f>IF(D712="","",IFERROR(VLOOKUP(D712,Categorias!$B$5:$C$200,2,FALSE),"Revisar"))</f>
        <v/>
      </c>
      <c r="F712" s="11"/>
      <c r="G712" s="31"/>
      <c r="H712" s="32">
        <f t="shared" si="41"/>
        <v>0</v>
      </c>
      <c r="I712" s="32">
        <f t="shared" si="42"/>
        <v>0</v>
      </c>
      <c r="J712" s="32">
        <f t="shared" si="43"/>
        <v>0</v>
      </c>
      <c r="K712" s="11"/>
      <c r="M712" s="12"/>
      <c r="N712" s="12"/>
    </row>
    <row r="713" spans="2:14" ht="21.95" customHeight="1" x14ac:dyDescent="0.25">
      <c r="B713" s="30"/>
      <c r="C713" s="14" t="str">
        <f t="shared" ref="C713:C776" si="44">IF(B713="","",CHOOSE(MONTH(B713),"Enero","Febrero","Marzo","Abril","Mayo","Junio","Julio","Agosto","Septiembre","Octubre","Noviembre","Diciembre"))</f>
        <v/>
      </c>
      <c r="D713" s="11"/>
      <c r="E713" s="14" t="str">
        <f>IF(D713="","",IFERROR(VLOOKUP(D713,Categorias!$B$5:$C$200,2,FALSE),"Revisar"))</f>
        <v/>
      </c>
      <c r="F713" s="11"/>
      <c r="G713" s="31"/>
      <c r="H713" s="32">
        <f t="shared" ref="H713:H776" si="45">IF($E713="Ingreso",$G713,0)</f>
        <v>0</v>
      </c>
      <c r="I713" s="32">
        <f t="shared" ref="I713:I776" si="46">IF($E713="Gasto",$G713,0)</f>
        <v>0</v>
      </c>
      <c r="J713" s="32">
        <f t="shared" ref="J713:J776" si="47">IF($E713="Reserva",$G713,0)</f>
        <v>0</v>
      </c>
      <c r="K713" s="11"/>
      <c r="M713" s="12"/>
      <c r="N713" s="12"/>
    </row>
    <row r="714" spans="2:14" ht="21.95" customHeight="1" x14ac:dyDescent="0.25">
      <c r="B714" s="30"/>
      <c r="C714" s="14" t="str">
        <f t="shared" si="44"/>
        <v/>
      </c>
      <c r="D714" s="11"/>
      <c r="E714" s="14" t="str">
        <f>IF(D714="","",IFERROR(VLOOKUP(D714,Categorias!$B$5:$C$200,2,FALSE),"Revisar"))</f>
        <v/>
      </c>
      <c r="F714" s="11"/>
      <c r="G714" s="31"/>
      <c r="H714" s="32">
        <f t="shared" si="45"/>
        <v>0</v>
      </c>
      <c r="I714" s="32">
        <f t="shared" si="46"/>
        <v>0</v>
      </c>
      <c r="J714" s="32">
        <f t="shared" si="47"/>
        <v>0</v>
      </c>
      <c r="K714" s="11"/>
      <c r="M714" s="12"/>
      <c r="N714" s="12"/>
    </row>
    <row r="715" spans="2:14" ht="21.95" customHeight="1" x14ac:dyDescent="0.25">
      <c r="B715" s="30"/>
      <c r="C715" s="14" t="str">
        <f t="shared" si="44"/>
        <v/>
      </c>
      <c r="D715" s="11"/>
      <c r="E715" s="14" t="str">
        <f>IF(D715="","",IFERROR(VLOOKUP(D715,Categorias!$B$5:$C$200,2,FALSE),"Revisar"))</f>
        <v/>
      </c>
      <c r="F715" s="11"/>
      <c r="G715" s="31"/>
      <c r="H715" s="32">
        <f t="shared" si="45"/>
        <v>0</v>
      </c>
      <c r="I715" s="32">
        <f t="shared" si="46"/>
        <v>0</v>
      </c>
      <c r="J715" s="32">
        <f t="shared" si="47"/>
        <v>0</v>
      </c>
      <c r="K715" s="11"/>
      <c r="M715" s="12"/>
      <c r="N715" s="12"/>
    </row>
    <row r="716" spans="2:14" ht="21.95" customHeight="1" x14ac:dyDescent="0.25">
      <c r="B716" s="30"/>
      <c r="C716" s="14" t="str">
        <f t="shared" si="44"/>
        <v/>
      </c>
      <c r="D716" s="11"/>
      <c r="E716" s="14" t="str">
        <f>IF(D716="","",IFERROR(VLOOKUP(D716,Categorias!$B$5:$C$200,2,FALSE),"Revisar"))</f>
        <v/>
      </c>
      <c r="F716" s="11"/>
      <c r="G716" s="31"/>
      <c r="H716" s="32">
        <f t="shared" si="45"/>
        <v>0</v>
      </c>
      <c r="I716" s="32">
        <f t="shared" si="46"/>
        <v>0</v>
      </c>
      <c r="J716" s="32">
        <f t="shared" si="47"/>
        <v>0</v>
      </c>
      <c r="K716" s="11"/>
      <c r="M716" s="12"/>
      <c r="N716" s="12"/>
    </row>
    <row r="717" spans="2:14" ht="21.95" customHeight="1" x14ac:dyDescent="0.25">
      <c r="B717" s="30"/>
      <c r="C717" s="14" t="str">
        <f t="shared" si="44"/>
        <v/>
      </c>
      <c r="D717" s="11"/>
      <c r="E717" s="14" t="str">
        <f>IF(D717="","",IFERROR(VLOOKUP(D717,Categorias!$B$5:$C$200,2,FALSE),"Revisar"))</f>
        <v/>
      </c>
      <c r="F717" s="11"/>
      <c r="G717" s="31"/>
      <c r="H717" s="32">
        <f t="shared" si="45"/>
        <v>0</v>
      </c>
      <c r="I717" s="32">
        <f t="shared" si="46"/>
        <v>0</v>
      </c>
      <c r="J717" s="32">
        <f t="shared" si="47"/>
        <v>0</v>
      </c>
      <c r="K717" s="11"/>
      <c r="M717" s="12"/>
      <c r="N717" s="12"/>
    </row>
    <row r="718" spans="2:14" ht="21.95" customHeight="1" x14ac:dyDescent="0.25">
      <c r="B718" s="30"/>
      <c r="C718" s="14" t="str">
        <f t="shared" si="44"/>
        <v/>
      </c>
      <c r="D718" s="11"/>
      <c r="E718" s="14" t="str">
        <f>IF(D718="","",IFERROR(VLOOKUP(D718,Categorias!$B$5:$C$200,2,FALSE),"Revisar"))</f>
        <v/>
      </c>
      <c r="F718" s="11"/>
      <c r="G718" s="31"/>
      <c r="H718" s="32">
        <f t="shared" si="45"/>
        <v>0</v>
      </c>
      <c r="I718" s="32">
        <f t="shared" si="46"/>
        <v>0</v>
      </c>
      <c r="J718" s="32">
        <f t="shared" si="47"/>
        <v>0</v>
      </c>
      <c r="K718" s="11"/>
      <c r="M718" s="12"/>
      <c r="N718" s="12"/>
    </row>
    <row r="719" spans="2:14" ht="21.95" customHeight="1" x14ac:dyDescent="0.25">
      <c r="B719" s="30"/>
      <c r="C719" s="14" t="str">
        <f t="shared" si="44"/>
        <v/>
      </c>
      <c r="D719" s="11"/>
      <c r="E719" s="14" t="str">
        <f>IF(D719="","",IFERROR(VLOOKUP(D719,Categorias!$B$5:$C$200,2,FALSE),"Revisar"))</f>
        <v/>
      </c>
      <c r="F719" s="11"/>
      <c r="G719" s="31"/>
      <c r="H719" s="32">
        <f t="shared" si="45"/>
        <v>0</v>
      </c>
      <c r="I719" s="32">
        <f t="shared" si="46"/>
        <v>0</v>
      </c>
      <c r="J719" s="32">
        <f t="shared" si="47"/>
        <v>0</v>
      </c>
      <c r="K719" s="11"/>
      <c r="M719" s="12"/>
      <c r="N719" s="12"/>
    </row>
    <row r="720" spans="2:14" ht="21.95" customHeight="1" x14ac:dyDescent="0.25">
      <c r="B720" s="30"/>
      <c r="C720" s="14" t="str">
        <f t="shared" si="44"/>
        <v/>
      </c>
      <c r="D720" s="11"/>
      <c r="E720" s="14" t="str">
        <f>IF(D720="","",IFERROR(VLOOKUP(D720,Categorias!$B$5:$C$200,2,FALSE),"Revisar"))</f>
        <v/>
      </c>
      <c r="F720" s="11"/>
      <c r="G720" s="31"/>
      <c r="H720" s="32">
        <f t="shared" si="45"/>
        <v>0</v>
      </c>
      <c r="I720" s="32">
        <f t="shared" si="46"/>
        <v>0</v>
      </c>
      <c r="J720" s="32">
        <f t="shared" si="47"/>
        <v>0</v>
      </c>
      <c r="K720" s="11"/>
      <c r="M720" s="12"/>
      <c r="N720" s="12"/>
    </row>
    <row r="721" spans="2:14" ht="21.95" customHeight="1" x14ac:dyDescent="0.25">
      <c r="B721" s="30"/>
      <c r="C721" s="14" t="str">
        <f t="shared" si="44"/>
        <v/>
      </c>
      <c r="D721" s="11"/>
      <c r="E721" s="14" t="str">
        <f>IF(D721="","",IFERROR(VLOOKUP(D721,Categorias!$B$5:$C$200,2,FALSE),"Revisar"))</f>
        <v/>
      </c>
      <c r="F721" s="11"/>
      <c r="G721" s="31"/>
      <c r="H721" s="32">
        <f t="shared" si="45"/>
        <v>0</v>
      </c>
      <c r="I721" s="32">
        <f t="shared" si="46"/>
        <v>0</v>
      </c>
      <c r="J721" s="32">
        <f t="shared" si="47"/>
        <v>0</v>
      </c>
      <c r="K721" s="11"/>
      <c r="M721" s="12"/>
      <c r="N721" s="12"/>
    </row>
    <row r="722" spans="2:14" ht="21.95" customHeight="1" x14ac:dyDescent="0.25">
      <c r="B722" s="30"/>
      <c r="C722" s="14" t="str">
        <f t="shared" si="44"/>
        <v/>
      </c>
      <c r="D722" s="11"/>
      <c r="E722" s="14" t="str">
        <f>IF(D722="","",IFERROR(VLOOKUP(D722,Categorias!$B$5:$C$200,2,FALSE),"Revisar"))</f>
        <v/>
      </c>
      <c r="F722" s="11"/>
      <c r="G722" s="31"/>
      <c r="H722" s="32">
        <f t="shared" si="45"/>
        <v>0</v>
      </c>
      <c r="I722" s="32">
        <f t="shared" si="46"/>
        <v>0</v>
      </c>
      <c r="J722" s="32">
        <f t="shared" si="47"/>
        <v>0</v>
      </c>
      <c r="K722" s="11"/>
      <c r="M722" s="12"/>
      <c r="N722" s="12"/>
    </row>
    <row r="723" spans="2:14" ht="21.95" customHeight="1" x14ac:dyDescent="0.25">
      <c r="B723" s="30"/>
      <c r="C723" s="14" t="str">
        <f t="shared" si="44"/>
        <v/>
      </c>
      <c r="D723" s="11"/>
      <c r="E723" s="14" t="str">
        <f>IF(D723="","",IFERROR(VLOOKUP(D723,Categorias!$B$5:$C$200,2,FALSE),"Revisar"))</f>
        <v/>
      </c>
      <c r="F723" s="11"/>
      <c r="G723" s="31"/>
      <c r="H723" s="32">
        <f t="shared" si="45"/>
        <v>0</v>
      </c>
      <c r="I723" s="32">
        <f t="shared" si="46"/>
        <v>0</v>
      </c>
      <c r="J723" s="32">
        <f t="shared" si="47"/>
        <v>0</v>
      </c>
      <c r="K723" s="11"/>
      <c r="M723" s="12"/>
      <c r="N723" s="12"/>
    </row>
    <row r="724" spans="2:14" ht="21.95" customHeight="1" x14ac:dyDescent="0.25">
      <c r="B724" s="30"/>
      <c r="C724" s="14" t="str">
        <f t="shared" si="44"/>
        <v/>
      </c>
      <c r="D724" s="11"/>
      <c r="E724" s="14" t="str">
        <f>IF(D724="","",IFERROR(VLOOKUP(D724,Categorias!$B$5:$C$200,2,FALSE),"Revisar"))</f>
        <v/>
      </c>
      <c r="F724" s="11"/>
      <c r="G724" s="31"/>
      <c r="H724" s="32">
        <f t="shared" si="45"/>
        <v>0</v>
      </c>
      <c r="I724" s="32">
        <f t="shared" si="46"/>
        <v>0</v>
      </c>
      <c r="J724" s="32">
        <f t="shared" si="47"/>
        <v>0</v>
      </c>
      <c r="K724" s="11"/>
      <c r="M724" s="12"/>
      <c r="N724" s="12"/>
    </row>
    <row r="725" spans="2:14" ht="21.95" customHeight="1" x14ac:dyDescent="0.25">
      <c r="B725" s="30"/>
      <c r="C725" s="14" t="str">
        <f t="shared" si="44"/>
        <v/>
      </c>
      <c r="D725" s="11"/>
      <c r="E725" s="14" t="str">
        <f>IF(D725="","",IFERROR(VLOOKUP(D725,Categorias!$B$5:$C$200,2,FALSE),"Revisar"))</f>
        <v/>
      </c>
      <c r="F725" s="11"/>
      <c r="G725" s="31"/>
      <c r="H725" s="32">
        <f t="shared" si="45"/>
        <v>0</v>
      </c>
      <c r="I725" s="32">
        <f t="shared" si="46"/>
        <v>0</v>
      </c>
      <c r="J725" s="32">
        <f t="shared" si="47"/>
        <v>0</v>
      </c>
      <c r="K725" s="11"/>
      <c r="M725" s="12"/>
      <c r="N725" s="12"/>
    </row>
    <row r="726" spans="2:14" ht="21.95" customHeight="1" x14ac:dyDescent="0.25">
      <c r="B726" s="30"/>
      <c r="C726" s="14" t="str">
        <f t="shared" si="44"/>
        <v/>
      </c>
      <c r="D726" s="11"/>
      <c r="E726" s="14" t="str">
        <f>IF(D726="","",IFERROR(VLOOKUP(D726,Categorias!$B$5:$C$200,2,FALSE),"Revisar"))</f>
        <v/>
      </c>
      <c r="F726" s="11"/>
      <c r="G726" s="31"/>
      <c r="H726" s="32">
        <f t="shared" si="45"/>
        <v>0</v>
      </c>
      <c r="I726" s="32">
        <f t="shared" si="46"/>
        <v>0</v>
      </c>
      <c r="J726" s="32">
        <f t="shared" si="47"/>
        <v>0</v>
      </c>
      <c r="K726" s="11"/>
      <c r="M726" s="12"/>
      <c r="N726" s="12"/>
    </row>
    <row r="727" spans="2:14" ht="21.95" customHeight="1" x14ac:dyDescent="0.25">
      <c r="B727" s="30"/>
      <c r="C727" s="14" t="str">
        <f t="shared" si="44"/>
        <v/>
      </c>
      <c r="D727" s="11"/>
      <c r="E727" s="14" t="str">
        <f>IF(D727="","",IFERROR(VLOOKUP(D727,Categorias!$B$5:$C$200,2,FALSE),"Revisar"))</f>
        <v/>
      </c>
      <c r="F727" s="11"/>
      <c r="G727" s="31"/>
      <c r="H727" s="32">
        <f t="shared" si="45"/>
        <v>0</v>
      </c>
      <c r="I727" s="32">
        <f t="shared" si="46"/>
        <v>0</v>
      </c>
      <c r="J727" s="32">
        <f t="shared" si="47"/>
        <v>0</v>
      </c>
      <c r="K727" s="11"/>
      <c r="M727" s="12"/>
      <c r="N727" s="12"/>
    </row>
    <row r="728" spans="2:14" ht="21.95" customHeight="1" x14ac:dyDescent="0.25">
      <c r="B728" s="30"/>
      <c r="C728" s="14" t="str">
        <f t="shared" si="44"/>
        <v/>
      </c>
      <c r="D728" s="11"/>
      <c r="E728" s="14" t="str">
        <f>IF(D728="","",IFERROR(VLOOKUP(D728,Categorias!$B$5:$C$200,2,FALSE),"Revisar"))</f>
        <v/>
      </c>
      <c r="F728" s="11"/>
      <c r="G728" s="31"/>
      <c r="H728" s="32">
        <f t="shared" si="45"/>
        <v>0</v>
      </c>
      <c r="I728" s="32">
        <f t="shared" si="46"/>
        <v>0</v>
      </c>
      <c r="J728" s="32">
        <f t="shared" si="47"/>
        <v>0</v>
      </c>
      <c r="K728" s="11"/>
      <c r="M728" s="12"/>
      <c r="N728" s="12"/>
    </row>
    <row r="729" spans="2:14" ht="21.95" customHeight="1" x14ac:dyDescent="0.25">
      <c r="B729" s="30"/>
      <c r="C729" s="14" t="str">
        <f t="shared" si="44"/>
        <v/>
      </c>
      <c r="D729" s="11"/>
      <c r="E729" s="14" t="str">
        <f>IF(D729="","",IFERROR(VLOOKUP(D729,Categorias!$B$5:$C$200,2,FALSE),"Revisar"))</f>
        <v/>
      </c>
      <c r="F729" s="11"/>
      <c r="G729" s="31"/>
      <c r="H729" s="32">
        <f t="shared" si="45"/>
        <v>0</v>
      </c>
      <c r="I729" s="32">
        <f t="shared" si="46"/>
        <v>0</v>
      </c>
      <c r="J729" s="32">
        <f t="shared" si="47"/>
        <v>0</v>
      </c>
      <c r="K729" s="11"/>
      <c r="M729" s="12"/>
      <c r="N729" s="12"/>
    </row>
    <row r="730" spans="2:14" ht="21.95" customHeight="1" x14ac:dyDescent="0.25">
      <c r="B730" s="30"/>
      <c r="C730" s="14" t="str">
        <f t="shared" si="44"/>
        <v/>
      </c>
      <c r="D730" s="11"/>
      <c r="E730" s="14" t="str">
        <f>IF(D730="","",IFERROR(VLOOKUP(D730,Categorias!$B$5:$C$200,2,FALSE),"Revisar"))</f>
        <v/>
      </c>
      <c r="F730" s="11"/>
      <c r="G730" s="31"/>
      <c r="H730" s="32">
        <f t="shared" si="45"/>
        <v>0</v>
      </c>
      <c r="I730" s="32">
        <f t="shared" si="46"/>
        <v>0</v>
      </c>
      <c r="J730" s="32">
        <f t="shared" si="47"/>
        <v>0</v>
      </c>
      <c r="K730" s="11"/>
      <c r="M730" s="12"/>
      <c r="N730" s="12"/>
    </row>
    <row r="731" spans="2:14" ht="21.95" customHeight="1" x14ac:dyDescent="0.25">
      <c r="B731" s="30"/>
      <c r="C731" s="14" t="str">
        <f t="shared" si="44"/>
        <v/>
      </c>
      <c r="D731" s="11"/>
      <c r="E731" s="14" t="str">
        <f>IF(D731="","",IFERROR(VLOOKUP(D731,Categorias!$B$5:$C$200,2,FALSE),"Revisar"))</f>
        <v/>
      </c>
      <c r="F731" s="11"/>
      <c r="G731" s="31"/>
      <c r="H731" s="32">
        <f t="shared" si="45"/>
        <v>0</v>
      </c>
      <c r="I731" s="32">
        <f t="shared" si="46"/>
        <v>0</v>
      </c>
      <c r="J731" s="32">
        <f t="shared" si="47"/>
        <v>0</v>
      </c>
      <c r="K731" s="11"/>
      <c r="M731" s="12"/>
      <c r="N731" s="12"/>
    </row>
    <row r="732" spans="2:14" ht="21.95" customHeight="1" x14ac:dyDescent="0.25">
      <c r="B732" s="30"/>
      <c r="C732" s="14" t="str">
        <f t="shared" si="44"/>
        <v/>
      </c>
      <c r="D732" s="11"/>
      <c r="E732" s="14" t="str">
        <f>IF(D732="","",IFERROR(VLOOKUP(D732,Categorias!$B$5:$C$200,2,FALSE),"Revisar"))</f>
        <v/>
      </c>
      <c r="F732" s="11"/>
      <c r="G732" s="31"/>
      <c r="H732" s="32">
        <f t="shared" si="45"/>
        <v>0</v>
      </c>
      <c r="I732" s="32">
        <f t="shared" si="46"/>
        <v>0</v>
      </c>
      <c r="J732" s="32">
        <f t="shared" si="47"/>
        <v>0</v>
      </c>
      <c r="K732" s="11"/>
      <c r="M732" s="12"/>
      <c r="N732" s="12"/>
    </row>
    <row r="733" spans="2:14" ht="21.95" customHeight="1" x14ac:dyDescent="0.25">
      <c r="B733" s="30"/>
      <c r="C733" s="14" t="str">
        <f t="shared" si="44"/>
        <v/>
      </c>
      <c r="D733" s="11"/>
      <c r="E733" s="14" t="str">
        <f>IF(D733="","",IFERROR(VLOOKUP(D733,Categorias!$B$5:$C$200,2,FALSE),"Revisar"))</f>
        <v/>
      </c>
      <c r="F733" s="11"/>
      <c r="G733" s="31"/>
      <c r="H733" s="32">
        <f t="shared" si="45"/>
        <v>0</v>
      </c>
      <c r="I733" s="32">
        <f t="shared" si="46"/>
        <v>0</v>
      </c>
      <c r="J733" s="32">
        <f t="shared" si="47"/>
        <v>0</v>
      </c>
      <c r="K733" s="11"/>
      <c r="M733" s="12"/>
      <c r="N733" s="12"/>
    </row>
    <row r="734" spans="2:14" ht="21.95" customHeight="1" x14ac:dyDescent="0.25">
      <c r="B734" s="30"/>
      <c r="C734" s="14" t="str">
        <f t="shared" si="44"/>
        <v/>
      </c>
      <c r="D734" s="11"/>
      <c r="E734" s="14" t="str">
        <f>IF(D734="","",IFERROR(VLOOKUP(D734,Categorias!$B$5:$C$200,2,FALSE),"Revisar"))</f>
        <v/>
      </c>
      <c r="F734" s="11"/>
      <c r="G734" s="31"/>
      <c r="H734" s="32">
        <f t="shared" si="45"/>
        <v>0</v>
      </c>
      <c r="I734" s="32">
        <f t="shared" si="46"/>
        <v>0</v>
      </c>
      <c r="J734" s="32">
        <f t="shared" si="47"/>
        <v>0</v>
      </c>
      <c r="K734" s="11"/>
      <c r="M734" s="12"/>
      <c r="N734" s="12"/>
    </row>
    <row r="735" spans="2:14" ht="21.95" customHeight="1" x14ac:dyDescent="0.25">
      <c r="B735" s="30"/>
      <c r="C735" s="14" t="str">
        <f t="shared" si="44"/>
        <v/>
      </c>
      <c r="D735" s="11"/>
      <c r="E735" s="14" t="str">
        <f>IF(D735="","",IFERROR(VLOOKUP(D735,Categorias!$B$5:$C$200,2,FALSE),"Revisar"))</f>
        <v/>
      </c>
      <c r="F735" s="11"/>
      <c r="G735" s="31"/>
      <c r="H735" s="32">
        <f t="shared" si="45"/>
        <v>0</v>
      </c>
      <c r="I735" s="32">
        <f t="shared" si="46"/>
        <v>0</v>
      </c>
      <c r="J735" s="32">
        <f t="shared" si="47"/>
        <v>0</v>
      </c>
      <c r="K735" s="11"/>
      <c r="M735" s="12"/>
      <c r="N735" s="12"/>
    </row>
    <row r="736" spans="2:14" ht="21.95" customHeight="1" x14ac:dyDescent="0.25">
      <c r="B736" s="30"/>
      <c r="C736" s="14" t="str">
        <f t="shared" si="44"/>
        <v/>
      </c>
      <c r="D736" s="11"/>
      <c r="E736" s="14" t="str">
        <f>IF(D736="","",IFERROR(VLOOKUP(D736,Categorias!$B$5:$C$200,2,FALSE),"Revisar"))</f>
        <v/>
      </c>
      <c r="F736" s="11"/>
      <c r="G736" s="31"/>
      <c r="H736" s="32">
        <f t="shared" si="45"/>
        <v>0</v>
      </c>
      <c r="I736" s="32">
        <f t="shared" si="46"/>
        <v>0</v>
      </c>
      <c r="J736" s="32">
        <f t="shared" si="47"/>
        <v>0</v>
      </c>
      <c r="K736" s="11"/>
      <c r="M736" s="12"/>
      <c r="N736" s="12"/>
    </row>
    <row r="737" spans="2:14" ht="21.95" customHeight="1" x14ac:dyDescent="0.25">
      <c r="B737" s="30"/>
      <c r="C737" s="14" t="str">
        <f t="shared" si="44"/>
        <v/>
      </c>
      <c r="D737" s="11"/>
      <c r="E737" s="14" t="str">
        <f>IF(D737="","",IFERROR(VLOOKUP(D737,Categorias!$B$5:$C$200,2,FALSE),"Revisar"))</f>
        <v/>
      </c>
      <c r="F737" s="11"/>
      <c r="G737" s="31"/>
      <c r="H737" s="32">
        <f t="shared" si="45"/>
        <v>0</v>
      </c>
      <c r="I737" s="32">
        <f t="shared" si="46"/>
        <v>0</v>
      </c>
      <c r="J737" s="32">
        <f t="shared" si="47"/>
        <v>0</v>
      </c>
      <c r="K737" s="11"/>
      <c r="M737" s="12"/>
      <c r="N737" s="12"/>
    </row>
    <row r="738" spans="2:14" ht="21.95" customHeight="1" x14ac:dyDescent="0.25">
      <c r="B738" s="30"/>
      <c r="C738" s="14" t="str">
        <f t="shared" si="44"/>
        <v/>
      </c>
      <c r="D738" s="11"/>
      <c r="E738" s="14" t="str">
        <f>IF(D738="","",IFERROR(VLOOKUP(D738,Categorias!$B$5:$C$200,2,FALSE),"Revisar"))</f>
        <v/>
      </c>
      <c r="F738" s="11"/>
      <c r="G738" s="31"/>
      <c r="H738" s="32">
        <f t="shared" si="45"/>
        <v>0</v>
      </c>
      <c r="I738" s="32">
        <f t="shared" si="46"/>
        <v>0</v>
      </c>
      <c r="J738" s="32">
        <f t="shared" si="47"/>
        <v>0</v>
      </c>
      <c r="K738" s="11"/>
      <c r="M738" s="12"/>
      <c r="N738" s="12"/>
    </row>
    <row r="739" spans="2:14" ht="21.95" customHeight="1" x14ac:dyDescent="0.25">
      <c r="B739" s="30"/>
      <c r="C739" s="14" t="str">
        <f t="shared" si="44"/>
        <v/>
      </c>
      <c r="D739" s="11"/>
      <c r="E739" s="14" t="str">
        <f>IF(D739="","",IFERROR(VLOOKUP(D739,Categorias!$B$5:$C$200,2,FALSE),"Revisar"))</f>
        <v/>
      </c>
      <c r="F739" s="11"/>
      <c r="G739" s="31"/>
      <c r="H739" s="32">
        <f t="shared" si="45"/>
        <v>0</v>
      </c>
      <c r="I739" s="32">
        <f t="shared" si="46"/>
        <v>0</v>
      </c>
      <c r="J739" s="32">
        <f t="shared" si="47"/>
        <v>0</v>
      </c>
      <c r="K739" s="11"/>
      <c r="M739" s="12"/>
      <c r="N739" s="12"/>
    </row>
    <row r="740" spans="2:14" ht="21.95" customHeight="1" x14ac:dyDescent="0.25">
      <c r="B740" s="30"/>
      <c r="C740" s="14" t="str">
        <f t="shared" si="44"/>
        <v/>
      </c>
      <c r="D740" s="11"/>
      <c r="E740" s="14" t="str">
        <f>IF(D740="","",IFERROR(VLOOKUP(D740,Categorias!$B$5:$C$200,2,FALSE),"Revisar"))</f>
        <v/>
      </c>
      <c r="F740" s="11"/>
      <c r="G740" s="31"/>
      <c r="H740" s="32">
        <f t="shared" si="45"/>
        <v>0</v>
      </c>
      <c r="I740" s="32">
        <f t="shared" si="46"/>
        <v>0</v>
      </c>
      <c r="J740" s="32">
        <f t="shared" si="47"/>
        <v>0</v>
      </c>
      <c r="K740" s="11"/>
      <c r="M740" s="12"/>
      <c r="N740" s="12"/>
    </row>
    <row r="741" spans="2:14" ht="21.95" customHeight="1" x14ac:dyDescent="0.25">
      <c r="B741" s="30"/>
      <c r="C741" s="14" t="str">
        <f t="shared" si="44"/>
        <v/>
      </c>
      <c r="D741" s="11"/>
      <c r="E741" s="14" t="str">
        <f>IF(D741="","",IFERROR(VLOOKUP(D741,Categorias!$B$5:$C$200,2,FALSE),"Revisar"))</f>
        <v/>
      </c>
      <c r="F741" s="11"/>
      <c r="G741" s="31"/>
      <c r="H741" s="32">
        <f t="shared" si="45"/>
        <v>0</v>
      </c>
      <c r="I741" s="32">
        <f t="shared" si="46"/>
        <v>0</v>
      </c>
      <c r="J741" s="32">
        <f t="shared" si="47"/>
        <v>0</v>
      </c>
      <c r="K741" s="11"/>
      <c r="M741" s="12"/>
      <c r="N741" s="12"/>
    </row>
    <row r="742" spans="2:14" ht="21.95" customHeight="1" x14ac:dyDescent="0.25">
      <c r="B742" s="30"/>
      <c r="C742" s="14" t="str">
        <f t="shared" si="44"/>
        <v/>
      </c>
      <c r="D742" s="11"/>
      <c r="E742" s="14" t="str">
        <f>IF(D742="","",IFERROR(VLOOKUP(D742,Categorias!$B$5:$C$200,2,FALSE),"Revisar"))</f>
        <v/>
      </c>
      <c r="F742" s="11"/>
      <c r="G742" s="31"/>
      <c r="H742" s="32">
        <f t="shared" si="45"/>
        <v>0</v>
      </c>
      <c r="I742" s="32">
        <f t="shared" si="46"/>
        <v>0</v>
      </c>
      <c r="J742" s="32">
        <f t="shared" si="47"/>
        <v>0</v>
      </c>
      <c r="K742" s="11"/>
      <c r="M742" s="12"/>
      <c r="N742" s="12"/>
    </row>
    <row r="743" spans="2:14" ht="21.95" customHeight="1" x14ac:dyDescent="0.25">
      <c r="B743" s="30"/>
      <c r="C743" s="14" t="str">
        <f t="shared" si="44"/>
        <v/>
      </c>
      <c r="D743" s="11"/>
      <c r="E743" s="14" t="str">
        <f>IF(D743="","",IFERROR(VLOOKUP(D743,Categorias!$B$5:$C$200,2,FALSE),"Revisar"))</f>
        <v/>
      </c>
      <c r="F743" s="11"/>
      <c r="G743" s="31"/>
      <c r="H743" s="32">
        <f t="shared" si="45"/>
        <v>0</v>
      </c>
      <c r="I743" s="32">
        <f t="shared" si="46"/>
        <v>0</v>
      </c>
      <c r="J743" s="32">
        <f t="shared" si="47"/>
        <v>0</v>
      </c>
      <c r="K743" s="11"/>
      <c r="M743" s="12"/>
      <c r="N743" s="12"/>
    </row>
    <row r="744" spans="2:14" ht="21.95" customHeight="1" x14ac:dyDescent="0.25">
      <c r="B744" s="30"/>
      <c r="C744" s="14" t="str">
        <f t="shared" si="44"/>
        <v/>
      </c>
      <c r="D744" s="11"/>
      <c r="E744" s="14" t="str">
        <f>IF(D744="","",IFERROR(VLOOKUP(D744,Categorias!$B$5:$C$200,2,FALSE),"Revisar"))</f>
        <v/>
      </c>
      <c r="F744" s="11"/>
      <c r="G744" s="31"/>
      <c r="H744" s="32">
        <f t="shared" si="45"/>
        <v>0</v>
      </c>
      <c r="I744" s="32">
        <f t="shared" si="46"/>
        <v>0</v>
      </c>
      <c r="J744" s="32">
        <f t="shared" si="47"/>
        <v>0</v>
      </c>
      <c r="K744" s="11"/>
      <c r="M744" s="12"/>
      <c r="N744" s="12"/>
    </row>
    <row r="745" spans="2:14" ht="21.95" customHeight="1" x14ac:dyDescent="0.25">
      <c r="B745" s="30"/>
      <c r="C745" s="14" t="str">
        <f t="shared" si="44"/>
        <v/>
      </c>
      <c r="D745" s="11"/>
      <c r="E745" s="14" t="str">
        <f>IF(D745="","",IFERROR(VLOOKUP(D745,Categorias!$B$5:$C$200,2,FALSE),"Revisar"))</f>
        <v/>
      </c>
      <c r="F745" s="11"/>
      <c r="G745" s="31"/>
      <c r="H745" s="32">
        <f t="shared" si="45"/>
        <v>0</v>
      </c>
      <c r="I745" s="32">
        <f t="shared" si="46"/>
        <v>0</v>
      </c>
      <c r="J745" s="32">
        <f t="shared" si="47"/>
        <v>0</v>
      </c>
      <c r="K745" s="11"/>
      <c r="M745" s="12"/>
      <c r="N745" s="12"/>
    </row>
    <row r="746" spans="2:14" ht="21.95" customHeight="1" x14ac:dyDescent="0.25">
      <c r="B746" s="30"/>
      <c r="C746" s="14" t="str">
        <f t="shared" si="44"/>
        <v/>
      </c>
      <c r="D746" s="11"/>
      <c r="E746" s="14" t="str">
        <f>IF(D746="","",IFERROR(VLOOKUP(D746,Categorias!$B$5:$C$200,2,FALSE),"Revisar"))</f>
        <v/>
      </c>
      <c r="F746" s="11"/>
      <c r="G746" s="31"/>
      <c r="H746" s="32">
        <f t="shared" si="45"/>
        <v>0</v>
      </c>
      <c r="I746" s="32">
        <f t="shared" si="46"/>
        <v>0</v>
      </c>
      <c r="J746" s="32">
        <f t="shared" si="47"/>
        <v>0</v>
      </c>
      <c r="K746" s="11"/>
      <c r="M746" s="12"/>
      <c r="N746" s="12"/>
    </row>
    <row r="747" spans="2:14" ht="21.95" customHeight="1" x14ac:dyDescent="0.25">
      <c r="B747" s="30"/>
      <c r="C747" s="14" t="str">
        <f t="shared" si="44"/>
        <v/>
      </c>
      <c r="D747" s="11"/>
      <c r="E747" s="14" t="str">
        <f>IF(D747="","",IFERROR(VLOOKUP(D747,Categorias!$B$5:$C$200,2,FALSE),"Revisar"))</f>
        <v/>
      </c>
      <c r="F747" s="11"/>
      <c r="G747" s="31"/>
      <c r="H747" s="32">
        <f t="shared" si="45"/>
        <v>0</v>
      </c>
      <c r="I747" s="32">
        <f t="shared" si="46"/>
        <v>0</v>
      </c>
      <c r="J747" s="32">
        <f t="shared" si="47"/>
        <v>0</v>
      </c>
      <c r="K747" s="11"/>
      <c r="M747" s="12"/>
      <c r="N747" s="12"/>
    </row>
    <row r="748" spans="2:14" ht="21.95" customHeight="1" x14ac:dyDescent="0.25">
      <c r="B748" s="30"/>
      <c r="C748" s="14" t="str">
        <f t="shared" si="44"/>
        <v/>
      </c>
      <c r="D748" s="11"/>
      <c r="E748" s="14" t="str">
        <f>IF(D748="","",IFERROR(VLOOKUP(D748,Categorias!$B$5:$C$200,2,FALSE),"Revisar"))</f>
        <v/>
      </c>
      <c r="F748" s="11"/>
      <c r="G748" s="31"/>
      <c r="H748" s="32">
        <f t="shared" si="45"/>
        <v>0</v>
      </c>
      <c r="I748" s="32">
        <f t="shared" si="46"/>
        <v>0</v>
      </c>
      <c r="J748" s="32">
        <f t="shared" si="47"/>
        <v>0</v>
      </c>
      <c r="K748" s="11"/>
      <c r="M748" s="12"/>
      <c r="N748" s="12"/>
    </row>
    <row r="749" spans="2:14" ht="21.95" customHeight="1" x14ac:dyDescent="0.25">
      <c r="B749" s="30"/>
      <c r="C749" s="14" t="str">
        <f t="shared" si="44"/>
        <v/>
      </c>
      <c r="D749" s="11"/>
      <c r="E749" s="14" t="str">
        <f>IF(D749="","",IFERROR(VLOOKUP(D749,Categorias!$B$5:$C$200,2,FALSE),"Revisar"))</f>
        <v/>
      </c>
      <c r="F749" s="11"/>
      <c r="G749" s="31"/>
      <c r="H749" s="32">
        <f t="shared" si="45"/>
        <v>0</v>
      </c>
      <c r="I749" s="32">
        <f t="shared" si="46"/>
        <v>0</v>
      </c>
      <c r="J749" s="32">
        <f t="shared" si="47"/>
        <v>0</v>
      </c>
      <c r="K749" s="11"/>
      <c r="M749" s="12"/>
      <c r="N749" s="12"/>
    </row>
    <row r="750" spans="2:14" ht="21.95" customHeight="1" x14ac:dyDescent="0.25">
      <c r="B750" s="30"/>
      <c r="C750" s="14" t="str">
        <f t="shared" si="44"/>
        <v/>
      </c>
      <c r="D750" s="11"/>
      <c r="E750" s="14" t="str">
        <f>IF(D750="","",IFERROR(VLOOKUP(D750,Categorias!$B$5:$C$200,2,FALSE),"Revisar"))</f>
        <v/>
      </c>
      <c r="F750" s="11"/>
      <c r="G750" s="31"/>
      <c r="H750" s="32">
        <f t="shared" si="45"/>
        <v>0</v>
      </c>
      <c r="I750" s="32">
        <f t="shared" si="46"/>
        <v>0</v>
      </c>
      <c r="J750" s="32">
        <f t="shared" si="47"/>
        <v>0</v>
      </c>
      <c r="K750" s="11"/>
      <c r="M750" s="12"/>
      <c r="N750" s="12"/>
    </row>
    <row r="751" spans="2:14" ht="21.95" customHeight="1" x14ac:dyDescent="0.25">
      <c r="B751" s="30"/>
      <c r="C751" s="14" t="str">
        <f t="shared" si="44"/>
        <v/>
      </c>
      <c r="D751" s="11"/>
      <c r="E751" s="14" t="str">
        <f>IF(D751="","",IFERROR(VLOOKUP(D751,Categorias!$B$5:$C$200,2,FALSE),"Revisar"))</f>
        <v/>
      </c>
      <c r="F751" s="11"/>
      <c r="G751" s="31"/>
      <c r="H751" s="32">
        <f t="shared" si="45"/>
        <v>0</v>
      </c>
      <c r="I751" s="32">
        <f t="shared" si="46"/>
        <v>0</v>
      </c>
      <c r="J751" s="32">
        <f t="shared" si="47"/>
        <v>0</v>
      </c>
      <c r="K751" s="11"/>
      <c r="M751" s="12"/>
      <c r="N751" s="12"/>
    </row>
    <row r="752" spans="2:14" ht="21.95" customHeight="1" x14ac:dyDescent="0.25">
      <c r="B752" s="30"/>
      <c r="C752" s="14" t="str">
        <f t="shared" si="44"/>
        <v/>
      </c>
      <c r="D752" s="11"/>
      <c r="E752" s="14" t="str">
        <f>IF(D752="","",IFERROR(VLOOKUP(D752,Categorias!$B$5:$C$200,2,FALSE),"Revisar"))</f>
        <v/>
      </c>
      <c r="F752" s="11"/>
      <c r="G752" s="31"/>
      <c r="H752" s="32">
        <f t="shared" si="45"/>
        <v>0</v>
      </c>
      <c r="I752" s="32">
        <f t="shared" si="46"/>
        <v>0</v>
      </c>
      <c r="J752" s="32">
        <f t="shared" si="47"/>
        <v>0</v>
      </c>
      <c r="K752" s="11"/>
      <c r="M752" s="12"/>
      <c r="N752" s="12"/>
    </row>
    <row r="753" spans="2:14" ht="21.95" customHeight="1" x14ac:dyDescent="0.25">
      <c r="B753" s="30"/>
      <c r="C753" s="14" t="str">
        <f t="shared" si="44"/>
        <v/>
      </c>
      <c r="D753" s="11"/>
      <c r="E753" s="14" t="str">
        <f>IF(D753="","",IFERROR(VLOOKUP(D753,Categorias!$B$5:$C$200,2,FALSE),"Revisar"))</f>
        <v/>
      </c>
      <c r="F753" s="11"/>
      <c r="G753" s="31"/>
      <c r="H753" s="32">
        <f t="shared" si="45"/>
        <v>0</v>
      </c>
      <c r="I753" s="32">
        <f t="shared" si="46"/>
        <v>0</v>
      </c>
      <c r="J753" s="32">
        <f t="shared" si="47"/>
        <v>0</v>
      </c>
      <c r="K753" s="11"/>
      <c r="M753" s="12"/>
      <c r="N753" s="12"/>
    </row>
    <row r="754" spans="2:14" ht="21.95" customHeight="1" x14ac:dyDescent="0.25">
      <c r="B754" s="30"/>
      <c r="C754" s="14" t="str">
        <f t="shared" si="44"/>
        <v/>
      </c>
      <c r="D754" s="11"/>
      <c r="E754" s="14" t="str">
        <f>IF(D754="","",IFERROR(VLOOKUP(D754,Categorias!$B$5:$C$200,2,FALSE),"Revisar"))</f>
        <v/>
      </c>
      <c r="F754" s="11"/>
      <c r="G754" s="31"/>
      <c r="H754" s="32">
        <f t="shared" si="45"/>
        <v>0</v>
      </c>
      <c r="I754" s="32">
        <f t="shared" si="46"/>
        <v>0</v>
      </c>
      <c r="J754" s="32">
        <f t="shared" si="47"/>
        <v>0</v>
      </c>
      <c r="K754" s="11"/>
      <c r="M754" s="12"/>
      <c r="N754" s="12"/>
    </row>
    <row r="755" spans="2:14" ht="21.95" customHeight="1" x14ac:dyDescent="0.25">
      <c r="B755" s="30"/>
      <c r="C755" s="14" t="str">
        <f t="shared" si="44"/>
        <v/>
      </c>
      <c r="D755" s="11"/>
      <c r="E755" s="14" t="str">
        <f>IF(D755="","",IFERROR(VLOOKUP(D755,Categorias!$B$5:$C$200,2,FALSE),"Revisar"))</f>
        <v/>
      </c>
      <c r="F755" s="11"/>
      <c r="G755" s="31"/>
      <c r="H755" s="32">
        <f t="shared" si="45"/>
        <v>0</v>
      </c>
      <c r="I755" s="32">
        <f t="shared" si="46"/>
        <v>0</v>
      </c>
      <c r="J755" s="32">
        <f t="shared" si="47"/>
        <v>0</v>
      </c>
      <c r="K755" s="11"/>
      <c r="M755" s="12"/>
      <c r="N755" s="12"/>
    </row>
    <row r="756" spans="2:14" ht="21.95" customHeight="1" x14ac:dyDescent="0.25">
      <c r="B756" s="30"/>
      <c r="C756" s="14" t="str">
        <f t="shared" si="44"/>
        <v/>
      </c>
      <c r="D756" s="11"/>
      <c r="E756" s="14" t="str">
        <f>IF(D756="","",IFERROR(VLOOKUP(D756,Categorias!$B$5:$C$200,2,FALSE),"Revisar"))</f>
        <v/>
      </c>
      <c r="F756" s="11"/>
      <c r="G756" s="31"/>
      <c r="H756" s="32">
        <f t="shared" si="45"/>
        <v>0</v>
      </c>
      <c r="I756" s="32">
        <f t="shared" si="46"/>
        <v>0</v>
      </c>
      <c r="J756" s="32">
        <f t="shared" si="47"/>
        <v>0</v>
      </c>
      <c r="K756" s="11"/>
      <c r="M756" s="12"/>
      <c r="N756" s="12"/>
    </row>
    <row r="757" spans="2:14" ht="21.95" customHeight="1" x14ac:dyDescent="0.25">
      <c r="B757" s="30"/>
      <c r="C757" s="14" t="str">
        <f t="shared" si="44"/>
        <v/>
      </c>
      <c r="D757" s="11"/>
      <c r="E757" s="14" t="str">
        <f>IF(D757="","",IFERROR(VLOOKUP(D757,Categorias!$B$5:$C$200,2,FALSE),"Revisar"))</f>
        <v/>
      </c>
      <c r="F757" s="11"/>
      <c r="G757" s="31"/>
      <c r="H757" s="32">
        <f t="shared" si="45"/>
        <v>0</v>
      </c>
      <c r="I757" s="32">
        <f t="shared" si="46"/>
        <v>0</v>
      </c>
      <c r="J757" s="32">
        <f t="shared" si="47"/>
        <v>0</v>
      </c>
      <c r="K757" s="11"/>
      <c r="M757" s="12"/>
      <c r="N757" s="12"/>
    </row>
    <row r="758" spans="2:14" ht="21.95" customHeight="1" x14ac:dyDescent="0.25">
      <c r="B758" s="30"/>
      <c r="C758" s="14" t="str">
        <f t="shared" si="44"/>
        <v/>
      </c>
      <c r="D758" s="11"/>
      <c r="E758" s="14" t="str">
        <f>IF(D758="","",IFERROR(VLOOKUP(D758,Categorias!$B$5:$C$200,2,FALSE),"Revisar"))</f>
        <v/>
      </c>
      <c r="F758" s="11"/>
      <c r="G758" s="31"/>
      <c r="H758" s="32">
        <f t="shared" si="45"/>
        <v>0</v>
      </c>
      <c r="I758" s="32">
        <f t="shared" si="46"/>
        <v>0</v>
      </c>
      <c r="J758" s="32">
        <f t="shared" si="47"/>
        <v>0</v>
      </c>
      <c r="K758" s="11"/>
      <c r="M758" s="12"/>
      <c r="N758" s="12"/>
    </row>
    <row r="759" spans="2:14" ht="21.95" customHeight="1" x14ac:dyDescent="0.25">
      <c r="B759" s="30"/>
      <c r="C759" s="14" t="str">
        <f t="shared" si="44"/>
        <v/>
      </c>
      <c r="D759" s="11"/>
      <c r="E759" s="14" t="str">
        <f>IF(D759="","",IFERROR(VLOOKUP(D759,Categorias!$B$5:$C$200,2,FALSE),"Revisar"))</f>
        <v/>
      </c>
      <c r="F759" s="11"/>
      <c r="G759" s="31"/>
      <c r="H759" s="32">
        <f t="shared" si="45"/>
        <v>0</v>
      </c>
      <c r="I759" s="32">
        <f t="shared" si="46"/>
        <v>0</v>
      </c>
      <c r="J759" s="32">
        <f t="shared" si="47"/>
        <v>0</v>
      </c>
      <c r="K759" s="11"/>
      <c r="M759" s="12"/>
      <c r="N759" s="12"/>
    </row>
    <row r="760" spans="2:14" ht="21.95" customHeight="1" x14ac:dyDescent="0.25">
      <c r="B760" s="30"/>
      <c r="C760" s="14" t="str">
        <f t="shared" si="44"/>
        <v/>
      </c>
      <c r="D760" s="11"/>
      <c r="E760" s="14" t="str">
        <f>IF(D760="","",IFERROR(VLOOKUP(D760,Categorias!$B$5:$C$200,2,FALSE),"Revisar"))</f>
        <v/>
      </c>
      <c r="F760" s="11"/>
      <c r="G760" s="31"/>
      <c r="H760" s="32">
        <f t="shared" si="45"/>
        <v>0</v>
      </c>
      <c r="I760" s="32">
        <f t="shared" si="46"/>
        <v>0</v>
      </c>
      <c r="J760" s="32">
        <f t="shared" si="47"/>
        <v>0</v>
      </c>
      <c r="K760" s="11"/>
      <c r="M760" s="12"/>
      <c r="N760" s="12"/>
    </row>
    <row r="761" spans="2:14" ht="21.95" customHeight="1" x14ac:dyDescent="0.25">
      <c r="B761" s="30"/>
      <c r="C761" s="14" t="str">
        <f t="shared" si="44"/>
        <v/>
      </c>
      <c r="D761" s="11"/>
      <c r="E761" s="14" t="str">
        <f>IF(D761="","",IFERROR(VLOOKUP(D761,Categorias!$B$5:$C$200,2,FALSE),"Revisar"))</f>
        <v/>
      </c>
      <c r="F761" s="11"/>
      <c r="G761" s="31"/>
      <c r="H761" s="32">
        <f t="shared" si="45"/>
        <v>0</v>
      </c>
      <c r="I761" s="32">
        <f t="shared" si="46"/>
        <v>0</v>
      </c>
      <c r="J761" s="32">
        <f t="shared" si="47"/>
        <v>0</v>
      </c>
      <c r="K761" s="11"/>
      <c r="M761" s="12"/>
      <c r="N761" s="12"/>
    </row>
    <row r="762" spans="2:14" ht="21.95" customHeight="1" x14ac:dyDescent="0.25">
      <c r="B762" s="30"/>
      <c r="C762" s="14" t="str">
        <f t="shared" si="44"/>
        <v/>
      </c>
      <c r="D762" s="11"/>
      <c r="E762" s="14" t="str">
        <f>IF(D762="","",IFERROR(VLOOKUP(D762,Categorias!$B$5:$C$200,2,FALSE),"Revisar"))</f>
        <v/>
      </c>
      <c r="F762" s="11"/>
      <c r="G762" s="31"/>
      <c r="H762" s="32">
        <f t="shared" si="45"/>
        <v>0</v>
      </c>
      <c r="I762" s="32">
        <f t="shared" si="46"/>
        <v>0</v>
      </c>
      <c r="J762" s="32">
        <f t="shared" si="47"/>
        <v>0</v>
      </c>
      <c r="K762" s="11"/>
      <c r="M762" s="12"/>
      <c r="N762" s="12"/>
    </row>
    <row r="763" spans="2:14" ht="21.95" customHeight="1" x14ac:dyDescent="0.25">
      <c r="B763" s="30"/>
      <c r="C763" s="14" t="str">
        <f t="shared" si="44"/>
        <v/>
      </c>
      <c r="D763" s="11"/>
      <c r="E763" s="14" t="str">
        <f>IF(D763="","",IFERROR(VLOOKUP(D763,Categorias!$B$5:$C$200,2,FALSE),"Revisar"))</f>
        <v/>
      </c>
      <c r="F763" s="11"/>
      <c r="G763" s="31"/>
      <c r="H763" s="32">
        <f t="shared" si="45"/>
        <v>0</v>
      </c>
      <c r="I763" s="32">
        <f t="shared" si="46"/>
        <v>0</v>
      </c>
      <c r="J763" s="32">
        <f t="shared" si="47"/>
        <v>0</v>
      </c>
      <c r="K763" s="11"/>
      <c r="M763" s="12"/>
      <c r="N763" s="12"/>
    </row>
    <row r="764" spans="2:14" ht="21.95" customHeight="1" x14ac:dyDescent="0.25">
      <c r="B764" s="30"/>
      <c r="C764" s="14" t="str">
        <f t="shared" si="44"/>
        <v/>
      </c>
      <c r="D764" s="11"/>
      <c r="E764" s="14" t="str">
        <f>IF(D764="","",IFERROR(VLOOKUP(D764,Categorias!$B$5:$C$200,2,FALSE),"Revisar"))</f>
        <v/>
      </c>
      <c r="F764" s="11"/>
      <c r="G764" s="31"/>
      <c r="H764" s="32">
        <f t="shared" si="45"/>
        <v>0</v>
      </c>
      <c r="I764" s="32">
        <f t="shared" si="46"/>
        <v>0</v>
      </c>
      <c r="J764" s="32">
        <f t="shared" si="47"/>
        <v>0</v>
      </c>
      <c r="K764" s="11"/>
      <c r="M764" s="12"/>
      <c r="N764" s="12"/>
    </row>
    <row r="765" spans="2:14" ht="21.95" customHeight="1" x14ac:dyDescent="0.25">
      <c r="B765" s="30"/>
      <c r="C765" s="14" t="str">
        <f t="shared" si="44"/>
        <v/>
      </c>
      <c r="D765" s="11"/>
      <c r="E765" s="14" t="str">
        <f>IF(D765="","",IFERROR(VLOOKUP(D765,Categorias!$B$5:$C$200,2,FALSE),"Revisar"))</f>
        <v/>
      </c>
      <c r="F765" s="11"/>
      <c r="G765" s="31"/>
      <c r="H765" s="32">
        <f t="shared" si="45"/>
        <v>0</v>
      </c>
      <c r="I765" s="32">
        <f t="shared" si="46"/>
        <v>0</v>
      </c>
      <c r="J765" s="32">
        <f t="shared" si="47"/>
        <v>0</v>
      </c>
      <c r="K765" s="11"/>
      <c r="M765" s="12"/>
      <c r="N765" s="12"/>
    </row>
    <row r="766" spans="2:14" ht="21.95" customHeight="1" x14ac:dyDescent="0.25">
      <c r="B766" s="30"/>
      <c r="C766" s="14" t="str">
        <f t="shared" si="44"/>
        <v/>
      </c>
      <c r="D766" s="11"/>
      <c r="E766" s="14" t="str">
        <f>IF(D766="","",IFERROR(VLOOKUP(D766,Categorias!$B$5:$C$200,2,FALSE),"Revisar"))</f>
        <v/>
      </c>
      <c r="F766" s="11"/>
      <c r="G766" s="31"/>
      <c r="H766" s="32">
        <f t="shared" si="45"/>
        <v>0</v>
      </c>
      <c r="I766" s="32">
        <f t="shared" si="46"/>
        <v>0</v>
      </c>
      <c r="J766" s="32">
        <f t="shared" si="47"/>
        <v>0</v>
      </c>
      <c r="K766" s="11"/>
      <c r="M766" s="12"/>
      <c r="N766" s="12"/>
    </row>
    <row r="767" spans="2:14" ht="21.95" customHeight="1" x14ac:dyDescent="0.25">
      <c r="B767" s="30"/>
      <c r="C767" s="14" t="str">
        <f t="shared" si="44"/>
        <v/>
      </c>
      <c r="D767" s="11"/>
      <c r="E767" s="14" t="str">
        <f>IF(D767="","",IFERROR(VLOOKUP(D767,Categorias!$B$5:$C$200,2,FALSE),"Revisar"))</f>
        <v/>
      </c>
      <c r="F767" s="11"/>
      <c r="G767" s="31"/>
      <c r="H767" s="32">
        <f t="shared" si="45"/>
        <v>0</v>
      </c>
      <c r="I767" s="32">
        <f t="shared" si="46"/>
        <v>0</v>
      </c>
      <c r="J767" s="32">
        <f t="shared" si="47"/>
        <v>0</v>
      </c>
      <c r="K767" s="11"/>
      <c r="M767" s="12"/>
      <c r="N767" s="12"/>
    </row>
    <row r="768" spans="2:14" ht="21.95" customHeight="1" x14ac:dyDescent="0.25">
      <c r="B768" s="30"/>
      <c r="C768" s="14" t="str">
        <f t="shared" si="44"/>
        <v/>
      </c>
      <c r="D768" s="11"/>
      <c r="E768" s="14" t="str">
        <f>IF(D768="","",IFERROR(VLOOKUP(D768,Categorias!$B$5:$C$200,2,FALSE),"Revisar"))</f>
        <v/>
      </c>
      <c r="F768" s="11"/>
      <c r="G768" s="31"/>
      <c r="H768" s="32">
        <f t="shared" si="45"/>
        <v>0</v>
      </c>
      <c r="I768" s="32">
        <f t="shared" si="46"/>
        <v>0</v>
      </c>
      <c r="J768" s="32">
        <f t="shared" si="47"/>
        <v>0</v>
      </c>
      <c r="K768" s="11"/>
      <c r="M768" s="12"/>
      <c r="N768" s="12"/>
    </row>
    <row r="769" spans="2:14" ht="21.95" customHeight="1" x14ac:dyDescent="0.25">
      <c r="B769" s="30"/>
      <c r="C769" s="14" t="str">
        <f t="shared" si="44"/>
        <v/>
      </c>
      <c r="D769" s="11"/>
      <c r="E769" s="14" t="str">
        <f>IF(D769="","",IFERROR(VLOOKUP(D769,Categorias!$B$5:$C$200,2,FALSE),"Revisar"))</f>
        <v/>
      </c>
      <c r="F769" s="11"/>
      <c r="G769" s="31"/>
      <c r="H769" s="32">
        <f t="shared" si="45"/>
        <v>0</v>
      </c>
      <c r="I769" s="32">
        <f t="shared" si="46"/>
        <v>0</v>
      </c>
      <c r="J769" s="32">
        <f t="shared" si="47"/>
        <v>0</v>
      </c>
      <c r="K769" s="11"/>
      <c r="M769" s="12"/>
      <c r="N769" s="12"/>
    </row>
    <row r="770" spans="2:14" ht="21.95" customHeight="1" x14ac:dyDescent="0.25">
      <c r="B770" s="30"/>
      <c r="C770" s="14" t="str">
        <f t="shared" si="44"/>
        <v/>
      </c>
      <c r="D770" s="11"/>
      <c r="E770" s="14" t="str">
        <f>IF(D770="","",IFERROR(VLOOKUP(D770,Categorias!$B$5:$C$200,2,FALSE),"Revisar"))</f>
        <v/>
      </c>
      <c r="F770" s="11"/>
      <c r="G770" s="31"/>
      <c r="H770" s="32">
        <f t="shared" si="45"/>
        <v>0</v>
      </c>
      <c r="I770" s="32">
        <f t="shared" si="46"/>
        <v>0</v>
      </c>
      <c r="J770" s="32">
        <f t="shared" si="47"/>
        <v>0</v>
      </c>
      <c r="K770" s="11"/>
      <c r="M770" s="12"/>
      <c r="N770" s="12"/>
    </row>
    <row r="771" spans="2:14" ht="21.95" customHeight="1" x14ac:dyDescent="0.25">
      <c r="B771" s="30"/>
      <c r="C771" s="14" t="str">
        <f t="shared" si="44"/>
        <v/>
      </c>
      <c r="D771" s="11"/>
      <c r="E771" s="14" t="str">
        <f>IF(D771="","",IFERROR(VLOOKUP(D771,Categorias!$B$5:$C$200,2,FALSE),"Revisar"))</f>
        <v/>
      </c>
      <c r="F771" s="11"/>
      <c r="G771" s="31"/>
      <c r="H771" s="32">
        <f t="shared" si="45"/>
        <v>0</v>
      </c>
      <c r="I771" s="32">
        <f t="shared" si="46"/>
        <v>0</v>
      </c>
      <c r="J771" s="32">
        <f t="shared" si="47"/>
        <v>0</v>
      </c>
      <c r="K771" s="11"/>
      <c r="M771" s="12"/>
      <c r="N771" s="12"/>
    </row>
    <row r="772" spans="2:14" ht="21.95" customHeight="1" x14ac:dyDescent="0.25">
      <c r="B772" s="30"/>
      <c r="C772" s="14" t="str">
        <f t="shared" si="44"/>
        <v/>
      </c>
      <c r="D772" s="11"/>
      <c r="E772" s="14" t="str">
        <f>IF(D772="","",IFERROR(VLOOKUP(D772,Categorias!$B$5:$C$200,2,FALSE),"Revisar"))</f>
        <v/>
      </c>
      <c r="F772" s="11"/>
      <c r="G772" s="31"/>
      <c r="H772" s="32">
        <f t="shared" si="45"/>
        <v>0</v>
      </c>
      <c r="I772" s="32">
        <f t="shared" si="46"/>
        <v>0</v>
      </c>
      <c r="J772" s="32">
        <f t="shared" si="47"/>
        <v>0</v>
      </c>
      <c r="K772" s="11"/>
      <c r="M772" s="12"/>
      <c r="N772" s="12"/>
    </row>
    <row r="773" spans="2:14" ht="21.95" customHeight="1" x14ac:dyDescent="0.25">
      <c r="B773" s="30"/>
      <c r="C773" s="14" t="str">
        <f t="shared" si="44"/>
        <v/>
      </c>
      <c r="D773" s="11"/>
      <c r="E773" s="14" t="str">
        <f>IF(D773="","",IFERROR(VLOOKUP(D773,Categorias!$B$5:$C$200,2,FALSE),"Revisar"))</f>
        <v/>
      </c>
      <c r="F773" s="11"/>
      <c r="G773" s="31"/>
      <c r="H773" s="32">
        <f t="shared" si="45"/>
        <v>0</v>
      </c>
      <c r="I773" s="32">
        <f t="shared" si="46"/>
        <v>0</v>
      </c>
      <c r="J773" s="32">
        <f t="shared" si="47"/>
        <v>0</v>
      </c>
      <c r="K773" s="11"/>
      <c r="M773" s="12"/>
      <c r="N773" s="12"/>
    </row>
    <row r="774" spans="2:14" ht="21.95" customHeight="1" x14ac:dyDescent="0.25">
      <c r="B774" s="30"/>
      <c r="C774" s="14" t="str">
        <f t="shared" si="44"/>
        <v/>
      </c>
      <c r="D774" s="11"/>
      <c r="E774" s="14" t="str">
        <f>IF(D774="","",IFERROR(VLOOKUP(D774,Categorias!$B$5:$C$200,2,FALSE),"Revisar"))</f>
        <v/>
      </c>
      <c r="F774" s="11"/>
      <c r="G774" s="31"/>
      <c r="H774" s="32">
        <f t="shared" si="45"/>
        <v>0</v>
      </c>
      <c r="I774" s="32">
        <f t="shared" si="46"/>
        <v>0</v>
      </c>
      <c r="J774" s="32">
        <f t="shared" si="47"/>
        <v>0</v>
      </c>
      <c r="K774" s="11"/>
      <c r="M774" s="12"/>
      <c r="N774" s="12"/>
    </row>
    <row r="775" spans="2:14" ht="21.95" customHeight="1" x14ac:dyDescent="0.25">
      <c r="B775" s="30"/>
      <c r="C775" s="14" t="str">
        <f t="shared" si="44"/>
        <v/>
      </c>
      <c r="D775" s="11"/>
      <c r="E775" s="14" t="str">
        <f>IF(D775="","",IFERROR(VLOOKUP(D775,Categorias!$B$5:$C$200,2,FALSE),"Revisar"))</f>
        <v/>
      </c>
      <c r="F775" s="11"/>
      <c r="G775" s="31"/>
      <c r="H775" s="32">
        <f t="shared" si="45"/>
        <v>0</v>
      </c>
      <c r="I775" s="32">
        <f t="shared" si="46"/>
        <v>0</v>
      </c>
      <c r="J775" s="32">
        <f t="shared" si="47"/>
        <v>0</v>
      </c>
      <c r="K775" s="11"/>
      <c r="M775" s="12"/>
      <c r="N775" s="12"/>
    </row>
    <row r="776" spans="2:14" ht="21.95" customHeight="1" x14ac:dyDescent="0.25">
      <c r="B776" s="30"/>
      <c r="C776" s="14" t="str">
        <f t="shared" si="44"/>
        <v/>
      </c>
      <c r="D776" s="11"/>
      <c r="E776" s="14" t="str">
        <f>IF(D776="","",IFERROR(VLOOKUP(D776,Categorias!$B$5:$C$200,2,FALSE),"Revisar"))</f>
        <v/>
      </c>
      <c r="F776" s="11"/>
      <c r="G776" s="31"/>
      <c r="H776" s="32">
        <f t="shared" si="45"/>
        <v>0</v>
      </c>
      <c r="I776" s="32">
        <f t="shared" si="46"/>
        <v>0</v>
      </c>
      <c r="J776" s="32">
        <f t="shared" si="47"/>
        <v>0</v>
      </c>
      <c r="K776" s="11"/>
      <c r="M776" s="12"/>
      <c r="N776" s="12"/>
    </row>
    <row r="777" spans="2:14" ht="21.95" customHeight="1" x14ac:dyDescent="0.25">
      <c r="B777" s="30"/>
      <c r="C777" s="14" t="str">
        <f t="shared" ref="C777:C840" si="48">IF(B777="","",CHOOSE(MONTH(B777),"Enero","Febrero","Marzo","Abril","Mayo","Junio","Julio","Agosto","Septiembre","Octubre","Noviembre","Diciembre"))</f>
        <v/>
      </c>
      <c r="D777" s="11"/>
      <c r="E777" s="14" t="str">
        <f>IF(D777="","",IFERROR(VLOOKUP(D777,Categorias!$B$5:$C$200,2,FALSE),"Revisar"))</f>
        <v/>
      </c>
      <c r="F777" s="11"/>
      <c r="G777" s="31"/>
      <c r="H777" s="32">
        <f t="shared" ref="H777:H840" si="49">IF($E777="Ingreso",$G777,0)</f>
        <v>0</v>
      </c>
      <c r="I777" s="32">
        <f t="shared" ref="I777:I840" si="50">IF($E777="Gasto",$G777,0)</f>
        <v>0</v>
      </c>
      <c r="J777" s="32">
        <f t="shared" ref="J777:J840" si="51">IF($E777="Reserva",$G777,0)</f>
        <v>0</v>
      </c>
      <c r="K777" s="11"/>
      <c r="M777" s="12"/>
      <c r="N777" s="12"/>
    </row>
    <row r="778" spans="2:14" ht="21.95" customHeight="1" x14ac:dyDescent="0.25">
      <c r="B778" s="30"/>
      <c r="C778" s="14" t="str">
        <f t="shared" si="48"/>
        <v/>
      </c>
      <c r="D778" s="11"/>
      <c r="E778" s="14" t="str">
        <f>IF(D778="","",IFERROR(VLOOKUP(D778,Categorias!$B$5:$C$200,2,FALSE),"Revisar"))</f>
        <v/>
      </c>
      <c r="F778" s="11"/>
      <c r="G778" s="31"/>
      <c r="H778" s="32">
        <f t="shared" si="49"/>
        <v>0</v>
      </c>
      <c r="I778" s="32">
        <f t="shared" si="50"/>
        <v>0</v>
      </c>
      <c r="J778" s="32">
        <f t="shared" si="51"/>
        <v>0</v>
      </c>
      <c r="K778" s="11"/>
      <c r="M778" s="12"/>
      <c r="N778" s="12"/>
    </row>
    <row r="779" spans="2:14" ht="21.95" customHeight="1" x14ac:dyDescent="0.25">
      <c r="B779" s="30"/>
      <c r="C779" s="14" t="str">
        <f t="shared" si="48"/>
        <v/>
      </c>
      <c r="D779" s="11"/>
      <c r="E779" s="14" t="str">
        <f>IF(D779="","",IFERROR(VLOOKUP(D779,Categorias!$B$5:$C$200,2,FALSE),"Revisar"))</f>
        <v/>
      </c>
      <c r="F779" s="11"/>
      <c r="G779" s="31"/>
      <c r="H779" s="32">
        <f t="shared" si="49"/>
        <v>0</v>
      </c>
      <c r="I779" s="32">
        <f t="shared" si="50"/>
        <v>0</v>
      </c>
      <c r="J779" s="32">
        <f t="shared" si="51"/>
        <v>0</v>
      </c>
      <c r="K779" s="11"/>
      <c r="M779" s="12"/>
      <c r="N779" s="12"/>
    </row>
    <row r="780" spans="2:14" ht="21.95" customHeight="1" x14ac:dyDescent="0.25">
      <c r="B780" s="30"/>
      <c r="C780" s="14" t="str">
        <f t="shared" si="48"/>
        <v/>
      </c>
      <c r="D780" s="11"/>
      <c r="E780" s="14" t="str">
        <f>IF(D780="","",IFERROR(VLOOKUP(D780,Categorias!$B$5:$C$200,2,FALSE),"Revisar"))</f>
        <v/>
      </c>
      <c r="F780" s="11"/>
      <c r="G780" s="31"/>
      <c r="H780" s="32">
        <f t="shared" si="49"/>
        <v>0</v>
      </c>
      <c r="I780" s="32">
        <f t="shared" si="50"/>
        <v>0</v>
      </c>
      <c r="J780" s="32">
        <f t="shared" si="51"/>
        <v>0</v>
      </c>
      <c r="K780" s="11"/>
      <c r="M780" s="12"/>
      <c r="N780" s="12"/>
    </row>
    <row r="781" spans="2:14" ht="21.95" customHeight="1" x14ac:dyDescent="0.25">
      <c r="B781" s="30"/>
      <c r="C781" s="14" t="str">
        <f t="shared" si="48"/>
        <v/>
      </c>
      <c r="D781" s="11"/>
      <c r="E781" s="14" t="str">
        <f>IF(D781="","",IFERROR(VLOOKUP(D781,Categorias!$B$5:$C$200,2,FALSE),"Revisar"))</f>
        <v/>
      </c>
      <c r="F781" s="11"/>
      <c r="G781" s="31"/>
      <c r="H781" s="32">
        <f t="shared" si="49"/>
        <v>0</v>
      </c>
      <c r="I781" s="32">
        <f t="shared" si="50"/>
        <v>0</v>
      </c>
      <c r="J781" s="32">
        <f t="shared" si="51"/>
        <v>0</v>
      </c>
      <c r="K781" s="11"/>
      <c r="M781" s="12"/>
      <c r="N781" s="12"/>
    </row>
    <row r="782" spans="2:14" ht="21.95" customHeight="1" x14ac:dyDescent="0.25">
      <c r="B782" s="30"/>
      <c r="C782" s="14" t="str">
        <f t="shared" si="48"/>
        <v/>
      </c>
      <c r="D782" s="11"/>
      <c r="E782" s="14" t="str">
        <f>IF(D782="","",IFERROR(VLOOKUP(D782,Categorias!$B$5:$C$200,2,FALSE),"Revisar"))</f>
        <v/>
      </c>
      <c r="F782" s="11"/>
      <c r="G782" s="31"/>
      <c r="H782" s="32">
        <f t="shared" si="49"/>
        <v>0</v>
      </c>
      <c r="I782" s="32">
        <f t="shared" si="50"/>
        <v>0</v>
      </c>
      <c r="J782" s="32">
        <f t="shared" si="51"/>
        <v>0</v>
      </c>
      <c r="K782" s="11"/>
      <c r="M782" s="12"/>
      <c r="N782" s="12"/>
    </row>
    <row r="783" spans="2:14" ht="21.95" customHeight="1" x14ac:dyDescent="0.25">
      <c r="B783" s="30"/>
      <c r="C783" s="14" t="str">
        <f t="shared" si="48"/>
        <v/>
      </c>
      <c r="D783" s="11"/>
      <c r="E783" s="14" t="str">
        <f>IF(D783="","",IFERROR(VLOOKUP(D783,Categorias!$B$5:$C$200,2,FALSE),"Revisar"))</f>
        <v/>
      </c>
      <c r="F783" s="11"/>
      <c r="G783" s="31"/>
      <c r="H783" s="32">
        <f t="shared" si="49"/>
        <v>0</v>
      </c>
      <c r="I783" s="32">
        <f t="shared" si="50"/>
        <v>0</v>
      </c>
      <c r="J783" s="32">
        <f t="shared" si="51"/>
        <v>0</v>
      </c>
      <c r="K783" s="11"/>
      <c r="M783" s="12"/>
      <c r="N783" s="12"/>
    </row>
    <row r="784" spans="2:14" ht="21.95" customHeight="1" x14ac:dyDescent="0.25">
      <c r="B784" s="30"/>
      <c r="C784" s="14" t="str">
        <f t="shared" si="48"/>
        <v/>
      </c>
      <c r="D784" s="11"/>
      <c r="E784" s="14" t="str">
        <f>IF(D784="","",IFERROR(VLOOKUP(D784,Categorias!$B$5:$C$200,2,FALSE),"Revisar"))</f>
        <v/>
      </c>
      <c r="F784" s="11"/>
      <c r="G784" s="31"/>
      <c r="H784" s="32">
        <f t="shared" si="49"/>
        <v>0</v>
      </c>
      <c r="I784" s="32">
        <f t="shared" si="50"/>
        <v>0</v>
      </c>
      <c r="J784" s="32">
        <f t="shared" si="51"/>
        <v>0</v>
      </c>
      <c r="K784" s="11"/>
      <c r="M784" s="12"/>
      <c r="N784" s="12"/>
    </row>
    <row r="785" spans="2:14" ht="21.95" customHeight="1" x14ac:dyDescent="0.25">
      <c r="B785" s="30"/>
      <c r="C785" s="14" t="str">
        <f t="shared" si="48"/>
        <v/>
      </c>
      <c r="D785" s="11"/>
      <c r="E785" s="14" t="str">
        <f>IF(D785="","",IFERROR(VLOOKUP(D785,Categorias!$B$5:$C$200,2,FALSE),"Revisar"))</f>
        <v/>
      </c>
      <c r="F785" s="11"/>
      <c r="G785" s="31"/>
      <c r="H785" s="32">
        <f t="shared" si="49"/>
        <v>0</v>
      </c>
      <c r="I785" s="32">
        <f t="shared" si="50"/>
        <v>0</v>
      </c>
      <c r="J785" s="32">
        <f t="shared" si="51"/>
        <v>0</v>
      </c>
      <c r="K785" s="11"/>
      <c r="M785" s="12"/>
      <c r="N785" s="12"/>
    </row>
    <row r="786" spans="2:14" ht="21.95" customHeight="1" x14ac:dyDescent="0.25">
      <c r="B786" s="30"/>
      <c r="C786" s="14" t="str">
        <f t="shared" si="48"/>
        <v/>
      </c>
      <c r="D786" s="11"/>
      <c r="E786" s="14" t="str">
        <f>IF(D786="","",IFERROR(VLOOKUP(D786,Categorias!$B$5:$C$200,2,FALSE),"Revisar"))</f>
        <v/>
      </c>
      <c r="F786" s="11"/>
      <c r="G786" s="31"/>
      <c r="H786" s="32">
        <f t="shared" si="49"/>
        <v>0</v>
      </c>
      <c r="I786" s="32">
        <f t="shared" si="50"/>
        <v>0</v>
      </c>
      <c r="J786" s="32">
        <f t="shared" si="51"/>
        <v>0</v>
      </c>
      <c r="K786" s="11"/>
      <c r="M786" s="12"/>
      <c r="N786" s="12"/>
    </row>
    <row r="787" spans="2:14" ht="21.95" customHeight="1" x14ac:dyDescent="0.25">
      <c r="B787" s="30"/>
      <c r="C787" s="14" t="str">
        <f t="shared" si="48"/>
        <v/>
      </c>
      <c r="D787" s="11"/>
      <c r="E787" s="14" t="str">
        <f>IF(D787="","",IFERROR(VLOOKUP(D787,Categorias!$B$5:$C$200,2,FALSE),"Revisar"))</f>
        <v/>
      </c>
      <c r="F787" s="11"/>
      <c r="G787" s="31"/>
      <c r="H787" s="32">
        <f t="shared" si="49"/>
        <v>0</v>
      </c>
      <c r="I787" s="32">
        <f t="shared" si="50"/>
        <v>0</v>
      </c>
      <c r="J787" s="32">
        <f t="shared" si="51"/>
        <v>0</v>
      </c>
      <c r="K787" s="11"/>
      <c r="M787" s="12"/>
      <c r="N787" s="12"/>
    </row>
    <row r="788" spans="2:14" ht="21.95" customHeight="1" x14ac:dyDescent="0.25">
      <c r="B788" s="30"/>
      <c r="C788" s="14" t="str">
        <f t="shared" si="48"/>
        <v/>
      </c>
      <c r="D788" s="11"/>
      <c r="E788" s="14" t="str">
        <f>IF(D788="","",IFERROR(VLOOKUP(D788,Categorias!$B$5:$C$200,2,FALSE),"Revisar"))</f>
        <v/>
      </c>
      <c r="F788" s="11"/>
      <c r="G788" s="31"/>
      <c r="H788" s="32">
        <f t="shared" si="49"/>
        <v>0</v>
      </c>
      <c r="I788" s="32">
        <f t="shared" si="50"/>
        <v>0</v>
      </c>
      <c r="J788" s="32">
        <f t="shared" si="51"/>
        <v>0</v>
      </c>
      <c r="K788" s="11"/>
      <c r="M788" s="12"/>
      <c r="N788" s="12"/>
    </row>
    <row r="789" spans="2:14" ht="21.95" customHeight="1" x14ac:dyDescent="0.25">
      <c r="B789" s="30"/>
      <c r="C789" s="14" t="str">
        <f t="shared" si="48"/>
        <v/>
      </c>
      <c r="D789" s="11"/>
      <c r="E789" s="14" t="str">
        <f>IF(D789="","",IFERROR(VLOOKUP(D789,Categorias!$B$5:$C$200,2,FALSE),"Revisar"))</f>
        <v/>
      </c>
      <c r="F789" s="11"/>
      <c r="G789" s="31"/>
      <c r="H789" s="32">
        <f t="shared" si="49"/>
        <v>0</v>
      </c>
      <c r="I789" s="32">
        <f t="shared" si="50"/>
        <v>0</v>
      </c>
      <c r="J789" s="32">
        <f t="shared" si="51"/>
        <v>0</v>
      </c>
      <c r="K789" s="11"/>
      <c r="M789" s="12"/>
      <c r="N789" s="12"/>
    </row>
    <row r="790" spans="2:14" ht="21.95" customHeight="1" x14ac:dyDescent="0.25">
      <c r="B790" s="30"/>
      <c r="C790" s="14" t="str">
        <f t="shared" si="48"/>
        <v/>
      </c>
      <c r="D790" s="11"/>
      <c r="E790" s="14" t="str">
        <f>IF(D790="","",IFERROR(VLOOKUP(D790,Categorias!$B$5:$C$200,2,FALSE),"Revisar"))</f>
        <v/>
      </c>
      <c r="F790" s="11"/>
      <c r="G790" s="31"/>
      <c r="H790" s="32">
        <f t="shared" si="49"/>
        <v>0</v>
      </c>
      <c r="I790" s="32">
        <f t="shared" si="50"/>
        <v>0</v>
      </c>
      <c r="J790" s="32">
        <f t="shared" si="51"/>
        <v>0</v>
      </c>
      <c r="K790" s="11"/>
      <c r="M790" s="12"/>
      <c r="N790" s="12"/>
    </row>
    <row r="791" spans="2:14" ht="21.95" customHeight="1" x14ac:dyDescent="0.25">
      <c r="B791" s="30"/>
      <c r="C791" s="14" t="str">
        <f t="shared" si="48"/>
        <v/>
      </c>
      <c r="D791" s="11"/>
      <c r="E791" s="14" t="str">
        <f>IF(D791="","",IFERROR(VLOOKUP(D791,Categorias!$B$5:$C$200,2,FALSE),"Revisar"))</f>
        <v/>
      </c>
      <c r="F791" s="11"/>
      <c r="G791" s="31"/>
      <c r="H791" s="32">
        <f t="shared" si="49"/>
        <v>0</v>
      </c>
      <c r="I791" s="32">
        <f t="shared" si="50"/>
        <v>0</v>
      </c>
      <c r="J791" s="32">
        <f t="shared" si="51"/>
        <v>0</v>
      </c>
      <c r="K791" s="11"/>
      <c r="M791" s="12"/>
      <c r="N791" s="12"/>
    </row>
    <row r="792" spans="2:14" ht="21.95" customHeight="1" x14ac:dyDescent="0.25">
      <c r="B792" s="30"/>
      <c r="C792" s="14" t="str">
        <f t="shared" si="48"/>
        <v/>
      </c>
      <c r="D792" s="11"/>
      <c r="E792" s="14" t="str">
        <f>IF(D792="","",IFERROR(VLOOKUP(D792,Categorias!$B$5:$C$200,2,FALSE),"Revisar"))</f>
        <v/>
      </c>
      <c r="F792" s="11"/>
      <c r="G792" s="31"/>
      <c r="H792" s="32">
        <f t="shared" si="49"/>
        <v>0</v>
      </c>
      <c r="I792" s="32">
        <f t="shared" si="50"/>
        <v>0</v>
      </c>
      <c r="J792" s="32">
        <f t="shared" si="51"/>
        <v>0</v>
      </c>
      <c r="K792" s="11"/>
      <c r="M792" s="12"/>
      <c r="N792" s="12"/>
    </row>
    <row r="793" spans="2:14" ht="21.95" customHeight="1" x14ac:dyDescent="0.25">
      <c r="B793" s="30"/>
      <c r="C793" s="14" t="str">
        <f t="shared" si="48"/>
        <v/>
      </c>
      <c r="D793" s="11"/>
      <c r="E793" s="14" t="str">
        <f>IF(D793="","",IFERROR(VLOOKUP(D793,Categorias!$B$5:$C$200,2,FALSE),"Revisar"))</f>
        <v/>
      </c>
      <c r="F793" s="11"/>
      <c r="G793" s="31"/>
      <c r="H793" s="32">
        <f t="shared" si="49"/>
        <v>0</v>
      </c>
      <c r="I793" s="32">
        <f t="shared" si="50"/>
        <v>0</v>
      </c>
      <c r="J793" s="32">
        <f t="shared" si="51"/>
        <v>0</v>
      </c>
      <c r="K793" s="11"/>
      <c r="M793" s="12"/>
      <c r="N793" s="12"/>
    </row>
    <row r="794" spans="2:14" ht="21.95" customHeight="1" x14ac:dyDescent="0.25">
      <c r="B794" s="30"/>
      <c r="C794" s="14" t="str">
        <f t="shared" si="48"/>
        <v/>
      </c>
      <c r="D794" s="11"/>
      <c r="E794" s="14" t="str">
        <f>IF(D794="","",IFERROR(VLOOKUP(D794,Categorias!$B$5:$C$200,2,FALSE),"Revisar"))</f>
        <v/>
      </c>
      <c r="F794" s="11"/>
      <c r="G794" s="31"/>
      <c r="H794" s="32">
        <f t="shared" si="49"/>
        <v>0</v>
      </c>
      <c r="I794" s="32">
        <f t="shared" si="50"/>
        <v>0</v>
      </c>
      <c r="J794" s="32">
        <f t="shared" si="51"/>
        <v>0</v>
      </c>
      <c r="K794" s="11"/>
      <c r="M794" s="12"/>
      <c r="N794" s="12"/>
    </row>
    <row r="795" spans="2:14" ht="21.95" customHeight="1" x14ac:dyDescent="0.25">
      <c r="B795" s="30"/>
      <c r="C795" s="14" t="str">
        <f t="shared" si="48"/>
        <v/>
      </c>
      <c r="D795" s="11"/>
      <c r="E795" s="14" t="str">
        <f>IF(D795="","",IFERROR(VLOOKUP(D795,Categorias!$B$5:$C$200,2,FALSE),"Revisar"))</f>
        <v/>
      </c>
      <c r="F795" s="11"/>
      <c r="G795" s="31"/>
      <c r="H795" s="32">
        <f t="shared" si="49"/>
        <v>0</v>
      </c>
      <c r="I795" s="32">
        <f t="shared" si="50"/>
        <v>0</v>
      </c>
      <c r="J795" s="32">
        <f t="shared" si="51"/>
        <v>0</v>
      </c>
      <c r="K795" s="11"/>
      <c r="M795" s="12"/>
      <c r="N795" s="12"/>
    </row>
    <row r="796" spans="2:14" ht="21.95" customHeight="1" x14ac:dyDescent="0.25">
      <c r="B796" s="30"/>
      <c r="C796" s="14" t="str">
        <f t="shared" si="48"/>
        <v/>
      </c>
      <c r="D796" s="11"/>
      <c r="E796" s="14" t="str">
        <f>IF(D796="","",IFERROR(VLOOKUP(D796,Categorias!$B$5:$C$200,2,FALSE),"Revisar"))</f>
        <v/>
      </c>
      <c r="F796" s="11"/>
      <c r="G796" s="31"/>
      <c r="H796" s="32">
        <f t="shared" si="49"/>
        <v>0</v>
      </c>
      <c r="I796" s="32">
        <f t="shared" si="50"/>
        <v>0</v>
      </c>
      <c r="J796" s="32">
        <f t="shared" si="51"/>
        <v>0</v>
      </c>
      <c r="K796" s="11"/>
      <c r="M796" s="12"/>
      <c r="N796" s="12"/>
    </row>
    <row r="797" spans="2:14" ht="21.95" customHeight="1" x14ac:dyDescent="0.25">
      <c r="B797" s="30"/>
      <c r="C797" s="14" t="str">
        <f t="shared" si="48"/>
        <v/>
      </c>
      <c r="D797" s="11"/>
      <c r="E797" s="14" t="str">
        <f>IF(D797="","",IFERROR(VLOOKUP(D797,Categorias!$B$5:$C$200,2,FALSE),"Revisar"))</f>
        <v/>
      </c>
      <c r="F797" s="11"/>
      <c r="G797" s="31"/>
      <c r="H797" s="32">
        <f t="shared" si="49"/>
        <v>0</v>
      </c>
      <c r="I797" s="32">
        <f t="shared" si="50"/>
        <v>0</v>
      </c>
      <c r="J797" s="32">
        <f t="shared" si="51"/>
        <v>0</v>
      </c>
      <c r="K797" s="11"/>
      <c r="M797" s="12"/>
      <c r="N797" s="12"/>
    </row>
    <row r="798" spans="2:14" ht="21.95" customHeight="1" x14ac:dyDescent="0.25">
      <c r="B798" s="30"/>
      <c r="C798" s="14" t="str">
        <f t="shared" si="48"/>
        <v/>
      </c>
      <c r="D798" s="11"/>
      <c r="E798" s="14" t="str">
        <f>IF(D798="","",IFERROR(VLOOKUP(D798,Categorias!$B$5:$C$200,2,FALSE),"Revisar"))</f>
        <v/>
      </c>
      <c r="F798" s="11"/>
      <c r="G798" s="31"/>
      <c r="H798" s="32">
        <f t="shared" si="49"/>
        <v>0</v>
      </c>
      <c r="I798" s="32">
        <f t="shared" si="50"/>
        <v>0</v>
      </c>
      <c r="J798" s="32">
        <f t="shared" si="51"/>
        <v>0</v>
      </c>
      <c r="K798" s="11"/>
      <c r="M798" s="12"/>
      <c r="N798" s="12"/>
    </row>
    <row r="799" spans="2:14" ht="21.95" customHeight="1" x14ac:dyDescent="0.25">
      <c r="B799" s="30"/>
      <c r="C799" s="14" t="str">
        <f t="shared" si="48"/>
        <v/>
      </c>
      <c r="D799" s="11"/>
      <c r="E799" s="14" t="str">
        <f>IF(D799="","",IFERROR(VLOOKUP(D799,Categorias!$B$5:$C$200,2,FALSE),"Revisar"))</f>
        <v/>
      </c>
      <c r="F799" s="11"/>
      <c r="G799" s="31"/>
      <c r="H799" s="32">
        <f t="shared" si="49"/>
        <v>0</v>
      </c>
      <c r="I799" s="32">
        <f t="shared" si="50"/>
        <v>0</v>
      </c>
      <c r="J799" s="32">
        <f t="shared" si="51"/>
        <v>0</v>
      </c>
      <c r="K799" s="11"/>
      <c r="M799" s="12"/>
      <c r="N799" s="12"/>
    </row>
    <row r="800" spans="2:14" ht="21.95" customHeight="1" x14ac:dyDescent="0.25">
      <c r="B800" s="30"/>
      <c r="C800" s="14" t="str">
        <f t="shared" si="48"/>
        <v/>
      </c>
      <c r="D800" s="11"/>
      <c r="E800" s="14" t="str">
        <f>IF(D800="","",IFERROR(VLOOKUP(D800,Categorias!$B$5:$C$200,2,FALSE),"Revisar"))</f>
        <v/>
      </c>
      <c r="F800" s="11"/>
      <c r="G800" s="31"/>
      <c r="H800" s="32">
        <f t="shared" si="49"/>
        <v>0</v>
      </c>
      <c r="I800" s="32">
        <f t="shared" si="50"/>
        <v>0</v>
      </c>
      <c r="J800" s="32">
        <f t="shared" si="51"/>
        <v>0</v>
      </c>
      <c r="K800" s="11"/>
      <c r="M800" s="12"/>
      <c r="N800" s="12"/>
    </row>
    <row r="801" spans="2:14" ht="21.95" customHeight="1" x14ac:dyDescent="0.25">
      <c r="B801" s="30"/>
      <c r="C801" s="14" t="str">
        <f t="shared" si="48"/>
        <v/>
      </c>
      <c r="D801" s="11"/>
      <c r="E801" s="14" t="str">
        <f>IF(D801="","",IFERROR(VLOOKUP(D801,Categorias!$B$5:$C$200,2,FALSE),"Revisar"))</f>
        <v/>
      </c>
      <c r="F801" s="11"/>
      <c r="G801" s="31"/>
      <c r="H801" s="32">
        <f t="shared" si="49"/>
        <v>0</v>
      </c>
      <c r="I801" s="32">
        <f t="shared" si="50"/>
        <v>0</v>
      </c>
      <c r="J801" s="32">
        <f t="shared" si="51"/>
        <v>0</v>
      </c>
      <c r="K801" s="11"/>
      <c r="M801" s="12"/>
      <c r="N801" s="12"/>
    </row>
    <row r="802" spans="2:14" ht="21.95" customHeight="1" x14ac:dyDescent="0.25">
      <c r="B802" s="30"/>
      <c r="C802" s="14" t="str">
        <f t="shared" si="48"/>
        <v/>
      </c>
      <c r="D802" s="11"/>
      <c r="E802" s="14" t="str">
        <f>IF(D802="","",IFERROR(VLOOKUP(D802,Categorias!$B$5:$C$200,2,FALSE),"Revisar"))</f>
        <v/>
      </c>
      <c r="F802" s="11"/>
      <c r="G802" s="31"/>
      <c r="H802" s="32">
        <f t="shared" si="49"/>
        <v>0</v>
      </c>
      <c r="I802" s="32">
        <f t="shared" si="50"/>
        <v>0</v>
      </c>
      <c r="J802" s="32">
        <f t="shared" si="51"/>
        <v>0</v>
      </c>
      <c r="K802" s="11"/>
      <c r="M802" s="12"/>
      <c r="N802" s="12"/>
    </row>
    <row r="803" spans="2:14" ht="21.95" customHeight="1" x14ac:dyDescent="0.25">
      <c r="B803" s="30"/>
      <c r="C803" s="14" t="str">
        <f t="shared" si="48"/>
        <v/>
      </c>
      <c r="D803" s="11"/>
      <c r="E803" s="14" t="str">
        <f>IF(D803="","",IFERROR(VLOOKUP(D803,Categorias!$B$5:$C$200,2,FALSE),"Revisar"))</f>
        <v/>
      </c>
      <c r="F803" s="11"/>
      <c r="G803" s="31"/>
      <c r="H803" s="32">
        <f t="shared" si="49"/>
        <v>0</v>
      </c>
      <c r="I803" s="32">
        <f t="shared" si="50"/>
        <v>0</v>
      </c>
      <c r="J803" s="32">
        <f t="shared" si="51"/>
        <v>0</v>
      </c>
      <c r="K803" s="11"/>
      <c r="M803" s="12"/>
      <c r="N803" s="12"/>
    </row>
    <row r="804" spans="2:14" ht="21.95" customHeight="1" x14ac:dyDescent="0.25">
      <c r="B804" s="30"/>
      <c r="C804" s="14" t="str">
        <f t="shared" si="48"/>
        <v/>
      </c>
      <c r="D804" s="11"/>
      <c r="E804" s="14" t="str">
        <f>IF(D804="","",IFERROR(VLOOKUP(D804,Categorias!$B$5:$C$200,2,FALSE),"Revisar"))</f>
        <v/>
      </c>
      <c r="F804" s="11"/>
      <c r="G804" s="31"/>
      <c r="H804" s="32">
        <f t="shared" si="49"/>
        <v>0</v>
      </c>
      <c r="I804" s="32">
        <f t="shared" si="50"/>
        <v>0</v>
      </c>
      <c r="J804" s="32">
        <f t="shared" si="51"/>
        <v>0</v>
      </c>
      <c r="K804" s="11"/>
      <c r="M804" s="12"/>
      <c r="N804" s="12"/>
    </row>
    <row r="805" spans="2:14" ht="21.95" customHeight="1" x14ac:dyDescent="0.25">
      <c r="B805" s="30"/>
      <c r="C805" s="14" t="str">
        <f t="shared" si="48"/>
        <v/>
      </c>
      <c r="D805" s="11"/>
      <c r="E805" s="14" t="str">
        <f>IF(D805="","",IFERROR(VLOOKUP(D805,Categorias!$B$5:$C$200,2,FALSE),"Revisar"))</f>
        <v/>
      </c>
      <c r="F805" s="11"/>
      <c r="G805" s="31"/>
      <c r="H805" s="32">
        <f t="shared" si="49"/>
        <v>0</v>
      </c>
      <c r="I805" s="32">
        <f t="shared" si="50"/>
        <v>0</v>
      </c>
      <c r="J805" s="32">
        <f t="shared" si="51"/>
        <v>0</v>
      </c>
      <c r="K805" s="11"/>
      <c r="M805" s="12"/>
      <c r="N805" s="12"/>
    </row>
    <row r="806" spans="2:14" ht="21.95" customHeight="1" x14ac:dyDescent="0.25">
      <c r="B806" s="30"/>
      <c r="C806" s="14" t="str">
        <f t="shared" si="48"/>
        <v/>
      </c>
      <c r="D806" s="11"/>
      <c r="E806" s="14" t="str">
        <f>IF(D806="","",IFERROR(VLOOKUP(D806,Categorias!$B$5:$C$200,2,FALSE),"Revisar"))</f>
        <v/>
      </c>
      <c r="F806" s="11"/>
      <c r="G806" s="31"/>
      <c r="H806" s="32">
        <f t="shared" si="49"/>
        <v>0</v>
      </c>
      <c r="I806" s="32">
        <f t="shared" si="50"/>
        <v>0</v>
      </c>
      <c r="J806" s="32">
        <f t="shared" si="51"/>
        <v>0</v>
      </c>
      <c r="K806" s="11"/>
      <c r="M806" s="12"/>
      <c r="N806" s="12"/>
    </row>
    <row r="807" spans="2:14" ht="21.95" customHeight="1" x14ac:dyDescent="0.25">
      <c r="B807" s="30"/>
      <c r="C807" s="14" t="str">
        <f t="shared" si="48"/>
        <v/>
      </c>
      <c r="D807" s="11"/>
      <c r="E807" s="14" t="str">
        <f>IF(D807="","",IFERROR(VLOOKUP(D807,Categorias!$B$5:$C$200,2,FALSE),"Revisar"))</f>
        <v/>
      </c>
      <c r="F807" s="11"/>
      <c r="G807" s="31"/>
      <c r="H807" s="32">
        <f t="shared" si="49"/>
        <v>0</v>
      </c>
      <c r="I807" s="32">
        <f t="shared" si="50"/>
        <v>0</v>
      </c>
      <c r="J807" s="32">
        <f t="shared" si="51"/>
        <v>0</v>
      </c>
      <c r="K807" s="11"/>
      <c r="M807" s="12"/>
      <c r="N807" s="12"/>
    </row>
    <row r="808" spans="2:14" ht="21.95" customHeight="1" x14ac:dyDescent="0.25">
      <c r="B808" s="30"/>
      <c r="C808" s="14" t="str">
        <f t="shared" si="48"/>
        <v/>
      </c>
      <c r="D808" s="11"/>
      <c r="E808" s="14" t="str">
        <f>IF(D808="","",IFERROR(VLOOKUP(D808,Categorias!$B$5:$C$200,2,FALSE),"Revisar"))</f>
        <v/>
      </c>
      <c r="F808" s="11"/>
      <c r="G808" s="31"/>
      <c r="H808" s="32">
        <f t="shared" si="49"/>
        <v>0</v>
      </c>
      <c r="I808" s="32">
        <f t="shared" si="50"/>
        <v>0</v>
      </c>
      <c r="J808" s="32">
        <f t="shared" si="51"/>
        <v>0</v>
      </c>
      <c r="K808" s="11"/>
      <c r="M808" s="12"/>
      <c r="N808" s="12"/>
    </row>
    <row r="809" spans="2:14" ht="21.95" customHeight="1" x14ac:dyDescent="0.25">
      <c r="B809" s="30"/>
      <c r="C809" s="14" t="str">
        <f t="shared" si="48"/>
        <v/>
      </c>
      <c r="D809" s="11"/>
      <c r="E809" s="14" t="str">
        <f>IF(D809="","",IFERROR(VLOOKUP(D809,Categorias!$B$5:$C$200,2,FALSE),"Revisar"))</f>
        <v/>
      </c>
      <c r="F809" s="11"/>
      <c r="G809" s="31"/>
      <c r="H809" s="32">
        <f t="shared" si="49"/>
        <v>0</v>
      </c>
      <c r="I809" s="32">
        <f t="shared" si="50"/>
        <v>0</v>
      </c>
      <c r="J809" s="32">
        <f t="shared" si="51"/>
        <v>0</v>
      </c>
      <c r="K809" s="11"/>
      <c r="M809" s="12"/>
      <c r="N809" s="12"/>
    </row>
    <row r="810" spans="2:14" ht="21.95" customHeight="1" x14ac:dyDescent="0.25">
      <c r="B810" s="30"/>
      <c r="C810" s="14" t="str">
        <f t="shared" si="48"/>
        <v/>
      </c>
      <c r="D810" s="11"/>
      <c r="E810" s="14" t="str">
        <f>IF(D810="","",IFERROR(VLOOKUP(D810,Categorias!$B$5:$C$200,2,FALSE),"Revisar"))</f>
        <v/>
      </c>
      <c r="F810" s="11"/>
      <c r="G810" s="31"/>
      <c r="H810" s="32">
        <f t="shared" si="49"/>
        <v>0</v>
      </c>
      <c r="I810" s="32">
        <f t="shared" si="50"/>
        <v>0</v>
      </c>
      <c r="J810" s="32">
        <f t="shared" si="51"/>
        <v>0</v>
      </c>
      <c r="K810" s="11"/>
      <c r="M810" s="12"/>
      <c r="N810" s="12"/>
    </row>
    <row r="811" spans="2:14" ht="21.95" customHeight="1" x14ac:dyDescent="0.25">
      <c r="B811" s="30"/>
      <c r="C811" s="14" t="str">
        <f t="shared" si="48"/>
        <v/>
      </c>
      <c r="D811" s="11"/>
      <c r="E811" s="14" t="str">
        <f>IF(D811="","",IFERROR(VLOOKUP(D811,Categorias!$B$5:$C$200,2,FALSE),"Revisar"))</f>
        <v/>
      </c>
      <c r="F811" s="11"/>
      <c r="G811" s="31"/>
      <c r="H811" s="32">
        <f t="shared" si="49"/>
        <v>0</v>
      </c>
      <c r="I811" s="32">
        <f t="shared" si="50"/>
        <v>0</v>
      </c>
      <c r="J811" s="32">
        <f t="shared" si="51"/>
        <v>0</v>
      </c>
      <c r="K811" s="11"/>
      <c r="M811" s="12"/>
      <c r="N811" s="12"/>
    </row>
    <row r="812" spans="2:14" ht="21.95" customHeight="1" x14ac:dyDescent="0.25">
      <c r="B812" s="30"/>
      <c r="C812" s="14" t="str">
        <f t="shared" si="48"/>
        <v/>
      </c>
      <c r="D812" s="11"/>
      <c r="E812" s="14" t="str">
        <f>IF(D812="","",IFERROR(VLOOKUP(D812,Categorias!$B$5:$C$200,2,FALSE),"Revisar"))</f>
        <v/>
      </c>
      <c r="F812" s="11"/>
      <c r="G812" s="31"/>
      <c r="H812" s="32">
        <f t="shared" si="49"/>
        <v>0</v>
      </c>
      <c r="I812" s="32">
        <f t="shared" si="50"/>
        <v>0</v>
      </c>
      <c r="J812" s="32">
        <f t="shared" si="51"/>
        <v>0</v>
      </c>
      <c r="K812" s="11"/>
      <c r="M812" s="12"/>
      <c r="N812" s="12"/>
    </row>
    <row r="813" spans="2:14" ht="21.95" customHeight="1" x14ac:dyDescent="0.25">
      <c r="B813" s="30"/>
      <c r="C813" s="14" t="str">
        <f t="shared" si="48"/>
        <v/>
      </c>
      <c r="D813" s="11"/>
      <c r="E813" s="14" t="str">
        <f>IF(D813="","",IFERROR(VLOOKUP(D813,Categorias!$B$5:$C$200,2,FALSE),"Revisar"))</f>
        <v/>
      </c>
      <c r="F813" s="11"/>
      <c r="G813" s="31"/>
      <c r="H813" s="32">
        <f t="shared" si="49"/>
        <v>0</v>
      </c>
      <c r="I813" s="32">
        <f t="shared" si="50"/>
        <v>0</v>
      </c>
      <c r="J813" s="32">
        <f t="shared" si="51"/>
        <v>0</v>
      </c>
      <c r="K813" s="11"/>
      <c r="M813" s="12"/>
      <c r="N813" s="12"/>
    </row>
    <row r="814" spans="2:14" ht="21.95" customHeight="1" x14ac:dyDescent="0.25">
      <c r="B814" s="30"/>
      <c r="C814" s="14" t="str">
        <f t="shared" si="48"/>
        <v/>
      </c>
      <c r="D814" s="11"/>
      <c r="E814" s="14" t="str">
        <f>IF(D814="","",IFERROR(VLOOKUP(D814,Categorias!$B$5:$C$200,2,FALSE),"Revisar"))</f>
        <v/>
      </c>
      <c r="F814" s="11"/>
      <c r="G814" s="31"/>
      <c r="H814" s="32">
        <f t="shared" si="49"/>
        <v>0</v>
      </c>
      <c r="I814" s="32">
        <f t="shared" si="50"/>
        <v>0</v>
      </c>
      <c r="J814" s="32">
        <f t="shared" si="51"/>
        <v>0</v>
      </c>
      <c r="K814" s="11"/>
      <c r="M814" s="12"/>
      <c r="N814" s="12"/>
    </row>
    <row r="815" spans="2:14" ht="21.95" customHeight="1" x14ac:dyDescent="0.25">
      <c r="B815" s="30"/>
      <c r="C815" s="14" t="str">
        <f t="shared" si="48"/>
        <v/>
      </c>
      <c r="D815" s="11"/>
      <c r="E815" s="14" t="str">
        <f>IF(D815="","",IFERROR(VLOOKUP(D815,Categorias!$B$5:$C$200,2,FALSE),"Revisar"))</f>
        <v/>
      </c>
      <c r="F815" s="11"/>
      <c r="G815" s="31"/>
      <c r="H815" s="32">
        <f t="shared" si="49"/>
        <v>0</v>
      </c>
      <c r="I815" s="32">
        <f t="shared" si="50"/>
        <v>0</v>
      </c>
      <c r="J815" s="32">
        <f t="shared" si="51"/>
        <v>0</v>
      </c>
      <c r="K815" s="11"/>
      <c r="M815" s="12"/>
      <c r="N815" s="12"/>
    </row>
    <row r="816" spans="2:14" ht="21.95" customHeight="1" x14ac:dyDescent="0.25">
      <c r="B816" s="30"/>
      <c r="C816" s="14" t="str">
        <f t="shared" si="48"/>
        <v/>
      </c>
      <c r="D816" s="11"/>
      <c r="E816" s="14" t="str">
        <f>IF(D816="","",IFERROR(VLOOKUP(D816,Categorias!$B$5:$C$200,2,FALSE),"Revisar"))</f>
        <v/>
      </c>
      <c r="F816" s="11"/>
      <c r="G816" s="31"/>
      <c r="H816" s="32">
        <f t="shared" si="49"/>
        <v>0</v>
      </c>
      <c r="I816" s="32">
        <f t="shared" si="50"/>
        <v>0</v>
      </c>
      <c r="J816" s="32">
        <f t="shared" si="51"/>
        <v>0</v>
      </c>
      <c r="K816" s="11"/>
      <c r="M816" s="12"/>
      <c r="N816" s="12"/>
    </row>
    <row r="817" spans="2:14" ht="21.95" customHeight="1" x14ac:dyDescent="0.25">
      <c r="B817" s="30"/>
      <c r="C817" s="14" t="str">
        <f t="shared" si="48"/>
        <v/>
      </c>
      <c r="D817" s="11"/>
      <c r="E817" s="14" t="str">
        <f>IF(D817="","",IFERROR(VLOOKUP(D817,Categorias!$B$5:$C$200,2,FALSE),"Revisar"))</f>
        <v/>
      </c>
      <c r="F817" s="11"/>
      <c r="G817" s="31"/>
      <c r="H817" s="32">
        <f t="shared" si="49"/>
        <v>0</v>
      </c>
      <c r="I817" s="32">
        <f t="shared" si="50"/>
        <v>0</v>
      </c>
      <c r="J817" s="32">
        <f t="shared" si="51"/>
        <v>0</v>
      </c>
      <c r="K817" s="11"/>
      <c r="M817" s="12"/>
      <c r="N817" s="12"/>
    </row>
    <row r="818" spans="2:14" ht="21.95" customHeight="1" x14ac:dyDescent="0.25">
      <c r="B818" s="30"/>
      <c r="C818" s="14" t="str">
        <f t="shared" si="48"/>
        <v/>
      </c>
      <c r="D818" s="11"/>
      <c r="E818" s="14" t="str">
        <f>IF(D818="","",IFERROR(VLOOKUP(D818,Categorias!$B$5:$C$200,2,FALSE),"Revisar"))</f>
        <v/>
      </c>
      <c r="F818" s="11"/>
      <c r="G818" s="31"/>
      <c r="H818" s="32">
        <f t="shared" si="49"/>
        <v>0</v>
      </c>
      <c r="I818" s="32">
        <f t="shared" si="50"/>
        <v>0</v>
      </c>
      <c r="J818" s="32">
        <f t="shared" si="51"/>
        <v>0</v>
      </c>
      <c r="K818" s="11"/>
      <c r="M818" s="12"/>
      <c r="N818" s="12"/>
    </row>
    <row r="819" spans="2:14" ht="21.95" customHeight="1" x14ac:dyDescent="0.25">
      <c r="B819" s="30"/>
      <c r="C819" s="14" t="str">
        <f t="shared" si="48"/>
        <v/>
      </c>
      <c r="D819" s="11"/>
      <c r="E819" s="14" t="str">
        <f>IF(D819="","",IFERROR(VLOOKUP(D819,Categorias!$B$5:$C$200,2,FALSE),"Revisar"))</f>
        <v/>
      </c>
      <c r="F819" s="11"/>
      <c r="G819" s="31"/>
      <c r="H819" s="32">
        <f t="shared" si="49"/>
        <v>0</v>
      </c>
      <c r="I819" s="32">
        <f t="shared" si="50"/>
        <v>0</v>
      </c>
      <c r="J819" s="32">
        <f t="shared" si="51"/>
        <v>0</v>
      </c>
      <c r="K819" s="11"/>
      <c r="M819" s="12"/>
      <c r="N819" s="12"/>
    </row>
    <row r="820" spans="2:14" ht="21.95" customHeight="1" x14ac:dyDescent="0.25">
      <c r="B820" s="30"/>
      <c r="C820" s="14" t="str">
        <f t="shared" si="48"/>
        <v/>
      </c>
      <c r="D820" s="11"/>
      <c r="E820" s="14" t="str">
        <f>IF(D820="","",IFERROR(VLOOKUP(D820,Categorias!$B$5:$C$200,2,FALSE),"Revisar"))</f>
        <v/>
      </c>
      <c r="F820" s="11"/>
      <c r="G820" s="31"/>
      <c r="H820" s="32">
        <f t="shared" si="49"/>
        <v>0</v>
      </c>
      <c r="I820" s="32">
        <f t="shared" si="50"/>
        <v>0</v>
      </c>
      <c r="J820" s="32">
        <f t="shared" si="51"/>
        <v>0</v>
      </c>
      <c r="K820" s="11"/>
      <c r="M820" s="12"/>
      <c r="N820" s="12"/>
    </row>
    <row r="821" spans="2:14" ht="21.95" customHeight="1" x14ac:dyDescent="0.25">
      <c r="B821" s="30"/>
      <c r="C821" s="14" t="str">
        <f t="shared" si="48"/>
        <v/>
      </c>
      <c r="D821" s="11"/>
      <c r="E821" s="14" t="str">
        <f>IF(D821="","",IFERROR(VLOOKUP(D821,Categorias!$B$5:$C$200,2,FALSE),"Revisar"))</f>
        <v/>
      </c>
      <c r="F821" s="11"/>
      <c r="G821" s="31"/>
      <c r="H821" s="32">
        <f t="shared" si="49"/>
        <v>0</v>
      </c>
      <c r="I821" s="32">
        <f t="shared" si="50"/>
        <v>0</v>
      </c>
      <c r="J821" s="32">
        <f t="shared" si="51"/>
        <v>0</v>
      </c>
      <c r="K821" s="11"/>
      <c r="M821" s="12"/>
      <c r="N821" s="12"/>
    </row>
    <row r="822" spans="2:14" ht="21.95" customHeight="1" x14ac:dyDescent="0.25">
      <c r="B822" s="30"/>
      <c r="C822" s="14" t="str">
        <f t="shared" si="48"/>
        <v/>
      </c>
      <c r="D822" s="11"/>
      <c r="E822" s="14" t="str">
        <f>IF(D822="","",IFERROR(VLOOKUP(D822,Categorias!$B$5:$C$200,2,FALSE),"Revisar"))</f>
        <v/>
      </c>
      <c r="F822" s="11"/>
      <c r="G822" s="31"/>
      <c r="H822" s="32">
        <f t="shared" si="49"/>
        <v>0</v>
      </c>
      <c r="I822" s="32">
        <f t="shared" si="50"/>
        <v>0</v>
      </c>
      <c r="J822" s="32">
        <f t="shared" si="51"/>
        <v>0</v>
      </c>
      <c r="K822" s="11"/>
      <c r="M822" s="12"/>
      <c r="N822" s="12"/>
    </row>
    <row r="823" spans="2:14" ht="21.95" customHeight="1" x14ac:dyDescent="0.25">
      <c r="B823" s="30"/>
      <c r="C823" s="14" t="str">
        <f t="shared" si="48"/>
        <v/>
      </c>
      <c r="D823" s="11"/>
      <c r="E823" s="14" t="str">
        <f>IF(D823="","",IFERROR(VLOOKUP(D823,Categorias!$B$5:$C$200,2,FALSE),"Revisar"))</f>
        <v/>
      </c>
      <c r="F823" s="11"/>
      <c r="G823" s="31"/>
      <c r="H823" s="32">
        <f t="shared" si="49"/>
        <v>0</v>
      </c>
      <c r="I823" s="32">
        <f t="shared" si="50"/>
        <v>0</v>
      </c>
      <c r="J823" s="32">
        <f t="shared" si="51"/>
        <v>0</v>
      </c>
      <c r="K823" s="11"/>
      <c r="M823" s="12"/>
      <c r="N823" s="12"/>
    </row>
    <row r="824" spans="2:14" ht="21.95" customHeight="1" x14ac:dyDescent="0.25">
      <c r="B824" s="30"/>
      <c r="C824" s="14" t="str">
        <f t="shared" si="48"/>
        <v/>
      </c>
      <c r="D824" s="11"/>
      <c r="E824" s="14" t="str">
        <f>IF(D824="","",IFERROR(VLOOKUP(D824,Categorias!$B$5:$C$200,2,FALSE),"Revisar"))</f>
        <v/>
      </c>
      <c r="F824" s="11"/>
      <c r="G824" s="31"/>
      <c r="H824" s="32">
        <f t="shared" si="49"/>
        <v>0</v>
      </c>
      <c r="I824" s="32">
        <f t="shared" si="50"/>
        <v>0</v>
      </c>
      <c r="J824" s="32">
        <f t="shared" si="51"/>
        <v>0</v>
      </c>
      <c r="K824" s="11"/>
      <c r="M824" s="12"/>
      <c r="N824" s="12"/>
    </row>
    <row r="825" spans="2:14" ht="21.95" customHeight="1" x14ac:dyDescent="0.25">
      <c r="B825" s="30"/>
      <c r="C825" s="14" t="str">
        <f t="shared" si="48"/>
        <v/>
      </c>
      <c r="D825" s="11"/>
      <c r="E825" s="14" t="str">
        <f>IF(D825="","",IFERROR(VLOOKUP(D825,Categorias!$B$5:$C$200,2,FALSE),"Revisar"))</f>
        <v/>
      </c>
      <c r="F825" s="11"/>
      <c r="G825" s="31"/>
      <c r="H825" s="32">
        <f t="shared" si="49"/>
        <v>0</v>
      </c>
      <c r="I825" s="32">
        <f t="shared" si="50"/>
        <v>0</v>
      </c>
      <c r="J825" s="32">
        <f t="shared" si="51"/>
        <v>0</v>
      </c>
      <c r="K825" s="11"/>
      <c r="M825" s="12"/>
      <c r="N825" s="12"/>
    </row>
    <row r="826" spans="2:14" ht="21.95" customHeight="1" x14ac:dyDescent="0.25">
      <c r="B826" s="30"/>
      <c r="C826" s="14" t="str">
        <f t="shared" si="48"/>
        <v/>
      </c>
      <c r="D826" s="11"/>
      <c r="E826" s="14" t="str">
        <f>IF(D826="","",IFERROR(VLOOKUP(D826,Categorias!$B$5:$C$200,2,FALSE),"Revisar"))</f>
        <v/>
      </c>
      <c r="F826" s="11"/>
      <c r="G826" s="31"/>
      <c r="H826" s="32">
        <f t="shared" si="49"/>
        <v>0</v>
      </c>
      <c r="I826" s="32">
        <f t="shared" si="50"/>
        <v>0</v>
      </c>
      <c r="J826" s="32">
        <f t="shared" si="51"/>
        <v>0</v>
      </c>
      <c r="K826" s="11"/>
      <c r="M826" s="12"/>
      <c r="N826" s="12"/>
    </row>
    <row r="827" spans="2:14" ht="21.95" customHeight="1" x14ac:dyDescent="0.25">
      <c r="B827" s="30"/>
      <c r="C827" s="14" t="str">
        <f t="shared" si="48"/>
        <v/>
      </c>
      <c r="D827" s="11"/>
      <c r="E827" s="14" t="str">
        <f>IF(D827="","",IFERROR(VLOOKUP(D827,Categorias!$B$5:$C$200,2,FALSE),"Revisar"))</f>
        <v/>
      </c>
      <c r="F827" s="11"/>
      <c r="G827" s="31"/>
      <c r="H827" s="32">
        <f t="shared" si="49"/>
        <v>0</v>
      </c>
      <c r="I827" s="32">
        <f t="shared" si="50"/>
        <v>0</v>
      </c>
      <c r="J827" s="32">
        <f t="shared" si="51"/>
        <v>0</v>
      </c>
      <c r="K827" s="11"/>
      <c r="M827" s="12"/>
      <c r="N827" s="12"/>
    </row>
    <row r="828" spans="2:14" ht="21.95" customHeight="1" x14ac:dyDescent="0.25">
      <c r="B828" s="30"/>
      <c r="C828" s="14" t="str">
        <f t="shared" si="48"/>
        <v/>
      </c>
      <c r="D828" s="11"/>
      <c r="E828" s="14" t="str">
        <f>IF(D828="","",IFERROR(VLOOKUP(D828,Categorias!$B$5:$C$200,2,FALSE),"Revisar"))</f>
        <v/>
      </c>
      <c r="F828" s="11"/>
      <c r="G828" s="31"/>
      <c r="H828" s="32">
        <f t="shared" si="49"/>
        <v>0</v>
      </c>
      <c r="I828" s="32">
        <f t="shared" si="50"/>
        <v>0</v>
      </c>
      <c r="J828" s="32">
        <f t="shared" si="51"/>
        <v>0</v>
      </c>
      <c r="K828" s="11"/>
      <c r="M828" s="12"/>
      <c r="N828" s="12"/>
    </row>
    <row r="829" spans="2:14" ht="21.95" customHeight="1" x14ac:dyDescent="0.25">
      <c r="B829" s="30"/>
      <c r="C829" s="14" t="str">
        <f t="shared" si="48"/>
        <v/>
      </c>
      <c r="D829" s="11"/>
      <c r="E829" s="14" t="str">
        <f>IF(D829="","",IFERROR(VLOOKUP(D829,Categorias!$B$5:$C$200,2,FALSE),"Revisar"))</f>
        <v/>
      </c>
      <c r="F829" s="11"/>
      <c r="G829" s="31"/>
      <c r="H829" s="32">
        <f t="shared" si="49"/>
        <v>0</v>
      </c>
      <c r="I829" s="32">
        <f t="shared" si="50"/>
        <v>0</v>
      </c>
      <c r="J829" s="32">
        <f t="shared" si="51"/>
        <v>0</v>
      </c>
      <c r="K829" s="11"/>
      <c r="M829" s="12"/>
      <c r="N829" s="12"/>
    </row>
    <row r="830" spans="2:14" ht="21.95" customHeight="1" x14ac:dyDescent="0.25">
      <c r="B830" s="30"/>
      <c r="C830" s="14" t="str">
        <f t="shared" si="48"/>
        <v/>
      </c>
      <c r="D830" s="11"/>
      <c r="E830" s="14" t="str">
        <f>IF(D830="","",IFERROR(VLOOKUP(D830,Categorias!$B$5:$C$200,2,FALSE),"Revisar"))</f>
        <v/>
      </c>
      <c r="F830" s="11"/>
      <c r="G830" s="31"/>
      <c r="H830" s="32">
        <f t="shared" si="49"/>
        <v>0</v>
      </c>
      <c r="I830" s="32">
        <f t="shared" si="50"/>
        <v>0</v>
      </c>
      <c r="J830" s="32">
        <f t="shared" si="51"/>
        <v>0</v>
      </c>
      <c r="K830" s="11"/>
      <c r="M830" s="12"/>
      <c r="N830" s="12"/>
    </row>
    <row r="831" spans="2:14" ht="21.95" customHeight="1" x14ac:dyDescent="0.25">
      <c r="B831" s="30"/>
      <c r="C831" s="14" t="str">
        <f t="shared" si="48"/>
        <v/>
      </c>
      <c r="D831" s="11"/>
      <c r="E831" s="14" t="str">
        <f>IF(D831="","",IFERROR(VLOOKUP(D831,Categorias!$B$5:$C$200,2,FALSE),"Revisar"))</f>
        <v/>
      </c>
      <c r="F831" s="11"/>
      <c r="G831" s="31"/>
      <c r="H831" s="32">
        <f t="shared" si="49"/>
        <v>0</v>
      </c>
      <c r="I831" s="32">
        <f t="shared" si="50"/>
        <v>0</v>
      </c>
      <c r="J831" s="32">
        <f t="shared" si="51"/>
        <v>0</v>
      </c>
      <c r="K831" s="11"/>
      <c r="M831" s="12"/>
      <c r="N831" s="12"/>
    </row>
    <row r="832" spans="2:14" ht="21.95" customHeight="1" x14ac:dyDescent="0.25">
      <c r="B832" s="30"/>
      <c r="C832" s="14" t="str">
        <f t="shared" si="48"/>
        <v/>
      </c>
      <c r="D832" s="11"/>
      <c r="E832" s="14" t="str">
        <f>IF(D832="","",IFERROR(VLOOKUP(D832,Categorias!$B$5:$C$200,2,FALSE),"Revisar"))</f>
        <v/>
      </c>
      <c r="F832" s="11"/>
      <c r="G832" s="31"/>
      <c r="H832" s="32">
        <f t="shared" si="49"/>
        <v>0</v>
      </c>
      <c r="I832" s="32">
        <f t="shared" si="50"/>
        <v>0</v>
      </c>
      <c r="J832" s="32">
        <f t="shared" si="51"/>
        <v>0</v>
      </c>
      <c r="K832" s="11"/>
      <c r="M832" s="12"/>
      <c r="N832" s="12"/>
    </row>
    <row r="833" spans="2:14" ht="21.95" customHeight="1" x14ac:dyDescent="0.25">
      <c r="B833" s="30"/>
      <c r="C833" s="14" t="str">
        <f t="shared" si="48"/>
        <v/>
      </c>
      <c r="D833" s="11"/>
      <c r="E833" s="14" t="str">
        <f>IF(D833="","",IFERROR(VLOOKUP(D833,Categorias!$B$5:$C$200,2,FALSE),"Revisar"))</f>
        <v/>
      </c>
      <c r="F833" s="11"/>
      <c r="G833" s="31"/>
      <c r="H833" s="32">
        <f t="shared" si="49"/>
        <v>0</v>
      </c>
      <c r="I833" s="32">
        <f t="shared" si="50"/>
        <v>0</v>
      </c>
      <c r="J833" s="32">
        <f t="shared" si="51"/>
        <v>0</v>
      </c>
      <c r="K833" s="11"/>
      <c r="M833" s="12"/>
      <c r="N833" s="12"/>
    </row>
    <row r="834" spans="2:14" ht="21.95" customHeight="1" x14ac:dyDescent="0.25">
      <c r="B834" s="30"/>
      <c r="C834" s="14" t="str">
        <f t="shared" si="48"/>
        <v/>
      </c>
      <c r="D834" s="11"/>
      <c r="E834" s="14" t="str">
        <f>IF(D834="","",IFERROR(VLOOKUP(D834,Categorias!$B$5:$C$200,2,FALSE),"Revisar"))</f>
        <v/>
      </c>
      <c r="F834" s="11"/>
      <c r="G834" s="31"/>
      <c r="H834" s="32">
        <f t="shared" si="49"/>
        <v>0</v>
      </c>
      <c r="I834" s="32">
        <f t="shared" si="50"/>
        <v>0</v>
      </c>
      <c r="J834" s="32">
        <f t="shared" si="51"/>
        <v>0</v>
      </c>
      <c r="K834" s="11"/>
      <c r="M834" s="12"/>
      <c r="N834" s="12"/>
    </row>
    <row r="835" spans="2:14" ht="21.95" customHeight="1" x14ac:dyDescent="0.25">
      <c r="B835" s="30"/>
      <c r="C835" s="14" t="str">
        <f t="shared" si="48"/>
        <v/>
      </c>
      <c r="D835" s="11"/>
      <c r="E835" s="14" t="str">
        <f>IF(D835="","",IFERROR(VLOOKUP(D835,Categorias!$B$5:$C$200,2,FALSE),"Revisar"))</f>
        <v/>
      </c>
      <c r="F835" s="11"/>
      <c r="G835" s="31"/>
      <c r="H835" s="32">
        <f t="shared" si="49"/>
        <v>0</v>
      </c>
      <c r="I835" s="32">
        <f t="shared" si="50"/>
        <v>0</v>
      </c>
      <c r="J835" s="32">
        <f t="shared" si="51"/>
        <v>0</v>
      </c>
      <c r="K835" s="11"/>
      <c r="M835" s="12"/>
      <c r="N835" s="12"/>
    </row>
    <row r="836" spans="2:14" ht="21.95" customHeight="1" x14ac:dyDescent="0.25">
      <c r="B836" s="30"/>
      <c r="C836" s="14" t="str">
        <f t="shared" si="48"/>
        <v/>
      </c>
      <c r="D836" s="11"/>
      <c r="E836" s="14" t="str">
        <f>IF(D836="","",IFERROR(VLOOKUP(D836,Categorias!$B$5:$C$200,2,FALSE),"Revisar"))</f>
        <v/>
      </c>
      <c r="F836" s="11"/>
      <c r="G836" s="31"/>
      <c r="H836" s="32">
        <f t="shared" si="49"/>
        <v>0</v>
      </c>
      <c r="I836" s="32">
        <f t="shared" si="50"/>
        <v>0</v>
      </c>
      <c r="J836" s="32">
        <f t="shared" si="51"/>
        <v>0</v>
      </c>
      <c r="K836" s="11"/>
      <c r="M836" s="12"/>
      <c r="N836" s="12"/>
    </row>
    <row r="837" spans="2:14" ht="21.95" customHeight="1" x14ac:dyDescent="0.25">
      <c r="B837" s="30"/>
      <c r="C837" s="14" t="str">
        <f t="shared" si="48"/>
        <v/>
      </c>
      <c r="D837" s="11"/>
      <c r="E837" s="14" t="str">
        <f>IF(D837="","",IFERROR(VLOOKUP(D837,Categorias!$B$5:$C$200,2,FALSE),"Revisar"))</f>
        <v/>
      </c>
      <c r="F837" s="11"/>
      <c r="G837" s="31"/>
      <c r="H837" s="32">
        <f t="shared" si="49"/>
        <v>0</v>
      </c>
      <c r="I837" s="32">
        <f t="shared" si="50"/>
        <v>0</v>
      </c>
      <c r="J837" s="32">
        <f t="shared" si="51"/>
        <v>0</v>
      </c>
      <c r="K837" s="11"/>
      <c r="M837" s="12"/>
      <c r="N837" s="12"/>
    </row>
    <row r="838" spans="2:14" ht="21.95" customHeight="1" x14ac:dyDescent="0.25">
      <c r="B838" s="30"/>
      <c r="C838" s="14" t="str">
        <f t="shared" si="48"/>
        <v/>
      </c>
      <c r="D838" s="11"/>
      <c r="E838" s="14" t="str">
        <f>IF(D838="","",IFERROR(VLOOKUP(D838,Categorias!$B$5:$C$200,2,FALSE),"Revisar"))</f>
        <v/>
      </c>
      <c r="F838" s="11"/>
      <c r="G838" s="31"/>
      <c r="H838" s="32">
        <f t="shared" si="49"/>
        <v>0</v>
      </c>
      <c r="I838" s="32">
        <f t="shared" si="50"/>
        <v>0</v>
      </c>
      <c r="J838" s="32">
        <f t="shared" si="51"/>
        <v>0</v>
      </c>
      <c r="K838" s="11"/>
      <c r="M838" s="12"/>
      <c r="N838" s="12"/>
    </row>
    <row r="839" spans="2:14" ht="21.95" customHeight="1" x14ac:dyDescent="0.25">
      <c r="B839" s="30"/>
      <c r="C839" s="14" t="str">
        <f t="shared" si="48"/>
        <v/>
      </c>
      <c r="D839" s="11"/>
      <c r="E839" s="14" t="str">
        <f>IF(D839="","",IFERROR(VLOOKUP(D839,Categorias!$B$5:$C$200,2,FALSE),"Revisar"))</f>
        <v/>
      </c>
      <c r="F839" s="11"/>
      <c r="G839" s="31"/>
      <c r="H839" s="32">
        <f t="shared" si="49"/>
        <v>0</v>
      </c>
      <c r="I839" s="32">
        <f t="shared" si="50"/>
        <v>0</v>
      </c>
      <c r="J839" s="32">
        <f t="shared" si="51"/>
        <v>0</v>
      </c>
      <c r="K839" s="11"/>
      <c r="M839" s="12"/>
      <c r="N839" s="12"/>
    </row>
    <row r="840" spans="2:14" ht="21.95" customHeight="1" x14ac:dyDescent="0.25">
      <c r="B840" s="30"/>
      <c r="C840" s="14" t="str">
        <f t="shared" si="48"/>
        <v/>
      </c>
      <c r="D840" s="11"/>
      <c r="E840" s="14" t="str">
        <f>IF(D840="","",IFERROR(VLOOKUP(D840,Categorias!$B$5:$C$200,2,FALSE),"Revisar"))</f>
        <v/>
      </c>
      <c r="F840" s="11"/>
      <c r="G840" s="31"/>
      <c r="H840" s="32">
        <f t="shared" si="49"/>
        <v>0</v>
      </c>
      <c r="I840" s="32">
        <f t="shared" si="50"/>
        <v>0</v>
      </c>
      <c r="J840" s="32">
        <f t="shared" si="51"/>
        <v>0</v>
      </c>
      <c r="K840" s="11"/>
      <c r="M840" s="12"/>
      <c r="N840" s="12"/>
    </row>
    <row r="841" spans="2:14" ht="21.95" customHeight="1" x14ac:dyDescent="0.25">
      <c r="B841" s="30"/>
      <c r="C841" s="14" t="str">
        <f t="shared" ref="C841:C904" si="52">IF(B841="","",CHOOSE(MONTH(B841),"Enero","Febrero","Marzo","Abril","Mayo","Junio","Julio","Agosto","Septiembre","Octubre","Noviembre","Diciembre"))</f>
        <v/>
      </c>
      <c r="D841" s="11"/>
      <c r="E841" s="14" t="str">
        <f>IF(D841="","",IFERROR(VLOOKUP(D841,Categorias!$B$5:$C$200,2,FALSE),"Revisar"))</f>
        <v/>
      </c>
      <c r="F841" s="11"/>
      <c r="G841" s="31"/>
      <c r="H841" s="32">
        <f t="shared" ref="H841:H904" si="53">IF($E841="Ingreso",$G841,0)</f>
        <v>0</v>
      </c>
      <c r="I841" s="32">
        <f t="shared" ref="I841:I904" si="54">IF($E841="Gasto",$G841,0)</f>
        <v>0</v>
      </c>
      <c r="J841" s="32">
        <f t="shared" ref="J841:J904" si="55">IF($E841="Reserva",$G841,0)</f>
        <v>0</v>
      </c>
      <c r="K841" s="11"/>
      <c r="M841" s="12"/>
      <c r="N841" s="12"/>
    </row>
    <row r="842" spans="2:14" ht="21.95" customHeight="1" x14ac:dyDescent="0.25">
      <c r="B842" s="30"/>
      <c r="C842" s="14" t="str">
        <f t="shared" si="52"/>
        <v/>
      </c>
      <c r="D842" s="11"/>
      <c r="E842" s="14" t="str">
        <f>IF(D842="","",IFERROR(VLOOKUP(D842,Categorias!$B$5:$C$200,2,FALSE),"Revisar"))</f>
        <v/>
      </c>
      <c r="F842" s="11"/>
      <c r="G842" s="31"/>
      <c r="H842" s="32">
        <f t="shared" si="53"/>
        <v>0</v>
      </c>
      <c r="I842" s="32">
        <f t="shared" si="54"/>
        <v>0</v>
      </c>
      <c r="J842" s="32">
        <f t="shared" si="55"/>
        <v>0</v>
      </c>
      <c r="K842" s="11"/>
      <c r="M842" s="12"/>
      <c r="N842" s="12"/>
    </row>
    <row r="843" spans="2:14" ht="21.95" customHeight="1" x14ac:dyDescent="0.25">
      <c r="B843" s="30"/>
      <c r="C843" s="14" t="str">
        <f t="shared" si="52"/>
        <v/>
      </c>
      <c r="D843" s="11"/>
      <c r="E843" s="14" t="str">
        <f>IF(D843="","",IFERROR(VLOOKUP(D843,Categorias!$B$5:$C$200,2,FALSE),"Revisar"))</f>
        <v/>
      </c>
      <c r="F843" s="11"/>
      <c r="G843" s="31"/>
      <c r="H843" s="32">
        <f t="shared" si="53"/>
        <v>0</v>
      </c>
      <c r="I843" s="32">
        <f t="shared" si="54"/>
        <v>0</v>
      </c>
      <c r="J843" s="32">
        <f t="shared" si="55"/>
        <v>0</v>
      </c>
      <c r="K843" s="11"/>
      <c r="M843" s="12"/>
      <c r="N843" s="12"/>
    </row>
    <row r="844" spans="2:14" ht="21.95" customHeight="1" x14ac:dyDescent="0.25">
      <c r="B844" s="30"/>
      <c r="C844" s="14" t="str">
        <f t="shared" si="52"/>
        <v/>
      </c>
      <c r="D844" s="11"/>
      <c r="E844" s="14" t="str">
        <f>IF(D844="","",IFERROR(VLOOKUP(D844,Categorias!$B$5:$C$200,2,FALSE),"Revisar"))</f>
        <v/>
      </c>
      <c r="F844" s="11"/>
      <c r="G844" s="31"/>
      <c r="H844" s="32">
        <f t="shared" si="53"/>
        <v>0</v>
      </c>
      <c r="I844" s="32">
        <f t="shared" si="54"/>
        <v>0</v>
      </c>
      <c r="J844" s="32">
        <f t="shared" si="55"/>
        <v>0</v>
      </c>
      <c r="K844" s="11"/>
      <c r="M844" s="12"/>
      <c r="N844" s="12"/>
    </row>
    <row r="845" spans="2:14" ht="21.95" customHeight="1" x14ac:dyDescent="0.25">
      <c r="B845" s="30"/>
      <c r="C845" s="14" t="str">
        <f t="shared" si="52"/>
        <v/>
      </c>
      <c r="D845" s="11"/>
      <c r="E845" s="14" t="str">
        <f>IF(D845="","",IFERROR(VLOOKUP(D845,Categorias!$B$5:$C$200,2,FALSE),"Revisar"))</f>
        <v/>
      </c>
      <c r="F845" s="11"/>
      <c r="G845" s="31"/>
      <c r="H845" s="32">
        <f t="shared" si="53"/>
        <v>0</v>
      </c>
      <c r="I845" s="32">
        <f t="shared" si="54"/>
        <v>0</v>
      </c>
      <c r="J845" s="32">
        <f t="shared" si="55"/>
        <v>0</v>
      </c>
      <c r="K845" s="11"/>
      <c r="M845" s="12"/>
      <c r="N845" s="12"/>
    </row>
    <row r="846" spans="2:14" ht="21.95" customHeight="1" x14ac:dyDescent="0.25">
      <c r="B846" s="30"/>
      <c r="C846" s="14" t="str">
        <f t="shared" si="52"/>
        <v/>
      </c>
      <c r="D846" s="11"/>
      <c r="E846" s="14" t="str">
        <f>IF(D846="","",IFERROR(VLOOKUP(D846,Categorias!$B$5:$C$200,2,FALSE),"Revisar"))</f>
        <v/>
      </c>
      <c r="F846" s="11"/>
      <c r="G846" s="31"/>
      <c r="H846" s="32">
        <f t="shared" si="53"/>
        <v>0</v>
      </c>
      <c r="I846" s="32">
        <f t="shared" si="54"/>
        <v>0</v>
      </c>
      <c r="J846" s="32">
        <f t="shared" si="55"/>
        <v>0</v>
      </c>
      <c r="K846" s="11"/>
      <c r="M846" s="12"/>
      <c r="N846" s="12"/>
    </row>
    <row r="847" spans="2:14" ht="21.95" customHeight="1" x14ac:dyDescent="0.25">
      <c r="B847" s="30"/>
      <c r="C847" s="14" t="str">
        <f t="shared" si="52"/>
        <v/>
      </c>
      <c r="D847" s="11"/>
      <c r="E847" s="14" t="str">
        <f>IF(D847="","",IFERROR(VLOOKUP(D847,Categorias!$B$5:$C$200,2,FALSE),"Revisar"))</f>
        <v/>
      </c>
      <c r="F847" s="11"/>
      <c r="G847" s="31"/>
      <c r="H847" s="32">
        <f t="shared" si="53"/>
        <v>0</v>
      </c>
      <c r="I847" s="32">
        <f t="shared" si="54"/>
        <v>0</v>
      </c>
      <c r="J847" s="32">
        <f t="shared" si="55"/>
        <v>0</v>
      </c>
      <c r="K847" s="11"/>
      <c r="M847" s="12"/>
      <c r="N847" s="12"/>
    </row>
    <row r="848" spans="2:14" ht="21.95" customHeight="1" x14ac:dyDescent="0.25">
      <c r="B848" s="30"/>
      <c r="C848" s="14" t="str">
        <f t="shared" si="52"/>
        <v/>
      </c>
      <c r="D848" s="11"/>
      <c r="E848" s="14" t="str">
        <f>IF(D848="","",IFERROR(VLOOKUP(D848,Categorias!$B$5:$C$200,2,FALSE),"Revisar"))</f>
        <v/>
      </c>
      <c r="F848" s="11"/>
      <c r="G848" s="31"/>
      <c r="H848" s="32">
        <f t="shared" si="53"/>
        <v>0</v>
      </c>
      <c r="I848" s="32">
        <f t="shared" si="54"/>
        <v>0</v>
      </c>
      <c r="J848" s="32">
        <f t="shared" si="55"/>
        <v>0</v>
      </c>
      <c r="K848" s="11"/>
      <c r="M848" s="12"/>
      <c r="N848" s="12"/>
    </row>
    <row r="849" spans="2:14" ht="21.95" customHeight="1" x14ac:dyDescent="0.25">
      <c r="B849" s="30"/>
      <c r="C849" s="14" t="str">
        <f t="shared" si="52"/>
        <v/>
      </c>
      <c r="D849" s="11"/>
      <c r="E849" s="14" t="str">
        <f>IF(D849="","",IFERROR(VLOOKUP(D849,Categorias!$B$5:$C$200,2,FALSE),"Revisar"))</f>
        <v/>
      </c>
      <c r="F849" s="11"/>
      <c r="G849" s="31"/>
      <c r="H849" s="32">
        <f t="shared" si="53"/>
        <v>0</v>
      </c>
      <c r="I849" s="32">
        <f t="shared" si="54"/>
        <v>0</v>
      </c>
      <c r="J849" s="32">
        <f t="shared" si="55"/>
        <v>0</v>
      </c>
      <c r="K849" s="11"/>
      <c r="M849" s="12"/>
      <c r="N849" s="12"/>
    </row>
    <row r="850" spans="2:14" ht="21.95" customHeight="1" x14ac:dyDescent="0.25">
      <c r="B850" s="30"/>
      <c r="C850" s="14" t="str">
        <f t="shared" si="52"/>
        <v/>
      </c>
      <c r="D850" s="11"/>
      <c r="E850" s="14" t="str">
        <f>IF(D850="","",IFERROR(VLOOKUP(D850,Categorias!$B$5:$C$200,2,FALSE),"Revisar"))</f>
        <v/>
      </c>
      <c r="F850" s="11"/>
      <c r="G850" s="31"/>
      <c r="H850" s="32">
        <f t="shared" si="53"/>
        <v>0</v>
      </c>
      <c r="I850" s="32">
        <f t="shared" si="54"/>
        <v>0</v>
      </c>
      <c r="J850" s="32">
        <f t="shared" si="55"/>
        <v>0</v>
      </c>
      <c r="K850" s="11"/>
      <c r="M850" s="12"/>
      <c r="N850" s="12"/>
    </row>
    <row r="851" spans="2:14" ht="21.95" customHeight="1" x14ac:dyDescent="0.25">
      <c r="B851" s="30"/>
      <c r="C851" s="14" t="str">
        <f t="shared" si="52"/>
        <v/>
      </c>
      <c r="D851" s="11"/>
      <c r="E851" s="14" t="str">
        <f>IF(D851="","",IFERROR(VLOOKUP(D851,Categorias!$B$5:$C$200,2,FALSE),"Revisar"))</f>
        <v/>
      </c>
      <c r="F851" s="11"/>
      <c r="G851" s="31"/>
      <c r="H851" s="32">
        <f t="shared" si="53"/>
        <v>0</v>
      </c>
      <c r="I851" s="32">
        <f t="shared" si="54"/>
        <v>0</v>
      </c>
      <c r="J851" s="32">
        <f t="shared" si="55"/>
        <v>0</v>
      </c>
      <c r="K851" s="11"/>
      <c r="M851" s="12"/>
      <c r="N851" s="12"/>
    </row>
    <row r="852" spans="2:14" ht="21.95" customHeight="1" x14ac:dyDescent="0.25">
      <c r="B852" s="30"/>
      <c r="C852" s="14" t="str">
        <f t="shared" si="52"/>
        <v/>
      </c>
      <c r="D852" s="11"/>
      <c r="E852" s="14" t="str">
        <f>IF(D852="","",IFERROR(VLOOKUP(D852,Categorias!$B$5:$C$200,2,FALSE),"Revisar"))</f>
        <v/>
      </c>
      <c r="F852" s="11"/>
      <c r="G852" s="31"/>
      <c r="H852" s="32">
        <f t="shared" si="53"/>
        <v>0</v>
      </c>
      <c r="I852" s="32">
        <f t="shared" si="54"/>
        <v>0</v>
      </c>
      <c r="J852" s="32">
        <f t="shared" si="55"/>
        <v>0</v>
      </c>
      <c r="K852" s="11"/>
      <c r="M852" s="12"/>
      <c r="N852" s="12"/>
    </row>
    <row r="853" spans="2:14" ht="21.95" customHeight="1" x14ac:dyDescent="0.25">
      <c r="B853" s="30"/>
      <c r="C853" s="14" t="str">
        <f t="shared" si="52"/>
        <v/>
      </c>
      <c r="D853" s="11"/>
      <c r="E853" s="14" t="str">
        <f>IF(D853="","",IFERROR(VLOOKUP(D853,Categorias!$B$5:$C$200,2,FALSE),"Revisar"))</f>
        <v/>
      </c>
      <c r="F853" s="11"/>
      <c r="G853" s="31"/>
      <c r="H853" s="32">
        <f t="shared" si="53"/>
        <v>0</v>
      </c>
      <c r="I853" s="32">
        <f t="shared" si="54"/>
        <v>0</v>
      </c>
      <c r="J853" s="32">
        <f t="shared" si="55"/>
        <v>0</v>
      </c>
      <c r="K853" s="11"/>
      <c r="M853" s="12"/>
      <c r="N853" s="12"/>
    </row>
    <row r="854" spans="2:14" ht="21.95" customHeight="1" x14ac:dyDescent="0.25">
      <c r="B854" s="30"/>
      <c r="C854" s="14" t="str">
        <f t="shared" si="52"/>
        <v/>
      </c>
      <c r="D854" s="11"/>
      <c r="E854" s="14" t="str">
        <f>IF(D854="","",IFERROR(VLOOKUP(D854,Categorias!$B$5:$C$200,2,FALSE),"Revisar"))</f>
        <v/>
      </c>
      <c r="F854" s="11"/>
      <c r="G854" s="31"/>
      <c r="H854" s="32">
        <f t="shared" si="53"/>
        <v>0</v>
      </c>
      <c r="I854" s="32">
        <f t="shared" si="54"/>
        <v>0</v>
      </c>
      <c r="J854" s="32">
        <f t="shared" si="55"/>
        <v>0</v>
      </c>
      <c r="K854" s="11"/>
      <c r="M854" s="12"/>
      <c r="N854" s="12"/>
    </row>
    <row r="855" spans="2:14" ht="21.95" customHeight="1" x14ac:dyDescent="0.25">
      <c r="B855" s="30"/>
      <c r="C855" s="14" t="str">
        <f t="shared" si="52"/>
        <v/>
      </c>
      <c r="D855" s="11"/>
      <c r="E855" s="14" t="str">
        <f>IF(D855="","",IFERROR(VLOOKUP(D855,Categorias!$B$5:$C$200,2,FALSE),"Revisar"))</f>
        <v/>
      </c>
      <c r="F855" s="11"/>
      <c r="G855" s="31"/>
      <c r="H855" s="32">
        <f t="shared" si="53"/>
        <v>0</v>
      </c>
      <c r="I855" s="32">
        <f t="shared" si="54"/>
        <v>0</v>
      </c>
      <c r="J855" s="32">
        <f t="shared" si="55"/>
        <v>0</v>
      </c>
      <c r="K855" s="11"/>
      <c r="M855" s="12"/>
      <c r="N855" s="12"/>
    </row>
    <row r="856" spans="2:14" ht="21.95" customHeight="1" x14ac:dyDescent="0.25">
      <c r="B856" s="30"/>
      <c r="C856" s="14" t="str">
        <f t="shared" si="52"/>
        <v/>
      </c>
      <c r="D856" s="11"/>
      <c r="E856" s="14" t="str">
        <f>IF(D856="","",IFERROR(VLOOKUP(D856,Categorias!$B$5:$C$200,2,FALSE),"Revisar"))</f>
        <v/>
      </c>
      <c r="F856" s="11"/>
      <c r="G856" s="31"/>
      <c r="H856" s="32">
        <f t="shared" si="53"/>
        <v>0</v>
      </c>
      <c r="I856" s="32">
        <f t="shared" si="54"/>
        <v>0</v>
      </c>
      <c r="J856" s="32">
        <f t="shared" si="55"/>
        <v>0</v>
      </c>
      <c r="K856" s="11"/>
      <c r="M856" s="12"/>
      <c r="N856" s="12"/>
    </row>
    <row r="857" spans="2:14" ht="21.95" customHeight="1" x14ac:dyDescent="0.25">
      <c r="B857" s="30"/>
      <c r="C857" s="14" t="str">
        <f t="shared" si="52"/>
        <v/>
      </c>
      <c r="D857" s="11"/>
      <c r="E857" s="14" t="str">
        <f>IF(D857="","",IFERROR(VLOOKUP(D857,Categorias!$B$5:$C$200,2,FALSE),"Revisar"))</f>
        <v/>
      </c>
      <c r="F857" s="11"/>
      <c r="G857" s="31"/>
      <c r="H857" s="32">
        <f t="shared" si="53"/>
        <v>0</v>
      </c>
      <c r="I857" s="32">
        <f t="shared" si="54"/>
        <v>0</v>
      </c>
      <c r="J857" s="32">
        <f t="shared" si="55"/>
        <v>0</v>
      </c>
      <c r="K857" s="11"/>
      <c r="M857" s="12"/>
      <c r="N857" s="12"/>
    </row>
    <row r="858" spans="2:14" ht="21.95" customHeight="1" x14ac:dyDescent="0.25">
      <c r="B858" s="30"/>
      <c r="C858" s="14" t="str">
        <f t="shared" si="52"/>
        <v/>
      </c>
      <c r="D858" s="11"/>
      <c r="E858" s="14" t="str">
        <f>IF(D858="","",IFERROR(VLOOKUP(D858,Categorias!$B$5:$C$200,2,FALSE),"Revisar"))</f>
        <v/>
      </c>
      <c r="F858" s="11"/>
      <c r="G858" s="31"/>
      <c r="H858" s="32">
        <f t="shared" si="53"/>
        <v>0</v>
      </c>
      <c r="I858" s="32">
        <f t="shared" si="54"/>
        <v>0</v>
      </c>
      <c r="J858" s="32">
        <f t="shared" si="55"/>
        <v>0</v>
      </c>
      <c r="K858" s="11"/>
      <c r="M858" s="12"/>
      <c r="N858" s="12"/>
    </row>
    <row r="859" spans="2:14" ht="21.95" customHeight="1" x14ac:dyDescent="0.25">
      <c r="B859" s="30"/>
      <c r="C859" s="14" t="str">
        <f t="shared" si="52"/>
        <v/>
      </c>
      <c r="D859" s="11"/>
      <c r="E859" s="14" t="str">
        <f>IF(D859="","",IFERROR(VLOOKUP(D859,Categorias!$B$5:$C$200,2,FALSE),"Revisar"))</f>
        <v/>
      </c>
      <c r="F859" s="11"/>
      <c r="G859" s="31"/>
      <c r="H859" s="32">
        <f t="shared" si="53"/>
        <v>0</v>
      </c>
      <c r="I859" s="32">
        <f t="shared" si="54"/>
        <v>0</v>
      </c>
      <c r="J859" s="32">
        <f t="shared" si="55"/>
        <v>0</v>
      </c>
      <c r="K859" s="11"/>
      <c r="M859" s="12"/>
      <c r="N859" s="12"/>
    </row>
    <row r="860" spans="2:14" ht="21.95" customHeight="1" x14ac:dyDescent="0.25">
      <c r="B860" s="30"/>
      <c r="C860" s="14" t="str">
        <f t="shared" si="52"/>
        <v/>
      </c>
      <c r="D860" s="11"/>
      <c r="E860" s="14" t="str">
        <f>IF(D860="","",IFERROR(VLOOKUP(D860,Categorias!$B$5:$C$200,2,FALSE),"Revisar"))</f>
        <v/>
      </c>
      <c r="F860" s="11"/>
      <c r="G860" s="31"/>
      <c r="H860" s="32">
        <f t="shared" si="53"/>
        <v>0</v>
      </c>
      <c r="I860" s="32">
        <f t="shared" si="54"/>
        <v>0</v>
      </c>
      <c r="J860" s="32">
        <f t="shared" si="55"/>
        <v>0</v>
      </c>
      <c r="K860" s="11"/>
      <c r="M860" s="12"/>
      <c r="N860" s="12"/>
    </row>
    <row r="861" spans="2:14" ht="21.95" customHeight="1" x14ac:dyDescent="0.25">
      <c r="B861" s="30"/>
      <c r="C861" s="14" t="str">
        <f t="shared" si="52"/>
        <v/>
      </c>
      <c r="D861" s="11"/>
      <c r="E861" s="14" t="str">
        <f>IF(D861="","",IFERROR(VLOOKUP(D861,Categorias!$B$5:$C$200,2,FALSE),"Revisar"))</f>
        <v/>
      </c>
      <c r="F861" s="11"/>
      <c r="G861" s="31"/>
      <c r="H861" s="32">
        <f t="shared" si="53"/>
        <v>0</v>
      </c>
      <c r="I861" s="32">
        <f t="shared" si="54"/>
        <v>0</v>
      </c>
      <c r="J861" s="32">
        <f t="shared" si="55"/>
        <v>0</v>
      </c>
      <c r="K861" s="11"/>
      <c r="M861" s="12"/>
      <c r="N861" s="12"/>
    </row>
    <row r="862" spans="2:14" ht="21.95" customHeight="1" x14ac:dyDescent="0.25">
      <c r="B862" s="30"/>
      <c r="C862" s="14" t="str">
        <f t="shared" si="52"/>
        <v/>
      </c>
      <c r="D862" s="11"/>
      <c r="E862" s="14" t="str">
        <f>IF(D862="","",IFERROR(VLOOKUP(D862,Categorias!$B$5:$C$200,2,FALSE),"Revisar"))</f>
        <v/>
      </c>
      <c r="F862" s="11"/>
      <c r="G862" s="31"/>
      <c r="H862" s="32">
        <f t="shared" si="53"/>
        <v>0</v>
      </c>
      <c r="I862" s="32">
        <f t="shared" si="54"/>
        <v>0</v>
      </c>
      <c r="J862" s="32">
        <f t="shared" si="55"/>
        <v>0</v>
      </c>
      <c r="K862" s="11"/>
      <c r="M862" s="12"/>
      <c r="N862" s="12"/>
    </row>
    <row r="863" spans="2:14" ht="21.95" customHeight="1" x14ac:dyDescent="0.25">
      <c r="B863" s="30"/>
      <c r="C863" s="14" t="str">
        <f t="shared" si="52"/>
        <v/>
      </c>
      <c r="D863" s="11"/>
      <c r="E863" s="14" t="str">
        <f>IF(D863="","",IFERROR(VLOOKUP(D863,Categorias!$B$5:$C$200,2,FALSE),"Revisar"))</f>
        <v/>
      </c>
      <c r="F863" s="11"/>
      <c r="G863" s="31"/>
      <c r="H863" s="32">
        <f t="shared" si="53"/>
        <v>0</v>
      </c>
      <c r="I863" s="32">
        <f t="shared" si="54"/>
        <v>0</v>
      </c>
      <c r="J863" s="32">
        <f t="shared" si="55"/>
        <v>0</v>
      </c>
      <c r="K863" s="11"/>
      <c r="M863" s="12"/>
      <c r="N863" s="12"/>
    </row>
    <row r="864" spans="2:14" ht="21.95" customHeight="1" x14ac:dyDescent="0.25">
      <c r="B864" s="30"/>
      <c r="C864" s="14" t="str">
        <f t="shared" si="52"/>
        <v/>
      </c>
      <c r="D864" s="11"/>
      <c r="E864" s="14" t="str">
        <f>IF(D864="","",IFERROR(VLOOKUP(D864,Categorias!$B$5:$C$200,2,FALSE),"Revisar"))</f>
        <v/>
      </c>
      <c r="F864" s="11"/>
      <c r="G864" s="31"/>
      <c r="H864" s="32">
        <f t="shared" si="53"/>
        <v>0</v>
      </c>
      <c r="I864" s="32">
        <f t="shared" si="54"/>
        <v>0</v>
      </c>
      <c r="J864" s="32">
        <f t="shared" si="55"/>
        <v>0</v>
      </c>
      <c r="K864" s="11"/>
      <c r="M864" s="12"/>
      <c r="N864" s="12"/>
    </row>
    <row r="865" spans="2:14" ht="21.95" customHeight="1" x14ac:dyDescent="0.25">
      <c r="B865" s="30"/>
      <c r="C865" s="14" t="str">
        <f t="shared" si="52"/>
        <v/>
      </c>
      <c r="D865" s="11"/>
      <c r="E865" s="14" t="str">
        <f>IF(D865="","",IFERROR(VLOOKUP(D865,Categorias!$B$5:$C$200,2,FALSE),"Revisar"))</f>
        <v/>
      </c>
      <c r="F865" s="11"/>
      <c r="G865" s="31"/>
      <c r="H865" s="32">
        <f t="shared" si="53"/>
        <v>0</v>
      </c>
      <c r="I865" s="32">
        <f t="shared" si="54"/>
        <v>0</v>
      </c>
      <c r="J865" s="32">
        <f t="shared" si="55"/>
        <v>0</v>
      </c>
      <c r="K865" s="11"/>
      <c r="M865" s="12"/>
      <c r="N865" s="12"/>
    </row>
    <row r="866" spans="2:14" ht="21.95" customHeight="1" x14ac:dyDescent="0.25">
      <c r="B866" s="30"/>
      <c r="C866" s="14" t="str">
        <f t="shared" si="52"/>
        <v/>
      </c>
      <c r="D866" s="11"/>
      <c r="E866" s="14" t="str">
        <f>IF(D866="","",IFERROR(VLOOKUP(D866,Categorias!$B$5:$C$200,2,FALSE),"Revisar"))</f>
        <v/>
      </c>
      <c r="F866" s="11"/>
      <c r="G866" s="31"/>
      <c r="H866" s="32">
        <f t="shared" si="53"/>
        <v>0</v>
      </c>
      <c r="I866" s="32">
        <f t="shared" si="54"/>
        <v>0</v>
      </c>
      <c r="J866" s="32">
        <f t="shared" si="55"/>
        <v>0</v>
      </c>
      <c r="K866" s="11"/>
      <c r="M866" s="12"/>
      <c r="N866" s="12"/>
    </row>
    <row r="867" spans="2:14" ht="21.95" customHeight="1" x14ac:dyDescent="0.25">
      <c r="B867" s="30"/>
      <c r="C867" s="14" t="str">
        <f t="shared" si="52"/>
        <v/>
      </c>
      <c r="D867" s="11"/>
      <c r="E867" s="14" t="str">
        <f>IF(D867="","",IFERROR(VLOOKUP(D867,Categorias!$B$5:$C$200,2,FALSE),"Revisar"))</f>
        <v/>
      </c>
      <c r="F867" s="11"/>
      <c r="G867" s="31"/>
      <c r="H867" s="32">
        <f t="shared" si="53"/>
        <v>0</v>
      </c>
      <c r="I867" s="32">
        <f t="shared" si="54"/>
        <v>0</v>
      </c>
      <c r="J867" s="32">
        <f t="shared" si="55"/>
        <v>0</v>
      </c>
      <c r="K867" s="11"/>
      <c r="M867" s="12"/>
      <c r="N867" s="12"/>
    </row>
    <row r="868" spans="2:14" ht="21.95" customHeight="1" x14ac:dyDescent="0.25">
      <c r="B868" s="30"/>
      <c r="C868" s="14" t="str">
        <f t="shared" si="52"/>
        <v/>
      </c>
      <c r="D868" s="11"/>
      <c r="E868" s="14" t="str">
        <f>IF(D868="","",IFERROR(VLOOKUP(D868,Categorias!$B$5:$C$200,2,FALSE),"Revisar"))</f>
        <v/>
      </c>
      <c r="F868" s="11"/>
      <c r="G868" s="31"/>
      <c r="H868" s="32">
        <f t="shared" si="53"/>
        <v>0</v>
      </c>
      <c r="I868" s="32">
        <f t="shared" si="54"/>
        <v>0</v>
      </c>
      <c r="J868" s="32">
        <f t="shared" si="55"/>
        <v>0</v>
      </c>
      <c r="K868" s="11"/>
      <c r="M868" s="12"/>
      <c r="N868" s="12"/>
    </row>
    <row r="869" spans="2:14" ht="21.95" customHeight="1" x14ac:dyDescent="0.25">
      <c r="B869" s="30"/>
      <c r="C869" s="14" t="str">
        <f t="shared" si="52"/>
        <v/>
      </c>
      <c r="D869" s="11"/>
      <c r="E869" s="14" t="str">
        <f>IF(D869="","",IFERROR(VLOOKUP(D869,Categorias!$B$5:$C$200,2,FALSE),"Revisar"))</f>
        <v/>
      </c>
      <c r="F869" s="11"/>
      <c r="G869" s="31"/>
      <c r="H869" s="32">
        <f t="shared" si="53"/>
        <v>0</v>
      </c>
      <c r="I869" s="32">
        <f t="shared" si="54"/>
        <v>0</v>
      </c>
      <c r="J869" s="32">
        <f t="shared" si="55"/>
        <v>0</v>
      </c>
      <c r="K869" s="11"/>
      <c r="M869" s="12"/>
      <c r="N869" s="12"/>
    </row>
    <row r="870" spans="2:14" ht="21.95" customHeight="1" x14ac:dyDescent="0.25">
      <c r="B870" s="30"/>
      <c r="C870" s="14" t="str">
        <f t="shared" si="52"/>
        <v/>
      </c>
      <c r="D870" s="11"/>
      <c r="E870" s="14" t="str">
        <f>IF(D870="","",IFERROR(VLOOKUP(D870,Categorias!$B$5:$C$200,2,FALSE),"Revisar"))</f>
        <v/>
      </c>
      <c r="F870" s="11"/>
      <c r="G870" s="31"/>
      <c r="H870" s="32">
        <f t="shared" si="53"/>
        <v>0</v>
      </c>
      <c r="I870" s="32">
        <f t="shared" si="54"/>
        <v>0</v>
      </c>
      <c r="J870" s="32">
        <f t="shared" si="55"/>
        <v>0</v>
      </c>
      <c r="K870" s="11"/>
      <c r="M870" s="12"/>
      <c r="N870" s="12"/>
    </row>
    <row r="871" spans="2:14" ht="21.95" customHeight="1" x14ac:dyDescent="0.25">
      <c r="B871" s="30"/>
      <c r="C871" s="14" t="str">
        <f t="shared" si="52"/>
        <v/>
      </c>
      <c r="D871" s="11"/>
      <c r="E871" s="14" t="str">
        <f>IF(D871="","",IFERROR(VLOOKUP(D871,Categorias!$B$5:$C$200,2,FALSE),"Revisar"))</f>
        <v/>
      </c>
      <c r="F871" s="11"/>
      <c r="G871" s="31"/>
      <c r="H871" s="32">
        <f t="shared" si="53"/>
        <v>0</v>
      </c>
      <c r="I871" s="32">
        <f t="shared" si="54"/>
        <v>0</v>
      </c>
      <c r="J871" s="32">
        <f t="shared" si="55"/>
        <v>0</v>
      </c>
      <c r="K871" s="11"/>
      <c r="M871" s="12"/>
      <c r="N871" s="12"/>
    </row>
    <row r="872" spans="2:14" ht="21.95" customHeight="1" x14ac:dyDescent="0.25">
      <c r="B872" s="30"/>
      <c r="C872" s="14" t="str">
        <f t="shared" si="52"/>
        <v/>
      </c>
      <c r="D872" s="11"/>
      <c r="E872" s="14" t="str">
        <f>IF(D872="","",IFERROR(VLOOKUP(D872,Categorias!$B$5:$C$200,2,FALSE),"Revisar"))</f>
        <v/>
      </c>
      <c r="F872" s="11"/>
      <c r="G872" s="31"/>
      <c r="H872" s="32">
        <f t="shared" si="53"/>
        <v>0</v>
      </c>
      <c r="I872" s="32">
        <f t="shared" si="54"/>
        <v>0</v>
      </c>
      <c r="J872" s="32">
        <f t="shared" si="55"/>
        <v>0</v>
      </c>
      <c r="K872" s="11"/>
      <c r="M872" s="12"/>
      <c r="N872" s="12"/>
    </row>
    <row r="873" spans="2:14" ht="21.95" customHeight="1" x14ac:dyDescent="0.25">
      <c r="B873" s="30"/>
      <c r="C873" s="14" t="str">
        <f t="shared" si="52"/>
        <v/>
      </c>
      <c r="D873" s="11"/>
      <c r="E873" s="14" t="str">
        <f>IF(D873="","",IFERROR(VLOOKUP(D873,Categorias!$B$5:$C$200,2,FALSE),"Revisar"))</f>
        <v/>
      </c>
      <c r="F873" s="11"/>
      <c r="G873" s="31"/>
      <c r="H873" s="32">
        <f t="shared" si="53"/>
        <v>0</v>
      </c>
      <c r="I873" s="32">
        <f t="shared" si="54"/>
        <v>0</v>
      </c>
      <c r="J873" s="32">
        <f t="shared" si="55"/>
        <v>0</v>
      </c>
      <c r="K873" s="11"/>
      <c r="M873" s="12"/>
      <c r="N873" s="12"/>
    </row>
    <row r="874" spans="2:14" ht="21.95" customHeight="1" x14ac:dyDescent="0.25">
      <c r="B874" s="30"/>
      <c r="C874" s="14" t="str">
        <f t="shared" si="52"/>
        <v/>
      </c>
      <c r="D874" s="11"/>
      <c r="E874" s="14" t="str">
        <f>IF(D874="","",IFERROR(VLOOKUP(D874,Categorias!$B$5:$C$200,2,FALSE),"Revisar"))</f>
        <v/>
      </c>
      <c r="F874" s="11"/>
      <c r="G874" s="31"/>
      <c r="H874" s="32">
        <f t="shared" si="53"/>
        <v>0</v>
      </c>
      <c r="I874" s="32">
        <f t="shared" si="54"/>
        <v>0</v>
      </c>
      <c r="J874" s="32">
        <f t="shared" si="55"/>
        <v>0</v>
      </c>
      <c r="K874" s="11"/>
      <c r="M874" s="12"/>
      <c r="N874" s="12"/>
    </row>
    <row r="875" spans="2:14" ht="21.95" customHeight="1" x14ac:dyDescent="0.25">
      <c r="B875" s="30"/>
      <c r="C875" s="14" t="str">
        <f t="shared" si="52"/>
        <v/>
      </c>
      <c r="D875" s="11"/>
      <c r="E875" s="14" t="str">
        <f>IF(D875="","",IFERROR(VLOOKUP(D875,Categorias!$B$5:$C$200,2,FALSE),"Revisar"))</f>
        <v/>
      </c>
      <c r="F875" s="11"/>
      <c r="G875" s="31"/>
      <c r="H875" s="32">
        <f t="shared" si="53"/>
        <v>0</v>
      </c>
      <c r="I875" s="32">
        <f t="shared" si="54"/>
        <v>0</v>
      </c>
      <c r="J875" s="32">
        <f t="shared" si="55"/>
        <v>0</v>
      </c>
      <c r="K875" s="11"/>
      <c r="M875" s="12"/>
      <c r="N875" s="12"/>
    </row>
    <row r="876" spans="2:14" ht="21.95" customHeight="1" x14ac:dyDescent="0.25">
      <c r="B876" s="30"/>
      <c r="C876" s="14" t="str">
        <f t="shared" si="52"/>
        <v/>
      </c>
      <c r="D876" s="11"/>
      <c r="E876" s="14" t="str">
        <f>IF(D876="","",IFERROR(VLOOKUP(D876,Categorias!$B$5:$C$200,2,FALSE),"Revisar"))</f>
        <v/>
      </c>
      <c r="F876" s="11"/>
      <c r="G876" s="31"/>
      <c r="H876" s="32">
        <f t="shared" si="53"/>
        <v>0</v>
      </c>
      <c r="I876" s="32">
        <f t="shared" si="54"/>
        <v>0</v>
      </c>
      <c r="J876" s="32">
        <f t="shared" si="55"/>
        <v>0</v>
      </c>
      <c r="K876" s="11"/>
      <c r="M876" s="12"/>
      <c r="N876" s="12"/>
    </row>
    <row r="877" spans="2:14" ht="21.95" customHeight="1" x14ac:dyDescent="0.25">
      <c r="B877" s="30"/>
      <c r="C877" s="14" t="str">
        <f t="shared" si="52"/>
        <v/>
      </c>
      <c r="D877" s="11"/>
      <c r="E877" s="14" t="str">
        <f>IF(D877="","",IFERROR(VLOOKUP(D877,Categorias!$B$5:$C$200,2,FALSE),"Revisar"))</f>
        <v/>
      </c>
      <c r="F877" s="11"/>
      <c r="G877" s="31"/>
      <c r="H877" s="32">
        <f t="shared" si="53"/>
        <v>0</v>
      </c>
      <c r="I877" s="32">
        <f t="shared" si="54"/>
        <v>0</v>
      </c>
      <c r="J877" s="32">
        <f t="shared" si="55"/>
        <v>0</v>
      </c>
      <c r="K877" s="11"/>
      <c r="M877" s="12"/>
      <c r="N877" s="12"/>
    </row>
    <row r="878" spans="2:14" ht="21.95" customHeight="1" x14ac:dyDescent="0.25">
      <c r="B878" s="30"/>
      <c r="C878" s="14" t="str">
        <f t="shared" si="52"/>
        <v/>
      </c>
      <c r="D878" s="11"/>
      <c r="E878" s="14" t="str">
        <f>IF(D878="","",IFERROR(VLOOKUP(D878,Categorias!$B$5:$C$200,2,FALSE),"Revisar"))</f>
        <v/>
      </c>
      <c r="F878" s="11"/>
      <c r="G878" s="31"/>
      <c r="H878" s="32">
        <f t="shared" si="53"/>
        <v>0</v>
      </c>
      <c r="I878" s="32">
        <f t="shared" si="54"/>
        <v>0</v>
      </c>
      <c r="J878" s="32">
        <f t="shared" si="55"/>
        <v>0</v>
      </c>
      <c r="K878" s="11"/>
      <c r="M878" s="12"/>
      <c r="N878" s="12"/>
    </row>
    <row r="879" spans="2:14" ht="21.95" customHeight="1" x14ac:dyDescent="0.25">
      <c r="B879" s="30"/>
      <c r="C879" s="14" t="str">
        <f t="shared" si="52"/>
        <v/>
      </c>
      <c r="D879" s="11"/>
      <c r="E879" s="14" t="str">
        <f>IF(D879="","",IFERROR(VLOOKUP(D879,Categorias!$B$5:$C$200,2,FALSE),"Revisar"))</f>
        <v/>
      </c>
      <c r="F879" s="11"/>
      <c r="G879" s="31"/>
      <c r="H879" s="32">
        <f t="shared" si="53"/>
        <v>0</v>
      </c>
      <c r="I879" s="32">
        <f t="shared" si="54"/>
        <v>0</v>
      </c>
      <c r="J879" s="32">
        <f t="shared" si="55"/>
        <v>0</v>
      </c>
      <c r="K879" s="11"/>
      <c r="M879" s="12"/>
      <c r="N879" s="12"/>
    </row>
    <row r="880" spans="2:14" ht="21.95" customHeight="1" x14ac:dyDescent="0.25">
      <c r="B880" s="30"/>
      <c r="C880" s="14" t="str">
        <f t="shared" si="52"/>
        <v/>
      </c>
      <c r="D880" s="11"/>
      <c r="E880" s="14" t="str">
        <f>IF(D880="","",IFERROR(VLOOKUP(D880,Categorias!$B$5:$C$200,2,FALSE),"Revisar"))</f>
        <v/>
      </c>
      <c r="F880" s="11"/>
      <c r="G880" s="31"/>
      <c r="H880" s="32">
        <f t="shared" si="53"/>
        <v>0</v>
      </c>
      <c r="I880" s="32">
        <f t="shared" si="54"/>
        <v>0</v>
      </c>
      <c r="J880" s="32">
        <f t="shared" si="55"/>
        <v>0</v>
      </c>
      <c r="K880" s="11"/>
      <c r="M880" s="12"/>
      <c r="N880" s="12"/>
    </row>
    <row r="881" spans="2:14" ht="21.95" customHeight="1" x14ac:dyDescent="0.25">
      <c r="B881" s="30"/>
      <c r="C881" s="14" t="str">
        <f t="shared" si="52"/>
        <v/>
      </c>
      <c r="D881" s="11"/>
      <c r="E881" s="14" t="str">
        <f>IF(D881="","",IFERROR(VLOOKUP(D881,Categorias!$B$5:$C$200,2,FALSE),"Revisar"))</f>
        <v/>
      </c>
      <c r="F881" s="11"/>
      <c r="G881" s="31"/>
      <c r="H881" s="32">
        <f t="shared" si="53"/>
        <v>0</v>
      </c>
      <c r="I881" s="32">
        <f t="shared" si="54"/>
        <v>0</v>
      </c>
      <c r="J881" s="32">
        <f t="shared" si="55"/>
        <v>0</v>
      </c>
      <c r="K881" s="11"/>
      <c r="M881" s="12"/>
      <c r="N881" s="12"/>
    </row>
    <row r="882" spans="2:14" ht="21.95" customHeight="1" x14ac:dyDescent="0.25">
      <c r="B882" s="30"/>
      <c r="C882" s="14" t="str">
        <f t="shared" si="52"/>
        <v/>
      </c>
      <c r="D882" s="11"/>
      <c r="E882" s="14" t="str">
        <f>IF(D882="","",IFERROR(VLOOKUP(D882,Categorias!$B$5:$C$200,2,FALSE),"Revisar"))</f>
        <v/>
      </c>
      <c r="F882" s="11"/>
      <c r="G882" s="31"/>
      <c r="H882" s="32">
        <f t="shared" si="53"/>
        <v>0</v>
      </c>
      <c r="I882" s="32">
        <f t="shared" si="54"/>
        <v>0</v>
      </c>
      <c r="J882" s="32">
        <f t="shared" si="55"/>
        <v>0</v>
      </c>
      <c r="K882" s="11"/>
      <c r="M882" s="12"/>
      <c r="N882" s="12"/>
    </row>
    <row r="883" spans="2:14" ht="21.95" customHeight="1" x14ac:dyDescent="0.25">
      <c r="B883" s="30"/>
      <c r="C883" s="14" t="str">
        <f t="shared" si="52"/>
        <v/>
      </c>
      <c r="D883" s="11"/>
      <c r="E883" s="14" t="str">
        <f>IF(D883="","",IFERROR(VLOOKUP(D883,Categorias!$B$5:$C$200,2,FALSE),"Revisar"))</f>
        <v/>
      </c>
      <c r="F883" s="11"/>
      <c r="G883" s="31"/>
      <c r="H883" s="32">
        <f t="shared" si="53"/>
        <v>0</v>
      </c>
      <c r="I883" s="32">
        <f t="shared" si="54"/>
        <v>0</v>
      </c>
      <c r="J883" s="32">
        <f t="shared" si="55"/>
        <v>0</v>
      </c>
      <c r="K883" s="11"/>
      <c r="M883" s="12"/>
      <c r="N883" s="12"/>
    </row>
    <row r="884" spans="2:14" ht="21.95" customHeight="1" x14ac:dyDescent="0.25">
      <c r="B884" s="30"/>
      <c r="C884" s="14" t="str">
        <f t="shared" si="52"/>
        <v/>
      </c>
      <c r="D884" s="11"/>
      <c r="E884" s="14" t="str">
        <f>IF(D884="","",IFERROR(VLOOKUP(D884,Categorias!$B$5:$C$200,2,FALSE),"Revisar"))</f>
        <v/>
      </c>
      <c r="F884" s="11"/>
      <c r="G884" s="31"/>
      <c r="H884" s="32">
        <f t="shared" si="53"/>
        <v>0</v>
      </c>
      <c r="I884" s="32">
        <f t="shared" si="54"/>
        <v>0</v>
      </c>
      <c r="J884" s="32">
        <f t="shared" si="55"/>
        <v>0</v>
      </c>
      <c r="K884" s="11"/>
      <c r="M884" s="12"/>
      <c r="N884" s="12"/>
    </row>
    <row r="885" spans="2:14" ht="21.95" customHeight="1" x14ac:dyDescent="0.25">
      <c r="B885" s="30"/>
      <c r="C885" s="14" t="str">
        <f t="shared" si="52"/>
        <v/>
      </c>
      <c r="D885" s="11"/>
      <c r="E885" s="14" t="str">
        <f>IF(D885="","",IFERROR(VLOOKUP(D885,Categorias!$B$5:$C$200,2,FALSE),"Revisar"))</f>
        <v/>
      </c>
      <c r="F885" s="11"/>
      <c r="G885" s="31"/>
      <c r="H885" s="32">
        <f t="shared" si="53"/>
        <v>0</v>
      </c>
      <c r="I885" s="32">
        <f t="shared" si="54"/>
        <v>0</v>
      </c>
      <c r="J885" s="32">
        <f t="shared" si="55"/>
        <v>0</v>
      </c>
      <c r="K885" s="11"/>
      <c r="M885" s="12"/>
      <c r="N885" s="12"/>
    </row>
    <row r="886" spans="2:14" ht="21.95" customHeight="1" x14ac:dyDescent="0.25">
      <c r="B886" s="30"/>
      <c r="C886" s="14" t="str">
        <f t="shared" si="52"/>
        <v/>
      </c>
      <c r="D886" s="11"/>
      <c r="E886" s="14" t="str">
        <f>IF(D886="","",IFERROR(VLOOKUP(D886,Categorias!$B$5:$C$200,2,FALSE),"Revisar"))</f>
        <v/>
      </c>
      <c r="F886" s="11"/>
      <c r="G886" s="31"/>
      <c r="H886" s="32">
        <f t="shared" si="53"/>
        <v>0</v>
      </c>
      <c r="I886" s="32">
        <f t="shared" si="54"/>
        <v>0</v>
      </c>
      <c r="J886" s="32">
        <f t="shared" si="55"/>
        <v>0</v>
      </c>
      <c r="K886" s="11"/>
      <c r="M886" s="12"/>
      <c r="N886" s="12"/>
    </row>
    <row r="887" spans="2:14" ht="21.95" customHeight="1" x14ac:dyDescent="0.25">
      <c r="B887" s="30"/>
      <c r="C887" s="14" t="str">
        <f t="shared" si="52"/>
        <v/>
      </c>
      <c r="D887" s="11"/>
      <c r="E887" s="14" t="str">
        <f>IF(D887="","",IFERROR(VLOOKUP(D887,Categorias!$B$5:$C$200,2,FALSE),"Revisar"))</f>
        <v/>
      </c>
      <c r="F887" s="11"/>
      <c r="G887" s="31"/>
      <c r="H887" s="32">
        <f t="shared" si="53"/>
        <v>0</v>
      </c>
      <c r="I887" s="32">
        <f t="shared" si="54"/>
        <v>0</v>
      </c>
      <c r="J887" s="32">
        <f t="shared" si="55"/>
        <v>0</v>
      </c>
      <c r="K887" s="11"/>
      <c r="M887" s="12"/>
      <c r="N887" s="12"/>
    </row>
    <row r="888" spans="2:14" ht="21.95" customHeight="1" x14ac:dyDescent="0.25">
      <c r="B888" s="30"/>
      <c r="C888" s="14" t="str">
        <f t="shared" si="52"/>
        <v/>
      </c>
      <c r="D888" s="11"/>
      <c r="E888" s="14" t="str">
        <f>IF(D888="","",IFERROR(VLOOKUP(D888,Categorias!$B$5:$C$200,2,FALSE),"Revisar"))</f>
        <v/>
      </c>
      <c r="F888" s="11"/>
      <c r="G888" s="31"/>
      <c r="H888" s="32">
        <f t="shared" si="53"/>
        <v>0</v>
      </c>
      <c r="I888" s="32">
        <f t="shared" si="54"/>
        <v>0</v>
      </c>
      <c r="J888" s="32">
        <f t="shared" si="55"/>
        <v>0</v>
      </c>
      <c r="K888" s="11"/>
      <c r="M888" s="12"/>
      <c r="N888" s="12"/>
    </row>
    <row r="889" spans="2:14" ht="21.95" customHeight="1" x14ac:dyDescent="0.25">
      <c r="B889" s="30"/>
      <c r="C889" s="14" t="str">
        <f t="shared" si="52"/>
        <v/>
      </c>
      <c r="D889" s="11"/>
      <c r="E889" s="14" t="str">
        <f>IF(D889="","",IFERROR(VLOOKUP(D889,Categorias!$B$5:$C$200,2,FALSE),"Revisar"))</f>
        <v/>
      </c>
      <c r="F889" s="11"/>
      <c r="G889" s="31"/>
      <c r="H889" s="32">
        <f t="shared" si="53"/>
        <v>0</v>
      </c>
      <c r="I889" s="32">
        <f t="shared" si="54"/>
        <v>0</v>
      </c>
      <c r="J889" s="32">
        <f t="shared" si="55"/>
        <v>0</v>
      </c>
      <c r="K889" s="11"/>
      <c r="M889" s="12"/>
      <c r="N889" s="12"/>
    </row>
    <row r="890" spans="2:14" ht="21.95" customHeight="1" x14ac:dyDescent="0.25">
      <c r="B890" s="30"/>
      <c r="C890" s="14" t="str">
        <f t="shared" si="52"/>
        <v/>
      </c>
      <c r="D890" s="11"/>
      <c r="E890" s="14" t="str">
        <f>IF(D890="","",IFERROR(VLOOKUP(D890,Categorias!$B$5:$C$200,2,FALSE),"Revisar"))</f>
        <v/>
      </c>
      <c r="F890" s="11"/>
      <c r="G890" s="31"/>
      <c r="H890" s="32">
        <f t="shared" si="53"/>
        <v>0</v>
      </c>
      <c r="I890" s="32">
        <f t="shared" si="54"/>
        <v>0</v>
      </c>
      <c r="J890" s="32">
        <f t="shared" si="55"/>
        <v>0</v>
      </c>
      <c r="K890" s="11"/>
      <c r="M890" s="12"/>
      <c r="N890" s="12"/>
    </row>
    <row r="891" spans="2:14" ht="21.95" customHeight="1" x14ac:dyDescent="0.25">
      <c r="B891" s="30"/>
      <c r="C891" s="14" t="str">
        <f t="shared" si="52"/>
        <v/>
      </c>
      <c r="D891" s="11"/>
      <c r="E891" s="14" t="str">
        <f>IF(D891="","",IFERROR(VLOOKUP(D891,Categorias!$B$5:$C$200,2,FALSE),"Revisar"))</f>
        <v/>
      </c>
      <c r="F891" s="11"/>
      <c r="G891" s="31"/>
      <c r="H891" s="32">
        <f t="shared" si="53"/>
        <v>0</v>
      </c>
      <c r="I891" s="32">
        <f t="shared" si="54"/>
        <v>0</v>
      </c>
      <c r="J891" s="32">
        <f t="shared" si="55"/>
        <v>0</v>
      </c>
      <c r="K891" s="11"/>
      <c r="M891" s="12"/>
      <c r="N891" s="12"/>
    </row>
    <row r="892" spans="2:14" ht="21.95" customHeight="1" x14ac:dyDescent="0.25">
      <c r="B892" s="30"/>
      <c r="C892" s="14" t="str">
        <f t="shared" si="52"/>
        <v/>
      </c>
      <c r="D892" s="11"/>
      <c r="E892" s="14" t="str">
        <f>IF(D892="","",IFERROR(VLOOKUP(D892,Categorias!$B$5:$C$200,2,FALSE),"Revisar"))</f>
        <v/>
      </c>
      <c r="F892" s="11"/>
      <c r="G892" s="31"/>
      <c r="H892" s="32">
        <f t="shared" si="53"/>
        <v>0</v>
      </c>
      <c r="I892" s="32">
        <f t="shared" si="54"/>
        <v>0</v>
      </c>
      <c r="J892" s="32">
        <f t="shared" si="55"/>
        <v>0</v>
      </c>
      <c r="K892" s="11"/>
      <c r="M892" s="12"/>
      <c r="N892" s="12"/>
    </row>
    <row r="893" spans="2:14" ht="21.95" customHeight="1" x14ac:dyDescent="0.25">
      <c r="B893" s="30"/>
      <c r="C893" s="14" t="str">
        <f t="shared" si="52"/>
        <v/>
      </c>
      <c r="D893" s="11"/>
      <c r="E893" s="14" t="str">
        <f>IF(D893="","",IFERROR(VLOOKUP(D893,Categorias!$B$5:$C$200,2,FALSE),"Revisar"))</f>
        <v/>
      </c>
      <c r="F893" s="11"/>
      <c r="G893" s="31"/>
      <c r="H893" s="32">
        <f t="shared" si="53"/>
        <v>0</v>
      </c>
      <c r="I893" s="32">
        <f t="shared" si="54"/>
        <v>0</v>
      </c>
      <c r="J893" s="32">
        <f t="shared" si="55"/>
        <v>0</v>
      </c>
      <c r="K893" s="11"/>
      <c r="M893" s="12"/>
      <c r="N893" s="12"/>
    </row>
    <row r="894" spans="2:14" ht="21.95" customHeight="1" x14ac:dyDescent="0.25">
      <c r="B894" s="30"/>
      <c r="C894" s="14" t="str">
        <f t="shared" si="52"/>
        <v/>
      </c>
      <c r="D894" s="11"/>
      <c r="E894" s="14" t="str">
        <f>IF(D894="","",IFERROR(VLOOKUP(D894,Categorias!$B$5:$C$200,2,FALSE),"Revisar"))</f>
        <v/>
      </c>
      <c r="F894" s="11"/>
      <c r="G894" s="31"/>
      <c r="H894" s="32">
        <f t="shared" si="53"/>
        <v>0</v>
      </c>
      <c r="I894" s="32">
        <f t="shared" si="54"/>
        <v>0</v>
      </c>
      <c r="J894" s="32">
        <f t="shared" si="55"/>
        <v>0</v>
      </c>
      <c r="K894" s="11"/>
      <c r="M894" s="12"/>
      <c r="N894" s="12"/>
    </row>
    <row r="895" spans="2:14" ht="21.95" customHeight="1" x14ac:dyDescent="0.25">
      <c r="B895" s="30"/>
      <c r="C895" s="14" t="str">
        <f t="shared" si="52"/>
        <v/>
      </c>
      <c r="D895" s="11"/>
      <c r="E895" s="14" t="str">
        <f>IF(D895="","",IFERROR(VLOOKUP(D895,Categorias!$B$5:$C$200,2,FALSE),"Revisar"))</f>
        <v/>
      </c>
      <c r="F895" s="11"/>
      <c r="G895" s="31"/>
      <c r="H895" s="32">
        <f t="shared" si="53"/>
        <v>0</v>
      </c>
      <c r="I895" s="32">
        <f t="shared" si="54"/>
        <v>0</v>
      </c>
      <c r="J895" s="32">
        <f t="shared" si="55"/>
        <v>0</v>
      </c>
      <c r="K895" s="11"/>
      <c r="M895" s="12"/>
      <c r="N895" s="12"/>
    </row>
    <row r="896" spans="2:14" ht="21.95" customHeight="1" x14ac:dyDescent="0.25">
      <c r="B896" s="30"/>
      <c r="C896" s="14" t="str">
        <f t="shared" si="52"/>
        <v/>
      </c>
      <c r="D896" s="11"/>
      <c r="E896" s="14" t="str">
        <f>IF(D896="","",IFERROR(VLOOKUP(D896,Categorias!$B$5:$C$200,2,FALSE),"Revisar"))</f>
        <v/>
      </c>
      <c r="F896" s="11"/>
      <c r="G896" s="31"/>
      <c r="H896" s="32">
        <f t="shared" si="53"/>
        <v>0</v>
      </c>
      <c r="I896" s="32">
        <f t="shared" si="54"/>
        <v>0</v>
      </c>
      <c r="J896" s="32">
        <f t="shared" si="55"/>
        <v>0</v>
      </c>
      <c r="K896" s="11"/>
      <c r="M896" s="12"/>
      <c r="N896" s="12"/>
    </row>
    <row r="897" spans="2:14" ht="21.95" customHeight="1" x14ac:dyDescent="0.25">
      <c r="B897" s="30"/>
      <c r="C897" s="14" t="str">
        <f t="shared" si="52"/>
        <v/>
      </c>
      <c r="D897" s="11"/>
      <c r="E897" s="14" t="str">
        <f>IF(D897="","",IFERROR(VLOOKUP(D897,Categorias!$B$5:$C$200,2,FALSE),"Revisar"))</f>
        <v/>
      </c>
      <c r="F897" s="11"/>
      <c r="G897" s="31"/>
      <c r="H897" s="32">
        <f t="shared" si="53"/>
        <v>0</v>
      </c>
      <c r="I897" s="32">
        <f t="shared" si="54"/>
        <v>0</v>
      </c>
      <c r="J897" s="32">
        <f t="shared" si="55"/>
        <v>0</v>
      </c>
      <c r="K897" s="11"/>
      <c r="M897" s="12"/>
      <c r="N897" s="12"/>
    </row>
    <row r="898" spans="2:14" ht="21.95" customHeight="1" x14ac:dyDescent="0.25">
      <c r="B898" s="30"/>
      <c r="C898" s="14" t="str">
        <f t="shared" si="52"/>
        <v/>
      </c>
      <c r="D898" s="11"/>
      <c r="E898" s="14" t="str">
        <f>IF(D898="","",IFERROR(VLOOKUP(D898,Categorias!$B$5:$C$200,2,FALSE),"Revisar"))</f>
        <v/>
      </c>
      <c r="F898" s="11"/>
      <c r="G898" s="31"/>
      <c r="H898" s="32">
        <f t="shared" si="53"/>
        <v>0</v>
      </c>
      <c r="I898" s="32">
        <f t="shared" si="54"/>
        <v>0</v>
      </c>
      <c r="J898" s="32">
        <f t="shared" si="55"/>
        <v>0</v>
      </c>
      <c r="K898" s="11"/>
      <c r="M898" s="12"/>
      <c r="N898" s="12"/>
    </row>
    <row r="899" spans="2:14" ht="21.95" customHeight="1" x14ac:dyDescent="0.25">
      <c r="B899" s="30"/>
      <c r="C899" s="14" t="str">
        <f t="shared" si="52"/>
        <v/>
      </c>
      <c r="D899" s="11"/>
      <c r="E899" s="14" t="str">
        <f>IF(D899="","",IFERROR(VLOOKUP(D899,Categorias!$B$5:$C$200,2,FALSE),"Revisar"))</f>
        <v/>
      </c>
      <c r="F899" s="11"/>
      <c r="G899" s="31"/>
      <c r="H899" s="32">
        <f t="shared" si="53"/>
        <v>0</v>
      </c>
      <c r="I899" s="32">
        <f t="shared" si="54"/>
        <v>0</v>
      </c>
      <c r="J899" s="32">
        <f t="shared" si="55"/>
        <v>0</v>
      </c>
      <c r="K899" s="11"/>
      <c r="M899" s="12"/>
      <c r="N899" s="12"/>
    </row>
    <row r="900" spans="2:14" ht="21.95" customHeight="1" x14ac:dyDescent="0.25">
      <c r="B900" s="30"/>
      <c r="C900" s="14" t="str">
        <f t="shared" si="52"/>
        <v/>
      </c>
      <c r="D900" s="11"/>
      <c r="E900" s="14" t="str">
        <f>IF(D900="","",IFERROR(VLOOKUP(D900,Categorias!$B$5:$C$200,2,FALSE),"Revisar"))</f>
        <v/>
      </c>
      <c r="F900" s="11"/>
      <c r="G900" s="31"/>
      <c r="H900" s="32">
        <f t="shared" si="53"/>
        <v>0</v>
      </c>
      <c r="I900" s="32">
        <f t="shared" si="54"/>
        <v>0</v>
      </c>
      <c r="J900" s="32">
        <f t="shared" si="55"/>
        <v>0</v>
      </c>
      <c r="K900" s="11"/>
      <c r="M900" s="12"/>
      <c r="N900" s="12"/>
    </row>
    <row r="901" spans="2:14" ht="21.95" customHeight="1" x14ac:dyDescent="0.25">
      <c r="B901" s="30"/>
      <c r="C901" s="14" t="str">
        <f t="shared" si="52"/>
        <v/>
      </c>
      <c r="D901" s="11"/>
      <c r="E901" s="14" t="str">
        <f>IF(D901="","",IFERROR(VLOOKUP(D901,Categorias!$B$5:$C$200,2,FALSE),"Revisar"))</f>
        <v/>
      </c>
      <c r="F901" s="11"/>
      <c r="G901" s="31"/>
      <c r="H901" s="32">
        <f t="shared" si="53"/>
        <v>0</v>
      </c>
      <c r="I901" s="32">
        <f t="shared" si="54"/>
        <v>0</v>
      </c>
      <c r="J901" s="32">
        <f t="shared" si="55"/>
        <v>0</v>
      </c>
      <c r="K901" s="11"/>
      <c r="M901" s="12"/>
      <c r="N901" s="12"/>
    </row>
    <row r="902" spans="2:14" ht="21.95" customHeight="1" x14ac:dyDescent="0.25">
      <c r="B902" s="30"/>
      <c r="C902" s="14" t="str">
        <f t="shared" si="52"/>
        <v/>
      </c>
      <c r="D902" s="11"/>
      <c r="E902" s="14" t="str">
        <f>IF(D902="","",IFERROR(VLOOKUP(D902,Categorias!$B$5:$C$200,2,FALSE),"Revisar"))</f>
        <v/>
      </c>
      <c r="F902" s="11"/>
      <c r="G902" s="31"/>
      <c r="H902" s="32">
        <f t="shared" si="53"/>
        <v>0</v>
      </c>
      <c r="I902" s="32">
        <f t="shared" si="54"/>
        <v>0</v>
      </c>
      <c r="J902" s="32">
        <f t="shared" si="55"/>
        <v>0</v>
      </c>
      <c r="K902" s="11"/>
      <c r="M902" s="12"/>
      <c r="N902" s="12"/>
    </row>
    <row r="903" spans="2:14" ht="21.95" customHeight="1" x14ac:dyDescent="0.25">
      <c r="B903" s="30"/>
      <c r="C903" s="14" t="str">
        <f t="shared" si="52"/>
        <v/>
      </c>
      <c r="D903" s="11"/>
      <c r="E903" s="14" t="str">
        <f>IF(D903="","",IFERROR(VLOOKUP(D903,Categorias!$B$5:$C$200,2,FALSE),"Revisar"))</f>
        <v/>
      </c>
      <c r="F903" s="11"/>
      <c r="G903" s="31"/>
      <c r="H903" s="32">
        <f t="shared" si="53"/>
        <v>0</v>
      </c>
      <c r="I903" s="32">
        <f t="shared" si="54"/>
        <v>0</v>
      </c>
      <c r="J903" s="32">
        <f t="shared" si="55"/>
        <v>0</v>
      </c>
      <c r="K903" s="11"/>
      <c r="M903" s="12"/>
      <c r="N903" s="12"/>
    </row>
    <row r="904" spans="2:14" ht="21.95" customHeight="1" x14ac:dyDescent="0.25">
      <c r="B904" s="30"/>
      <c r="C904" s="14" t="str">
        <f t="shared" si="52"/>
        <v/>
      </c>
      <c r="D904" s="11"/>
      <c r="E904" s="14" t="str">
        <f>IF(D904="","",IFERROR(VLOOKUP(D904,Categorias!$B$5:$C$200,2,FALSE),"Revisar"))</f>
        <v/>
      </c>
      <c r="F904" s="11"/>
      <c r="G904" s="31"/>
      <c r="H904" s="32">
        <f t="shared" si="53"/>
        <v>0</v>
      </c>
      <c r="I904" s="32">
        <f t="shared" si="54"/>
        <v>0</v>
      </c>
      <c r="J904" s="32">
        <f t="shared" si="55"/>
        <v>0</v>
      </c>
      <c r="K904" s="11"/>
      <c r="M904" s="12"/>
      <c r="N904" s="12"/>
    </row>
    <row r="905" spans="2:14" ht="21.95" customHeight="1" x14ac:dyDescent="0.25">
      <c r="B905" s="30"/>
      <c r="C905" s="14" t="str">
        <f t="shared" ref="C905:C968" si="56">IF(B905="","",CHOOSE(MONTH(B905),"Enero","Febrero","Marzo","Abril","Mayo","Junio","Julio","Agosto","Septiembre","Octubre","Noviembre","Diciembre"))</f>
        <v/>
      </c>
      <c r="D905" s="11"/>
      <c r="E905" s="14" t="str">
        <f>IF(D905="","",IFERROR(VLOOKUP(D905,Categorias!$B$5:$C$200,2,FALSE),"Revisar"))</f>
        <v/>
      </c>
      <c r="F905" s="11"/>
      <c r="G905" s="31"/>
      <c r="H905" s="32">
        <f t="shared" ref="H905:H968" si="57">IF($E905="Ingreso",$G905,0)</f>
        <v>0</v>
      </c>
      <c r="I905" s="32">
        <f t="shared" ref="I905:I968" si="58">IF($E905="Gasto",$G905,0)</f>
        <v>0</v>
      </c>
      <c r="J905" s="32">
        <f t="shared" ref="J905:J968" si="59">IF($E905="Reserva",$G905,0)</f>
        <v>0</v>
      </c>
      <c r="K905" s="11"/>
      <c r="M905" s="12"/>
      <c r="N905" s="12"/>
    </row>
    <row r="906" spans="2:14" ht="21.95" customHeight="1" x14ac:dyDescent="0.25">
      <c r="B906" s="30"/>
      <c r="C906" s="14" t="str">
        <f t="shared" si="56"/>
        <v/>
      </c>
      <c r="D906" s="11"/>
      <c r="E906" s="14" t="str">
        <f>IF(D906="","",IFERROR(VLOOKUP(D906,Categorias!$B$5:$C$200,2,FALSE),"Revisar"))</f>
        <v/>
      </c>
      <c r="F906" s="11"/>
      <c r="G906" s="31"/>
      <c r="H906" s="32">
        <f t="shared" si="57"/>
        <v>0</v>
      </c>
      <c r="I906" s="32">
        <f t="shared" si="58"/>
        <v>0</v>
      </c>
      <c r="J906" s="32">
        <f t="shared" si="59"/>
        <v>0</v>
      </c>
      <c r="K906" s="11"/>
      <c r="M906" s="12"/>
      <c r="N906" s="12"/>
    </row>
    <row r="907" spans="2:14" ht="21.95" customHeight="1" x14ac:dyDescent="0.25">
      <c r="B907" s="30"/>
      <c r="C907" s="14" t="str">
        <f t="shared" si="56"/>
        <v/>
      </c>
      <c r="D907" s="11"/>
      <c r="E907" s="14" t="str">
        <f>IF(D907="","",IFERROR(VLOOKUP(D907,Categorias!$B$5:$C$200,2,FALSE),"Revisar"))</f>
        <v/>
      </c>
      <c r="F907" s="11"/>
      <c r="G907" s="31"/>
      <c r="H907" s="32">
        <f t="shared" si="57"/>
        <v>0</v>
      </c>
      <c r="I907" s="32">
        <f t="shared" si="58"/>
        <v>0</v>
      </c>
      <c r="J907" s="32">
        <f t="shared" si="59"/>
        <v>0</v>
      </c>
      <c r="K907" s="11"/>
      <c r="M907" s="12"/>
      <c r="N907" s="12"/>
    </row>
    <row r="908" spans="2:14" ht="21.95" customHeight="1" x14ac:dyDescent="0.25">
      <c r="B908" s="30"/>
      <c r="C908" s="14" t="str">
        <f t="shared" si="56"/>
        <v/>
      </c>
      <c r="D908" s="11"/>
      <c r="E908" s="14" t="str">
        <f>IF(D908="","",IFERROR(VLOOKUP(D908,Categorias!$B$5:$C$200,2,FALSE),"Revisar"))</f>
        <v/>
      </c>
      <c r="F908" s="11"/>
      <c r="G908" s="31"/>
      <c r="H908" s="32">
        <f t="shared" si="57"/>
        <v>0</v>
      </c>
      <c r="I908" s="32">
        <f t="shared" si="58"/>
        <v>0</v>
      </c>
      <c r="J908" s="32">
        <f t="shared" si="59"/>
        <v>0</v>
      </c>
      <c r="K908" s="11"/>
      <c r="M908" s="12"/>
      <c r="N908" s="12"/>
    </row>
    <row r="909" spans="2:14" ht="21.95" customHeight="1" x14ac:dyDescent="0.25">
      <c r="B909" s="30"/>
      <c r="C909" s="14" t="str">
        <f t="shared" si="56"/>
        <v/>
      </c>
      <c r="D909" s="11"/>
      <c r="E909" s="14" t="str">
        <f>IF(D909="","",IFERROR(VLOOKUP(D909,Categorias!$B$5:$C$200,2,FALSE),"Revisar"))</f>
        <v/>
      </c>
      <c r="F909" s="11"/>
      <c r="G909" s="31"/>
      <c r="H909" s="32">
        <f t="shared" si="57"/>
        <v>0</v>
      </c>
      <c r="I909" s="32">
        <f t="shared" si="58"/>
        <v>0</v>
      </c>
      <c r="J909" s="32">
        <f t="shared" si="59"/>
        <v>0</v>
      </c>
      <c r="K909" s="11"/>
      <c r="M909" s="12"/>
      <c r="N909" s="12"/>
    </row>
    <row r="910" spans="2:14" ht="21.95" customHeight="1" x14ac:dyDescent="0.25">
      <c r="B910" s="30"/>
      <c r="C910" s="14" t="str">
        <f t="shared" si="56"/>
        <v/>
      </c>
      <c r="D910" s="11"/>
      <c r="E910" s="14" t="str">
        <f>IF(D910="","",IFERROR(VLOOKUP(D910,Categorias!$B$5:$C$200,2,FALSE),"Revisar"))</f>
        <v/>
      </c>
      <c r="F910" s="11"/>
      <c r="G910" s="31"/>
      <c r="H910" s="32">
        <f t="shared" si="57"/>
        <v>0</v>
      </c>
      <c r="I910" s="32">
        <f t="shared" si="58"/>
        <v>0</v>
      </c>
      <c r="J910" s="32">
        <f t="shared" si="59"/>
        <v>0</v>
      </c>
      <c r="K910" s="11"/>
      <c r="M910" s="12"/>
      <c r="N910" s="12"/>
    </row>
    <row r="911" spans="2:14" ht="21.95" customHeight="1" x14ac:dyDescent="0.25">
      <c r="B911" s="30"/>
      <c r="C911" s="14" t="str">
        <f t="shared" si="56"/>
        <v/>
      </c>
      <c r="D911" s="11"/>
      <c r="E911" s="14" t="str">
        <f>IF(D911="","",IFERROR(VLOOKUP(D911,Categorias!$B$5:$C$200,2,FALSE),"Revisar"))</f>
        <v/>
      </c>
      <c r="F911" s="11"/>
      <c r="G911" s="31"/>
      <c r="H911" s="32">
        <f t="shared" si="57"/>
        <v>0</v>
      </c>
      <c r="I911" s="32">
        <f t="shared" si="58"/>
        <v>0</v>
      </c>
      <c r="J911" s="32">
        <f t="shared" si="59"/>
        <v>0</v>
      </c>
      <c r="K911" s="11"/>
      <c r="M911" s="12"/>
      <c r="N911" s="12"/>
    </row>
    <row r="912" spans="2:14" ht="21.95" customHeight="1" x14ac:dyDescent="0.25">
      <c r="B912" s="30"/>
      <c r="C912" s="14" t="str">
        <f t="shared" si="56"/>
        <v/>
      </c>
      <c r="D912" s="11"/>
      <c r="E912" s="14" t="str">
        <f>IF(D912="","",IFERROR(VLOOKUP(D912,Categorias!$B$5:$C$200,2,FALSE),"Revisar"))</f>
        <v/>
      </c>
      <c r="F912" s="11"/>
      <c r="G912" s="31"/>
      <c r="H912" s="32">
        <f t="shared" si="57"/>
        <v>0</v>
      </c>
      <c r="I912" s="32">
        <f t="shared" si="58"/>
        <v>0</v>
      </c>
      <c r="J912" s="32">
        <f t="shared" si="59"/>
        <v>0</v>
      </c>
      <c r="K912" s="11"/>
      <c r="M912" s="12"/>
      <c r="N912" s="12"/>
    </row>
    <row r="913" spans="2:14" ht="21.95" customHeight="1" x14ac:dyDescent="0.25">
      <c r="B913" s="30"/>
      <c r="C913" s="14" t="str">
        <f t="shared" si="56"/>
        <v/>
      </c>
      <c r="D913" s="11"/>
      <c r="E913" s="14" t="str">
        <f>IF(D913="","",IFERROR(VLOOKUP(D913,Categorias!$B$5:$C$200,2,FALSE),"Revisar"))</f>
        <v/>
      </c>
      <c r="F913" s="11"/>
      <c r="G913" s="31"/>
      <c r="H913" s="32">
        <f t="shared" si="57"/>
        <v>0</v>
      </c>
      <c r="I913" s="32">
        <f t="shared" si="58"/>
        <v>0</v>
      </c>
      <c r="J913" s="32">
        <f t="shared" si="59"/>
        <v>0</v>
      </c>
      <c r="K913" s="11"/>
      <c r="M913" s="12"/>
      <c r="N913" s="12"/>
    </row>
    <row r="914" spans="2:14" ht="21.95" customHeight="1" x14ac:dyDescent="0.25">
      <c r="B914" s="30"/>
      <c r="C914" s="14" t="str">
        <f t="shared" si="56"/>
        <v/>
      </c>
      <c r="D914" s="11"/>
      <c r="E914" s="14" t="str">
        <f>IF(D914="","",IFERROR(VLOOKUP(D914,Categorias!$B$5:$C$200,2,FALSE),"Revisar"))</f>
        <v/>
      </c>
      <c r="F914" s="11"/>
      <c r="G914" s="31"/>
      <c r="H914" s="32">
        <f t="shared" si="57"/>
        <v>0</v>
      </c>
      <c r="I914" s="32">
        <f t="shared" si="58"/>
        <v>0</v>
      </c>
      <c r="J914" s="32">
        <f t="shared" si="59"/>
        <v>0</v>
      </c>
      <c r="K914" s="11"/>
      <c r="M914" s="12"/>
      <c r="N914" s="12"/>
    </row>
    <row r="915" spans="2:14" ht="21.95" customHeight="1" x14ac:dyDescent="0.25">
      <c r="B915" s="30"/>
      <c r="C915" s="14" t="str">
        <f t="shared" si="56"/>
        <v/>
      </c>
      <c r="D915" s="11"/>
      <c r="E915" s="14" t="str">
        <f>IF(D915="","",IFERROR(VLOOKUP(D915,Categorias!$B$5:$C$200,2,FALSE),"Revisar"))</f>
        <v/>
      </c>
      <c r="F915" s="11"/>
      <c r="G915" s="31"/>
      <c r="H915" s="32">
        <f t="shared" si="57"/>
        <v>0</v>
      </c>
      <c r="I915" s="32">
        <f t="shared" si="58"/>
        <v>0</v>
      </c>
      <c r="J915" s="32">
        <f t="shared" si="59"/>
        <v>0</v>
      </c>
      <c r="K915" s="11"/>
      <c r="M915" s="12"/>
      <c r="N915" s="12"/>
    </row>
    <row r="916" spans="2:14" ht="21.95" customHeight="1" x14ac:dyDescent="0.25">
      <c r="B916" s="30"/>
      <c r="C916" s="14" t="str">
        <f t="shared" si="56"/>
        <v/>
      </c>
      <c r="D916" s="11"/>
      <c r="E916" s="14" t="str">
        <f>IF(D916="","",IFERROR(VLOOKUP(D916,Categorias!$B$5:$C$200,2,FALSE),"Revisar"))</f>
        <v/>
      </c>
      <c r="F916" s="11"/>
      <c r="G916" s="31"/>
      <c r="H916" s="32">
        <f t="shared" si="57"/>
        <v>0</v>
      </c>
      <c r="I916" s="32">
        <f t="shared" si="58"/>
        <v>0</v>
      </c>
      <c r="J916" s="32">
        <f t="shared" si="59"/>
        <v>0</v>
      </c>
      <c r="K916" s="11"/>
      <c r="M916" s="12"/>
      <c r="N916" s="12"/>
    </row>
    <row r="917" spans="2:14" ht="21.95" customHeight="1" x14ac:dyDescent="0.25">
      <c r="B917" s="30"/>
      <c r="C917" s="14" t="str">
        <f t="shared" si="56"/>
        <v/>
      </c>
      <c r="D917" s="11"/>
      <c r="E917" s="14" t="str">
        <f>IF(D917="","",IFERROR(VLOOKUP(D917,Categorias!$B$5:$C$200,2,FALSE),"Revisar"))</f>
        <v/>
      </c>
      <c r="F917" s="11"/>
      <c r="G917" s="31"/>
      <c r="H917" s="32">
        <f t="shared" si="57"/>
        <v>0</v>
      </c>
      <c r="I917" s="32">
        <f t="shared" si="58"/>
        <v>0</v>
      </c>
      <c r="J917" s="32">
        <f t="shared" si="59"/>
        <v>0</v>
      </c>
      <c r="K917" s="11"/>
      <c r="M917" s="12"/>
      <c r="N917" s="12"/>
    </row>
    <row r="918" spans="2:14" ht="21.95" customHeight="1" x14ac:dyDescent="0.25">
      <c r="B918" s="30"/>
      <c r="C918" s="14" t="str">
        <f t="shared" si="56"/>
        <v/>
      </c>
      <c r="D918" s="11"/>
      <c r="E918" s="14" t="str">
        <f>IF(D918="","",IFERROR(VLOOKUP(D918,Categorias!$B$5:$C$200,2,FALSE),"Revisar"))</f>
        <v/>
      </c>
      <c r="F918" s="11"/>
      <c r="G918" s="31"/>
      <c r="H918" s="32">
        <f t="shared" si="57"/>
        <v>0</v>
      </c>
      <c r="I918" s="32">
        <f t="shared" si="58"/>
        <v>0</v>
      </c>
      <c r="J918" s="32">
        <f t="shared" si="59"/>
        <v>0</v>
      </c>
      <c r="K918" s="11"/>
      <c r="M918" s="12"/>
      <c r="N918" s="12"/>
    </row>
    <row r="919" spans="2:14" ht="21.95" customHeight="1" x14ac:dyDescent="0.25">
      <c r="B919" s="30"/>
      <c r="C919" s="14" t="str">
        <f t="shared" si="56"/>
        <v/>
      </c>
      <c r="D919" s="11"/>
      <c r="E919" s="14" t="str">
        <f>IF(D919="","",IFERROR(VLOOKUP(D919,Categorias!$B$5:$C$200,2,FALSE),"Revisar"))</f>
        <v/>
      </c>
      <c r="F919" s="11"/>
      <c r="G919" s="31"/>
      <c r="H919" s="32">
        <f t="shared" si="57"/>
        <v>0</v>
      </c>
      <c r="I919" s="32">
        <f t="shared" si="58"/>
        <v>0</v>
      </c>
      <c r="J919" s="32">
        <f t="shared" si="59"/>
        <v>0</v>
      </c>
      <c r="K919" s="11"/>
      <c r="M919" s="12"/>
      <c r="N919" s="12"/>
    </row>
    <row r="920" spans="2:14" ht="21.95" customHeight="1" x14ac:dyDescent="0.25">
      <c r="B920" s="30"/>
      <c r="C920" s="14" t="str">
        <f t="shared" si="56"/>
        <v/>
      </c>
      <c r="D920" s="11"/>
      <c r="E920" s="14" t="str">
        <f>IF(D920="","",IFERROR(VLOOKUP(D920,Categorias!$B$5:$C$200,2,FALSE),"Revisar"))</f>
        <v/>
      </c>
      <c r="F920" s="11"/>
      <c r="G920" s="31"/>
      <c r="H920" s="32">
        <f t="shared" si="57"/>
        <v>0</v>
      </c>
      <c r="I920" s="32">
        <f t="shared" si="58"/>
        <v>0</v>
      </c>
      <c r="J920" s="32">
        <f t="shared" si="59"/>
        <v>0</v>
      </c>
      <c r="K920" s="11"/>
      <c r="M920" s="12"/>
      <c r="N920" s="12"/>
    </row>
    <row r="921" spans="2:14" ht="21.95" customHeight="1" x14ac:dyDescent="0.25">
      <c r="B921" s="30"/>
      <c r="C921" s="14" t="str">
        <f t="shared" si="56"/>
        <v/>
      </c>
      <c r="D921" s="11"/>
      <c r="E921" s="14" t="str">
        <f>IF(D921="","",IFERROR(VLOOKUP(D921,Categorias!$B$5:$C$200,2,FALSE),"Revisar"))</f>
        <v/>
      </c>
      <c r="F921" s="11"/>
      <c r="G921" s="31"/>
      <c r="H921" s="32">
        <f t="shared" si="57"/>
        <v>0</v>
      </c>
      <c r="I921" s="32">
        <f t="shared" si="58"/>
        <v>0</v>
      </c>
      <c r="J921" s="32">
        <f t="shared" si="59"/>
        <v>0</v>
      </c>
      <c r="K921" s="11"/>
      <c r="M921" s="12"/>
      <c r="N921" s="12"/>
    </row>
    <row r="922" spans="2:14" ht="21.95" customHeight="1" x14ac:dyDescent="0.25">
      <c r="B922" s="30"/>
      <c r="C922" s="14" t="str">
        <f t="shared" si="56"/>
        <v/>
      </c>
      <c r="D922" s="11"/>
      <c r="E922" s="14" t="str">
        <f>IF(D922="","",IFERROR(VLOOKUP(D922,Categorias!$B$5:$C$200,2,FALSE),"Revisar"))</f>
        <v/>
      </c>
      <c r="F922" s="11"/>
      <c r="G922" s="31"/>
      <c r="H922" s="32">
        <f t="shared" si="57"/>
        <v>0</v>
      </c>
      <c r="I922" s="32">
        <f t="shared" si="58"/>
        <v>0</v>
      </c>
      <c r="J922" s="32">
        <f t="shared" si="59"/>
        <v>0</v>
      </c>
      <c r="K922" s="11"/>
      <c r="M922" s="12"/>
      <c r="N922" s="12"/>
    </row>
    <row r="923" spans="2:14" ht="21.95" customHeight="1" x14ac:dyDescent="0.25">
      <c r="B923" s="30"/>
      <c r="C923" s="14" t="str">
        <f t="shared" si="56"/>
        <v/>
      </c>
      <c r="D923" s="11"/>
      <c r="E923" s="14" t="str">
        <f>IF(D923="","",IFERROR(VLOOKUP(D923,Categorias!$B$5:$C$200,2,FALSE),"Revisar"))</f>
        <v/>
      </c>
      <c r="F923" s="11"/>
      <c r="G923" s="31"/>
      <c r="H923" s="32">
        <f t="shared" si="57"/>
        <v>0</v>
      </c>
      <c r="I923" s="32">
        <f t="shared" si="58"/>
        <v>0</v>
      </c>
      <c r="J923" s="32">
        <f t="shared" si="59"/>
        <v>0</v>
      </c>
      <c r="K923" s="11"/>
      <c r="M923" s="12"/>
      <c r="N923" s="12"/>
    </row>
    <row r="924" spans="2:14" ht="21.95" customHeight="1" x14ac:dyDescent="0.25">
      <c r="B924" s="30"/>
      <c r="C924" s="14" t="str">
        <f t="shared" si="56"/>
        <v/>
      </c>
      <c r="D924" s="11"/>
      <c r="E924" s="14" t="str">
        <f>IF(D924="","",IFERROR(VLOOKUP(D924,Categorias!$B$5:$C$200,2,FALSE),"Revisar"))</f>
        <v/>
      </c>
      <c r="F924" s="11"/>
      <c r="G924" s="31"/>
      <c r="H924" s="32">
        <f t="shared" si="57"/>
        <v>0</v>
      </c>
      <c r="I924" s="32">
        <f t="shared" si="58"/>
        <v>0</v>
      </c>
      <c r="J924" s="32">
        <f t="shared" si="59"/>
        <v>0</v>
      </c>
      <c r="K924" s="11"/>
      <c r="M924" s="12"/>
      <c r="N924" s="12"/>
    </row>
    <row r="925" spans="2:14" ht="21.95" customHeight="1" x14ac:dyDescent="0.25">
      <c r="B925" s="30"/>
      <c r="C925" s="14" t="str">
        <f t="shared" si="56"/>
        <v/>
      </c>
      <c r="D925" s="11"/>
      <c r="E925" s="14" t="str">
        <f>IF(D925="","",IFERROR(VLOOKUP(D925,Categorias!$B$5:$C$200,2,FALSE),"Revisar"))</f>
        <v/>
      </c>
      <c r="F925" s="11"/>
      <c r="G925" s="31"/>
      <c r="H925" s="32">
        <f t="shared" si="57"/>
        <v>0</v>
      </c>
      <c r="I925" s="32">
        <f t="shared" si="58"/>
        <v>0</v>
      </c>
      <c r="J925" s="32">
        <f t="shared" si="59"/>
        <v>0</v>
      </c>
      <c r="K925" s="11"/>
      <c r="M925" s="12"/>
      <c r="N925" s="12"/>
    </row>
    <row r="926" spans="2:14" ht="21.95" customHeight="1" x14ac:dyDescent="0.25">
      <c r="B926" s="30"/>
      <c r="C926" s="14" t="str">
        <f t="shared" si="56"/>
        <v/>
      </c>
      <c r="D926" s="11"/>
      <c r="E926" s="14" t="str">
        <f>IF(D926="","",IFERROR(VLOOKUP(D926,Categorias!$B$5:$C$200,2,FALSE),"Revisar"))</f>
        <v/>
      </c>
      <c r="F926" s="11"/>
      <c r="G926" s="31"/>
      <c r="H926" s="32">
        <f t="shared" si="57"/>
        <v>0</v>
      </c>
      <c r="I926" s="32">
        <f t="shared" si="58"/>
        <v>0</v>
      </c>
      <c r="J926" s="32">
        <f t="shared" si="59"/>
        <v>0</v>
      </c>
      <c r="K926" s="11"/>
      <c r="M926" s="12"/>
      <c r="N926" s="12"/>
    </row>
    <row r="927" spans="2:14" ht="21.95" customHeight="1" x14ac:dyDescent="0.25">
      <c r="B927" s="30"/>
      <c r="C927" s="14" t="str">
        <f t="shared" si="56"/>
        <v/>
      </c>
      <c r="D927" s="11"/>
      <c r="E927" s="14" t="str">
        <f>IF(D927="","",IFERROR(VLOOKUP(D927,Categorias!$B$5:$C$200,2,FALSE),"Revisar"))</f>
        <v/>
      </c>
      <c r="F927" s="11"/>
      <c r="G927" s="31"/>
      <c r="H927" s="32">
        <f t="shared" si="57"/>
        <v>0</v>
      </c>
      <c r="I927" s="32">
        <f t="shared" si="58"/>
        <v>0</v>
      </c>
      <c r="J927" s="32">
        <f t="shared" si="59"/>
        <v>0</v>
      </c>
      <c r="K927" s="11"/>
      <c r="M927" s="12"/>
      <c r="N927" s="12"/>
    </row>
    <row r="928" spans="2:14" ht="21.95" customHeight="1" x14ac:dyDescent="0.25">
      <c r="B928" s="30"/>
      <c r="C928" s="14" t="str">
        <f t="shared" si="56"/>
        <v/>
      </c>
      <c r="D928" s="11"/>
      <c r="E928" s="14" t="str">
        <f>IF(D928="","",IFERROR(VLOOKUP(D928,Categorias!$B$5:$C$200,2,FALSE),"Revisar"))</f>
        <v/>
      </c>
      <c r="F928" s="11"/>
      <c r="G928" s="31"/>
      <c r="H928" s="32">
        <f t="shared" si="57"/>
        <v>0</v>
      </c>
      <c r="I928" s="32">
        <f t="shared" si="58"/>
        <v>0</v>
      </c>
      <c r="J928" s="32">
        <f t="shared" si="59"/>
        <v>0</v>
      </c>
      <c r="K928" s="11"/>
      <c r="M928" s="12"/>
      <c r="N928" s="12"/>
    </row>
    <row r="929" spans="2:14" ht="21.95" customHeight="1" x14ac:dyDescent="0.25">
      <c r="B929" s="30"/>
      <c r="C929" s="14" t="str">
        <f t="shared" si="56"/>
        <v/>
      </c>
      <c r="D929" s="11"/>
      <c r="E929" s="14" t="str">
        <f>IF(D929="","",IFERROR(VLOOKUP(D929,Categorias!$B$5:$C$200,2,FALSE),"Revisar"))</f>
        <v/>
      </c>
      <c r="F929" s="11"/>
      <c r="G929" s="31"/>
      <c r="H929" s="32">
        <f t="shared" si="57"/>
        <v>0</v>
      </c>
      <c r="I929" s="32">
        <f t="shared" si="58"/>
        <v>0</v>
      </c>
      <c r="J929" s="32">
        <f t="shared" si="59"/>
        <v>0</v>
      </c>
      <c r="K929" s="11"/>
      <c r="M929" s="12"/>
      <c r="N929" s="12"/>
    </row>
    <row r="930" spans="2:14" ht="21.95" customHeight="1" x14ac:dyDescent="0.25">
      <c r="B930" s="30"/>
      <c r="C930" s="14" t="str">
        <f t="shared" si="56"/>
        <v/>
      </c>
      <c r="D930" s="11"/>
      <c r="E930" s="14" t="str">
        <f>IF(D930="","",IFERROR(VLOOKUP(D930,Categorias!$B$5:$C$200,2,FALSE),"Revisar"))</f>
        <v/>
      </c>
      <c r="F930" s="11"/>
      <c r="G930" s="31"/>
      <c r="H930" s="32">
        <f t="shared" si="57"/>
        <v>0</v>
      </c>
      <c r="I930" s="32">
        <f t="shared" si="58"/>
        <v>0</v>
      </c>
      <c r="J930" s="32">
        <f t="shared" si="59"/>
        <v>0</v>
      </c>
      <c r="K930" s="11"/>
      <c r="M930" s="12"/>
      <c r="N930" s="12"/>
    </row>
    <row r="931" spans="2:14" ht="21.95" customHeight="1" x14ac:dyDescent="0.25">
      <c r="B931" s="30"/>
      <c r="C931" s="14" t="str">
        <f t="shared" si="56"/>
        <v/>
      </c>
      <c r="D931" s="11"/>
      <c r="E931" s="14" t="str">
        <f>IF(D931="","",IFERROR(VLOOKUP(D931,Categorias!$B$5:$C$200,2,FALSE),"Revisar"))</f>
        <v/>
      </c>
      <c r="F931" s="11"/>
      <c r="G931" s="31"/>
      <c r="H931" s="32">
        <f t="shared" si="57"/>
        <v>0</v>
      </c>
      <c r="I931" s="32">
        <f t="shared" si="58"/>
        <v>0</v>
      </c>
      <c r="J931" s="32">
        <f t="shared" si="59"/>
        <v>0</v>
      </c>
      <c r="K931" s="11"/>
      <c r="M931" s="12"/>
      <c r="N931" s="12"/>
    </row>
    <row r="932" spans="2:14" ht="21.95" customHeight="1" x14ac:dyDescent="0.25">
      <c r="B932" s="30"/>
      <c r="C932" s="14" t="str">
        <f t="shared" si="56"/>
        <v/>
      </c>
      <c r="D932" s="11"/>
      <c r="E932" s="14" t="str">
        <f>IF(D932="","",IFERROR(VLOOKUP(D932,Categorias!$B$5:$C$200,2,FALSE),"Revisar"))</f>
        <v/>
      </c>
      <c r="F932" s="11"/>
      <c r="G932" s="31"/>
      <c r="H932" s="32">
        <f t="shared" si="57"/>
        <v>0</v>
      </c>
      <c r="I932" s="32">
        <f t="shared" si="58"/>
        <v>0</v>
      </c>
      <c r="J932" s="32">
        <f t="shared" si="59"/>
        <v>0</v>
      </c>
      <c r="K932" s="11"/>
      <c r="M932" s="12"/>
      <c r="N932" s="12"/>
    </row>
    <row r="933" spans="2:14" ht="21.95" customHeight="1" x14ac:dyDescent="0.25">
      <c r="B933" s="30"/>
      <c r="C933" s="14" t="str">
        <f t="shared" si="56"/>
        <v/>
      </c>
      <c r="D933" s="11"/>
      <c r="E933" s="14" t="str">
        <f>IF(D933="","",IFERROR(VLOOKUP(D933,Categorias!$B$5:$C$200,2,FALSE),"Revisar"))</f>
        <v/>
      </c>
      <c r="F933" s="11"/>
      <c r="G933" s="31"/>
      <c r="H933" s="32">
        <f t="shared" si="57"/>
        <v>0</v>
      </c>
      <c r="I933" s="32">
        <f t="shared" si="58"/>
        <v>0</v>
      </c>
      <c r="J933" s="32">
        <f t="shared" si="59"/>
        <v>0</v>
      </c>
      <c r="K933" s="11"/>
      <c r="M933" s="12"/>
      <c r="N933" s="12"/>
    </row>
    <row r="934" spans="2:14" ht="21.95" customHeight="1" x14ac:dyDescent="0.25">
      <c r="B934" s="30"/>
      <c r="C934" s="14" t="str">
        <f t="shared" si="56"/>
        <v/>
      </c>
      <c r="D934" s="11"/>
      <c r="E934" s="14" t="str">
        <f>IF(D934="","",IFERROR(VLOOKUP(D934,Categorias!$B$5:$C$200,2,FALSE),"Revisar"))</f>
        <v/>
      </c>
      <c r="F934" s="11"/>
      <c r="G934" s="31"/>
      <c r="H934" s="32">
        <f t="shared" si="57"/>
        <v>0</v>
      </c>
      <c r="I934" s="32">
        <f t="shared" si="58"/>
        <v>0</v>
      </c>
      <c r="J934" s="32">
        <f t="shared" si="59"/>
        <v>0</v>
      </c>
      <c r="K934" s="11"/>
      <c r="M934" s="12"/>
      <c r="N934" s="12"/>
    </row>
    <row r="935" spans="2:14" ht="21.95" customHeight="1" x14ac:dyDescent="0.25">
      <c r="B935" s="30"/>
      <c r="C935" s="14" t="str">
        <f t="shared" si="56"/>
        <v/>
      </c>
      <c r="D935" s="11"/>
      <c r="E935" s="14" t="str">
        <f>IF(D935="","",IFERROR(VLOOKUP(D935,Categorias!$B$5:$C$200,2,FALSE),"Revisar"))</f>
        <v/>
      </c>
      <c r="F935" s="11"/>
      <c r="G935" s="31"/>
      <c r="H935" s="32">
        <f t="shared" si="57"/>
        <v>0</v>
      </c>
      <c r="I935" s="32">
        <f t="shared" si="58"/>
        <v>0</v>
      </c>
      <c r="J935" s="32">
        <f t="shared" si="59"/>
        <v>0</v>
      </c>
      <c r="K935" s="11"/>
      <c r="M935" s="12"/>
      <c r="N935" s="12"/>
    </row>
    <row r="936" spans="2:14" ht="21.95" customHeight="1" x14ac:dyDescent="0.25">
      <c r="B936" s="30"/>
      <c r="C936" s="14" t="str">
        <f t="shared" si="56"/>
        <v/>
      </c>
      <c r="D936" s="11"/>
      <c r="E936" s="14" t="str">
        <f>IF(D936="","",IFERROR(VLOOKUP(D936,Categorias!$B$5:$C$200,2,FALSE),"Revisar"))</f>
        <v/>
      </c>
      <c r="F936" s="11"/>
      <c r="G936" s="31"/>
      <c r="H936" s="32">
        <f t="shared" si="57"/>
        <v>0</v>
      </c>
      <c r="I936" s="32">
        <f t="shared" si="58"/>
        <v>0</v>
      </c>
      <c r="J936" s="32">
        <f t="shared" si="59"/>
        <v>0</v>
      </c>
      <c r="K936" s="11"/>
      <c r="M936" s="12"/>
      <c r="N936" s="12"/>
    </row>
    <row r="937" spans="2:14" ht="21.95" customHeight="1" x14ac:dyDescent="0.25">
      <c r="B937" s="30"/>
      <c r="C937" s="14" t="str">
        <f t="shared" si="56"/>
        <v/>
      </c>
      <c r="D937" s="11"/>
      <c r="E937" s="14" t="str">
        <f>IF(D937="","",IFERROR(VLOOKUP(D937,Categorias!$B$5:$C$200,2,FALSE),"Revisar"))</f>
        <v/>
      </c>
      <c r="F937" s="11"/>
      <c r="G937" s="31"/>
      <c r="H937" s="32">
        <f t="shared" si="57"/>
        <v>0</v>
      </c>
      <c r="I937" s="32">
        <f t="shared" si="58"/>
        <v>0</v>
      </c>
      <c r="J937" s="32">
        <f t="shared" si="59"/>
        <v>0</v>
      </c>
      <c r="K937" s="11"/>
      <c r="M937" s="12"/>
      <c r="N937" s="12"/>
    </row>
    <row r="938" spans="2:14" ht="21.95" customHeight="1" x14ac:dyDescent="0.25">
      <c r="B938" s="30"/>
      <c r="C938" s="14" t="str">
        <f t="shared" si="56"/>
        <v/>
      </c>
      <c r="D938" s="11"/>
      <c r="E938" s="14" t="str">
        <f>IF(D938="","",IFERROR(VLOOKUP(D938,Categorias!$B$5:$C$200,2,FALSE),"Revisar"))</f>
        <v/>
      </c>
      <c r="F938" s="11"/>
      <c r="G938" s="31"/>
      <c r="H938" s="32">
        <f t="shared" si="57"/>
        <v>0</v>
      </c>
      <c r="I938" s="32">
        <f t="shared" si="58"/>
        <v>0</v>
      </c>
      <c r="J938" s="32">
        <f t="shared" si="59"/>
        <v>0</v>
      </c>
      <c r="K938" s="11"/>
      <c r="M938" s="12"/>
      <c r="N938" s="12"/>
    </row>
    <row r="939" spans="2:14" ht="21.95" customHeight="1" x14ac:dyDescent="0.25">
      <c r="B939" s="30"/>
      <c r="C939" s="14" t="str">
        <f t="shared" si="56"/>
        <v/>
      </c>
      <c r="D939" s="11"/>
      <c r="E939" s="14" t="str">
        <f>IF(D939="","",IFERROR(VLOOKUP(D939,Categorias!$B$5:$C$200,2,FALSE),"Revisar"))</f>
        <v/>
      </c>
      <c r="F939" s="11"/>
      <c r="G939" s="31"/>
      <c r="H939" s="32">
        <f t="shared" si="57"/>
        <v>0</v>
      </c>
      <c r="I939" s="32">
        <f t="shared" si="58"/>
        <v>0</v>
      </c>
      <c r="J939" s="32">
        <f t="shared" si="59"/>
        <v>0</v>
      </c>
      <c r="K939" s="11"/>
      <c r="M939" s="12"/>
      <c r="N939" s="12"/>
    </row>
    <row r="940" spans="2:14" ht="21.95" customHeight="1" x14ac:dyDescent="0.25">
      <c r="B940" s="30"/>
      <c r="C940" s="14" t="str">
        <f t="shared" si="56"/>
        <v/>
      </c>
      <c r="D940" s="11"/>
      <c r="E940" s="14" t="str">
        <f>IF(D940="","",IFERROR(VLOOKUP(D940,Categorias!$B$5:$C$200,2,FALSE),"Revisar"))</f>
        <v/>
      </c>
      <c r="F940" s="11"/>
      <c r="G940" s="31"/>
      <c r="H940" s="32">
        <f t="shared" si="57"/>
        <v>0</v>
      </c>
      <c r="I940" s="32">
        <f t="shared" si="58"/>
        <v>0</v>
      </c>
      <c r="J940" s="32">
        <f t="shared" si="59"/>
        <v>0</v>
      </c>
      <c r="K940" s="11"/>
      <c r="M940" s="12"/>
      <c r="N940" s="12"/>
    </row>
    <row r="941" spans="2:14" ht="21.95" customHeight="1" x14ac:dyDescent="0.25">
      <c r="B941" s="30"/>
      <c r="C941" s="14" t="str">
        <f t="shared" si="56"/>
        <v/>
      </c>
      <c r="D941" s="11"/>
      <c r="E941" s="14" t="str">
        <f>IF(D941="","",IFERROR(VLOOKUP(D941,Categorias!$B$5:$C$200,2,FALSE),"Revisar"))</f>
        <v/>
      </c>
      <c r="F941" s="11"/>
      <c r="G941" s="31"/>
      <c r="H941" s="32">
        <f t="shared" si="57"/>
        <v>0</v>
      </c>
      <c r="I941" s="32">
        <f t="shared" si="58"/>
        <v>0</v>
      </c>
      <c r="J941" s="32">
        <f t="shared" si="59"/>
        <v>0</v>
      </c>
      <c r="K941" s="11"/>
      <c r="M941" s="12"/>
      <c r="N941" s="12"/>
    </row>
    <row r="942" spans="2:14" ht="21.95" customHeight="1" x14ac:dyDescent="0.25">
      <c r="B942" s="30"/>
      <c r="C942" s="14" t="str">
        <f t="shared" si="56"/>
        <v/>
      </c>
      <c r="D942" s="11"/>
      <c r="E942" s="14" t="str">
        <f>IF(D942="","",IFERROR(VLOOKUP(D942,Categorias!$B$5:$C$200,2,FALSE),"Revisar"))</f>
        <v/>
      </c>
      <c r="F942" s="11"/>
      <c r="G942" s="31"/>
      <c r="H942" s="32">
        <f t="shared" si="57"/>
        <v>0</v>
      </c>
      <c r="I942" s="32">
        <f t="shared" si="58"/>
        <v>0</v>
      </c>
      <c r="J942" s="32">
        <f t="shared" si="59"/>
        <v>0</v>
      </c>
      <c r="K942" s="11"/>
      <c r="M942" s="12"/>
      <c r="N942" s="12"/>
    </row>
    <row r="943" spans="2:14" ht="21.95" customHeight="1" x14ac:dyDescent="0.25">
      <c r="B943" s="30"/>
      <c r="C943" s="14" t="str">
        <f t="shared" si="56"/>
        <v/>
      </c>
      <c r="D943" s="11"/>
      <c r="E943" s="14" t="str">
        <f>IF(D943="","",IFERROR(VLOOKUP(D943,Categorias!$B$5:$C$200,2,FALSE),"Revisar"))</f>
        <v/>
      </c>
      <c r="F943" s="11"/>
      <c r="G943" s="31"/>
      <c r="H943" s="32">
        <f t="shared" si="57"/>
        <v>0</v>
      </c>
      <c r="I943" s="32">
        <f t="shared" si="58"/>
        <v>0</v>
      </c>
      <c r="J943" s="32">
        <f t="shared" si="59"/>
        <v>0</v>
      </c>
      <c r="K943" s="11"/>
      <c r="M943" s="12"/>
      <c r="N943" s="12"/>
    </row>
    <row r="944" spans="2:14" ht="21.95" customHeight="1" x14ac:dyDescent="0.25">
      <c r="B944" s="30"/>
      <c r="C944" s="14" t="str">
        <f t="shared" si="56"/>
        <v/>
      </c>
      <c r="D944" s="11"/>
      <c r="E944" s="14" t="str">
        <f>IF(D944="","",IFERROR(VLOOKUP(D944,Categorias!$B$5:$C$200,2,FALSE),"Revisar"))</f>
        <v/>
      </c>
      <c r="F944" s="11"/>
      <c r="G944" s="31"/>
      <c r="H944" s="32">
        <f t="shared" si="57"/>
        <v>0</v>
      </c>
      <c r="I944" s="32">
        <f t="shared" si="58"/>
        <v>0</v>
      </c>
      <c r="J944" s="32">
        <f t="shared" si="59"/>
        <v>0</v>
      </c>
      <c r="K944" s="11"/>
      <c r="M944" s="12"/>
      <c r="N944" s="12"/>
    </row>
    <row r="945" spans="2:14" ht="21.95" customHeight="1" x14ac:dyDescent="0.25">
      <c r="B945" s="30"/>
      <c r="C945" s="14" t="str">
        <f t="shared" si="56"/>
        <v/>
      </c>
      <c r="D945" s="11"/>
      <c r="E945" s="14" t="str">
        <f>IF(D945="","",IFERROR(VLOOKUP(D945,Categorias!$B$5:$C$200,2,FALSE),"Revisar"))</f>
        <v/>
      </c>
      <c r="F945" s="11"/>
      <c r="G945" s="31"/>
      <c r="H945" s="32">
        <f t="shared" si="57"/>
        <v>0</v>
      </c>
      <c r="I945" s="32">
        <f t="shared" si="58"/>
        <v>0</v>
      </c>
      <c r="J945" s="32">
        <f t="shared" si="59"/>
        <v>0</v>
      </c>
      <c r="K945" s="11"/>
      <c r="M945" s="12"/>
      <c r="N945" s="12"/>
    </row>
    <row r="946" spans="2:14" ht="21.95" customHeight="1" x14ac:dyDescent="0.25">
      <c r="B946" s="30"/>
      <c r="C946" s="14" t="str">
        <f t="shared" si="56"/>
        <v/>
      </c>
      <c r="D946" s="11"/>
      <c r="E946" s="14" t="str">
        <f>IF(D946="","",IFERROR(VLOOKUP(D946,Categorias!$B$5:$C$200,2,FALSE),"Revisar"))</f>
        <v/>
      </c>
      <c r="F946" s="11"/>
      <c r="G946" s="31"/>
      <c r="H946" s="32">
        <f t="shared" si="57"/>
        <v>0</v>
      </c>
      <c r="I946" s="32">
        <f t="shared" si="58"/>
        <v>0</v>
      </c>
      <c r="J946" s="32">
        <f t="shared" si="59"/>
        <v>0</v>
      </c>
      <c r="K946" s="11"/>
      <c r="M946" s="12"/>
      <c r="N946" s="12"/>
    </row>
    <row r="947" spans="2:14" ht="21.95" customHeight="1" x14ac:dyDescent="0.25">
      <c r="B947" s="30"/>
      <c r="C947" s="14" t="str">
        <f t="shared" si="56"/>
        <v/>
      </c>
      <c r="D947" s="11"/>
      <c r="E947" s="14" t="str">
        <f>IF(D947="","",IFERROR(VLOOKUP(D947,Categorias!$B$5:$C$200,2,FALSE),"Revisar"))</f>
        <v/>
      </c>
      <c r="F947" s="11"/>
      <c r="G947" s="31"/>
      <c r="H947" s="32">
        <f t="shared" si="57"/>
        <v>0</v>
      </c>
      <c r="I947" s="32">
        <f t="shared" si="58"/>
        <v>0</v>
      </c>
      <c r="J947" s="32">
        <f t="shared" si="59"/>
        <v>0</v>
      </c>
      <c r="K947" s="11"/>
      <c r="M947" s="12"/>
      <c r="N947" s="12"/>
    </row>
    <row r="948" spans="2:14" ht="21.95" customHeight="1" x14ac:dyDescent="0.25">
      <c r="B948" s="30"/>
      <c r="C948" s="14" t="str">
        <f t="shared" si="56"/>
        <v/>
      </c>
      <c r="D948" s="11"/>
      <c r="E948" s="14" t="str">
        <f>IF(D948="","",IFERROR(VLOOKUP(D948,Categorias!$B$5:$C$200,2,FALSE),"Revisar"))</f>
        <v/>
      </c>
      <c r="F948" s="11"/>
      <c r="G948" s="31"/>
      <c r="H948" s="32">
        <f t="shared" si="57"/>
        <v>0</v>
      </c>
      <c r="I948" s="32">
        <f t="shared" si="58"/>
        <v>0</v>
      </c>
      <c r="J948" s="32">
        <f t="shared" si="59"/>
        <v>0</v>
      </c>
      <c r="K948" s="11"/>
      <c r="M948" s="12"/>
      <c r="N948" s="12"/>
    </row>
    <row r="949" spans="2:14" ht="21.95" customHeight="1" x14ac:dyDescent="0.25">
      <c r="B949" s="30"/>
      <c r="C949" s="14" t="str">
        <f t="shared" si="56"/>
        <v/>
      </c>
      <c r="D949" s="11"/>
      <c r="E949" s="14" t="str">
        <f>IF(D949="","",IFERROR(VLOOKUP(D949,Categorias!$B$5:$C$200,2,FALSE),"Revisar"))</f>
        <v/>
      </c>
      <c r="F949" s="11"/>
      <c r="G949" s="31"/>
      <c r="H949" s="32">
        <f t="shared" si="57"/>
        <v>0</v>
      </c>
      <c r="I949" s="32">
        <f t="shared" si="58"/>
        <v>0</v>
      </c>
      <c r="J949" s="32">
        <f t="shared" si="59"/>
        <v>0</v>
      </c>
      <c r="K949" s="11"/>
      <c r="M949" s="12"/>
      <c r="N949" s="12"/>
    </row>
    <row r="950" spans="2:14" ht="21.95" customHeight="1" x14ac:dyDescent="0.25">
      <c r="B950" s="30"/>
      <c r="C950" s="14" t="str">
        <f t="shared" si="56"/>
        <v/>
      </c>
      <c r="D950" s="11"/>
      <c r="E950" s="14" t="str">
        <f>IF(D950="","",IFERROR(VLOOKUP(D950,Categorias!$B$5:$C$200,2,FALSE),"Revisar"))</f>
        <v/>
      </c>
      <c r="F950" s="11"/>
      <c r="G950" s="31"/>
      <c r="H950" s="32">
        <f t="shared" si="57"/>
        <v>0</v>
      </c>
      <c r="I950" s="32">
        <f t="shared" si="58"/>
        <v>0</v>
      </c>
      <c r="J950" s="32">
        <f t="shared" si="59"/>
        <v>0</v>
      </c>
      <c r="K950" s="11"/>
      <c r="M950" s="12"/>
      <c r="N950" s="12"/>
    </row>
    <row r="951" spans="2:14" ht="21.95" customHeight="1" x14ac:dyDescent="0.25">
      <c r="B951" s="30"/>
      <c r="C951" s="14" t="str">
        <f t="shared" si="56"/>
        <v/>
      </c>
      <c r="D951" s="11"/>
      <c r="E951" s="14" t="str">
        <f>IF(D951="","",IFERROR(VLOOKUP(D951,Categorias!$B$5:$C$200,2,FALSE),"Revisar"))</f>
        <v/>
      </c>
      <c r="F951" s="11"/>
      <c r="G951" s="31"/>
      <c r="H951" s="32">
        <f t="shared" si="57"/>
        <v>0</v>
      </c>
      <c r="I951" s="32">
        <f t="shared" si="58"/>
        <v>0</v>
      </c>
      <c r="J951" s="32">
        <f t="shared" si="59"/>
        <v>0</v>
      </c>
      <c r="K951" s="11"/>
      <c r="M951" s="12"/>
      <c r="N951" s="12"/>
    </row>
    <row r="952" spans="2:14" ht="21.95" customHeight="1" x14ac:dyDescent="0.25">
      <c r="B952" s="30"/>
      <c r="C952" s="14" t="str">
        <f t="shared" si="56"/>
        <v/>
      </c>
      <c r="D952" s="11"/>
      <c r="E952" s="14" t="str">
        <f>IF(D952="","",IFERROR(VLOOKUP(D952,Categorias!$B$5:$C$200,2,FALSE),"Revisar"))</f>
        <v/>
      </c>
      <c r="F952" s="11"/>
      <c r="G952" s="31"/>
      <c r="H952" s="32">
        <f t="shared" si="57"/>
        <v>0</v>
      </c>
      <c r="I952" s="32">
        <f t="shared" si="58"/>
        <v>0</v>
      </c>
      <c r="J952" s="32">
        <f t="shared" si="59"/>
        <v>0</v>
      </c>
      <c r="K952" s="11"/>
      <c r="M952" s="12"/>
      <c r="N952" s="12"/>
    </row>
    <row r="953" spans="2:14" ht="21.95" customHeight="1" x14ac:dyDescent="0.25">
      <c r="B953" s="30"/>
      <c r="C953" s="14" t="str">
        <f t="shared" si="56"/>
        <v/>
      </c>
      <c r="D953" s="11"/>
      <c r="E953" s="14" t="str">
        <f>IF(D953="","",IFERROR(VLOOKUP(D953,Categorias!$B$5:$C$200,2,FALSE),"Revisar"))</f>
        <v/>
      </c>
      <c r="F953" s="11"/>
      <c r="G953" s="31"/>
      <c r="H953" s="32">
        <f t="shared" si="57"/>
        <v>0</v>
      </c>
      <c r="I953" s="32">
        <f t="shared" si="58"/>
        <v>0</v>
      </c>
      <c r="J953" s="32">
        <f t="shared" si="59"/>
        <v>0</v>
      </c>
      <c r="K953" s="11"/>
      <c r="M953" s="12"/>
      <c r="N953" s="12"/>
    </row>
    <row r="954" spans="2:14" ht="21.95" customHeight="1" x14ac:dyDescent="0.25">
      <c r="B954" s="30"/>
      <c r="C954" s="14" t="str">
        <f t="shared" si="56"/>
        <v/>
      </c>
      <c r="D954" s="11"/>
      <c r="E954" s="14" t="str">
        <f>IF(D954="","",IFERROR(VLOOKUP(D954,Categorias!$B$5:$C$200,2,FALSE),"Revisar"))</f>
        <v/>
      </c>
      <c r="F954" s="11"/>
      <c r="G954" s="31"/>
      <c r="H954" s="32">
        <f t="shared" si="57"/>
        <v>0</v>
      </c>
      <c r="I954" s="32">
        <f t="shared" si="58"/>
        <v>0</v>
      </c>
      <c r="J954" s="32">
        <f t="shared" si="59"/>
        <v>0</v>
      </c>
      <c r="K954" s="11"/>
      <c r="M954" s="12"/>
      <c r="N954" s="12"/>
    </row>
    <row r="955" spans="2:14" ht="21.95" customHeight="1" x14ac:dyDescent="0.25">
      <c r="B955" s="30"/>
      <c r="C955" s="14" t="str">
        <f t="shared" si="56"/>
        <v/>
      </c>
      <c r="D955" s="11"/>
      <c r="E955" s="14" t="str">
        <f>IF(D955="","",IFERROR(VLOOKUP(D955,Categorias!$B$5:$C$200,2,FALSE),"Revisar"))</f>
        <v/>
      </c>
      <c r="F955" s="11"/>
      <c r="G955" s="31"/>
      <c r="H955" s="32">
        <f t="shared" si="57"/>
        <v>0</v>
      </c>
      <c r="I955" s="32">
        <f t="shared" si="58"/>
        <v>0</v>
      </c>
      <c r="J955" s="32">
        <f t="shared" si="59"/>
        <v>0</v>
      </c>
      <c r="K955" s="11"/>
      <c r="M955" s="12"/>
      <c r="N955" s="12"/>
    </row>
    <row r="956" spans="2:14" ht="21.95" customHeight="1" x14ac:dyDescent="0.25">
      <c r="B956" s="30"/>
      <c r="C956" s="14" t="str">
        <f t="shared" si="56"/>
        <v/>
      </c>
      <c r="D956" s="11"/>
      <c r="E956" s="14" t="str">
        <f>IF(D956="","",IFERROR(VLOOKUP(D956,Categorias!$B$5:$C$200,2,FALSE),"Revisar"))</f>
        <v/>
      </c>
      <c r="F956" s="11"/>
      <c r="G956" s="31"/>
      <c r="H956" s="32">
        <f t="shared" si="57"/>
        <v>0</v>
      </c>
      <c r="I956" s="32">
        <f t="shared" si="58"/>
        <v>0</v>
      </c>
      <c r="J956" s="32">
        <f t="shared" si="59"/>
        <v>0</v>
      </c>
      <c r="K956" s="11"/>
      <c r="M956" s="12"/>
      <c r="N956" s="12"/>
    </row>
    <row r="957" spans="2:14" ht="21.95" customHeight="1" x14ac:dyDescent="0.25">
      <c r="B957" s="30"/>
      <c r="C957" s="14" t="str">
        <f t="shared" si="56"/>
        <v/>
      </c>
      <c r="D957" s="11"/>
      <c r="E957" s="14" t="str">
        <f>IF(D957="","",IFERROR(VLOOKUP(D957,Categorias!$B$5:$C$200,2,FALSE),"Revisar"))</f>
        <v/>
      </c>
      <c r="F957" s="11"/>
      <c r="G957" s="31"/>
      <c r="H957" s="32">
        <f t="shared" si="57"/>
        <v>0</v>
      </c>
      <c r="I957" s="32">
        <f t="shared" si="58"/>
        <v>0</v>
      </c>
      <c r="J957" s="32">
        <f t="shared" si="59"/>
        <v>0</v>
      </c>
      <c r="K957" s="11"/>
      <c r="M957" s="12"/>
      <c r="N957" s="12"/>
    </row>
    <row r="958" spans="2:14" ht="21.95" customHeight="1" x14ac:dyDescent="0.25">
      <c r="B958" s="30"/>
      <c r="C958" s="14" t="str">
        <f t="shared" si="56"/>
        <v/>
      </c>
      <c r="D958" s="11"/>
      <c r="E958" s="14" t="str">
        <f>IF(D958="","",IFERROR(VLOOKUP(D958,Categorias!$B$5:$C$200,2,FALSE),"Revisar"))</f>
        <v/>
      </c>
      <c r="F958" s="11"/>
      <c r="G958" s="31"/>
      <c r="H958" s="32">
        <f t="shared" si="57"/>
        <v>0</v>
      </c>
      <c r="I958" s="32">
        <f t="shared" si="58"/>
        <v>0</v>
      </c>
      <c r="J958" s="32">
        <f t="shared" si="59"/>
        <v>0</v>
      </c>
      <c r="K958" s="11"/>
      <c r="M958" s="12"/>
      <c r="N958" s="12"/>
    </row>
    <row r="959" spans="2:14" ht="21.95" customHeight="1" x14ac:dyDescent="0.25">
      <c r="B959" s="30"/>
      <c r="C959" s="14" t="str">
        <f t="shared" si="56"/>
        <v/>
      </c>
      <c r="D959" s="11"/>
      <c r="E959" s="14" t="str">
        <f>IF(D959="","",IFERROR(VLOOKUP(D959,Categorias!$B$5:$C$200,2,FALSE),"Revisar"))</f>
        <v/>
      </c>
      <c r="F959" s="11"/>
      <c r="G959" s="31"/>
      <c r="H959" s="32">
        <f t="shared" si="57"/>
        <v>0</v>
      </c>
      <c r="I959" s="32">
        <f t="shared" si="58"/>
        <v>0</v>
      </c>
      <c r="J959" s="32">
        <f t="shared" si="59"/>
        <v>0</v>
      </c>
      <c r="K959" s="11"/>
      <c r="M959" s="12"/>
      <c r="N959" s="12"/>
    </row>
    <row r="960" spans="2:14" ht="21.95" customHeight="1" x14ac:dyDescent="0.25">
      <c r="B960" s="30"/>
      <c r="C960" s="14" t="str">
        <f t="shared" si="56"/>
        <v/>
      </c>
      <c r="D960" s="11"/>
      <c r="E960" s="14" t="str">
        <f>IF(D960="","",IFERROR(VLOOKUP(D960,Categorias!$B$5:$C$200,2,FALSE),"Revisar"))</f>
        <v/>
      </c>
      <c r="F960" s="11"/>
      <c r="G960" s="31"/>
      <c r="H960" s="32">
        <f t="shared" si="57"/>
        <v>0</v>
      </c>
      <c r="I960" s="32">
        <f t="shared" si="58"/>
        <v>0</v>
      </c>
      <c r="J960" s="32">
        <f t="shared" si="59"/>
        <v>0</v>
      </c>
      <c r="K960" s="11"/>
      <c r="M960" s="12"/>
      <c r="N960" s="12"/>
    </row>
    <row r="961" spans="2:14" ht="21.95" customHeight="1" x14ac:dyDescent="0.25">
      <c r="B961" s="30"/>
      <c r="C961" s="14" t="str">
        <f t="shared" si="56"/>
        <v/>
      </c>
      <c r="D961" s="11"/>
      <c r="E961" s="14" t="str">
        <f>IF(D961="","",IFERROR(VLOOKUP(D961,Categorias!$B$5:$C$200,2,FALSE),"Revisar"))</f>
        <v/>
      </c>
      <c r="F961" s="11"/>
      <c r="G961" s="31"/>
      <c r="H961" s="32">
        <f t="shared" si="57"/>
        <v>0</v>
      </c>
      <c r="I961" s="32">
        <f t="shared" si="58"/>
        <v>0</v>
      </c>
      <c r="J961" s="32">
        <f t="shared" si="59"/>
        <v>0</v>
      </c>
      <c r="K961" s="11"/>
      <c r="M961" s="12"/>
      <c r="N961" s="12"/>
    </row>
    <row r="962" spans="2:14" ht="21.95" customHeight="1" x14ac:dyDescent="0.25">
      <c r="B962" s="30"/>
      <c r="C962" s="14" t="str">
        <f t="shared" si="56"/>
        <v/>
      </c>
      <c r="D962" s="11"/>
      <c r="E962" s="14" t="str">
        <f>IF(D962="","",IFERROR(VLOOKUP(D962,Categorias!$B$5:$C$200,2,FALSE),"Revisar"))</f>
        <v/>
      </c>
      <c r="F962" s="11"/>
      <c r="G962" s="31"/>
      <c r="H962" s="32">
        <f t="shared" si="57"/>
        <v>0</v>
      </c>
      <c r="I962" s="32">
        <f t="shared" si="58"/>
        <v>0</v>
      </c>
      <c r="J962" s="32">
        <f t="shared" si="59"/>
        <v>0</v>
      </c>
      <c r="K962" s="11"/>
      <c r="M962" s="12"/>
      <c r="N962" s="12"/>
    </row>
    <row r="963" spans="2:14" ht="21.95" customHeight="1" x14ac:dyDescent="0.25">
      <c r="B963" s="30"/>
      <c r="C963" s="14" t="str">
        <f t="shared" si="56"/>
        <v/>
      </c>
      <c r="D963" s="11"/>
      <c r="E963" s="14" t="str">
        <f>IF(D963="","",IFERROR(VLOOKUP(D963,Categorias!$B$5:$C$200,2,FALSE),"Revisar"))</f>
        <v/>
      </c>
      <c r="F963" s="11"/>
      <c r="G963" s="31"/>
      <c r="H963" s="32">
        <f t="shared" si="57"/>
        <v>0</v>
      </c>
      <c r="I963" s="32">
        <f t="shared" si="58"/>
        <v>0</v>
      </c>
      <c r="J963" s="32">
        <f t="shared" si="59"/>
        <v>0</v>
      </c>
      <c r="K963" s="11"/>
      <c r="M963" s="12"/>
      <c r="N963" s="12"/>
    </row>
    <row r="964" spans="2:14" ht="21.95" customHeight="1" x14ac:dyDescent="0.25">
      <c r="B964" s="30"/>
      <c r="C964" s="14" t="str">
        <f t="shared" si="56"/>
        <v/>
      </c>
      <c r="D964" s="11"/>
      <c r="E964" s="14" t="str">
        <f>IF(D964="","",IFERROR(VLOOKUP(D964,Categorias!$B$5:$C$200,2,FALSE),"Revisar"))</f>
        <v/>
      </c>
      <c r="F964" s="11"/>
      <c r="G964" s="31"/>
      <c r="H964" s="32">
        <f t="shared" si="57"/>
        <v>0</v>
      </c>
      <c r="I964" s="32">
        <f t="shared" si="58"/>
        <v>0</v>
      </c>
      <c r="J964" s="32">
        <f t="shared" si="59"/>
        <v>0</v>
      </c>
      <c r="K964" s="11"/>
      <c r="M964" s="12"/>
      <c r="N964" s="12"/>
    </row>
    <row r="965" spans="2:14" ht="21.95" customHeight="1" x14ac:dyDescent="0.25">
      <c r="B965" s="30"/>
      <c r="C965" s="14" t="str">
        <f t="shared" si="56"/>
        <v/>
      </c>
      <c r="D965" s="11"/>
      <c r="E965" s="14" t="str">
        <f>IF(D965="","",IFERROR(VLOOKUP(D965,Categorias!$B$5:$C$200,2,FALSE),"Revisar"))</f>
        <v/>
      </c>
      <c r="F965" s="11"/>
      <c r="G965" s="31"/>
      <c r="H965" s="32">
        <f t="shared" si="57"/>
        <v>0</v>
      </c>
      <c r="I965" s="32">
        <f t="shared" si="58"/>
        <v>0</v>
      </c>
      <c r="J965" s="32">
        <f t="shared" si="59"/>
        <v>0</v>
      </c>
      <c r="K965" s="11"/>
      <c r="M965" s="12"/>
      <c r="N965" s="12"/>
    </row>
    <row r="966" spans="2:14" ht="21.95" customHeight="1" x14ac:dyDescent="0.25">
      <c r="B966" s="30"/>
      <c r="C966" s="14" t="str">
        <f t="shared" si="56"/>
        <v/>
      </c>
      <c r="D966" s="11"/>
      <c r="E966" s="14" t="str">
        <f>IF(D966="","",IFERROR(VLOOKUP(D966,Categorias!$B$5:$C$200,2,FALSE),"Revisar"))</f>
        <v/>
      </c>
      <c r="F966" s="11"/>
      <c r="G966" s="31"/>
      <c r="H966" s="32">
        <f t="shared" si="57"/>
        <v>0</v>
      </c>
      <c r="I966" s="32">
        <f t="shared" si="58"/>
        <v>0</v>
      </c>
      <c r="J966" s="32">
        <f t="shared" si="59"/>
        <v>0</v>
      </c>
      <c r="K966" s="11"/>
      <c r="M966" s="12"/>
      <c r="N966" s="12"/>
    </row>
    <row r="967" spans="2:14" ht="21.95" customHeight="1" x14ac:dyDescent="0.25">
      <c r="B967" s="30"/>
      <c r="C967" s="14" t="str">
        <f t="shared" si="56"/>
        <v/>
      </c>
      <c r="D967" s="11"/>
      <c r="E967" s="14" t="str">
        <f>IF(D967="","",IFERROR(VLOOKUP(D967,Categorias!$B$5:$C$200,2,FALSE),"Revisar"))</f>
        <v/>
      </c>
      <c r="F967" s="11"/>
      <c r="G967" s="31"/>
      <c r="H967" s="32">
        <f t="shared" si="57"/>
        <v>0</v>
      </c>
      <c r="I967" s="32">
        <f t="shared" si="58"/>
        <v>0</v>
      </c>
      <c r="J967" s="32">
        <f t="shared" si="59"/>
        <v>0</v>
      </c>
      <c r="K967" s="11"/>
      <c r="M967" s="12"/>
      <c r="N967" s="12"/>
    </row>
    <row r="968" spans="2:14" ht="21.95" customHeight="1" x14ac:dyDescent="0.25">
      <c r="B968" s="30"/>
      <c r="C968" s="14" t="str">
        <f t="shared" si="56"/>
        <v/>
      </c>
      <c r="D968" s="11"/>
      <c r="E968" s="14" t="str">
        <f>IF(D968="","",IFERROR(VLOOKUP(D968,Categorias!$B$5:$C$200,2,FALSE),"Revisar"))</f>
        <v/>
      </c>
      <c r="F968" s="11"/>
      <c r="G968" s="31"/>
      <c r="H968" s="32">
        <f t="shared" si="57"/>
        <v>0</v>
      </c>
      <c r="I968" s="32">
        <f t="shared" si="58"/>
        <v>0</v>
      </c>
      <c r="J968" s="32">
        <f t="shared" si="59"/>
        <v>0</v>
      </c>
      <c r="K968" s="11"/>
      <c r="M968" s="12"/>
      <c r="N968" s="12"/>
    </row>
    <row r="969" spans="2:14" ht="21.95" customHeight="1" x14ac:dyDescent="0.25">
      <c r="B969" s="30"/>
      <c r="C969" s="14" t="str">
        <f t="shared" ref="C969:C1032" si="60">IF(B969="","",CHOOSE(MONTH(B969),"Enero","Febrero","Marzo","Abril","Mayo","Junio","Julio","Agosto","Septiembre","Octubre","Noviembre","Diciembre"))</f>
        <v/>
      </c>
      <c r="D969" s="11"/>
      <c r="E969" s="14" t="str">
        <f>IF(D969="","",IFERROR(VLOOKUP(D969,Categorias!$B$5:$C$200,2,FALSE),"Revisar"))</f>
        <v/>
      </c>
      <c r="F969" s="11"/>
      <c r="G969" s="31"/>
      <c r="H969" s="32">
        <f t="shared" ref="H969:H1008" si="61">IF($E969="Ingreso",$G969,0)</f>
        <v>0</v>
      </c>
      <c r="I969" s="32">
        <f t="shared" ref="I969:I1008" si="62">IF($E969="Gasto",$G969,0)</f>
        <v>0</v>
      </c>
      <c r="J969" s="32">
        <f t="shared" ref="J969:J1008" si="63">IF($E969="Reserva",$G969,0)</f>
        <v>0</v>
      </c>
      <c r="K969" s="11"/>
      <c r="M969" s="12"/>
      <c r="N969" s="12"/>
    </row>
    <row r="970" spans="2:14" ht="21.95" customHeight="1" x14ac:dyDescent="0.25">
      <c r="B970" s="30"/>
      <c r="C970" s="14" t="str">
        <f t="shared" si="60"/>
        <v/>
      </c>
      <c r="D970" s="11"/>
      <c r="E970" s="14" t="str">
        <f>IF(D970="","",IFERROR(VLOOKUP(D970,Categorias!$B$5:$C$200,2,FALSE),"Revisar"))</f>
        <v/>
      </c>
      <c r="F970" s="11"/>
      <c r="G970" s="31"/>
      <c r="H970" s="32">
        <f t="shared" si="61"/>
        <v>0</v>
      </c>
      <c r="I970" s="32">
        <f t="shared" si="62"/>
        <v>0</v>
      </c>
      <c r="J970" s="32">
        <f t="shared" si="63"/>
        <v>0</v>
      </c>
      <c r="K970" s="11"/>
      <c r="M970" s="12"/>
      <c r="N970" s="12"/>
    </row>
    <row r="971" spans="2:14" ht="21.95" customHeight="1" x14ac:dyDescent="0.25">
      <c r="B971" s="30"/>
      <c r="C971" s="14" t="str">
        <f t="shared" si="60"/>
        <v/>
      </c>
      <c r="D971" s="11"/>
      <c r="E971" s="14" t="str">
        <f>IF(D971="","",IFERROR(VLOOKUP(D971,Categorias!$B$5:$C$200,2,FALSE),"Revisar"))</f>
        <v/>
      </c>
      <c r="F971" s="11"/>
      <c r="G971" s="31"/>
      <c r="H971" s="32">
        <f t="shared" si="61"/>
        <v>0</v>
      </c>
      <c r="I971" s="32">
        <f t="shared" si="62"/>
        <v>0</v>
      </c>
      <c r="J971" s="32">
        <f t="shared" si="63"/>
        <v>0</v>
      </c>
      <c r="K971" s="11"/>
      <c r="M971" s="12"/>
      <c r="N971" s="12"/>
    </row>
    <row r="972" spans="2:14" ht="21.95" customHeight="1" x14ac:dyDescent="0.25">
      <c r="B972" s="30"/>
      <c r="C972" s="14" t="str">
        <f t="shared" si="60"/>
        <v/>
      </c>
      <c r="D972" s="11"/>
      <c r="E972" s="14" t="str">
        <f>IF(D972="","",IFERROR(VLOOKUP(D972,Categorias!$B$5:$C$200,2,FALSE),"Revisar"))</f>
        <v/>
      </c>
      <c r="F972" s="11"/>
      <c r="G972" s="31"/>
      <c r="H972" s="32">
        <f t="shared" si="61"/>
        <v>0</v>
      </c>
      <c r="I972" s="32">
        <f t="shared" si="62"/>
        <v>0</v>
      </c>
      <c r="J972" s="32">
        <f t="shared" si="63"/>
        <v>0</v>
      </c>
      <c r="K972" s="11"/>
      <c r="M972" s="12"/>
      <c r="N972" s="12"/>
    </row>
    <row r="973" spans="2:14" ht="21.95" customHeight="1" x14ac:dyDescent="0.25">
      <c r="B973" s="30"/>
      <c r="C973" s="14" t="str">
        <f t="shared" si="60"/>
        <v/>
      </c>
      <c r="D973" s="11"/>
      <c r="E973" s="14" t="str">
        <f>IF(D973="","",IFERROR(VLOOKUP(D973,Categorias!$B$5:$C$200,2,FALSE),"Revisar"))</f>
        <v/>
      </c>
      <c r="F973" s="11"/>
      <c r="G973" s="31"/>
      <c r="H973" s="32">
        <f t="shared" si="61"/>
        <v>0</v>
      </c>
      <c r="I973" s="32">
        <f t="shared" si="62"/>
        <v>0</v>
      </c>
      <c r="J973" s="32">
        <f t="shared" si="63"/>
        <v>0</v>
      </c>
      <c r="K973" s="11"/>
      <c r="M973" s="12"/>
      <c r="N973" s="12"/>
    </row>
    <row r="974" spans="2:14" ht="21.95" customHeight="1" x14ac:dyDescent="0.25">
      <c r="B974" s="30"/>
      <c r="C974" s="14" t="str">
        <f t="shared" si="60"/>
        <v/>
      </c>
      <c r="D974" s="11"/>
      <c r="E974" s="14" t="str">
        <f>IF(D974="","",IFERROR(VLOOKUP(D974,Categorias!$B$5:$C$200,2,FALSE),"Revisar"))</f>
        <v/>
      </c>
      <c r="F974" s="11"/>
      <c r="G974" s="31"/>
      <c r="H974" s="32">
        <f t="shared" si="61"/>
        <v>0</v>
      </c>
      <c r="I974" s="32">
        <f t="shared" si="62"/>
        <v>0</v>
      </c>
      <c r="J974" s="32">
        <f t="shared" si="63"/>
        <v>0</v>
      </c>
      <c r="K974" s="11"/>
      <c r="M974" s="12"/>
      <c r="N974" s="12"/>
    </row>
    <row r="975" spans="2:14" ht="21.95" customHeight="1" x14ac:dyDescent="0.25">
      <c r="B975" s="30"/>
      <c r="C975" s="14" t="str">
        <f t="shared" si="60"/>
        <v/>
      </c>
      <c r="D975" s="11"/>
      <c r="E975" s="14" t="str">
        <f>IF(D975="","",IFERROR(VLOOKUP(D975,Categorias!$B$5:$C$200,2,FALSE),"Revisar"))</f>
        <v/>
      </c>
      <c r="F975" s="11"/>
      <c r="G975" s="31"/>
      <c r="H975" s="32">
        <f t="shared" si="61"/>
        <v>0</v>
      </c>
      <c r="I975" s="32">
        <f t="shared" si="62"/>
        <v>0</v>
      </c>
      <c r="J975" s="32">
        <f t="shared" si="63"/>
        <v>0</v>
      </c>
      <c r="K975" s="11"/>
      <c r="M975" s="12"/>
      <c r="N975" s="12"/>
    </row>
    <row r="976" spans="2:14" ht="21.95" customHeight="1" x14ac:dyDescent="0.25">
      <c r="B976" s="30"/>
      <c r="C976" s="14" t="str">
        <f t="shared" si="60"/>
        <v/>
      </c>
      <c r="D976" s="11"/>
      <c r="E976" s="14" t="str">
        <f>IF(D976="","",IFERROR(VLOOKUP(D976,Categorias!$B$5:$C$200,2,FALSE),"Revisar"))</f>
        <v/>
      </c>
      <c r="F976" s="11"/>
      <c r="G976" s="31"/>
      <c r="H976" s="32">
        <f t="shared" si="61"/>
        <v>0</v>
      </c>
      <c r="I976" s="32">
        <f t="shared" si="62"/>
        <v>0</v>
      </c>
      <c r="J976" s="32">
        <f t="shared" si="63"/>
        <v>0</v>
      </c>
      <c r="K976" s="11"/>
      <c r="M976" s="12"/>
      <c r="N976" s="12"/>
    </row>
    <row r="977" spans="2:14" ht="21.95" customHeight="1" x14ac:dyDescent="0.25">
      <c r="B977" s="30"/>
      <c r="C977" s="14" t="str">
        <f t="shared" si="60"/>
        <v/>
      </c>
      <c r="D977" s="11"/>
      <c r="E977" s="14" t="str">
        <f>IF(D977="","",IFERROR(VLOOKUP(D977,Categorias!$B$5:$C$200,2,FALSE),"Revisar"))</f>
        <v/>
      </c>
      <c r="F977" s="11"/>
      <c r="G977" s="31"/>
      <c r="H977" s="32">
        <f t="shared" si="61"/>
        <v>0</v>
      </c>
      <c r="I977" s="32">
        <f t="shared" si="62"/>
        <v>0</v>
      </c>
      <c r="J977" s="32">
        <f t="shared" si="63"/>
        <v>0</v>
      </c>
      <c r="K977" s="11"/>
      <c r="M977" s="12"/>
      <c r="N977" s="12"/>
    </row>
    <row r="978" spans="2:14" ht="21.95" customHeight="1" x14ac:dyDescent="0.25">
      <c r="B978" s="30"/>
      <c r="C978" s="14" t="str">
        <f t="shared" si="60"/>
        <v/>
      </c>
      <c r="D978" s="11"/>
      <c r="E978" s="14" t="str">
        <f>IF(D978="","",IFERROR(VLOOKUP(D978,Categorias!$B$5:$C$200,2,FALSE),"Revisar"))</f>
        <v/>
      </c>
      <c r="F978" s="11"/>
      <c r="G978" s="31"/>
      <c r="H978" s="32">
        <f t="shared" si="61"/>
        <v>0</v>
      </c>
      <c r="I978" s="32">
        <f t="shared" si="62"/>
        <v>0</v>
      </c>
      <c r="J978" s="32">
        <f t="shared" si="63"/>
        <v>0</v>
      </c>
      <c r="K978" s="11"/>
      <c r="M978" s="12"/>
      <c r="N978" s="12"/>
    </row>
    <row r="979" spans="2:14" ht="21.95" customHeight="1" x14ac:dyDescent="0.25">
      <c r="B979" s="30"/>
      <c r="C979" s="14" t="str">
        <f t="shared" si="60"/>
        <v/>
      </c>
      <c r="D979" s="11"/>
      <c r="E979" s="14" t="str">
        <f>IF(D979="","",IFERROR(VLOOKUP(D979,Categorias!$B$5:$C$200,2,FALSE),"Revisar"))</f>
        <v/>
      </c>
      <c r="F979" s="11"/>
      <c r="G979" s="31"/>
      <c r="H979" s="32">
        <f t="shared" si="61"/>
        <v>0</v>
      </c>
      <c r="I979" s="32">
        <f t="shared" si="62"/>
        <v>0</v>
      </c>
      <c r="J979" s="32">
        <f t="shared" si="63"/>
        <v>0</v>
      </c>
      <c r="K979" s="11"/>
      <c r="M979" s="12"/>
      <c r="N979" s="12"/>
    </row>
    <row r="980" spans="2:14" ht="21.95" customHeight="1" x14ac:dyDescent="0.25">
      <c r="B980" s="30"/>
      <c r="C980" s="14" t="str">
        <f t="shared" si="60"/>
        <v/>
      </c>
      <c r="D980" s="11"/>
      <c r="E980" s="14" t="str">
        <f>IF(D980="","",IFERROR(VLOOKUP(D980,Categorias!$B$5:$C$200,2,FALSE),"Revisar"))</f>
        <v/>
      </c>
      <c r="F980" s="11"/>
      <c r="G980" s="31"/>
      <c r="H980" s="32">
        <f t="shared" si="61"/>
        <v>0</v>
      </c>
      <c r="I980" s="32">
        <f t="shared" si="62"/>
        <v>0</v>
      </c>
      <c r="J980" s="32">
        <f t="shared" si="63"/>
        <v>0</v>
      </c>
      <c r="K980" s="11"/>
      <c r="M980" s="12"/>
      <c r="N980" s="12"/>
    </row>
    <row r="981" spans="2:14" ht="21.95" customHeight="1" x14ac:dyDescent="0.25">
      <c r="B981" s="30"/>
      <c r="C981" s="14" t="str">
        <f t="shared" si="60"/>
        <v/>
      </c>
      <c r="D981" s="11"/>
      <c r="E981" s="14" t="str">
        <f>IF(D981="","",IFERROR(VLOOKUP(D981,Categorias!$B$5:$C$200,2,FALSE),"Revisar"))</f>
        <v/>
      </c>
      <c r="F981" s="11"/>
      <c r="G981" s="31"/>
      <c r="H981" s="32">
        <f t="shared" si="61"/>
        <v>0</v>
      </c>
      <c r="I981" s="32">
        <f t="shared" si="62"/>
        <v>0</v>
      </c>
      <c r="J981" s="32">
        <f t="shared" si="63"/>
        <v>0</v>
      </c>
      <c r="K981" s="11"/>
      <c r="M981" s="12"/>
      <c r="N981" s="12"/>
    </row>
    <row r="982" spans="2:14" ht="21.95" customHeight="1" x14ac:dyDescent="0.25">
      <c r="B982" s="30"/>
      <c r="C982" s="14" t="str">
        <f t="shared" si="60"/>
        <v/>
      </c>
      <c r="D982" s="11"/>
      <c r="E982" s="14" t="str">
        <f>IF(D982="","",IFERROR(VLOOKUP(D982,Categorias!$B$5:$C$200,2,FALSE),"Revisar"))</f>
        <v/>
      </c>
      <c r="F982" s="11"/>
      <c r="G982" s="31"/>
      <c r="H982" s="32">
        <f t="shared" si="61"/>
        <v>0</v>
      </c>
      <c r="I982" s="32">
        <f t="shared" si="62"/>
        <v>0</v>
      </c>
      <c r="J982" s="32">
        <f t="shared" si="63"/>
        <v>0</v>
      </c>
      <c r="K982" s="11"/>
      <c r="M982" s="12"/>
      <c r="N982" s="12"/>
    </row>
    <row r="983" spans="2:14" ht="21.95" customHeight="1" x14ac:dyDescent="0.25">
      <c r="B983" s="30"/>
      <c r="C983" s="14" t="str">
        <f t="shared" si="60"/>
        <v/>
      </c>
      <c r="D983" s="11"/>
      <c r="E983" s="14" t="str">
        <f>IF(D983="","",IFERROR(VLOOKUP(D983,Categorias!$B$5:$C$200,2,FALSE),"Revisar"))</f>
        <v/>
      </c>
      <c r="F983" s="11"/>
      <c r="G983" s="31"/>
      <c r="H983" s="32">
        <f t="shared" si="61"/>
        <v>0</v>
      </c>
      <c r="I983" s="32">
        <f t="shared" si="62"/>
        <v>0</v>
      </c>
      <c r="J983" s="32">
        <f t="shared" si="63"/>
        <v>0</v>
      </c>
      <c r="K983" s="11"/>
      <c r="M983" s="12"/>
      <c r="N983" s="12"/>
    </row>
    <row r="984" spans="2:14" ht="21.95" customHeight="1" x14ac:dyDescent="0.25">
      <c r="B984" s="30"/>
      <c r="C984" s="14" t="str">
        <f t="shared" si="60"/>
        <v/>
      </c>
      <c r="D984" s="11"/>
      <c r="E984" s="14" t="str">
        <f>IF(D984="","",IFERROR(VLOOKUP(D984,Categorias!$B$5:$C$200,2,FALSE),"Revisar"))</f>
        <v/>
      </c>
      <c r="F984" s="11"/>
      <c r="G984" s="31"/>
      <c r="H984" s="32">
        <f t="shared" si="61"/>
        <v>0</v>
      </c>
      <c r="I984" s="32">
        <f t="shared" si="62"/>
        <v>0</v>
      </c>
      <c r="J984" s="32">
        <f t="shared" si="63"/>
        <v>0</v>
      </c>
      <c r="K984" s="11"/>
      <c r="M984" s="12"/>
      <c r="N984" s="12"/>
    </row>
    <row r="985" spans="2:14" ht="21.95" customHeight="1" x14ac:dyDescent="0.25">
      <c r="B985" s="30"/>
      <c r="C985" s="14" t="str">
        <f t="shared" si="60"/>
        <v/>
      </c>
      <c r="D985" s="11"/>
      <c r="E985" s="14" t="str">
        <f>IF(D985="","",IFERROR(VLOOKUP(D985,Categorias!$B$5:$C$200,2,FALSE),"Revisar"))</f>
        <v/>
      </c>
      <c r="F985" s="11"/>
      <c r="G985" s="31"/>
      <c r="H985" s="32">
        <f t="shared" si="61"/>
        <v>0</v>
      </c>
      <c r="I985" s="32">
        <f t="shared" si="62"/>
        <v>0</v>
      </c>
      <c r="J985" s="32">
        <f t="shared" si="63"/>
        <v>0</v>
      </c>
      <c r="K985" s="11"/>
      <c r="M985" s="12"/>
      <c r="N985" s="12"/>
    </row>
    <row r="986" spans="2:14" ht="21.95" customHeight="1" x14ac:dyDescent="0.25">
      <c r="B986" s="30"/>
      <c r="C986" s="14" t="str">
        <f t="shared" si="60"/>
        <v/>
      </c>
      <c r="D986" s="11"/>
      <c r="E986" s="14" t="str">
        <f>IF(D986="","",IFERROR(VLOOKUP(D986,Categorias!$B$5:$C$200,2,FALSE),"Revisar"))</f>
        <v/>
      </c>
      <c r="F986" s="11"/>
      <c r="G986" s="31"/>
      <c r="H986" s="32">
        <f t="shared" si="61"/>
        <v>0</v>
      </c>
      <c r="I986" s="32">
        <f t="shared" si="62"/>
        <v>0</v>
      </c>
      <c r="J986" s="32">
        <f t="shared" si="63"/>
        <v>0</v>
      </c>
      <c r="K986" s="11"/>
      <c r="M986" s="12"/>
      <c r="N986" s="12"/>
    </row>
    <row r="987" spans="2:14" ht="21.95" customHeight="1" x14ac:dyDescent="0.25">
      <c r="B987" s="30"/>
      <c r="C987" s="14" t="str">
        <f t="shared" si="60"/>
        <v/>
      </c>
      <c r="D987" s="11"/>
      <c r="E987" s="14" t="str">
        <f>IF(D987="","",IFERROR(VLOOKUP(D987,Categorias!$B$5:$C$200,2,FALSE),"Revisar"))</f>
        <v/>
      </c>
      <c r="F987" s="11"/>
      <c r="G987" s="31"/>
      <c r="H987" s="32">
        <f t="shared" si="61"/>
        <v>0</v>
      </c>
      <c r="I987" s="32">
        <f t="shared" si="62"/>
        <v>0</v>
      </c>
      <c r="J987" s="32">
        <f t="shared" si="63"/>
        <v>0</v>
      </c>
      <c r="K987" s="11"/>
      <c r="M987" s="12"/>
      <c r="N987" s="12"/>
    </row>
    <row r="988" spans="2:14" ht="21.95" customHeight="1" x14ac:dyDescent="0.25">
      <c r="B988" s="30"/>
      <c r="C988" s="14" t="str">
        <f t="shared" si="60"/>
        <v/>
      </c>
      <c r="D988" s="11"/>
      <c r="E988" s="14" t="str">
        <f>IF(D988="","",IFERROR(VLOOKUP(D988,Categorias!$B$5:$C$200,2,FALSE),"Revisar"))</f>
        <v/>
      </c>
      <c r="F988" s="11"/>
      <c r="G988" s="31"/>
      <c r="H988" s="32">
        <f t="shared" si="61"/>
        <v>0</v>
      </c>
      <c r="I988" s="32">
        <f t="shared" si="62"/>
        <v>0</v>
      </c>
      <c r="J988" s="32">
        <f t="shared" si="63"/>
        <v>0</v>
      </c>
      <c r="K988" s="11"/>
      <c r="M988" s="12"/>
      <c r="N988" s="12"/>
    </row>
    <row r="989" spans="2:14" ht="21.95" customHeight="1" x14ac:dyDescent="0.25">
      <c r="B989" s="30"/>
      <c r="C989" s="14" t="str">
        <f t="shared" si="60"/>
        <v/>
      </c>
      <c r="D989" s="11"/>
      <c r="E989" s="14" t="str">
        <f>IF(D989="","",IFERROR(VLOOKUP(D989,Categorias!$B$5:$C$200,2,FALSE),"Revisar"))</f>
        <v/>
      </c>
      <c r="F989" s="11"/>
      <c r="G989" s="31"/>
      <c r="H989" s="32">
        <f t="shared" si="61"/>
        <v>0</v>
      </c>
      <c r="I989" s="32">
        <f t="shared" si="62"/>
        <v>0</v>
      </c>
      <c r="J989" s="32">
        <f t="shared" si="63"/>
        <v>0</v>
      </c>
      <c r="K989" s="11"/>
      <c r="M989" s="12"/>
      <c r="N989" s="12"/>
    </row>
    <row r="990" spans="2:14" ht="21.95" customHeight="1" x14ac:dyDescent="0.25">
      <c r="B990" s="30"/>
      <c r="C990" s="14" t="str">
        <f t="shared" si="60"/>
        <v/>
      </c>
      <c r="D990" s="11"/>
      <c r="E990" s="14" t="str">
        <f>IF(D990="","",IFERROR(VLOOKUP(D990,Categorias!$B$5:$C$200,2,FALSE),"Revisar"))</f>
        <v/>
      </c>
      <c r="F990" s="11"/>
      <c r="G990" s="31"/>
      <c r="H990" s="32">
        <f t="shared" si="61"/>
        <v>0</v>
      </c>
      <c r="I990" s="32">
        <f t="shared" si="62"/>
        <v>0</v>
      </c>
      <c r="J990" s="32">
        <f t="shared" si="63"/>
        <v>0</v>
      </c>
      <c r="K990" s="11"/>
      <c r="M990" s="12"/>
      <c r="N990" s="12"/>
    </row>
    <row r="991" spans="2:14" ht="21.95" customHeight="1" x14ac:dyDescent="0.25">
      <c r="B991" s="30"/>
      <c r="C991" s="14" t="str">
        <f t="shared" si="60"/>
        <v/>
      </c>
      <c r="D991" s="11"/>
      <c r="E991" s="14" t="str">
        <f>IF(D991="","",IFERROR(VLOOKUP(D991,Categorias!$B$5:$C$200,2,FALSE),"Revisar"))</f>
        <v/>
      </c>
      <c r="F991" s="11"/>
      <c r="G991" s="31"/>
      <c r="H991" s="32">
        <f t="shared" si="61"/>
        <v>0</v>
      </c>
      <c r="I991" s="32">
        <f t="shared" si="62"/>
        <v>0</v>
      </c>
      <c r="J991" s="32">
        <f t="shared" si="63"/>
        <v>0</v>
      </c>
      <c r="K991" s="11"/>
      <c r="M991" s="12"/>
      <c r="N991" s="12"/>
    </row>
    <row r="992" spans="2:14" ht="21.95" customHeight="1" x14ac:dyDescent="0.25">
      <c r="B992" s="30"/>
      <c r="C992" s="14" t="str">
        <f t="shared" si="60"/>
        <v/>
      </c>
      <c r="D992" s="11"/>
      <c r="E992" s="14" t="str">
        <f>IF(D992="","",IFERROR(VLOOKUP(D992,Categorias!$B$5:$C$200,2,FALSE),"Revisar"))</f>
        <v/>
      </c>
      <c r="F992" s="11"/>
      <c r="G992" s="31"/>
      <c r="H992" s="32">
        <f t="shared" si="61"/>
        <v>0</v>
      </c>
      <c r="I992" s="32">
        <f t="shared" si="62"/>
        <v>0</v>
      </c>
      <c r="J992" s="32">
        <f t="shared" si="63"/>
        <v>0</v>
      </c>
      <c r="K992" s="11"/>
      <c r="M992" s="12"/>
      <c r="N992" s="12"/>
    </row>
    <row r="993" spans="2:14" ht="21.95" customHeight="1" x14ac:dyDescent="0.25">
      <c r="B993" s="30"/>
      <c r="C993" s="14" t="str">
        <f t="shared" si="60"/>
        <v/>
      </c>
      <c r="D993" s="11"/>
      <c r="E993" s="14" t="str">
        <f>IF(D993="","",IFERROR(VLOOKUP(D993,Categorias!$B$5:$C$200,2,FALSE),"Revisar"))</f>
        <v/>
      </c>
      <c r="F993" s="11"/>
      <c r="G993" s="31"/>
      <c r="H993" s="32">
        <f t="shared" si="61"/>
        <v>0</v>
      </c>
      <c r="I993" s="32">
        <f t="shared" si="62"/>
        <v>0</v>
      </c>
      <c r="J993" s="32">
        <f t="shared" si="63"/>
        <v>0</v>
      </c>
      <c r="K993" s="11"/>
      <c r="M993" s="12"/>
      <c r="N993" s="12"/>
    </row>
    <row r="994" spans="2:14" ht="21.95" customHeight="1" x14ac:dyDescent="0.25">
      <c r="B994" s="30"/>
      <c r="C994" s="14" t="str">
        <f t="shared" si="60"/>
        <v/>
      </c>
      <c r="D994" s="11"/>
      <c r="E994" s="14" t="str">
        <f>IF(D994="","",IFERROR(VLOOKUP(D994,Categorias!$B$5:$C$200,2,FALSE),"Revisar"))</f>
        <v/>
      </c>
      <c r="F994" s="11"/>
      <c r="G994" s="31"/>
      <c r="H994" s="32">
        <f t="shared" si="61"/>
        <v>0</v>
      </c>
      <c r="I994" s="32">
        <f t="shared" si="62"/>
        <v>0</v>
      </c>
      <c r="J994" s="32">
        <f t="shared" si="63"/>
        <v>0</v>
      </c>
      <c r="K994" s="11"/>
      <c r="M994" s="12"/>
      <c r="N994" s="12"/>
    </row>
    <row r="995" spans="2:14" ht="21.95" customHeight="1" x14ac:dyDescent="0.25">
      <c r="B995" s="30"/>
      <c r="C995" s="14" t="str">
        <f t="shared" si="60"/>
        <v/>
      </c>
      <c r="D995" s="11"/>
      <c r="E995" s="14" t="str">
        <f>IF(D995="","",IFERROR(VLOOKUP(D995,Categorias!$B$5:$C$200,2,FALSE),"Revisar"))</f>
        <v/>
      </c>
      <c r="F995" s="11"/>
      <c r="G995" s="31"/>
      <c r="H995" s="32">
        <f t="shared" si="61"/>
        <v>0</v>
      </c>
      <c r="I995" s="32">
        <f t="shared" si="62"/>
        <v>0</v>
      </c>
      <c r="J995" s="32">
        <f t="shared" si="63"/>
        <v>0</v>
      </c>
      <c r="K995" s="11"/>
      <c r="M995" s="12"/>
      <c r="N995" s="12"/>
    </row>
    <row r="996" spans="2:14" ht="21.95" customHeight="1" x14ac:dyDescent="0.25">
      <c r="B996" s="30"/>
      <c r="C996" s="14" t="str">
        <f t="shared" si="60"/>
        <v/>
      </c>
      <c r="D996" s="11"/>
      <c r="E996" s="14" t="str">
        <f>IF(D996="","",IFERROR(VLOOKUP(D996,Categorias!$B$5:$C$200,2,FALSE),"Revisar"))</f>
        <v/>
      </c>
      <c r="F996" s="11"/>
      <c r="G996" s="31"/>
      <c r="H996" s="32">
        <f t="shared" si="61"/>
        <v>0</v>
      </c>
      <c r="I996" s="32">
        <f t="shared" si="62"/>
        <v>0</v>
      </c>
      <c r="J996" s="32">
        <f t="shared" si="63"/>
        <v>0</v>
      </c>
      <c r="K996" s="11"/>
      <c r="M996" s="12"/>
      <c r="N996" s="12"/>
    </row>
    <row r="997" spans="2:14" ht="21.95" customHeight="1" x14ac:dyDescent="0.25">
      <c r="B997" s="30"/>
      <c r="C997" s="14" t="str">
        <f t="shared" si="60"/>
        <v/>
      </c>
      <c r="D997" s="11"/>
      <c r="E997" s="14" t="str">
        <f>IF(D997="","",IFERROR(VLOOKUP(D997,Categorias!$B$5:$C$200,2,FALSE),"Revisar"))</f>
        <v/>
      </c>
      <c r="F997" s="11"/>
      <c r="G997" s="31"/>
      <c r="H997" s="32">
        <f t="shared" si="61"/>
        <v>0</v>
      </c>
      <c r="I997" s="32">
        <f t="shared" si="62"/>
        <v>0</v>
      </c>
      <c r="J997" s="32">
        <f t="shared" si="63"/>
        <v>0</v>
      </c>
      <c r="K997" s="11"/>
      <c r="M997" s="12"/>
      <c r="N997" s="12"/>
    </row>
    <row r="998" spans="2:14" ht="21.95" customHeight="1" x14ac:dyDescent="0.25">
      <c r="B998" s="30"/>
      <c r="C998" s="14" t="str">
        <f t="shared" si="60"/>
        <v/>
      </c>
      <c r="D998" s="11"/>
      <c r="E998" s="14" t="str">
        <f>IF(D998="","",IFERROR(VLOOKUP(D998,Categorias!$B$5:$C$200,2,FALSE),"Revisar"))</f>
        <v/>
      </c>
      <c r="F998" s="11"/>
      <c r="G998" s="31"/>
      <c r="H998" s="32">
        <f t="shared" si="61"/>
        <v>0</v>
      </c>
      <c r="I998" s="32">
        <f t="shared" si="62"/>
        <v>0</v>
      </c>
      <c r="J998" s="32">
        <f t="shared" si="63"/>
        <v>0</v>
      </c>
      <c r="K998" s="11"/>
      <c r="M998" s="12"/>
      <c r="N998" s="12"/>
    </row>
    <row r="999" spans="2:14" ht="21.95" customHeight="1" x14ac:dyDescent="0.25">
      <c r="B999" s="30"/>
      <c r="C999" s="14" t="str">
        <f t="shared" si="60"/>
        <v/>
      </c>
      <c r="D999" s="11"/>
      <c r="E999" s="14" t="str">
        <f>IF(D999="","",IFERROR(VLOOKUP(D999,Categorias!$B$5:$C$200,2,FALSE),"Revisar"))</f>
        <v/>
      </c>
      <c r="F999" s="11"/>
      <c r="G999" s="31"/>
      <c r="H999" s="32">
        <f t="shared" si="61"/>
        <v>0</v>
      </c>
      <c r="I999" s="32">
        <f t="shared" si="62"/>
        <v>0</v>
      </c>
      <c r="J999" s="32">
        <f t="shared" si="63"/>
        <v>0</v>
      </c>
      <c r="K999" s="11"/>
      <c r="M999" s="12"/>
      <c r="N999" s="12"/>
    </row>
    <row r="1000" spans="2:14" ht="21.95" customHeight="1" x14ac:dyDescent="0.25">
      <c r="B1000" s="30"/>
      <c r="C1000" s="14" t="str">
        <f t="shared" si="60"/>
        <v/>
      </c>
      <c r="D1000" s="11"/>
      <c r="E1000" s="14" t="str">
        <f>IF(D1000="","",IFERROR(VLOOKUP(D1000,Categorias!$B$5:$C$200,2,FALSE),"Revisar"))</f>
        <v/>
      </c>
      <c r="F1000" s="11"/>
      <c r="G1000" s="31"/>
      <c r="H1000" s="32">
        <f t="shared" si="61"/>
        <v>0</v>
      </c>
      <c r="I1000" s="32">
        <f t="shared" si="62"/>
        <v>0</v>
      </c>
      <c r="J1000" s="32">
        <f t="shared" si="63"/>
        <v>0</v>
      </c>
      <c r="K1000" s="11"/>
      <c r="M1000" s="12"/>
      <c r="N1000" s="12"/>
    </row>
    <row r="1001" spans="2:14" ht="21.95" customHeight="1" x14ac:dyDescent="0.25">
      <c r="B1001" s="30"/>
      <c r="C1001" s="14" t="str">
        <f t="shared" si="60"/>
        <v/>
      </c>
      <c r="D1001" s="11"/>
      <c r="E1001" s="14" t="str">
        <f>IF(D1001="","",IFERROR(VLOOKUP(D1001,Categorias!$B$5:$C$200,2,FALSE),"Revisar"))</f>
        <v/>
      </c>
      <c r="F1001" s="11"/>
      <c r="G1001" s="31"/>
      <c r="H1001" s="32">
        <f t="shared" si="61"/>
        <v>0</v>
      </c>
      <c r="I1001" s="32">
        <f t="shared" si="62"/>
        <v>0</v>
      </c>
      <c r="J1001" s="32">
        <f t="shared" si="63"/>
        <v>0</v>
      </c>
      <c r="K1001" s="11"/>
      <c r="M1001" s="12"/>
      <c r="N1001" s="12"/>
    </row>
    <row r="1002" spans="2:14" ht="21.95" customHeight="1" x14ac:dyDescent="0.25">
      <c r="B1002" s="30"/>
      <c r="C1002" s="14" t="str">
        <f t="shared" si="60"/>
        <v/>
      </c>
      <c r="D1002" s="11"/>
      <c r="E1002" s="14" t="str">
        <f>IF(D1002="","",IFERROR(VLOOKUP(D1002,Categorias!$B$5:$C$200,2,FALSE),"Revisar"))</f>
        <v/>
      </c>
      <c r="F1002" s="11"/>
      <c r="G1002" s="31"/>
      <c r="H1002" s="32">
        <f t="shared" si="61"/>
        <v>0</v>
      </c>
      <c r="I1002" s="32">
        <f t="shared" si="62"/>
        <v>0</v>
      </c>
      <c r="J1002" s="32">
        <f t="shared" si="63"/>
        <v>0</v>
      </c>
      <c r="K1002" s="11"/>
      <c r="M1002" s="12"/>
      <c r="N1002" s="12"/>
    </row>
    <row r="1003" spans="2:14" ht="21.95" customHeight="1" x14ac:dyDescent="0.25">
      <c r="B1003" s="30"/>
      <c r="C1003" s="14" t="str">
        <f t="shared" si="60"/>
        <v/>
      </c>
      <c r="D1003" s="11"/>
      <c r="E1003" s="14" t="str">
        <f>IF(D1003="","",IFERROR(VLOOKUP(D1003,Categorias!$B$5:$C$200,2,FALSE),"Revisar"))</f>
        <v/>
      </c>
      <c r="F1003" s="11"/>
      <c r="G1003" s="31"/>
      <c r="H1003" s="32">
        <f t="shared" si="61"/>
        <v>0</v>
      </c>
      <c r="I1003" s="32">
        <f t="shared" si="62"/>
        <v>0</v>
      </c>
      <c r="J1003" s="32">
        <f t="shared" si="63"/>
        <v>0</v>
      </c>
      <c r="K1003" s="11"/>
      <c r="M1003" s="12"/>
      <c r="N1003" s="12"/>
    </row>
    <row r="1004" spans="2:14" ht="21.95" customHeight="1" x14ac:dyDescent="0.25">
      <c r="B1004" s="30"/>
      <c r="C1004" s="14" t="str">
        <f t="shared" si="60"/>
        <v/>
      </c>
      <c r="D1004" s="11"/>
      <c r="E1004" s="14" t="str">
        <f>IF(D1004="","",IFERROR(VLOOKUP(D1004,Categorias!$B$5:$C$200,2,FALSE),"Revisar"))</f>
        <v/>
      </c>
      <c r="F1004" s="11"/>
      <c r="G1004" s="31"/>
      <c r="H1004" s="32">
        <f t="shared" si="61"/>
        <v>0</v>
      </c>
      <c r="I1004" s="32">
        <f t="shared" si="62"/>
        <v>0</v>
      </c>
      <c r="J1004" s="32">
        <f t="shared" si="63"/>
        <v>0</v>
      </c>
      <c r="K1004" s="11"/>
      <c r="M1004" s="12"/>
      <c r="N1004" s="12"/>
    </row>
    <row r="1005" spans="2:14" ht="21.95" customHeight="1" x14ac:dyDescent="0.25">
      <c r="B1005" s="30"/>
      <c r="C1005" s="14" t="str">
        <f t="shared" si="60"/>
        <v/>
      </c>
      <c r="D1005" s="11"/>
      <c r="E1005" s="14" t="str">
        <f>IF(D1005="","",IFERROR(VLOOKUP(D1005,Categorias!$B$5:$C$200,2,FALSE),"Revisar"))</f>
        <v/>
      </c>
      <c r="F1005" s="11"/>
      <c r="G1005" s="31"/>
      <c r="H1005" s="32">
        <f t="shared" si="61"/>
        <v>0</v>
      </c>
      <c r="I1005" s="32">
        <f t="shared" si="62"/>
        <v>0</v>
      </c>
      <c r="J1005" s="32">
        <f t="shared" si="63"/>
        <v>0</v>
      </c>
      <c r="K1005" s="11"/>
      <c r="M1005" s="12"/>
      <c r="N1005" s="12"/>
    </row>
    <row r="1006" spans="2:14" ht="21.95" customHeight="1" x14ac:dyDescent="0.25">
      <c r="B1006" s="30"/>
      <c r="C1006" s="14" t="str">
        <f t="shared" si="60"/>
        <v/>
      </c>
      <c r="D1006" s="11"/>
      <c r="E1006" s="14" t="str">
        <f>IF(D1006="","",IFERROR(VLOOKUP(D1006,Categorias!$B$5:$C$200,2,FALSE),"Revisar"))</f>
        <v/>
      </c>
      <c r="F1006" s="11"/>
      <c r="G1006" s="31"/>
      <c r="H1006" s="32">
        <f t="shared" si="61"/>
        <v>0</v>
      </c>
      <c r="I1006" s="32">
        <f t="shared" si="62"/>
        <v>0</v>
      </c>
      <c r="J1006" s="32">
        <f t="shared" si="63"/>
        <v>0</v>
      </c>
      <c r="K1006" s="11"/>
      <c r="M1006" s="12"/>
      <c r="N1006" s="12"/>
    </row>
    <row r="1007" spans="2:14" ht="21.95" customHeight="1" x14ac:dyDescent="0.25">
      <c r="B1007" s="30"/>
      <c r="C1007" s="14" t="str">
        <f t="shared" si="60"/>
        <v/>
      </c>
      <c r="D1007" s="11"/>
      <c r="E1007" s="14" t="str">
        <f>IF(D1007="","",IFERROR(VLOOKUP(D1007,Categorias!$B$5:$C$200,2,FALSE),"Revisar"))</f>
        <v/>
      </c>
      <c r="F1007" s="11"/>
      <c r="G1007" s="31"/>
      <c r="H1007" s="32">
        <f t="shared" si="61"/>
        <v>0</v>
      </c>
      <c r="I1007" s="32">
        <f t="shared" si="62"/>
        <v>0</v>
      </c>
      <c r="J1007" s="32">
        <f t="shared" si="63"/>
        <v>0</v>
      </c>
      <c r="K1007" s="11"/>
      <c r="M1007" s="12"/>
      <c r="N1007" s="12"/>
    </row>
    <row r="1008" spans="2:14" ht="21.95" customHeight="1" x14ac:dyDescent="0.25">
      <c r="B1008" s="30"/>
      <c r="C1008" s="14" t="str">
        <f t="shared" si="60"/>
        <v/>
      </c>
      <c r="D1008" s="11"/>
      <c r="E1008" s="14" t="str">
        <f>IF(D1008="","",IFERROR(VLOOKUP(D1008,Categorias!$B$5:$C$200,2,FALSE),"Revisar"))</f>
        <v/>
      </c>
      <c r="F1008" s="11"/>
      <c r="G1008" s="31"/>
      <c r="H1008" s="32">
        <f t="shared" si="61"/>
        <v>0</v>
      </c>
      <c r="I1008" s="32">
        <f t="shared" si="62"/>
        <v>0</v>
      </c>
      <c r="J1008" s="32">
        <f t="shared" si="63"/>
        <v>0</v>
      </c>
      <c r="K1008" s="11"/>
      <c r="M1008" s="12"/>
      <c r="N1008" s="12"/>
    </row>
    <row r="1009" spans="2:14" ht="21.95" customHeight="1" x14ac:dyDescent="0.25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M1009" s="12"/>
      <c r="N1009" s="12"/>
    </row>
    <row r="1010" spans="2:14" ht="21.95" customHeight="1" x14ac:dyDescent="0.25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M1010" s="12"/>
      <c r="N1010" s="12"/>
    </row>
    <row r="1011" spans="2:14" ht="21.95" customHeight="1" x14ac:dyDescent="0.25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M1011" s="12"/>
      <c r="N1011" s="12"/>
    </row>
    <row r="1012" spans="2:14" ht="21.95" customHeight="1" x14ac:dyDescent="0.25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M1012" s="12"/>
      <c r="N1012" s="12"/>
    </row>
    <row r="1013" spans="2:14" ht="21.95" customHeight="1" x14ac:dyDescent="0.25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M1013" s="12"/>
      <c r="N1013" s="12"/>
    </row>
    <row r="1014" spans="2:14" ht="21.95" customHeight="1" x14ac:dyDescent="0.25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M1014" s="12"/>
      <c r="N1014" s="12"/>
    </row>
    <row r="1015" spans="2:14" ht="21.95" customHeight="1" x14ac:dyDescent="0.25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M1015" s="12"/>
      <c r="N1015" s="12"/>
    </row>
    <row r="1016" spans="2:14" ht="21.95" customHeight="1" x14ac:dyDescent="0.25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M1016" s="12"/>
      <c r="N1016" s="12"/>
    </row>
    <row r="1017" spans="2:14" ht="21.95" customHeight="1" x14ac:dyDescent="0.25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M1017" s="12"/>
      <c r="N1017" s="12"/>
    </row>
    <row r="1018" spans="2:14" ht="21.95" customHeight="1" x14ac:dyDescent="0.25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M1018" s="12"/>
      <c r="N1018" s="12"/>
    </row>
    <row r="1019" spans="2:14" ht="21.95" customHeight="1" x14ac:dyDescent="0.25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M1019" s="12"/>
      <c r="N1019" s="12"/>
    </row>
    <row r="1020" spans="2:14" ht="21.95" customHeight="1" x14ac:dyDescent="0.25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M1020" s="12"/>
      <c r="N1020" s="12"/>
    </row>
    <row r="1021" spans="2:14" ht="21.95" customHeight="1" x14ac:dyDescent="0.25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M1021" s="12"/>
      <c r="N1021" s="12"/>
    </row>
    <row r="1022" spans="2:14" ht="21.95" customHeight="1" x14ac:dyDescent="0.25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M1022" s="12"/>
      <c r="N1022" s="12"/>
    </row>
    <row r="1023" spans="2:14" ht="21.95" customHeight="1" x14ac:dyDescent="0.25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M1023" s="12"/>
      <c r="N1023" s="12"/>
    </row>
    <row r="1024" spans="2:14" ht="21.95" customHeight="1" x14ac:dyDescent="0.25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M1024" s="12"/>
      <c r="N1024" s="12"/>
    </row>
    <row r="1025" spans="2:14" ht="21.95" customHeight="1" x14ac:dyDescent="0.25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M1025" s="12"/>
      <c r="N1025" s="12"/>
    </row>
    <row r="1026" spans="2:14" ht="21.95" customHeight="1" x14ac:dyDescent="0.25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M1026" s="12"/>
      <c r="N1026" s="12"/>
    </row>
    <row r="1027" spans="2:14" ht="21.95" customHeight="1" x14ac:dyDescent="0.25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M1027" s="12"/>
      <c r="N1027" s="12"/>
    </row>
    <row r="1028" spans="2:14" ht="21.95" customHeight="1" x14ac:dyDescent="0.25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M1028" s="12"/>
      <c r="N1028" s="12"/>
    </row>
    <row r="1029" spans="2:14" ht="21.95" customHeight="1" x14ac:dyDescent="0.25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M1029" s="12"/>
      <c r="N1029" s="12"/>
    </row>
    <row r="1030" spans="2:14" ht="21.95" customHeight="1" x14ac:dyDescent="0.25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M1030" s="12"/>
      <c r="N1030" s="12"/>
    </row>
    <row r="1031" spans="2:14" ht="21.95" customHeight="1" x14ac:dyDescent="0.25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M1031" s="12"/>
      <c r="N1031" s="12"/>
    </row>
    <row r="1032" spans="2:14" ht="21.95" customHeight="1" x14ac:dyDescent="0.25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M1032" s="12"/>
      <c r="N1032" s="12"/>
    </row>
    <row r="1033" spans="2:14" ht="21.95" customHeight="1" x14ac:dyDescent="0.25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M1033" s="12"/>
      <c r="N1033" s="12"/>
    </row>
    <row r="1034" spans="2:14" ht="21.95" customHeight="1" x14ac:dyDescent="0.25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M1034" s="12"/>
      <c r="N1034" s="12"/>
    </row>
    <row r="1035" spans="2:14" ht="21.95" customHeight="1" x14ac:dyDescent="0.25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M1035" s="12"/>
      <c r="N1035" s="12"/>
    </row>
    <row r="1036" spans="2:14" ht="21.95" customHeight="1" x14ac:dyDescent="0.25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M1036" s="12"/>
      <c r="N1036" s="12"/>
    </row>
    <row r="1037" spans="2:14" ht="21.95" customHeight="1" x14ac:dyDescent="0.25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M1037" s="12"/>
      <c r="N1037" s="12"/>
    </row>
    <row r="1038" spans="2:14" ht="21.95" customHeight="1" x14ac:dyDescent="0.25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M1038" s="12"/>
      <c r="N1038" s="12"/>
    </row>
    <row r="1039" spans="2:14" ht="21.95" customHeight="1" x14ac:dyDescent="0.25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M1039" s="12"/>
      <c r="N1039" s="12"/>
    </row>
    <row r="1040" spans="2:14" ht="21.95" customHeight="1" x14ac:dyDescent="0.25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M1040" s="12"/>
      <c r="N1040" s="12"/>
    </row>
    <row r="1041" spans="2:14" ht="21.95" customHeight="1" x14ac:dyDescent="0.25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M1041" s="12"/>
      <c r="N1041" s="12"/>
    </row>
    <row r="1042" spans="2:14" ht="21.95" customHeight="1" x14ac:dyDescent="0.25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M1042" s="12"/>
      <c r="N1042" s="12"/>
    </row>
    <row r="1043" spans="2:14" ht="21.95" customHeight="1" x14ac:dyDescent="0.25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M1043" s="12"/>
      <c r="N1043" s="12"/>
    </row>
    <row r="1044" spans="2:14" ht="21.95" customHeight="1" x14ac:dyDescent="0.25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M1044" s="12"/>
      <c r="N1044" s="12"/>
    </row>
    <row r="1045" spans="2:14" ht="21.95" customHeight="1" x14ac:dyDescent="0.25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M1045" s="12"/>
      <c r="N1045" s="12"/>
    </row>
    <row r="1046" spans="2:14" ht="21.95" customHeight="1" x14ac:dyDescent="0.25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M1046" s="12"/>
      <c r="N1046" s="12"/>
    </row>
    <row r="1047" spans="2:14" ht="21.95" customHeight="1" x14ac:dyDescent="0.25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M1047" s="12"/>
      <c r="N1047" s="12"/>
    </row>
    <row r="1048" spans="2:14" ht="21.95" customHeight="1" x14ac:dyDescent="0.25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M1048" s="12"/>
      <c r="N1048" s="12"/>
    </row>
    <row r="1049" spans="2:14" ht="21.95" customHeight="1" x14ac:dyDescent="0.25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M1049" s="12"/>
      <c r="N1049" s="12"/>
    </row>
    <row r="1050" spans="2:14" ht="21.95" customHeight="1" x14ac:dyDescent="0.25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M1050" s="12"/>
      <c r="N1050" s="12"/>
    </row>
    <row r="1051" spans="2:14" ht="21.95" customHeight="1" x14ac:dyDescent="0.25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M1051" s="12"/>
      <c r="N1051" s="12"/>
    </row>
    <row r="1052" spans="2:14" ht="21.95" customHeight="1" x14ac:dyDescent="0.25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M1052" s="12"/>
      <c r="N1052" s="12"/>
    </row>
    <row r="1053" spans="2:14" ht="21.95" customHeight="1" x14ac:dyDescent="0.25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M1053" s="12"/>
      <c r="N1053" s="12"/>
    </row>
    <row r="1054" spans="2:14" ht="21.95" customHeight="1" x14ac:dyDescent="0.25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M1054" s="12"/>
      <c r="N1054" s="12"/>
    </row>
    <row r="1055" spans="2:14" ht="21.95" customHeight="1" x14ac:dyDescent="0.25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M1055" s="12"/>
      <c r="N1055" s="12"/>
    </row>
    <row r="1056" spans="2:14" ht="21.95" customHeight="1" x14ac:dyDescent="0.25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M1056" s="12"/>
      <c r="N1056" s="12"/>
    </row>
    <row r="1057" spans="2:14" ht="21.95" customHeight="1" x14ac:dyDescent="0.25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M1057" s="12"/>
      <c r="N1057" s="12"/>
    </row>
    <row r="1058" spans="2:14" ht="21.95" customHeight="1" x14ac:dyDescent="0.25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M1058" s="12"/>
      <c r="N1058" s="12"/>
    </row>
    <row r="1059" spans="2:14" ht="21.95" customHeight="1" x14ac:dyDescent="0.25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M1059" s="12"/>
      <c r="N1059" s="12"/>
    </row>
    <row r="1060" spans="2:14" ht="21.95" customHeight="1" x14ac:dyDescent="0.25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M1060" s="12"/>
      <c r="N1060" s="12"/>
    </row>
    <row r="1061" spans="2:14" ht="21.95" customHeight="1" x14ac:dyDescent="0.25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M1061" s="12"/>
      <c r="N1061" s="12"/>
    </row>
    <row r="1062" spans="2:14" ht="21.95" customHeight="1" x14ac:dyDescent="0.25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M1062" s="12"/>
      <c r="N1062" s="12"/>
    </row>
    <row r="1063" spans="2:14" ht="21.95" customHeight="1" x14ac:dyDescent="0.25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M1063" s="12"/>
      <c r="N1063" s="12"/>
    </row>
    <row r="1064" spans="2:14" ht="21.95" customHeight="1" x14ac:dyDescent="0.25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M1064" s="12"/>
      <c r="N1064" s="12"/>
    </row>
    <row r="1065" spans="2:14" ht="21.95" customHeight="1" x14ac:dyDescent="0.25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M1065" s="12"/>
      <c r="N1065" s="12"/>
    </row>
    <row r="1066" spans="2:14" ht="21.95" customHeight="1" x14ac:dyDescent="0.25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M1066" s="12"/>
      <c r="N1066" s="12"/>
    </row>
    <row r="1067" spans="2:14" ht="21.95" customHeight="1" x14ac:dyDescent="0.25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M1067" s="12"/>
      <c r="N1067" s="12"/>
    </row>
    <row r="1068" spans="2:14" ht="21.95" customHeight="1" x14ac:dyDescent="0.25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M1068" s="12"/>
      <c r="N1068" s="12"/>
    </row>
    <row r="1069" spans="2:14" ht="21.95" customHeight="1" x14ac:dyDescent="0.25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M1069" s="12"/>
      <c r="N1069" s="12"/>
    </row>
    <row r="1070" spans="2:14" ht="21.95" customHeight="1" x14ac:dyDescent="0.25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</row>
    <row r="1071" spans="2:14" ht="21.95" customHeight="1" x14ac:dyDescent="0.25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</row>
    <row r="1072" spans="2:14" ht="21.95" customHeight="1" x14ac:dyDescent="0.25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</row>
    <row r="1073" spans="2:11" ht="21.95" customHeight="1" x14ac:dyDescent="0.25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</row>
    <row r="1074" spans="2:11" ht="21.95" customHeight="1" x14ac:dyDescent="0.25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</row>
    <row r="1075" spans="2:11" ht="21.95" customHeight="1" x14ac:dyDescent="0.25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</row>
    <row r="1076" spans="2:11" ht="21.95" customHeight="1" x14ac:dyDescent="0.25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</row>
    <row r="1077" spans="2:11" ht="21.95" customHeight="1" x14ac:dyDescent="0.25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</row>
    <row r="1078" spans="2:11" ht="21.95" customHeight="1" x14ac:dyDescent="0.25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</row>
    <row r="1079" spans="2:11" ht="21.95" customHeight="1" x14ac:dyDescent="0.25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</row>
    <row r="1080" spans="2:11" ht="21.95" customHeight="1" x14ac:dyDescent="0.25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</row>
    <row r="1081" spans="2:11" ht="21.95" customHeight="1" x14ac:dyDescent="0.25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</row>
    <row r="1082" spans="2:11" ht="21.95" customHeight="1" x14ac:dyDescent="0.25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</row>
    <row r="1083" spans="2:11" ht="21.95" customHeight="1" x14ac:dyDescent="0.25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</row>
    <row r="1084" spans="2:11" ht="21.95" customHeight="1" x14ac:dyDescent="0.25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</row>
    <row r="1085" spans="2:11" ht="21.95" customHeight="1" x14ac:dyDescent="0.25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</row>
    <row r="1086" spans="2:11" ht="21.95" customHeight="1" x14ac:dyDescent="0.25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</row>
    <row r="1087" spans="2:11" ht="21.95" customHeight="1" x14ac:dyDescent="0.25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</row>
    <row r="1088" spans="2:11" ht="21.95" customHeight="1" x14ac:dyDescent="0.25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</row>
    <row r="1089" ht="21.95" customHeight="1" x14ac:dyDescent="0.25"/>
    <row r="1090" ht="21.95" customHeight="1" x14ac:dyDescent="0.25"/>
    <row r="1091" ht="21.95" customHeight="1" x14ac:dyDescent="0.25"/>
    <row r="1092" ht="21.95" customHeight="1" x14ac:dyDescent="0.25"/>
    <row r="1093" ht="21.95" customHeight="1" x14ac:dyDescent="0.25"/>
    <row r="1094" ht="21.95" customHeight="1" x14ac:dyDescent="0.25"/>
    <row r="1095" ht="21.95" customHeight="1" x14ac:dyDescent="0.25"/>
    <row r="1096" ht="21.95" customHeight="1" x14ac:dyDescent="0.25"/>
    <row r="1097" ht="21.95" customHeight="1" x14ac:dyDescent="0.25"/>
    <row r="1098" ht="21.95" customHeight="1" x14ac:dyDescent="0.25"/>
    <row r="1099" ht="21.95" customHeight="1" x14ac:dyDescent="0.25"/>
  </sheetData>
  <mergeCells count="14">
    <mergeCell ref="M4:N4"/>
    <mergeCell ref="B4:C4"/>
    <mergeCell ref="M5:N8"/>
    <mergeCell ref="F4:G4"/>
    <mergeCell ref="J4:K4"/>
    <mergeCell ref="B1:K1"/>
    <mergeCell ref="J5:K5"/>
    <mergeCell ref="B5:C5"/>
    <mergeCell ref="F5:G5"/>
    <mergeCell ref="D5:E5"/>
    <mergeCell ref="H5:I5"/>
    <mergeCell ref="D4:E4"/>
    <mergeCell ref="H4:I4"/>
    <mergeCell ref="B2:K2"/>
  </mergeCells>
  <dataValidations count="1">
    <dataValidation type="list" sqref="B5" xr:uid="{00000000-0002-0000-0100-000000000000}">
      <formula1>"Enero,Febrero,Marzo,Abril,Mayo,Junio,Julio,Agosto,Septiembre,Octubre,Noviembre,Diciembre"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B3333"/>
  </sheetPr>
  <dimension ref="A1:CH1099"/>
  <sheetViews>
    <sheetView workbookViewId="0">
      <selection activeCell="F162" sqref="F162"/>
    </sheetView>
  </sheetViews>
  <sheetFormatPr baseColWidth="10" defaultColWidth="9.140625" defaultRowHeight="15" x14ac:dyDescent="0.25"/>
  <cols>
    <col min="1" max="1" width="5" style="7" customWidth="1"/>
    <col min="2" max="2" width="24" style="7" customWidth="1"/>
    <col min="3" max="3" width="18" style="7" customWidth="1"/>
    <col min="4" max="4" width="15.5703125" style="7" customWidth="1"/>
    <col min="5" max="6" width="20" style="7" customWidth="1"/>
    <col min="7" max="7" width="14.7109375" style="7" customWidth="1"/>
    <col min="8" max="8" width="9.140625" style="12" customWidth="1"/>
    <col min="9" max="12" width="24" style="12" customWidth="1"/>
    <col min="13" max="25" width="9.140625" style="12" customWidth="1"/>
    <col min="26" max="27" width="13" style="12" hidden="1" customWidth="1"/>
    <col min="28" max="86" width="9.140625" style="12" customWidth="1"/>
  </cols>
  <sheetData>
    <row r="1" spans="1:29" ht="21.95" customHeight="1" x14ac:dyDescent="0.25">
      <c r="A1" s="56" t="s">
        <v>76</v>
      </c>
      <c r="B1" s="57"/>
      <c r="C1" s="57"/>
      <c r="D1" s="57"/>
      <c r="E1" s="57"/>
      <c r="F1" s="57"/>
      <c r="G1" s="57"/>
    </row>
    <row r="2" spans="1:29" ht="21.95" customHeight="1" x14ac:dyDescent="0.25">
      <c r="A2" s="60" t="s">
        <v>77</v>
      </c>
      <c r="B2" s="57"/>
      <c r="C2" s="57"/>
      <c r="D2" s="57"/>
      <c r="E2" s="57"/>
      <c r="F2" s="57"/>
      <c r="G2" s="57"/>
    </row>
    <row r="3" spans="1:29" ht="21.95" customHeight="1" x14ac:dyDescent="0.25">
      <c r="A3" s="12"/>
      <c r="B3" s="12"/>
      <c r="C3" s="12"/>
      <c r="D3" s="12"/>
      <c r="E3" s="12"/>
      <c r="F3" s="12"/>
      <c r="G3" s="12"/>
    </row>
    <row r="4" spans="1:29" ht="21.95" customHeight="1" x14ac:dyDescent="0.25">
      <c r="A4" s="12"/>
      <c r="B4" s="18" t="s">
        <v>45</v>
      </c>
      <c r="C4" s="18" t="s">
        <v>46</v>
      </c>
      <c r="D4" s="12"/>
      <c r="E4" s="62" t="s">
        <v>52</v>
      </c>
      <c r="F4" s="43"/>
      <c r="G4" s="17"/>
      <c r="Z4" s="19" t="s">
        <v>78</v>
      </c>
      <c r="AA4" s="19" t="s">
        <v>79</v>
      </c>
      <c r="AB4" s="12" t="s">
        <v>80</v>
      </c>
      <c r="AC4" s="12" t="s">
        <v>81</v>
      </c>
    </row>
    <row r="5" spans="1:29" ht="21.95" customHeight="1" x14ac:dyDescent="0.25">
      <c r="A5" s="12"/>
      <c r="B5" s="27" t="s">
        <v>53</v>
      </c>
      <c r="C5" s="27" t="s">
        <v>82</v>
      </c>
      <c r="D5" s="12"/>
      <c r="E5" s="63" t="s">
        <v>83</v>
      </c>
      <c r="F5" s="46"/>
      <c r="G5" s="17"/>
      <c r="Z5" s="12" t="str">
        <f>IF(AND($B5&lt;&gt;"",$C5="Gasto"),COUNT($Z$4:Z4)+1,"")</f>
        <v/>
      </c>
      <c r="AA5" s="12">
        <f>IF(AND($B5&lt;&gt;"",$C5="Ingreso",SUMIFS('Registro Mensual'!$H$9:$H$1008,'Registro Mensual'!$C$9:$C$1008,Dashboard!$B$5,'Registro Mensual'!$D$9:$D$1008,$B5)&gt;0),COUNT($AA$4:AA4)+1,"")</f>
        <v>1</v>
      </c>
      <c r="AB5" s="12" t="str">
        <f>IFERROR(INDEX($B$5:$B$200,MATCH(ROWS($AB$5:AB5),$Z$5:$Z$200,0)),"")</f>
        <v>Arriendo</v>
      </c>
      <c r="AC5" s="12">
        <f>IF($AB5="","",SUMIFS('Registro Mensual'!$I$9:$I$1008,'Registro Mensual'!$C$9:$C$1008,Dashboard!$B$5,'Registro Mensual'!$D$9:$D$1008,$AB5))</f>
        <v>700000</v>
      </c>
    </row>
    <row r="6" spans="1:29" ht="21.95" customHeight="1" x14ac:dyDescent="0.25">
      <c r="A6" s="12"/>
      <c r="B6" s="27" t="s">
        <v>67</v>
      </c>
      <c r="C6" s="27" t="s">
        <v>82</v>
      </c>
      <c r="D6" s="12"/>
      <c r="E6" s="47"/>
      <c r="F6" s="48"/>
      <c r="G6" s="17"/>
      <c r="Z6" s="12" t="str">
        <f>IF(AND($B6&lt;&gt;"",$C6="Gasto"),COUNT($Z$4:Z5)+1,"")</f>
        <v/>
      </c>
      <c r="AA6" s="12" t="str">
        <f>IF(AND($B6&lt;&gt;"",$C6="Ingreso",SUMIFS('Registro Mensual'!$H$9:$H$1008,'Registro Mensual'!$C$9:$C$1008,Dashboard!$B$5,'Registro Mensual'!$D$9:$D$1008,$B6)&gt;0),COUNT($AA$4:AA5)+1,"")</f>
        <v/>
      </c>
      <c r="AB6" s="12" t="str">
        <f>IFERROR(INDEX($B$5:$B$200,MATCH(ROWS($AB$5:AB6),$Z$5:$Z$200,0)),"")</f>
        <v>Sueldos</v>
      </c>
      <c r="AC6" s="12">
        <f>IF($AB6="","",SUMIFS('Registro Mensual'!$I$9:$I$1008,'Registro Mensual'!$C$9:$C$1008,Dashboard!$B$5,'Registro Mensual'!$D$9:$D$1008,$AB6))</f>
        <v>0</v>
      </c>
    </row>
    <row r="7" spans="1:29" ht="21.95" customHeight="1" x14ac:dyDescent="0.25">
      <c r="A7" s="12"/>
      <c r="B7" s="27" t="s">
        <v>84</v>
      </c>
      <c r="C7" s="27" t="s">
        <v>82</v>
      </c>
      <c r="D7" s="12"/>
      <c r="E7" s="49"/>
      <c r="F7" s="50"/>
      <c r="G7" s="17"/>
      <c r="Z7" s="12" t="str">
        <f>IF(AND($B7&lt;&gt;"",$C7="Gasto"),COUNT($Z$4:Z6)+1,"")</f>
        <v/>
      </c>
      <c r="AA7" s="12" t="str">
        <f>IF(AND($B7&lt;&gt;"",$C7="Ingreso",SUMIFS('Registro Mensual'!$H$9:$H$1008,'Registro Mensual'!$C$9:$C$1008,Dashboard!$B$5,'Registro Mensual'!$D$9:$D$1008,$B7)&gt;0),COUNT($AA$4:AA6)+1,"")</f>
        <v/>
      </c>
      <c r="AB7" s="12" t="str">
        <f>IFERROR(INDEX($B$5:$B$200,MATCH(ROWS($AB$5:AB7),$Z$5:$Z$200,0)),"")</f>
        <v>Servicios básicos</v>
      </c>
      <c r="AC7" s="12">
        <f>IF($AB7="","",SUMIFS('Registro Mensual'!$I$9:$I$1008,'Registro Mensual'!$C$9:$C$1008,Dashboard!$B$5,'Registro Mensual'!$D$9:$D$1008,$AB7))</f>
        <v>130000</v>
      </c>
    </row>
    <row r="8" spans="1:29" ht="21.95" customHeight="1" x14ac:dyDescent="0.25">
      <c r="A8" s="12"/>
      <c r="B8" s="27" t="s">
        <v>70</v>
      </c>
      <c r="C8" s="27" t="s">
        <v>82</v>
      </c>
      <c r="D8" s="12"/>
      <c r="E8" s="17"/>
      <c r="F8" s="12"/>
      <c r="G8" s="17"/>
      <c r="Z8" s="12" t="str">
        <f>IF(AND($B8&lt;&gt;"",$C8="Gasto"),COUNT($Z$4:Z7)+1,"")</f>
        <v/>
      </c>
      <c r="AA8" s="12" t="str">
        <f>IF(AND($B8&lt;&gt;"",$C8="Ingreso",SUMIFS('Registro Mensual'!$H$9:$H$1008,'Registro Mensual'!$C$9:$C$1008,Dashboard!$B$5,'Registro Mensual'!$D$9:$D$1008,$B8)&gt;0),COUNT($AA$4:AA7)+1,"")</f>
        <v/>
      </c>
      <c r="AB8" s="12" t="str">
        <f>IFERROR(INDEX($B$5:$B$200,MATCH(ROWS($AB$5:AB8),$Z$5:$Z$200,0)),"")</f>
        <v>Insumos</v>
      </c>
      <c r="AC8" s="12">
        <f>IF($AB8="","",SUMIFS('Registro Mensual'!$I$9:$I$1008,'Registro Mensual'!$C$9:$C$1008,Dashboard!$B$5,'Registro Mensual'!$D$9:$D$1008,$AB8))</f>
        <v>0</v>
      </c>
    </row>
    <row r="9" spans="1:29" ht="21.95" customHeight="1" x14ac:dyDescent="0.25">
      <c r="A9" s="12"/>
      <c r="B9" s="27" t="s">
        <v>85</v>
      </c>
      <c r="C9" s="27" t="s">
        <v>82</v>
      </c>
      <c r="D9" s="12"/>
      <c r="E9" s="17"/>
      <c r="F9" s="17"/>
      <c r="G9" s="17"/>
      <c r="Z9" s="12" t="str">
        <f>IF(AND($B9&lt;&gt;"",$C9="Gasto"),COUNT($Z$4:Z8)+1,"")</f>
        <v/>
      </c>
      <c r="AA9" s="12" t="str">
        <f>IF(AND($B9&lt;&gt;"",$C9="Ingreso",SUMIFS('Registro Mensual'!$H$9:$H$1008,'Registro Mensual'!$C$9:$C$1008,Dashboard!$B$5,'Registro Mensual'!$D$9:$D$1008,$B9)&gt;0),COUNT($AA$4:AA8)+1,"")</f>
        <v/>
      </c>
      <c r="AB9" s="12" t="str">
        <f>IFERROR(INDEX($B$5:$B$200,MATCH(ROWS($AB$5:AB9),$Z$5:$Z$200,0)),"")</f>
        <v>Transporte</v>
      </c>
      <c r="AC9" s="12">
        <f>IF($AB9="","",SUMIFS('Registro Mensual'!$I$9:$I$1008,'Registro Mensual'!$C$9:$C$1008,Dashboard!$B$5,'Registro Mensual'!$D$9:$D$1008,$AB9))</f>
        <v>0</v>
      </c>
    </row>
    <row r="10" spans="1:29" ht="21.95" customHeight="1" x14ac:dyDescent="0.25">
      <c r="A10" s="12"/>
      <c r="B10" s="27" t="s">
        <v>56</v>
      </c>
      <c r="C10" s="27" t="s">
        <v>86</v>
      </c>
      <c r="D10" s="12"/>
      <c r="E10" s="52" t="s">
        <v>40</v>
      </c>
      <c r="F10" s="43"/>
      <c r="G10" s="12"/>
      <c r="Z10" s="12">
        <f>IF(AND($B10&lt;&gt;"",$C10="Gasto"),COUNT($Z$4:Z9)+1,"")</f>
        <v>1</v>
      </c>
      <c r="AA10" s="12" t="str">
        <f>IF(AND($B10&lt;&gt;"",$C10="Ingreso",SUMIFS('Registro Mensual'!$H$9:$H$1008,'Registro Mensual'!$C$9:$C$1008,Dashboard!$B$5,'Registro Mensual'!$D$9:$D$1008,$B10)&gt;0),COUNT($AA$4:AA9)+1,"")</f>
        <v/>
      </c>
      <c r="AB10" s="12" t="str">
        <f>IFERROR(INDEX($B$5:$B$200,MATCH(ROWS($AB$5:AB10),$Z$5:$Z$200,0)),"")</f>
        <v>Publicidad</v>
      </c>
      <c r="AC10" s="12">
        <f>IF($AB10="","",SUMIFS('Registro Mensual'!$I$9:$I$1008,'Registro Mensual'!$C$9:$C$1008,Dashboard!$B$5,'Registro Mensual'!$D$9:$D$1008,$AB10))</f>
        <v>1500000</v>
      </c>
    </row>
    <row r="11" spans="1:29" ht="21.95" customHeight="1" x14ac:dyDescent="0.25">
      <c r="A11" s="12"/>
      <c r="B11" s="27" t="s">
        <v>65</v>
      </c>
      <c r="C11" s="27" t="s">
        <v>86</v>
      </c>
      <c r="D11" s="12"/>
      <c r="E11" s="61" t="s">
        <v>87</v>
      </c>
      <c r="F11" s="46"/>
      <c r="G11" s="12"/>
      <c r="Z11" s="12">
        <f>IF(AND($B11&lt;&gt;"",$C11="Gasto"),COUNT($Z$4:Z10)+1,"")</f>
        <v>2</v>
      </c>
      <c r="AA11" s="12" t="str">
        <f>IF(AND($B11&lt;&gt;"",$C11="Ingreso",SUMIFS('Registro Mensual'!$H$9:$H$1008,'Registro Mensual'!$C$9:$C$1008,Dashboard!$B$5,'Registro Mensual'!$D$9:$D$1008,$B11)&gt;0),COUNT($AA$4:AA10)+1,"")</f>
        <v/>
      </c>
      <c r="AB11" s="12" t="str">
        <f>IFERROR(INDEX($B$5:$B$200,MATCH(ROWS($AB$5:AB11),$Z$5:$Z$200,0)),"")</f>
        <v>Internet</v>
      </c>
      <c r="AC11" s="12">
        <f>IF($AB11="","",SUMIFS('Registro Mensual'!$I$9:$I$1008,'Registro Mensual'!$C$9:$C$1008,Dashboard!$B$5,'Registro Mensual'!$D$9:$D$1008,$AB11))</f>
        <v>0</v>
      </c>
    </row>
    <row r="12" spans="1:29" ht="21.95" customHeight="1" x14ac:dyDescent="0.25">
      <c r="A12" s="12"/>
      <c r="B12" s="27" t="s">
        <v>59</v>
      </c>
      <c r="C12" s="27" t="s">
        <v>86</v>
      </c>
      <c r="D12" s="12"/>
      <c r="E12" s="47"/>
      <c r="F12" s="48"/>
      <c r="G12" s="12"/>
      <c r="Z12" s="12">
        <f>IF(AND($B12&lt;&gt;"",$C12="Gasto"),COUNT($Z$4:Z11)+1,"")</f>
        <v>3</v>
      </c>
      <c r="AA12" s="12" t="str">
        <f>IF(AND($B12&lt;&gt;"",$C12="Ingreso",SUMIFS('Registro Mensual'!$H$9:$H$1008,'Registro Mensual'!$C$9:$C$1008,Dashboard!$B$5,'Registro Mensual'!$D$9:$D$1008,$B12)&gt;0),COUNT($AA$4:AA11)+1,"")</f>
        <v/>
      </c>
      <c r="AB12" s="12" t="str">
        <f>IFERROR(INDEX($B$5:$B$200,MATCH(ROWS($AB$5:AB12),$Z$5:$Z$200,0)),"")</f>
        <v>Contabilidad</v>
      </c>
      <c r="AC12" s="12">
        <f>IF($AB12="","",SUMIFS('Registro Mensual'!$I$9:$I$1008,'Registro Mensual'!$C$9:$C$1008,Dashboard!$B$5,'Registro Mensual'!$D$9:$D$1008,$AB12))</f>
        <v>0</v>
      </c>
    </row>
    <row r="13" spans="1:29" ht="21.95" customHeight="1" x14ac:dyDescent="0.25">
      <c r="A13" s="12"/>
      <c r="B13" s="27" t="s">
        <v>64</v>
      </c>
      <c r="C13" s="27" t="s">
        <v>86</v>
      </c>
      <c r="D13" s="12"/>
      <c r="E13" s="47"/>
      <c r="F13" s="48"/>
      <c r="G13" s="12"/>
      <c r="Z13" s="12">
        <f>IF(AND($B13&lt;&gt;"",$C13="Gasto"),COUNT($Z$4:Z12)+1,"")</f>
        <v>4</v>
      </c>
      <c r="AA13" s="12" t="str">
        <f>IF(AND($B13&lt;&gt;"",$C13="Ingreso",SUMIFS('Registro Mensual'!$H$9:$H$1008,'Registro Mensual'!$C$9:$C$1008,Dashboard!$B$5,'Registro Mensual'!$D$9:$D$1008,$B13)&gt;0),COUNT($AA$4:AA12)+1,"")</f>
        <v/>
      </c>
      <c r="AB13" s="12" t="str">
        <f>IFERROR(INDEX($B$5:$B$200,MATCH(ROWS($AB$5:AB13),$Z$5:$Z$200,0)),"")</f>
        <v>Patente / permisos</v>
      </c>
      <c r="AC13" s="12">
        <f>IF($AB13="","",SUMIFS('Registro Mensual'!$I$9:$I$1008,'Registro Mensual'!$C$9:$C$1008,Dashboard!$B$5,'Registro Mensual'!$D$9:$D$1008,$AB13))</f>
        <v>0</v>
      </c>
    </row>
    <row r="14" spans="1:29" ht="21.95" customHeight="1" x14ac:dyDescent="0.25">
      <c r="A14" s="12"/>
      <c r="B14" s="27" t="s">
        <v>88</v>
      </c>
      <c r="C14" s="27" t="s">
        <v>86</v>
      </c>
      <c r="D14" s="12"/>
      <c r="E14" s="49"/>
      <c r="F14" s="50"/>
      <c r="G14" s="12"/>
      <c r="Z14" s="12">
        <f>IF(AND($B14&lt;&gt;"",$C14="Gasto"),COUNT($Z$4:Z13)+1,"")</f>
        <v>5</v>
      </c>
      <c r="AA14" s="12" t="str">
        <f>IF(AND($B14&lt;&gt;"",$C14="Ingreso",SUMIFS('Registro Mensual'!$H$9:$H$1008,'Registro Mensual'!$C$9:$C$1008,Dashboard!$B$5,'Registro Mensual'!$D$9:$D$1008,$B14)&gt;0),COUNT($AA$4:AA13)+1,"")</f>
        <v/>
      </c>
      <c r="AB14" s="12" t="str">
        <f>IFERROR(INDEX($B$5:$B$200,MATCH(ROWS($AB$5:AB14),$Z$5:$Z$200,0)),"")</f>
        <v>Mantenimiento</v>
      </c>
      <c r="AC14" s="12">
        <f>IF($AB14="","",SUMIFS('Registro Mensual'!$I$9:$I$1008,'Registro Mensual'!$C$9:$C$1008,Dashboard!$B$5,'Registro Mensual'!$D$9:$D$1008,$AB14))</f>
        <v>0</v>
      </c>
    </row>
    <row r="15" spans="1:29" ht="21.95" customHeight="1" x14ac:dyDescent="0.25">
      <c r="A15" s="12"/>
      <c r="B15" s="27" t="s">
        <v>61</v>
      </c>
      <c r="C15" s="27" t="s">
        <v>86</v>
      </c>
      <c r="D15" s="12"/>
      <c r="E15" s="12"/>
      <c r="F15" s="12"/>
      <c r="G15" s="12"/>
      <c r="Z15" s="12">
        <f>IF(AND($B15&lt;&gt;"",$C15="Gasto"),COUNT($Z$4:Z14)+1,"")</f>
        <v>6</v>
      </c>
      <c r="AA15" s="12" t="str">
        <f>IF(AND($B15&lt;&gt;"",$C15="Ingreso",SUMIFS('Registro Mensual'!$H$9:$H$1008,'Registro Mensual'!$C$9:$C$1008,Dashboard!$B$5,'Registro Mensual'!$D$9:$D$1008,$B15)&gt;0),COUNT($AA$4:AA14)+1,"")</f>
        <v/>
      </c>
      <c r="AB15" s="12" t="str">
        <f>IFERROR(INDEX($B$5:$B$200,MATCH(ROWS($AB$5:AB15),$Z$5:$Z$200,0)),"")</f>
        <v>Comisiones</v>
      </c>
      <c r="AC15" s="12">
        <f>IF($AB15="","",SUMIFS('Registro Mensual'!$I$9:$I$1008,'Registro Mensual'!$C$9:$C$1008,Dashboard!$B$5,'Registro Mensual'!$D$9:$D$1008,$AB15))</f>
        <v>0</v>
      </c>
    </row>
    <row r="16" spans="1:29" ht="21.95" customHeight="1" x14ac:dyDescent="0.25">
      <c r="A16" s="12"/>
      <c r="B16" s="27" t="s">
        <v>68</v>
      </c>
      <c r="C16" s="27" t="s">
        <v>86</v>
      </c>
      <c r="D16" s="12"/>
      <c r="E16" s="12"/>
      <c r="F16" s="12"/>
      <c r="G16" s="12"/>
      <c r="Z16" s="12">
        <f>IF(AND($B16&lt;&gt;"",$C16="Gasto"),COUNT($Z$4:Z15)+1,"")</f>
        <v>7</v>
      </c>
      <c r="AA16" s="12" t="str">
        <f>IF(AND($B16&lt;&gt;"",$C16="Ingreso",SUMIFS('Registro Mensual'!$H$9:$H$1008,'Registro Mensual'!$C$9:$C$1008,Dashboard!$B$5,'Registro Mensual'!$D$9:$D$1008,$B16)&gt;0),COUNT($AA$4:AA15)+1,"")</f>
        <v/>
      </c>
      <c r="AB16" s="12" t="str">
        <f>IFERROR(INDEX($B$5:$B$200,MATCH(ROWS($AB$5:AB16),$Z$5:$Z$200,0)),"")</f>
        <v>Delivery</v>
      </c>
      <c r="AC16" s="12">
        <f>IF($AB16="","",SUMIFS('Registro Mensual'!$I$9:$I$1008,'Registro Mensual'!$C$9:$C$1008,Dashboard!$B$5,'Registro Mensual'!$D$9:$D$1008,$AB16))</f>
        <v>0</v>
      </c>
    </row>
    <row r="17" spans="1:29" ht="21.95" customHeight="1" x14ac:dyDescent="0.25">
      <c r="A17" s="12"/>
      <c r="B17" s="27" t="s">
        <v>73</v>
      </c>
      <c r="C17" s="27" t="s">
        <v>86</v>
      </c>
      <c r="D17" s="12"/>
      <c r="E17" s="12"/>
      <c r="F17" s="12"/>
      <c r="G17" s="12"/>
      <c r="Z17" s="12">
        <f>IF(AND($B17&lt;&gt;"",$C17="Gasto"),COUNT($Z$4:Z16)+1,"")</f>
        <v>8</v>
      </c>
      <c r="AA17" s="12" t="str">
        <f>IF(AND($B17&lt;&gt;"",$C17="Ingreso",SUMIFS('Registro Mensual'!$H$9:$H$1008,'Registro Mensual'!$C$9:$C$1008,Dashboard!$B$5,'Registro Mensual'!$D$9:$D$1008,$B17)&gt;0),COUNT($AA$4:AA16)+1,"")</f>
        <v/>
      </c>
      <c r="AB17" s="12" t="str">
        <f>IFERROR(INDEX($B$5:$B$200,MATCH(ROWS($AB$5:AB17),$Z$5:$Z$200,0)),"")</f>
        <v>Otros gastos</v>
      </c>
      <c r="AC17" s="12">
        <f>IF($AB17="","",SUMIFS('Registro Mensual'!$I$9:$I$1008,'Registro Mensual'!$C$9:$C$1008,Dashboard!$B$5,'Registro Mensual'!$D$9:$D$1008,$AB17))</f>
        <v>0</v>
      </c>
    </row>
    <row r="18" spans="1:29" ht="21.95" customHeight="1" x14ac:dyDescent="0.25">
      <c r="A18" s="12"/>
      <c r="B18" s="27" t="s">
        <v>89</v>
      </c>
      <c r="C18" s="27" t="s">
        <v>86</v>
      </c>
      <c r="D18" s="12"/>
      <c r="E18" s="12"/>
      <c r="F18" s="12"/>
      <c r="G18" s="12"/>
      <c r="Z18" s="12">
        <f>IF(AND($B18&lt;&gt;"",$C18="Gasto"),COUNT($Z$4:Z17)+1,"")</f>
        <v>9</v>
      </c>
      <c r="AA18" s="12" t="str">
        <f>IF(AND($B18&lt;&gt;"",$C18="Ingreso",SUMIFS('Registro Mensual'!$H$9:$H$1008,'Registro Mensual'!$C$9:$C$1008,Dashboard!$B$5,'Registro Mensual'!$D$9:$D$1008,$B18)&gt;0),COUNT($AA$4:AA17)+1,"")</f>
        <v/>
      </c>
      <c r="AB18" s="12" t="str">
        <f>IFERROR(INDEX($B$5:$B$200,MATCH(ROWS($AB$5:AB18),$Z$5:$Z$200,0)),"")</f>
        <v/>
      </c>
      <c r="AC18" s="12" t="str">
        <f>IF($AB18="","",SUMIFS('Registro Mensual'!$I$9:$I$1008,'Registro Mensual'!$C$9:$C$1008,Dashboard!$B$5,'Registro Mensual'!$D$9:$D$1008,$AB18))</f>
        <v/>
      </c>
    </row>
    <row r="19" spans="1:29" ht="21.95" customHeight="1" x14ac:dyDescent="0.25">
      <c r="A19" s="12"/>
      <c r="B19" s="27" t="s">
        <v>72</v>
      </c>
      <c r="C19" s="27" t="s">
        <v>86</v>
      </c>
      <c r="D19" s="12"/>
      <c r="E19" s="12"/>
      <c r="F19" s="12"/>
      <c r="G19" s="12"/>
      <c r="Z19" s="12">
        <f>IF(AND($B19&lt;&gt;"",$C19="Gasto"),COUNT($Z$4:Z18)+1,"")</f>
        <v>10</v>
      </c>
      <c r="AA19" s="12" t="str">
        <f>IF(AND($B19&lt;&gt;"",$C19="Ingreso",SUMIFS('Registro Mensual'!$H$9:$H$1008,'Registro Mensual'!$C$9:$C$1008,Dashboard!$B$5,'Registro Mensual'!$D$9:$D$1008,$B19)&gt;0),COUNT($AA$4:AA18)+1,"")</f>
        <v/>
      </c>
      <c r="AB19" s="12" t="str">
        <f>IFERROR(INDEX($B$5:$B$200,MATCH(ROWS($AB$5:AB19),$Z$5:$Z$200,0)),"")</f>
        <v/>
      </c>
      <c r="AC19" s="12" t="str">
        <f>IF($AB19="","",SUMIFS('Registro Mensual'!$I$9:$I$1008,'Registro Mensual'!$C$9:$C$1008,Dashboard!$B$5,'Registro Mensual'!$D$9:$D$1008,$AB19))</f>
        <v/>
      </c>
    </row>
    <row r="20" spans="1:29" ht="21.95" customHeight="1" x14ac:dyDescent="0.25">
      <c r="A20" s="12"/>
      <c r="B20" s="27" t="s">
        <v>69</v>
      </c>
      <c r="C20" s="27" t="s">
        <v>86</v>
      </c>
      <c r="D20" s="12"/>
      <c r="E20" s="12"/>
      <c r="F20" s="12"/>
      <c r="G20" s="12"/>
      <c r="Z20" s="12">
        <f>IF(AND($B20&lt;&gt;"",$C20="Gasto"),COUNT($Z$4:Z19)+1,"")</f>
        <v>11</v>
      </c>
      <c r="AA20" s="12" t="str">
        <f>IF(AND($B20&lt;&gt;"",$C20="Ingreso",SUMIFS('Registro Mensual'!$H$9:$H$1008,'Registro Mensual'!$C$9:$C$1008,Dashboard!$B$5,'Registro Mensual'!$D$9:$D$1008,$B20)&gt;0),COUNT($AA$4:AA19)+1,"")</f>
        <v/>
      </c>
      <c r="AB20" s="12" t="str">
        <f>IFERROR(INDEX($B$5:$B$200,MATCH(ROWS($AB$5:AB20),$Z$5:$Z$200,0)),"")</f>
        <v/>
      </c>
      <c r="AC20" s="12" t="str">
        <f>IF($AB20="","",SUMIFS('Registro Mensual'!$I$9:$I$1008,'Registro Mensual'!$C$9:$C$1008,Dashboard!$B$5,'Registro Mensual'!$D$9:$D$1008,$AB20))</f>
        <v/>
      </c>
    </row>
    <row r="21" spans="1:29" ht="21.95" customHeight="1" x14ac:dyDescent="0.25">
      <c r="A21" s="12"/>
      <c r="B21" s="27" t="s">
        <v>71</v>
      </c>
      <c r="C21" s="27" t="s">
        <v>86</v>
      </c>
      <c r="D21" s="12"/>
      <c r="E21" s="12"/>
      <c r="F21" s="12"/>
      <c r="G21" s="12"/>
      <c r="Z21" s="12">
        <f>IF(AND($B21&lt;&gt;"",$C21="Gasto"),COUNT($Z$4:Z20)+1,"")</f>
        <v>12</v>
      </c>
      <c r="AA21" s="12" t="str">
        <f>IF(AND($B21&lt;&gt;"",$C21="Ingreso",SUMIFS('Registro Mensual'!$H$9:$H$1008,'Registro Mensual'!$C$9:$C$1008,Dashboard!$B$5,'Registro Mensual'!$D$9:$D$1008,$B21)&gt;0),COUNT($AA$4:AA20)+1,"")</f>
        <v/>
      </c>
      <c r="AB21" s="12" t="str">
        <f>IFERROR(INDEX($B$5:$B$200,MATCH(ROWS($AB$5:AB21),$Z$5:$Z$200,0)),"")</f>
        <v/>
      </c>
      <c r="AC21" s="12" t="str">
        <f>IF($AB21="","",SUMIFS('Registro Mensual'!$I$9:$I$1008,'Registro Mensual'!$C$9:$C$1008,Dashboard!$B$5,'Registro Mensual'!$D$9:$D$1008,$AB21))</f>
        <v/>
      </c>
    </row>
    <row r="22" spans="1:29" ht="21.95" customHeight="1" x14ac:dyDescent="0.25">
      <c r="A22" s="12"/>
      <c r="B22" s="27" t="s">
        <v>74</v>
      </c>
      <c r="C22" s="27" t="s">
        <v>86</v>
      </c>
      <c r="D22" s="12"/>
      <c r="E22" s="12"/>
      <c r="F22" s="12"/>
      <c r="G22" s="12"/>
      <c r="Z22" s="12">
        <f>IF(AND($B22&lt;&gt;"",$C22="Gasto"),COUNT($Z$4:Z21)+1,"")</f>
        <v>13</v>
      </c>
      <c r="AA22" s="12" t="str">
        <f>IF(AND($B22&lt;&gt;"",$C22="Ingreso",SUMIFS('Registro Mensual'!$H$9:$H$1008,'Registro Mensual'!$C$9:$C$1008,Dashboard!$B$5,'Registro Mensual'!$D$9:$D$1008,$B22)&gt;0),COUNT($AA$4:AA21)+1,"")</f>
        <v/>
      </c>
      <c r="AB22" s="12" t="str">
        <f>IFERROR(INDEX($B$5:$B$200,MATCH(ROWS($AB$5:AB22),$Z$5:$Z$200,0)),"")</f>
        <v/>
      </c>
      <c r="AC22" s="12" t="str">
        <f>IF($AB22="","",SUMIFS('Registro Mensual'!$I$9:$I$1008,'Registro Mensual'!$C$9:$C$1008,Dashboard!$B$5,'Registro Mensual'!$D$9:$D$1008,$AB22))</f>
        <v/>
      </c>
    </row>
    <row r="23" spans="1:29" ht="21.95" customHeight="1" x14ac:dyDescent="0.25">
      <c r="A23" s="12"/>
      <c r="B23" s="27" t="s">
        <v>63</v>
      </c>
      <c r="C23" s="27" t="s">
        <v>90</v>
      </c>
      <c r="D23" s="12"/>
      <c r="E23" s="12"/>
      <c r="F23" s="12"/>
      <c r="G23" s="12"/>
      <c r="Z23" s="12" t="str">
        <f>IF(AND($B23&lt;&gt;"",$C23="Gasto"),COUNT($Z$4:Z22)+1,"")</f>
        <v/>
      </c>
      <c r="AA23" s="12" t="str">
        <f>IF(AND($B23&lt;&gt;"",$C23="Ingreso",SUMIFS('Registro Mensual'!$H$9:$H$1008,'Registro Mensual'!$C$9:$C$1008,Dashboard!$B$5,'Registro Mensual'!$D$9:$D$1008,$B23)&gt;0),COUNT($AA$4:AA22)+1,"")</f>
        <v/>
      </c>
      <c r="AB23" s="12" t="str">
        <f>IFERROR(INDEX($B$5:$B$200,MATCH(ROWS($AB$5:AB23),$Z$5:$Z$200,0)),"")</f>
        <v/>
      </c>
      <c r="AC23" s="12" t="str">
        <f>IF($AB23="","",SUMIFS('Registro Mensual'!$I$9:$I$1008,'Registro Mensual'!$C$9:$C$1008,Dashboard!$B$5,'Registro Mensual'!$D$9:$D$1008,$AB23))</f>
        <v/>
      </c>
    </row>
    <row r="24" spans="1:29" ht="21.95" customHeight="1" x14ac:dyDescent="0.25">
      <c r="A24" s="12"/>
      <c r="B24" s="27" t="s">
        <v>66</v>
      </c>
      <c r="C24" s="27" t="s">
        <v>90</v>
      </c>
      <c r="D24" s="12"/>
      <c r="E24" s="12"/>
      <c r="F24" s="12"/>
      <c r="G24" s="12"/>
      <c r="Z24" s="12" t="str">
        <f>IF(AND($B24&lt;&gt;"",$C24="Gasto"),COUNT($Z$4:Z23)+1,"")</f>
        <v/>
      </c>
      <c r="AA24" s="12" t="str">
        <f>IF(AND($B24&lt;&gt;"",$C24="Ingreso",SUMIFS('Registro Mensual'!$H$9:$H$1008,'Registro Mensual'!$C$9:$C$1008,Dashboard!$B$5,'Registro Mensual'!$D$9:$D$1008,$B24)&gt;0),COUNT($AA$4:AA23)+1,"")</f>
        <v/>
      </c>
      <c r="AB24" s="12" t="str">
        <f>IFERROR(INDEX($B$5:$B$200,MATCH(ROWS($AB$5:AB24),$Z$5:$Z$200,0)),"")</f>
        <v/>
      </c>
      <c r="AC24" s="12" t="str">
        <f>IF($AB24="","",SUMIFS('Registro Mensual'!$I$9:$I$1008,'Registro Mensual'!$C$9:$C$1008,Dashboard!$B$5,'Registro Mensual'!$D$9:$D$1008,$AB24))</f>
        <v/>
      </c>
    </row>
    <row r="25" spans="1:29" ht="21.95" customHeight="1" x14ac:dyDescent="0.25">
      <c r="A25" s="12"/>
      <c r="B25" s="27" t="s">
        <v>75</v>
      </c>
      <c r="C25" s="27" t="s">
        <v>90</v>
      </c>
      <c r="D25" s="12"/>
      <c r="E25" s="12"/>
      <c r="F25" s="12"/>
      <c r="G25" s="12"/>
      <c r="Z25" s="12" t="str">
        <f>IF(AND($B25&lt;&gt;"",$C25="Gasto"),COUNT($Z$4:Z24)+1,"")</f>
        <v/>
      </c>
      <c r="AA25" s="12" t="str">
        <f>IF(AND($B25&lt;&gt;"",$C25="Ingreso",SUMIFS('Registro Mensual'!$H$9:$H$1008,'Registro Mensual'!$C$9:$C$1008,Dashboard!$B$5,'Registro Mensual'!$D$9:$D$1008,$B25)&gt;0),COUNT($AA$4:AA24)+1,"")</f>
        <v/>
      </c>
      <c r="AB25" s="12" t="str">
        <f>IFERROR(INDEX($B$5:$B$200,MATCH(ROWS($AB$5:AB25),$Z$5:$Z$200,0)),"")</f>
        <v/>
      </c>
      <c r="AC25" s="12" t="str">
        <f>IF($AB25="","",SUMIFS('Registro Mensual'!$I$9:$I$1008,'Registro Mensual'!$C$9:$C$1008,Dashboard!$B$5,'Registro Mensual'!$D$9:$D$1008,$AB25))</f>
        <v/>
      </c>
    </row>
    <row r="26" spans="1:29" ht="21.95" customHeight="1" x14ac:dyDescent="0.25">
      <c r="A26" s="12"/>
      <c r="B26" s="28"/>
      <c r="C26" s="28"/>
      <c r="D26" s="12"/>
      <c r="E26" s="12"/>
      <c r="F26" s="12"/>
      <c r="G26" s="12"/>
      <c r="Z26" s="12" t="str">
        <f>IF(AND($B26&lt;&gt;"",$C26="Gasto"),COUNT($Z$4:Z25)+1,"")</f>
        <v/>
      </c>
      <c r="AA26" s="12" t="str">
        <f>IF(AND($B26&lt;&gt;"",$C26="Ingreso",SUMIFS('Registro Mensual'!$H$9:$H$1008,'Registro Mensual'!$C$9:$C$1008,Dashboard!$B$5,'Registro Mensual'!$D$9:$D$1008,$B26)&gt;0),COUNT($AA$4:AA25)+1,"")</f>
        <v/>
      </c>
      <c r="AB26" s="12" t="str">
        <f>IFERROR(INDEX($B$5:$B$200,MATCH(ROWS($AB$5:AB26),$Z$5:$Z$200,0)),"")</f>
        <v/>
      </c>
      <c r="AC26" s="12" t="str">
        <f>IF($AB26="","",SUMIFS('Registro Mensual'!$I$9:$I$1008,'Registro Mensual'!$C$9:$C$1008,Dashboard!$B$5,'Registro Mensual'!$D$9:$D$1008,$AB26))</f>
        <v/>
      </c>
    </row>
    <row r="27" spans="1:29" ht="21.95" customHeight="1" x14ac:dyDescent="0.25">
      <c r="A27" s="12"/>
      <c r="B27" s="28"/>
      <c r="C27" s="28"/>
      <c r="D27" s="12"/>
      <c r="E27" s="12"/>
      <c r="F27" s="12"/>
      <c r="G27" s="12"/>
      <c r="Z27" s="12" t="str">
        <f>IF(AND($B27&lt;&gt;"",$C27="Gasto"),COUNT($Z$4:Z26)+1,"")</f>
        <v/>
      </c>
      <c r="AA27" s="12" t="str">
        <f>IF(AND($B27&lt;&gt;"",$C27="Ingreso",SUMIFS('Registro Mensual'!$H$9:$H$1008,'Registro Mensual'!$C$9:$C$1008,Dashboard!$B$5,'Registro Mensual'!$D$9:$D$1008,$B27)&gt;0),COUNT($AA$4:AA26)+1,"")</f>
        <v/>
      </c>
      <c r="AB27" s="12" t="str">
        <f>IFERROR(INDEX($B$5:$B$200,MATCH(ROWS($AB$5:AB27),$Z$5:$Z$200,0)),"")</f>
        <v/>
      </c>
      <c r="AC27" s="12" t="str">
        <f>IF($AB27="","",SUMIFS('Registro Mensual'!$I$9:$I$1008,'Registro Mensual'!$C$9:$C$1008,Dashboard!$B$5,'Registro Mensual'!$D$9:$D$1008,$AB27))</f>
        <v/>
      </c>
    </row>
    <row r="28" spans="1:29" ht="21.95" customHeight="1" x14ac:dyDescent="0.25">
      <c r="A28" s="12"/>
      <c r="B28" s="28"/>
      <c r="C28" s="28"/>
      <c r="D28" s="12"/>
      <c r="E28" s="12"/>
      <c r="F28" s="12"/>
      <c r="G28" s="12"/>
      <c r="Z28" s="12" t="str">
        <f>IF(AND($B28&lt;&gt;"",$C28="Gasto"),COUNT($Z$4:Z27)+1,"")</f>
        <v/>
      </c>
      <c r="AA28" s="12" t="str">
        <f>IF(AND($B28&lt;&gt;"",$C28="Ingreso",SUMIFS('Registro Mensual'!$H$9:$H$1008,'Registro Mensual'!$C$9:$C$1008,Dashboard!$B$5,'Registro Mensual'!$D$9:$D$1008,$B28)&gt;0),COUNT($AA$4:AA27)+1,"")</f>
        <v/>
      </c>
      <c r="AB28" s="12" t="str">
        <f>IFERROR(INDEX($B$5:$B$200,MATCH(ROWS($AB$5:AB28),$Z$5:$Z$200,0)),"")</f>
        <v/>
      </c>
      <c r="AC28" s="12" t="str">
        <f>IF($AB28="","",SUMIFS('Registro Mensual'!$I$9:$I$1008,'Registro Mensual'!$C$9:$C$1008,Dashboard!$B$5,'Registro Mensual'!$D$9:$D$1008,$AB28))</f>
        <v/>
      </c>
    </row>
    <row r="29" spans="1:29" ht="21.95" customHeight="1" x14ac:dyDescent="0.25">
      <c r="A29" s="12"/>
      <c r="B29" s="28"/>
      <c r="C29" s="28"/>
      <c r="D29" s="12"/>
      <c r="E29" s="12"/>
      <c r="F29" s="12"/>
      <c r="G29" s="12"/>
      <c r="Z29" s="12" t="str">
        <f>IF(AND($B29&lt;&gt;"",$C29="Gasto"),COUNT($Z$4:Z28)+1,"")</f>
        <v/>
      </c>
      <c r="AA29" s="12" t="str">
        <f>IF(AND($B29&lt;&gt;"",$C29="Ingreso",SUMIFS('Registro Mensual'!$H$9:$H$1008,'Registro Mensual'!$C$9:$C$1008,Dashboard!$B$5,'Registro Mensual'!$D$9:$D$1008,$B29)&gt;0),COUNT($AA$4:AA28)+1,"")</f>
        <v/>
      </c>
      <c r="AB29" s="12" t="str">
        <f>IFERROR(INDEX($B$5:$B$200,MATCH(ROWS($AB$5:AB29),$Z$5:$Z$200,0)),"")</f>
        <v/>
      </c>
      <c r="AC29" s="12" t="str">
        <f>IF($AB29="","",SUMIFS('Registro Mensual'!$I$9:$I$1008,'Registro Mensual'!$C$9:$C$1008,Dashboard!$B$5,'Registro Mensual'!$D$9:$D$1008,$AB29))</f>
        <v/>
      </c>
    </row>
    <row r="30" spans="1:29" ht="21.95" customHeight="1" x14ac:dyDescent="0.25">
      <c r="A30" s="12"/>
      <c r="B30" s="28"/>
      <c r="C30" s="28"/>
      <c r="D30" s="12"/>
      <c r="E30" s="12"/>
      <c r="F30" s="12"/>
      <c r="G30" s="12"/>
      <c r="Z30" s="12" t="str">
        <f>IF(AND($B30&lt;&gt;"",$C30="Gasto"),COUNT($Z$4:Z29)+1,"")</f>
        <v/>
      </c>
      <c r="AA30" s="12" t="str">
        <f>IF(AND($B30&lt;&gt;"",$C30="Ingreso",SUMIFS('Registro Mensual'!$H$9:$H$1008,'Registro Mensual'!$C$9:$C$1008,Dashboard!$B$5,'Registro Mensual'!$D$9:$D$1008,$B30)&gt;0),COUNT($AA$4:AA29)+1,"")</f>
        <v/>
      </c>
      <c r="AB30" s="12" t="str">
        <f>IFERROR(INDEX($B$5:$B$200,MATCH(ROWS($AB$5:AB30),$Z$5:$Z$200,0)),"")</f>
        <v/>
      </c>
      <c r="AC30" s="12" t="str">
        <f>IF($AB30="","",SUMIFS('Registro Mensual'!$I$9:$I$1008,'Registro Mensual'!$C$9:$C$1008,Dashboard!$B$5,'Registro Mensual'!$D$9:$D$1008,$AB30))</f>
        <v/>
      </c>
    </row>
    <row r="31" spans="1:29" ht="21.95" customHeight="1" x14ac:dyDescent="0.25">
      <c r="A31" s="12"/>
      <c r="B31" s="28"/>
      <c r="C31" s="28"/>
      <c r="D31" s="12"/>
      <c r="E31" s="12"/>
      <c r="F31" s="12"/>
      <c r="G31" s="12"/>
      <c r="Z31" s="12" t="str">
        <f>IF(AND($B31&lt;&gt;"",$C31="Gasto"),COUNT($Z$4:Z30)+1,"")</f>
        <v/>
      </c>
      <c r="AA31" s="12" t="str">
        <f>IF(AND($B31&lt;&gt;"",$C31="Ingreso",SUMIFS('Registro Mensual'!$H$9:$H$1008,'Registro Mensual'!$C$9:$C$1008,Dashboard!$B$5,'Registro Mensual'!$D$9:$D$1008,$B31)&gt;0),COUNT($AA$4:AA30)+1,"")</f>
        <v/>
      </c>
      <c r="AB31" s="12" t="str">
        <f>IFERROR(INDEX($B$5:$B$200,MATCH(ROWS($AB$5:AB31),$Z$5:$Z$200,0)),"")</f>
        <v/>
      </c>
      <c r="AC31" s="12" t="str">
        <f>IF($AB31="","",SUMIFS('Registro Mensual'!$I$9:$I$1008,'Registro Mensual'!$C$9:$C$1008,Dashboard!$B$5,'Registro Mensual'!$D$9:$D$1008,$AB31))</f>
        <v/>
      </c>
    </row>
    <row r="32" spans="1:29" ht="21.95" customHeight="1" x14ac:dyDescent="0.25">
      <c r="A32" s="12"/>
      <c r="B32" s="28"/>
      <c r="C32" s="28"/>
      <c r="D32" s="12"/>
      <c r="E32" s="12"/>
      <c r="F32" s="12"/>
      <c r="G32" s="12"/>
      <c r="Z32" s="12" t="str">
        <f>IF(AND($B32&lt;&gt;"",$C32="Gasto"),COUNT($Z$4:Z31)+1,"")</f>
        <v/>
      </c>
      <c r="AA32" s="12" t="str">
        <f>IF(AND($B32&lt;&gt;"",$C32="Ingreso",SUMIFS('Registro Mensual'!$H$9:$H$1008,'Registro Mensual'!$C$9:$C$1008,Dashboard!$B$5,'Registro Mensual'!$D$9:$D$1008,$B32)&gt;0),COUNT($AA$4:AA31)+1,"")</f>
        <v/>
      </c>
      <c r="AB32" s="12" t="str">
        <f>IFERROR(INDEX($B$5:$B$200,MATCH(ROWS($AB$5:AB32),$Z$5:$Z$200,0)),"")</f>
        <v/>
      </c>
      <c r="AC32" s="12" t="str">
        <f>IF($AB32="","",SUMIFS('Registro Mensual'!$I$9:$I$1008,'Registro Mensual'!$C$9:$C$1008,Dashboard!$B$5,'Registro Mensual'!$D$9:$D$1008,$AB32))</f>
        <v/>
      </c>
    </row>
    <row r="33" spans="1:29" ht="21.95" customHeight="1" x14ac:dyDescent="0.25">
      <c r="A33" s="12"/>
      <c r="B33" s="28"/>
      <c r="C33" s="28"/>
      <c r="D33" s="12"/>
      <c r="E33" s="12"/>
      <c r="F33" s="12"/>
      <c r="G33" s="12"/>
      <c r="Z33" s="12" t="str">
        <f>IF(AND($B33&lt;&gt;"",$C33="Gasto"),COUNT($Z$4:Z32)+1,"")</f>
        <v/>
      </c>
      <c r="AA33" s="12" t="str">
        <f>IF(AND($B33&lt;&gt;"",$C33="Ingreso",SUMIFS('Registro Mensual'!$H$9:$H$1008,'Registro Mensual'!$C$9:$C$1008,Dashboard!$B$5,'Registro Mensual'!$D$9:$D$1008,$B33)&gt;0),COUNT($AA$4:AA32)+1,"")</f>
        <v/>
      </c>
      <c r="AB33" s="12" t="str">
        <f>IFERROR(INDEX($B$5:$B$200,MATCH(ROWS($AB$5:AB33),$Z$5:$Z$200,0)),"")</f>
        <v/>
      </c>
      <c r="AC33" s="12" t="str">
        <f>IF($AB33="","",SUMIFS('Registro Mensual'!$I$9:$I$1008,'Registro Mensual'!$C$9:$C$1008,Dashboard!$B$5,'Registro Mensual'!$D$9:$D$1008,$AB33))</f>
        <v/>
      </c>
    </row>
    <row r="34" spans="1:29" ht="21.95" customHeight="1" x14ac:dyDescent="0.25">
      <c r="A34" s="12"/>
      <c r="B34" s="28"/>
      <c r="C34" s="28"/>
      <c r="D34" s="12"/>
      <c r="E34" s="12"/>
      <c r="F34" s="12"/>
      <c r="G34" s="12"/>
      <c r="Z34" s="12" t="str">
        <f>IF(AND($B34&lt;&gt;"",$C34="Gasto"),COUNT($Z$4:Z33)+1,"")</f>
        <v/>
      </c>
      <c r="AA34" s="12" t="str">
        <f>IF(AND($B34&lt;&gt;"",$C34="Ingreso",SUMIFS('Registro Mensual'!$H$9:$H$1008,'Registro Mensual'!$C$9:$C$1008,Dashboard!$B$5,'Registro Mensual'!$D$9:$D$1008,$B34)&gt;0),COUNT($AA$4:AA33)+1,"")</f>
        <v/>
      </c>
      <c r="AB34" s="12" t="str">
        <f>IFERROR(INDEX($B$5:$B$200,MATCH(ROWS($AB$5:AB34),$Z$5:$Z$200,0)),"")</f>
        <v/>
      </c>
      <c r="AC34" s="12" t="str">
        <f>IF($AB34="","",SUMIFS('Registro Mensual'!$I$9:$I$1008,'Registro Mensual'!$C$9:$C$1008,Dashboard!$B$5,'Registro Mensual'!$D$9:$D$1008,$AB34))</f>
        <v/>
      </c>
    </row>
    <row r="35" spans="1:29" ht="21.95" customHeight="1" x14ac:dyDescent="0.25">
      <c r="A35" s="12"/>
      <c r="B35" s="28"/>
      <c r="C35" s="28"/>
      <c r="D35" s="12"/>
      <c r="E35" s="12"/>
      <c r="F35" s="12"/>
      <c r="G35" s="12"/>
      <c r="Z35" s="12" t="str">
        <f>IF(AND($B35&lt;&gt;"",$C35="Gasto"),COUNT($Z$4:Z34)+1,"")</f>
        <v/>
      </c>
      <c r="AA35" s="12" t="str">
        <f>IF(AND($B35&lt;&gt;"",$C35="Ingreso",SUMIFS('Registro Mensual'!$H$9:$H$1008,'Registro Mensual'!$C$9:$C$1008,Dashboard!$B$5,'Registro Mensual'!$D$9:$D$1008,$B35)&gt;0),COUNT($AA$4:AA34)+1,"")</f>
        <v/>
      </c>
      <c r="AB35" s="12" t="str">
        <f>IFERROR(INDEX($B$5:$B$200,MATCH(ROWS($AB$5:AB35),$Z$5:$Z$200,0)),"")</f>
        <v/>
      </c>
      <c r="AC35" s="12" t="str">
        <f>IF($AB35="","",SUMIFS('Registro Mensual'!$I$9:$I$1008,'Registro Mensual'!$C$9:$C$1008,Dashboard!$B$5,'Registro Mensual'!$D$9:$D$1008,$AB35))</f>
        <v/>
      </c>
    </row>
    <row r="36" spans="1:29" ht="21.95" customHeight="1" x14ac:dyDescent="0.25">
      <c r="A36" s="12"/>
      <c r="B36" s="28"/>
      <c r="C36" s="28"/>
      <c r="D36" s="12"/>
      <c r="E36" s="12"/>
      <c r="F36" s="12"/>
      <c r="G36" s="12"/>
      <c r="Z36" s="12" t="str">
        <f>IF(AND($B36&lt;&gt;"",$C36="Gasto"),COUNT($Z$4:Z35)+1,"")</f>
        <v/>
      </c>
      <c r="AA36" s="12" t="str">
        <f>IF(AND($B36&lt;&gt;"",$C36="Ingreso",SUMIFS('Registro Mensual'!$H$9:$H$1008,'Registro Mensual'!$C$9:$C$1008,Dashboard!$B$5,'Registro Mensual'!$D$9:$D$1008,$B36)&gt;0),COUNT($AA$4:AA35)+1,"")</f>
        <v/>
      </c>
      <c r="AB36" s="12" t="str">
        <f>IFERROR(INDEX($B$5:$B$200,MATCH(ROWS($AB$5:AB36),$Z$5:$Z$200,0)),"")</f>
        <v/>
      </c>
      <c r="AC36" s="12" t="str">
        <f>IF($AB36="","",SUMIFS('Registro Mensual'!$I$9:$I$1008,'Registro Mensual'!$C$9:$C$1008,Dashboard!$B$5,'Registro Mensual'!$D$9:$D$1008,$AB36))</f>
        <v/>
      </c>
    </row>
    <row r="37" spans="1:29" ht="21.95" customHeight="1" x14ac:dyDescent="0.25">
      <c r="A37" s="12"/>
      <c r="B37" s="28"/>
      <c r="C37" s="28"/>
      <c r="D37" s="12"/>
      <c r="E37" s="12"/>
      <c r="F37" s="12"/>
      <c r="G37" s="12"/>
      <c r="Z37" s="12" t="str">
        <f>IF(AND($B37&lt;&gt;"",$C37="Gasto"),COUNT($Z$4:Z36)+1,"")</f>
        <v/>
      </c>
      <c r="AA37" s="12" t="str">
        <f>IF(AND($B37&lt;&gt;"",$C37="Ingreso",SUMIFS('Registro Mensual'!$H$9:$H$1008,'Registro Mensual'!$C$9:$C$1008,Dashboard!$B$5,'Registro Mensual'!$D$9:$D$1008,$B37)&gt;0),COUNT($AA$4:AA36)+1,"")</f>
        <v/>
      </c>
      <c r="AB37" s="12" t="str">
        <f>IFERROR(INDEX($B$5:$B$200,MATCH(ROWS($AB$5:AB37),$Z$5:$Z$200,0)),"")</f>
        <v/>
      </c>
      <c r="AC37" s="12" t="str">
        <f>IF($AB37="","",SUMIFS('Registro Mensual'!$I$9:$I$1008,'Registro Mensual'!$C$9:$C$1008,Dashboard!$B$5,'Registro Mensual'!$D$9:$D$1008,$AB37))</f>
        <v/>
      </c>
    </row>
    <row r="38" spans="1:29" ht="21.95" customHeight="1" x14ac:dyDescent="0.25">
      <c r="A38" s="12"/>
      <c r="B38" s="28"/>
      <c r="C38" s="28"/>
      <c r="D38" s="12"/>
      <c r="E38" s="12"/>
      <c r="F38" s="12"/>
      <c r="G38" s="12"/>
      <c r="Z38" s="12" t="str">
        <f>IF(AND($B38&lt;&gt;"",$C38="Gasto"),COUNT($Z$4:Z37)+1,"")</f>
        <v/>
      </c>
      <c r="AA38" s="12" t="str">
        <f>IF(AND($B38&lt;&gt;"",$C38="Ingreso",SUMIFS('Registro Mensual'!$H$9:$H$1008,'Registro Mensual'!$C$9:$C$1008,Dashboard!$B$5,'Registro Mensual'!$D$9:$D$1008,$B38)&gt;0),COUNT($AA$4:AA37)+1,"")</f>
        <v/>
      </c>
      <c r="AB38" s="12" t="str">
        <f>IFERROR(INDEX($B$5:$B$200,MATCH(ROWS($AB$5:AB38),$Z$5:$Z$200,0)),"")</f>
        <v/>
      </c>
      <c r="AC38" s="12" t="str">
        <f>IF($AB38="","",SUMIFS('Registro Mensual'!$I$9:$I$1008,'Registro Mensual'!$C$9:$C$1008,Dashboard!$B$5,'Registro Mensual'!$D$9:$D$1008,$AB38))</f>
        <v/>
      </c>
    </row>
    <row r="39" spans="1:29" ht="21.95" customHeight="1" x14ac:dyDescent="0.25">
      <c r="A39" s="12"/>
      <c r="B39" s="28"/>
      <c r="C39" s="28"/>
      <c r="D39" s="12"/>
      <c r="E39" s="12"/>
      <c r="F39" s="12"/>
      <c r="G39" s="12"/>
      <c r="Z39" s="12" t="str">
        <f>IF(AND($B39&lt;&gt;"",$C39="Gasto"),COUNT($Z$4:Z38)+1,"")</f>
        <v/>
      </c>
      <c r="AA39" s="12" t="str">
        <f>IF(AND($B39&lt;&gt;"",$C39="Ingreso",SUMIFS('Registro Mensual'!$H$9:$H$1008,'Registro Mensual'!$C$9:$C$1008,Dashboard!$B$5,'Registro Mensual'!$D$9:$D$1008,$B39)&gt;0),COUNT($AA$4:AA38)+1,"")</f>
        <v/>
      </c>
      <c r="AB39" s="12" t="str">
        <f>IFERROR(INDEX($B$5:$B$200,MATCH(ROWS($AB$5:AB39),$Z$5:$Z$200,0)),"")</f>
        <v/>
      </c>
      <c r="AC39" s="12" t="str">
        <f>IF($AB39="","",SUMIFS('Registro Mensual'!$I$9:$I$1008,'Registro Mensual'!$C$9:$C$1008,Dashboard!$B$5,'Registro Mensual'!$D$9:$D$1008,$AB39))</f>
        <v/>
      </c>
    </row>
    <row r="40" spans="1:29" ht="21.95" customHeight="1" x14ac:dyDescent="0.25">
      <c r="A40" s="12"/>
      <c r="B40" s="28"/>
      <c r="C40" s="28"/>
      <c r="D40" s="12"/>
      <c r="E40" s="12"/>
      <c r="F40" s="12"/>
      <c r="G40" s="12"/>
      <c r="Z40" s="12" t="str">
        <f>IF(AND($B40&lt;&gt;"",$C40="Gasto"),COUNT($Z$4:Z39)+1,"")</f>
        <v/>
      </c>
      <c r="AA40" s="12" t="str">
        <f>IF(AND($B40&lt;&gt;"",$C40="Ingreso",SUMIFS('Registro Mensual'!$H$9:$H$1008,'Registro Mensual'!$C$9:$C$1008,Dashboard!$B$5,'Registro Mensual'!$D$9:$D$1008,$B40)&gt;0),COUNT($AA$4:AA39)+1,"")</f>
        <v/>
      </c>
      <c r="AB40" s="12" t="str">
        <f>IFERROR(INDEX($B$5:$B$200,MATCH(ROWS($AB$5:AB40),$Z$5:$Z$200,0)),"")</f>
        <v/>
      </c>
      <c r="AC40" s="12" t="str">
        <f>IF($AB40="","",SUMIFS('Registro Mensual'!$I$9:$I$1008,'Registro Mensual'!$C$9:$C$1008,Dashboard!$B$5,'Registro Mensual'!$D$9:$D$1008,$AB40))</f>
        <v/>
      </c>
    </row>
    <row r="41" spans="1:29" ht="21.95" customHeight="1" x14ac:dyDescent="0.25">
      <c r="A41" s="12"/>
      <c r="B41" s="28"/>
      <c r="C41" s="28"/>
      <c r="D41" s="12"/>
      <c r="E41" s="12"/>
      <c r="F41" s="12"/>
      <c r="G41" s="12"/>
      <c r="Z41" s="12" t="str">
        <f>IF(AND($B41&lt;&gt;"",$C41="Gasto"),COUNT($Z$4:Z40)+1,"")</f>
        <v/>
      </c>
      <c r="AA41" s="12" t="str">
        <f>IF(AND($B41&lt;&gt;"",$C41="Ingreso",SUMIFS('Registro Mensual'!$H$9:$H$1008,'Registro Mensual'!$C$9:$C$1008,Dashboard!$B$5,'Registro Mensual'!$D$9:$D$1008,$B41)&gt;0),COUNT($AA$4:AA40)+1,"")</f>
        <v/>
      </c>
      <c r="AB41" s="12" t="str">
        <f>IFERROR(INDEX($B$5:$B$200,MATCH(ROWS($AB$5:AB41),$Z$5:$Z$200,0)),"")</f>
        <v/>
      </c>
      <c r="AC41" s="12" t="str">
        <f>IF($AB41="","",SUMIFS('Registro Mensual'!$I$9:$I$1008,'Registro Mensual'!$C$9:$C$1008,Dashboard!$B$5,'Registro Mensual'!$D$9:$D$1008,$AB41))</f>
        <v/>
      </c>
    </row>
    <row r="42" spans="1:29" ht="21.95" customHeight="1" x14ac:dyDescent="0.25">
      <c r="A42" s="12"/>
      <c r="B42" s="28"/>
      <c r="C42" s="28"/>
      <c r="D42" s="12"/>
      <c r="E42" s="12"/>
      <c r="F42" s="12"/>
      <c r="G42" s="12"/>
      <c r="Z42" s="12" t="str">
        <f>IF(AND($B42&lt;&gt;"",$C42="Gasto"),COUNT($Z$4:Z41)+1,"")</f>
        <v/>
      </c>
      <c r="AA42" s="12" t="str">
        <f>IF(AND($B42&lt;&gt;"",$C42="Ingreso",SUMIFS('Registro Mensual'!$H$9:$H$1008,'Registro Mensual'!$C$9:$C$1008,Dashboard!$B$5,'Registro Mensual'!$D$9:$D$1008,$B42)&gt;0),COUNT($AA$4:AA41)+1,"")</f>
        <v/>
      </c>
      <c r="AB42" s="12" t="str">
        <f>IFERROR(INDEX($B$5:$B$200,MATCH(ROWS($AB$5:AB42),$Z$5:$Z$200,0)),"")</f>
        <v/>
      </c>
      <c r="AC42" s="12" t="str">
        <f>IF($AB42="","",SUMIFS('Registro Mensual'!$I$9:$I$1008,'Registro Mensual'!$C$9:$C$1008,Dashboard!$B$5,'Registro Mensual'!$D$9:$D$1008,$AB42))</f>
        <v/>
      </c>
    </row>
    <row r="43" spans="1:29" ht="21.95" customHeight="1" x14ac:dyDescent="0.25">
      <c r="A43" s="12"/>
      <c r="B43" s="28"/>
      <c r="C43" s="28"/>
      <c r="D43" s="12"/>
      <c r="E43" s="12"/>
      <c r="F43" s="12"/>
      <c r="G43" s="12"/>
      <c r="Z43" s="12" t="str">
        <f>IF(AND($B43&lt;&gt;"",$C43="Gasto"),COUNT($Z$4:Z42)+1,"")</f>
        <v/>
      </c>
      <c r="AA43" s="12" t="str">
        <f>IF(AND($B43&lt;&gt;"",$C43="Ingreso",SUMIFS('Registro Mensual'!$H$9:$H$1008,'Registro Mensual'!$C$9:$C$1008,Dashboard!$B$5,'Registro Mensual'!$D$9:$D$1008,$B43)&gt;0),COUNT($AA$4:AA42)+1,"")</f>
        <v/>
      </c>
      <c r="AB43" s="12" t="str">
        <f>IFERROR(INDEX($B$5:$B$200,MATCH(ROWS($AB$5:AB43),$Z$5:$Z$200,0)),"")</f>
        <v/>
      </c>
      <c r="AC43" s="12" t="str">
        <f>IF($AB43="","",SUMIFS('Registro Mensual'!$I$9:$I$1008,'Registro Mensual'!$C$9:$C$1008,Dashboard!$B$5,'Registro Mensual'!$D$9:$D$1008,$AB43))</f>
        <v/>
      </c>
    </row>
    <row r="44" spans="1:29" ht="21.95" customHeight="1" x14ac:dyDescent="0.25">
      <c r="A44" s="12"/>
      <c r="B44" s="28"/>
      <c r="C44" s="28"/>
      <c r="D44" s="12"/>
      <c r="E44" s="12"/>
      <c r="F44" s="12"/>
      <c r="G44" s="12"/>
      <c r="Z44" s="12" t="str">
        <f>IF(AND($B44&lt;&gt;"",$C44="Gasto"),COUNT($Z$4:Z43)+1,"")</f>
        <v/>
      </c>
      <c r="AA44" s="12" t="str">
        <f>IF(AND($B44&lt;&gt;"",$C44="Ingreso",SUMIFS('Registro Mensual'!$H$9:$H$1008,'Registro Mensual'!$C$9:$C$1008,Dashboard!$B$5,'Registro Mensual'!$D$9:$D$1008,$B44)&gt;0),COUNT($AA$4:AA43)+1,"")</f>
        <v/>
      </c>
      <c r="AB44" s="12" t="str">
        <f>IFERROR(INDEX($B$5:$B$200,MATCH(ROWS($AB$5:AB44),$Z$5:$Z$200,0)),"")</f>
        <v/>
      </c>
      <c r="AC44" s="12" t="str">
        <f>IF($AB44="","",SUMIFS('Registro Mensual'!$I$9:$I$1008,'Registro Mensual'!$C$9:$C$1008,Dashboard!$B$5,'Registro Mensual'!$D$9:$D$1008,$AB44))</f>
        <v/>
      </c>
    </row>
    <row r="45" spans="1:29" ht="21.95" customHeight="1" x14ac:dyDescent="0.25">
      <c r="A45" s="12"/>
      <c r="B45" s="28"/>
      <c r="C45" s="28"/>
      <c r="D45" s="12"/>
      <c r="E45" s="12"/>
      <c r="F45" s="12"/>
      <c r="G45" s="12"/>
      <c r="Z45" s="12" t="str">
        <f>IF(AND($B45&lt;&gt;"",$C45="Gasto"),COUNT($Z$4:Z44)+1,"")</f>
        <v/>
      </c>
      <c r="AA45" s="12" t="str">
        <f>IF(AND($B45&lt;&gt;"",$C45="Ingreso",SUMIFS('Registro Mensual'!$H$9:$H$1008,'Registro Mensual'!$C$9:$C$1008,Dashboard!$B$5,'Registro Mensual'!$D$9:$D$1008,$B45)&gt;0),COUNT($AA$4:AA44)+1,"")</f>
        <v/>
      </c>
      <c r="AB45" s="12" t="str">
        <f>IFERROR(INDEX($B$5:$B$200,MATCH(ROWS($AB$5:AB45),$Z$5:$Z$200,0)),"")</f>
        <v/>
      </c>
      <c r="AC45" s="12" t="str">
        <f>IF($AB45="","",SUMIFS('Registro Mensual'!$I$9:$I$1008,'Registro Mensual'!$C$9:$C$1008,Dashboard!$B$5,'Registro Mensual'!$D$9:$D$1008,$AB45))</f>
        <v/>
      </c>
    </row>
    <row r="46" spans="1:29" ht="21.95" customHeight="1" x14ac:dyDescent="0.25">
      <c r="A46" s="12"/>
      <c r="B46" s="28"/>
      <c r="C46" s="28"/>
      <c r="D46" s="12"/>
      <c r="E46" s="12"/>
      <c r="F46" s="12"/>
      <c r="G46" s="12"/>
      <c r="Z46" s="12" t="str">
        <f>IF(AND($B46&lt;&gt;"",$C46="Gasto"),COUNT($Z$4:Z45)+1,"")</f>
        <v/>
      </c>
      <c r="AA46" s="12" t="str">
        <f>IF(AND($B46&lt;&gt;"",$C46="Ingreso",SUMIFS('Registro Mensual'!$H$9:$H$1008,'Registro Mensual'!$C$9:$C$1008,Dashboard!$B$5,'Registro Mensual'!$D$9:$D$1008,$B46)&gt;0),COUNT($AA$4:AA45)+1,"")</f>
        <v/>
      </c>
      <c r="AB46" s="12" t="str">
        <f>IFERROR(INDEX($B$5:$B$200,MATCH(ROWS($AB$5:AB46),$Z$5:$Z$200,0)),"")</f>
        <v/>
      </c>
      <c r="AC46" s="12" t="str">
        <f>IF($AB46="","",SUMIFS('Registro Mensual'!$I$9:$I$1008,'Registro Mensual'!$C$9:$C$1008,Dashboard!$B$5,'Registro Mensual'!$D$9:$D$1008,$AB46))</f>
        <v/>
      </c>
    </row>
    <row r="47" spans="1:29" ht="21.95" customHeight="1" x14ac:dyDescent="0.25">
      <c r="A47" s="12"/>
      <c r="B47" s="28"/>
      <c r="C47" s="28"/>
      <c r="D47" s="12"/>
      <c r="E47" s="12"/>
      <c r="F47" s="12"/>
      <c r="G47" s="12"/>
      <c r="Z47" s="12" t="str">
        <f>IF(AND($B47&lt;&gt;"",$C47="Gasto"),COUNT($Z$4:Z46)+1,"")</f>
        <v/>
      </c>
      <c r="AA47" s="12" t="str">
        <f>IF(AND($B47&lt;&gt;"",$C47="Ingreso",SUMIFS('Registro Mensual'!$H$9:$H$1008,'Registro Mensual'!$C$9:$C$1008,Dashboard!$B$5,'Registro Mensual'!$D$9:$D$1008,$B47)&gt;0),COUNT($AA$4:AA46)+1,"")</f>
        <v/>
      </c>
      <c r="AB47" s="12" t="str">
        <f>IFERROR(INDEX($B$5:$B$200,MATCH(ROWS($AB$5:AB47),$Z$5:$Z$200,0)),"")</f>
        <v/>
      </c>
      <c r="AC47" s="12" t="str">
        <f>IF($AB47="","",SUMIFS('Registro Mensual'!$I$9:$I$1008,'Registro Mensual'!$C$9:$C$1008,Dashboard!$B$5,'Registro Mensual'!$D$9:$D$1008,$AB47))</f>
        <v/>
      </c>
    </row>
    <row r="48" spans="1:29" ht="21.95" customHeight="1" x14ac:dyDescent="0.25">
      <c r="A48" s="12"/>
      <c r="B48" s="28"/>
      <c r="C48" s="28"/>
      <c r="D48" s="12"/>
      <c r="E48" s="12"/>
      <c r="F48" s="12"/>
      <c r="G48" s="12"/>
      <c r="Z48" s="12" t="str">
        <f>IF(AND($B48&lt;&gt;"",$C48="Gasto"),COUNT($Z$4:Z47)+1,"")</f>
        <v/>
      </c>
      <c r="AA48" s="12" t="str">
        <f>IF(AND($B48&lt;&gt;"",$C48="Ingreso",SUMIFS('Registro Mensual'!$H$9:$H$1008,'Registro Mensual'!$C$9:$C$1008,Dashboard!$B$5,'Registro Mensual'!$D$9:$D$1008,$B48)&gt;0),COUNT($AA$4:AA47)+1,"")</f>
        <v/>
      </c>
      <c r="AB48" s="12" t="str">
        <f>IFERROR(INDEX($B$5:$B$200,MATCH(ROWS($AB$5:AB48),$Z$5:$Z$200,0)),"")</f>
        <v/>
      </c>
      <c r="AC48" s="12" t="str">
        <f>IF($AB48="","",SUMIFS('Registro Mensual'!$I$9:$I$1008,'Registro Mensual'!$C$9:$C$1008,Dashboard!$B$5,'Registro Mensual'!$D$9:$D$1008,$AB48))</f>
        <v/>
      </c>
    </row>
    <row r="49" spans="1:29" ht="21.95" customHeight="1" x14ac:dyDescent="0.25">
      <c r="A49" s="12"/>
      <c r="B49" s="28"/>
      <c r="C49" s="28"/>
      <c r="D49" s="12"/>
      <c r="E49" s="12"/>
      <c r="F49" s="12"/>
      <c r="G49" s="12"/>
      <c r="Z49" s="12" t="str">
        <f>IF(AND($B49&lt;&gt;"",$C49="Gasto"),COUNT($Z$4:Z48)+1,"")</f>
        <v/>
      </c>
      <c r="AA49" s="12" t="str">
        <f>IF(AND($B49&lt;&gt;"",$C49="Ingreso",SUMIFS('Registro Mensual'!$H$9:$H$1008,'Registro Mensual'!$C$9:$C$1008,Dashboard!$B$5,'Registro Mensual'!$D$9:$D$1008,$B49)&gt;0),COUNT($AA$4:AA48)+1,"")</f>
        <v/>
      </c>
      <c r="AB49" s="12" t="str">
        <f>IFERROR(INDEX($B$5:$B$200,MATCH(ROWS($AB$5:AB49),$Z$5:$Z$200,0)),"")</f>
        <v/>
      </c>
      <c r="AC49" s="12" t="str">
        <f>IF($AB49="","",SUMIFS('Registro Mensual'!$I$9:$I$1008,'Registro Mensual'!$C$9:$C$1008,Dashboard!$B$5,'Registro Mensual'!$D$9:$D$1008,$AB49))</f>
        <v/>
      </c>
    </row>
    <row r="50" spans="1:29" ht="21.95" customHeight="1" x14ac:dyDescent="0.25">
      <c r="A50" s="12"/>
      <c r="B50" s="28"/>
      <c r="C50" s="28"/>
      <c r="D50" s="12"/>
      <c r="E50" s="12"/>
      <c r="F50" s="12"/>
      <c r="G50" s="12"/>
      <c r="Z50" s="12" t="str">
        <f>IF(AND($B50&lt;&gt;"",$C50="Gasto"),COUNT($Z$4:Z49)+1,"")</f>
        <v/>
      </c>
      <c r="AA50" s="12" t="str">
        <f>IF(AND($B50&lt;&gt;"",$C50="Ingreso",SUMIFS('Registro Mensual'!$H$9:$H$1008,'Registro Mensual'!$C$9:$C$1008,Dashboard!$B$5,'Registro Mensual'!$D$9:$D$1008,$B50)&gt;0),COUNT($AA$4:AA49)+1,"")</f>
        <v/>
      </c>
      <c r="AB50" s="12" t="str">
        <f>IFERROR(INDEX($B$5:$B$200,MATCH(ROWS($AB$5:AB50),$Z$5:$Z$200,0)),"")</f>
        <v/>
      </c>
      <c r="AC50" s="12" t="str">
        <f>IF($AB50="","",SUMIFS('Registro Mensual'!$I$9:$I$1008,'Registro Mensual'!$C$9:$C$1008,Dashboard!$B$5,'Registro Mensual'!$D$9:$D$1008,$AB50))</f>
        <v/>
      </c>
    </row>
    <row r="51" spans="1:29" ht="21.95" customHeight="1" x14ac:dyDescent="0.25">
      <c r="A51" s="12"/>
      <c r="B51" s="28"/>
      <c r="C51" s="28"/>
      <c r="D51" s="12"/>
      <c r="E51" s="12"/>
      <c r="F51" s="12"/>
      <c r="G51" s="12"/>
      <c r="Z51" s="12" t="str">
        <f>IF(AND($B51&lt;&gt;"",$C51="Gasto"),COUNT($Z$4:Z50)+1,"")</f>
        <v/>
      </c>
      <c r="AA51" s="12" t="str">
        <f>IF(AND($B51&lt;&gt;"",$C51="Ingreso",SUMIFS('Registro Mensual'!$H$9:$H$1008,'Registro Mensual'!$C$9:$C$1008,Dashboard!$B$5,'Registro Mensual'!$D$9:$D$1008,$B51)&gt;0),COUNT($AA$4:AA50)+1,"")</f>
        <v/>
      </c>
      <c r="AB51" s="12" t="str">
        <f>IFERROR(INDEX($B$5:$B$200,MATCH(ROWS($AB$5:AB51),$Z$5:$Z$200,0)),"")</f>
        <v/>
      </c>
      <c r="AC51" s="12" t="str">
        <f>IF($AB51="","",SUMIFS('Registro Mensual'!$I$9:$I$1008,'Registro Mensual'!$C$9:$C$1008,Dashboard!$B$5,'Registro Mensual'!$D$9:$D$1008,$AB51))</f>
        <v/>
      </c>
    </row>
    <row r="52" spans="1:29" ht="21.95" customHeight="1" x14ac:dyDescent="0.25">
      <c r="A52" s="12"/>
      <c r="B52" s="28"/>
      <c r="C52" s="28"/>
      <c r="D52" s="12"/>
      <c r="E52" s="12"/>
      <c r="F52" s="12"/>
      <c r="G52" s="12"/>
      <c r="Z52" s="12" t="str">
        <f>IF(AND($B52&lt;&gt;"",$C52="Gasto"),COUNT($Z$4:Z51)+1,"")</f>
        <v/>
      </c>
      <c r="AA52" s="12" t="str">
        <f>IF(AND($B52&lt;&gt;"",$C52="Ingreso",SUMIFS('Registro Mensual'!$H$9:$H$1008,'Registro Mensual'!$C$9:$C$1008,Dashboard!$B$5,'Registro Mensual'!$D$9:$D$1008,$B52)&gt;0),COUNT($AA$4:AA51)+1,"")</f>
        <v/>
      </c>
      <c r="AB52" s="12" t="str">
        <f>IFERROR(INDEX($B$5:$B$200,MATCH(ROWS($AB$5:AB52),$Z$5:$Z$200,0)),"")</f>
        <v/>
      </c>
      <c r="AC52" s="12" t="str">
        <f>IF($AB52="","",SUMIFS('Registro Mensual'!$I$9:$I$1008,'Registro Mensual'!$C$9:$C$1008,Dashboard!$B$5,'Registro Mensual'!$D$9:$D$1008,$AB52))</f>
        <v/>
      </c>
    </row>
    <row r="53" spans="1:29" ht="21.95" customHeight="1" x14ac:dyDescent="0.25">
      <c r="A53" s="12"/>
      <c r="B53" s="28"/>
      <c r="C53" s="28"/>
      <c r="D53" s="12"/>
      <c r="E53" s="12"/>
      <c r="F53" s="12"/>
      <c r="G53" s="12"/>
      <c r="Z53" s="12" t="str">
        <f>IF(AND($B53&lt;&gt;"",$C53="Gasto"),COUNT($Z$4:Z52)+1,"")</f>
        <v/>
      </c>
      <c r="AA53" s="12" t="str">
        <f>IF(AND($B53&lt;&gt;"",$C53="Ingreso",SUMIFS('Registro Mensual'!$H$9:$H$1008,'Registro Mensual'!$C$9:$C$1008,Dashboard!$B$5,'Registro Mensual'!$D$9:$D$1008,$B53)&gt;0),COUNT($AA$4:AA52)+1,"")</f>
        <v/>
      </c>
      <c r="AB53" s="12" t="str">
        <f>IFERROR(INDEX($B$5:$B$200,MATCH(ROWS($AB$5:AB53),$Z$5:$Z$200,0)),"")</f>
        <v/>
      </c>
      <c r="AC53" s="12" t="str">
        <f>IF($AB53="","",SUMIFS('Registro Mensual'!$I$9:$I$1008,'Registro Mensual'!$C$9:$C$1008,Dashboard!$B$5,'Registro Mensual'!$D$9:$D$1008,$AB53))</f>
        <v/>
      </c>
    </row>
    <row r="54" spans="1:29" ht="21.95" customHeight="1" x14ac:dyDescent="0.25">
      <c r="A54" s="12"/>
      <c r="B54" s="28"/>
      <c r="C54" s="28"/>
      <c r="D54" s="12"/>
      <c r="E54" s="12"/>
      <c r="F54" s="12"/>
      <c r="G54" s="12"/>
      <c r="Z54" s="12" t="str">
        <f>IF(AND($B54&lt;&gt;"",$C54="Gasto"),COUNT($Z$4:Z53)+1,"")</f>
        <v/>
      </c>
      <c r="AA54" s="12" t="str">
        <f>IF(AND($B54&lt;&gt;"",$C54="Ingreso",SUMIFS('Registro Mensual'!$H$9:$H$1008,'Registro Mensual'!$C$9:$C$1008,Dashboard!$B$5,'Registro Mensual'!$D$9:$D$1008,$B54)&gt;0),COUNT($AA$4:AA53)+1,"")</f>
        <v/>
      </c>
      <c r="AB54" s="12" t="str">
        <f>IFERROR(INDEX($B$5:$B$200,MATCH(ROWS($AB$5:AB54),$Z$5:$Z$200,0)),"")</f>
        <v/>
      </c>
      <c r="AC54" s="12" t="str">
        <f>IF($AB54="","",SUMIFS('Registro Mensual'!$I$9:$I$1008,'Registro Mensual'!$C$9:$C$1008,Dashboard!$B$5,'Registro Mensual'!$D$9:$D$1008,$AB54))</f>
        <v/>
      </c>
    </row>
    <row r="55" spans="1:29" ht="21.95" customHeight="1" x14ac:dyDescent="0.25">
      <c r="A55" s="12"/>
      <c r="B55" s="28"/>
      <c r="C55" s="28"/>
      <c r="D55" s="12"/>
      <c r="E55" s="12"/>
      <c r="F55" s="12"/>
      <c r="G55" s="12"/>
      <c r="Z55" s="12" t="str">
        <f>IF(AND($B55&lt;&gt;"",$C55="Gasto"),COUNT($Z$4:Z54)+1,"")</f>
        <v/>
      </c>
      <c r="AA55" s="12" t="str">
        <f>IF(AND($B55&lt;&gt;"",$C55="Ingreso",SUMIFS('Registro Mensual'!$H$9:$H$1008,'Registro Mensual'!$C$9:$C$1008,Dashboard!$B$5,'Registro Mensual'!$D$9:$D$1008,$B55)&gt;0),COUNT($AA$4:AA54)+1,"")</f>
        <v/>
      </c>
      <c r="AB55" s="12" t="str">
        <f>IFERROR(INDEX($B$5:$B$200,MATCH(ROWS($AB$5:AB55),$Z$5:$Z$200,0)),"")</f>
        <v/>
      </c>
      <c r="AC55" s="12" t="str">
        <f>IF($AB55="","",SUMIFS('Registro Mensual'!$I$9:$I$1008,'Registro Mensual'!$C$9:$C$1008,Dashboard!$B$5,'Registro Mensual'!$D$9:$D$1008,$AB55))</f>
        <v/>
      </c>
    </row>
    <row r="56" spans="1:29" ht="21.95" customHeight="1" x14ac:dyDescent="0.25">
      <c r="A56" s="12"/>
      <c r="B56" s="28"/>
      <c r="C56" s="28"/>
      <c r="D56" s="12"/>
      <c r="E56" s="12"/>
      <c r="F56" s="12"/>
      <c r="G56" s="12"/>
      <c r="Z56" s="12" t="str">
        <f>IF(AND($B56&lt;&gt;"",$C56="Gasto"),COUNT($Z$4:Z55)+1,"")</f>
        <v/>
      </c>
      <c r="AA56" s="12" t="str">
        <f>IF(AND($B56&lt;&gt;"",$C56="Ingreso",SUMIFS('Registro Mensual'!$H$9:$H$1008,'Registro Mensual'!$C$9:$C$1008,Dashboard!$B$5,'Registro Mensual'!$D$9:$D$1008,$B56)&gt;0),COUNT($AA$4:AA55)+1,"")</f>
        <v/>
      </c>
      <c r="AB56" s="12" t="str">
        <f>IFERROR(INDEX($B$5:$B$200,MATCH(ROWS($AB$5:AB56),$Z$5:$Z$200,0)),"")</f>
        <v/>
      </c>
      <c r="AC56" s="12" t="str">
        <f>IF($AB56="","",SUMIFS('Registro Mensual'!$I$9:$I$1008,'Registro Mensual'!$C$9:$C$1008,Dashboard!$B$5,'Registro Mensual'!$D$9:$D$1008,$AB56))</f>
        <v/>
      </c>
    </row>
    <row r="57" spans="1:29" ht="21.95" customHeight="1" x14ac:dyDescent="0.25">
      <c r="A57" s="12"/>
      <c r="B57" s="28"/>
      <c r="C57" s="28"/>
      <c r="D57" s="12"/>
      <c r="E57" s="12"/>
      <c r="F57" s="12"/>
      <c r="G57" s="12"/>
      <c r="Z57" s="12" t="str">
        <f>IF(AND($B57&lt;&gt;"",$C57="Gasto"),COUNT($Z$4:Z56)+1,"")</f>
        <v/>
      </c>
      <c r="AA57" s="12" t="str">
        <f>IF(AND($B57&lt;&gt;"",$C57="Ingreso",SUMIFS('Registro Mensual'!$H$9:$H$1008,'Registro Mensual'!$C$9:$C$1008,Dashboard!$B$5,'Registro Mensual'!$D$9:$D$1008,$B57)&gt;0),COUNT($AA$4:AA56)+1,"")</f>
        <v/>
      </c>
      <c r="AB57" s="12" t="str">
        <f>IFERROR(INDEX($B$5:$B$200,MATCH(ROWS($AB$5:AB57),$Z$5:$Z$200,0)),"")</f>
        <v/>
      </c>
      <c r="AC57" s="12" t="str">
        <f>IF($AB57="","",SUMIFS('Registro Mensual'!$I$9:$I$1008,'Registro Mensual'!$C$9:$C$1008,Dashboard!$B$5,'Registro Mensual'!$D$9:$D$1008,$AB57))</f>
        <v/>
      </c>
    </row>
    <row r="58" spans="1:29" ht="21.95" customHeight="1" x14ac:dyDescent="0.25">
      <c r="A58" s="12"/>
      <c r="B58" s="28"/>
      <c r="C58" s="28"/>
      <c r="D58" s="12"/>
      <c r="E58" s="12"/>
      <c r="F58" s="12"/>
      <c r="G58" s="12"/>
      <c r="Z58" s="12" t="str">
        <f>IF(AND($B58&lt;&gt;"",$C58="Gasto"),COUNT($Z$4:Z57)+1,"")</f>
        <v/>
      </c>
      <c r="AA58" s="12" t="str">
        <f>IF(AND($B58&lt;&gt;"",$C58="Ingreso",SUMIFS('Registro Mensual'!$H$9:$H$1008,'Registro Mensual'!$C$9:$C$1008,Dashboard!$B$5,'Registro Mensual'!$D$9:$D$1008,$B58)&gt;0),COUNT($AA$4:AA57)+1,"")</f>
        <v/>
      </c>
      <c r="AB58" s="12" t="str">
        <f>IFERROR(INDEX($B$5:$B$200,MATCH(ROWS($AB$5:AB58),$Z$5:$Z$200,0)),"")</f>
        <v/>
      </c>
      <c r="AC58" s="12" t="str">
        <f>IF($AB58="","",SUMIFS('Registro Mensual'!$I$9:$I$1008,'Registro Mensual'!$C$9:$C$1008,Dashboard!$B$5,'Registro Mensual'!$D$9:$D$1008,$AB58))</f>
        <v/>
      </c>
    </row>
    <row r="59" spans="1:29" ht="21.95" customHeight="1" x14ac:dyDescent="0.25">
      <c r="A59" s="12"/>
      <c r="B59" s="28"/>
      <c r="C59" s="28"/>
      <c r="D59" s="12"/>
      <c r="E59" s="12"/>
      <c r="F59" s="12"/>
      <c r="G59" s="12"/>
      <c r="Z59" s="12" t="str">
        <f>IF(AND($B59&lt;&gt;"",$C59="Gasto"),COUNT($Z$4:Z58)+1,"")</f>
        <v/>
      </c>
      <c r="AA59" s="12" t="str">
        <f>IF(AND($B59&lt;&gt;"",$C59="Ingreso",SUMIFS('Registro Mensual'!$H$9:$H$1008,'Registro Mensual'!$C$9:$C$1008,Dashboard!$B$5,'Registro Mensual'!$D$9:$D$1008,$B59)&gt;0),COUNT($AA$4:AA58)+1,"")</f>
        <v/>
      </c>
      <c r="AB59" s="12" t="str">
        <f>IFERROR(INDEX($B$5:$B$200,MATCH(ROWS($AB$5:AB59),$Z$5:$Z$200,0)),"")</f>
        <v/>
      </c>
      <c r="AC59" s="12" t="str">
        <f>IF($AB59="","",SUMIFS('Registro Mensual'!$I$9:$I$1008,'Registro Mensual'!$C$9:$C$1008,Dashboard!$B$5,'Registro Mensual'!$D$9:$D$1008,$AB59))</f>
        <v/>
      </c>
    </row>
    <row r="60" spans="1:29" ht="21.95" customHeight="1" x14ac:dyDescent="0.25">
      <c r="A60" s="12"/>
      <c r="B60" s="28"/>
      <c r="C60" s="28"/>
      <c r="D60" s="12"/>
      <c r="E60" s="12"/>
      <c r="F60" s="12"/>
      <c r="G60" s="12"/>
      <c r="Z60" s="12" t="str">
        <f>IF(AND($B60&lt;&gt;"",$C60="Gasto"),COUNT($Z$4:Z59)+1,"")</f>
        <v/>
      </c>
      <c r="AA60" s="12" t="str">
        <f>IF(AND($B60&lt;&gt;"",$C60="Ingreso",SUMIFS('Registro Mensual'!$H$9:$H$1008,'Registro Mensual'!$C$9:$C$1008,Dashboard!$B$5,'Registro Mensual'!$D$9:$D$1008,$B60)&gt;0),COUNT($AA$4:AA59)+1,"")</f>
        <v/>
      </c>
      <c r="AB60" s="12" t="str">
        <f>IFERROR(INDEX($B$5:$B$200,MATCH(ROWS($AB$5:AB60),$Z$5:$Z$200,0)),"")</f>
        <v/>
      </c>
      <c r="AC60" s="12" t="str">
        <f>IF($AB60="","",SUMIFS('Registro Mensual'!$I$9:$I$1008,'Registro Mensual'!$C$9:$C$1008,Dashboard!$B$5,'Registro Mensual'!$D$9:$D$1008,$AB60))</f>
        <v/>
      </c>
    </row>
    <row r="61" spans="1:29" ht="21.95" customHeight="1" x14ac:dyDescent="0.25">
      <c r="A61" s="12"/>
      <c r="B61" s="28"/>
      <c r="C61" s="28"/>
      <c r="D61" s="12"/>
      <c r="E61" s="12"/>
      <c r="F61" s="12"/>
      <c r="G61" s="12"/>
      <c r="Z61" s="12" t="str">
        <f>IF(AND($B61&lt;&gt;"",$C61="Gasto"),COUNT($Z$4:Z60)+1,"")</f>
        <v/>
      </c>
      <c r="AA61" s="12" t="str">
        <f>IF(AND($B61&lt;&gt;"",$C61="Ingreso",SUMIFS('Registro Mensual'!$H$9:$H$1008,'Registro Mensual'!$C$9:$C$1008,Dashboard!$B$5,'Registro Mensual'!$D$9:$D$1008,$B61)&gt;0),COUNT($AA$4:AA60)+1,"")</f>
        <v/>
      </c>
      <c r="AB61" s="12" t="str">
        <f>IFERROR(INDEX($B$5:$B$200,MATCH(ROWS($AB$5:AB61),$Z$5:$Z$200,0)),"")</f>
        <v/>
      </c>
      <c r="AC61" s="12" t="str">
        <f>IF($AB61="","",SUMIFS('Registro Mensual'!$I$9:$I$1008,'Registro Mensual'!$C$9:$C$1008,Dashboard!$B$5,'Registro Mensual'!$D$9:$D$1008,$AB61))</f>
        <v/>
      </c>
    </row>
    <row r="62" spans="1:29" ht="21.95" customHeight="1" x14ac:dyDescent="0.25">
      <c r="A62" s="12"/>
      <c r="B62" s="28"/>
      <c r="C62" s="28"/>
      <c r="D62" s="12"/>
      <c r="E62" s="12"/>
      <c r="F62" s="12"/>
      <c r="G62" s="12"/>
      <c r="Z62" s="12" t="str">
        <f>IF(AND($B62&lt;&gt;"",$C62="Gasto"),COUNT($Z$4:Z61)+1,"")</f>
        <v/>
      </c>
      <c r="AA62" s="12" t="str">
        <f>IF(AND($B62&lt;&gt;"",$C62="Ingreso",SUMIFS('Registro Mensual'!$H$9:$H$1008,'Registro Mensual'!$C$9:$C$1008,Dashboard!$B$5,'Registro Mensual'!$D$9:$D$1008,$B62)&gt;0),COUNT($AA$4:AA61)+1,"")</f>
        <v/>
      </c>
      <c r="AB62" s="12" t="str">
        <f>IFERROR(INDEX($B$5:$B$200,MATCH(ROWS($AB$5:AB62),$Z$5:$Z$200,0)),"")</f>
        <v/>
      </c>
      <c r="AC62" s="12" t="str">
        <f>IF($AB62="","",SUMIFS('Registro Mensual'!$I$9:$I$1008,'Registro Mensual'!$C$9:$C$1008,Dashboard!$B$5,'Registro Mensual'!$D$9:$D$1008,$AB62))</f>
        <v/>
      </c>
    </row>
    <row r="63" spans="1:29" ht="21.95" customHeight="1" x14ac:dyDescent="0.25">
      <c r="A63" s="12"/>
      <c r="B63" s="28"/>
      <c r="C63" s="28"/>
      <c r="D63" s="12"/>
      <c r="E63" s="12"/>
      <c r="F63" s="12"/>
      <c r="G63" s="12"/>
      <c r="Z63" s="12" t="str">
        <f>IF(AND($B63&lt;&gt;"",$C63="Gasto"),COUNT($Z$4:Z62)+1,"")</f>
        <v/>
      </c>
      <c r="AA63" s="12" t="str">
        <f>IF(AND($B63&lt;&gt;"",$C63="Ingreso",SUMIFS('Registro Mensual'!$H$9:$H$1008,'Registro Mensual'!$C$9:$C$1008,Dashboard!$B$5,'Registro Mensual'!$D$9:$D$1008,$B63)&gt;0),COUNT($AA$4:AA62)+1,"")</f>
        <v/>
      </c>
      <c r="AB63" s="12" t="str">
        <f>IFERROR(INDEX($B$5:$B$200,MATCH(ROWS($AB$5:AB63),$Z$5:$Z$200,0)),"")</f>
        <v/>
      </c>
      <c r="AC63" s="12" t="str">
        <f>IF($AB63="","",SUMIFS('Registro Mensual'!$I$9:$I$1008,'Registro Mensual'!$C$9:$C$1008,Dashboard!$B$5,'Registro Mensual'!$D$9:$D$1008,$AB63))</f>
        <v/>
      </c>
    </row>
    <row r="64" spans="1:29" ht="21.95" customHeight="1" x14ac:dyDescent="0.25">
      <c r="A64" s="12"/>
      <c r="B64" s="28"/>
      <c r="C64" s="28"/>
      <c r="D64" s="12"/>
      <c r="E64" s="12"/>
      <c r="F64" s="12"/>
      <c r="G64" s="12"/>
      <c r="Z64" s="12" t="str">
        <f>IF(AND($B64&lt;&gt;"",$C64="Gasto"),COUNT($Z$4:Z63)+1,"")</f>
        <v/>
      </c>
      <c r="AA64" s="12" t="str">
        <f>IF(AND($B64&lt;&gt;"",$C64="Ingreso",SUMIFS('Registro Mensual'!$H$9:$H$1008,'Registro Mensual'!$C$9:$C$1008,Dashboard!$B$5,'Registro Mensual'!$D$9:$D$1008,$B64)&gt;0),COUNT($AA$4:AA63)+1,"")</f>
        <v/>
      </c>
      <c r="AB64" s="12" t="str">
        <f>IFERROR(INDEX($B$5:$B$200,MATCH(ROWS($AB$5:AB64),$Z$5:$Z$200,0)),"")</f>
        <v/>
      </c>
      <c r="AC64" s="12" t="str">
        <f>IF($AB64="","",SUMIFS('Registro Mensual'!$I$9:$I$1008,'Registro Mensual'!$C$9:$C$1008,Dashboard!$B$5,'Registro Mensual'!$D$9:$D$1008,$AB64))</f>
        <v/>
      </c>
    </row>
    <row r="65" spans="1:29" ht="21.95" customHeight="1" x14ac:dyDescent="0.25">
      <c r="A65" s="12"/>
      <c r="B65" s="28"/>
      <c r="C65" s="28"/>
      <c r="D65" s="12"/>
      <c r="E65" s="12"/>
      <c r="F65" s="12"/>
      <c r="G65" s="12"/>
      <c r="Z65" s="12" t="str">
        <f>IF(AND($B65&lt;&gt;"",$C65="Gasto"),COUNT($Z$4:Z64)+1,"")</f>
        <v/>
      </c>
      <c r="AA65" s="12" t="str">
        <f>IF(AND($B65&lt;&gt;"",$C65="Ingreso",SUMIFS('Registro Mensual'!$H$9:$H$1008,'Registro Mensual'!$C$9:$C$1008,Dashboard!$B$5,'Registro Mensual'!$D$9:$D$1008,$B65)&gt;0),COUNT($AA$4:AA64)+1,"")</f>
        <v/>
      </c>
      <c r="AB65" s="12" t="str">
        <f>IFERROR(INDEX($B$5:$B$200,MATCH(ROWS($AB$5:AB65),$Z$5:$Z$200,0)),"")</f>
        <v/>
      </c>
      <c r="AC65" s="12" t="str">
        <f>IF($AB65="","",SUMIFS('Registro Mensual'!$I$9:$I$1008,'Registro Mensual'!$C$9:$C$1008,Dashboard!$B$5,'Registro Mensual'!$D$9:$D$1008,$AB65))</f>
        <v/>
      </c>
    </row>
    <row r="66" spans="1:29" ht="21.95" customHeight="1" x14ac:dyDescent="0.25">
      <c r="A66" s="12"/>
      <c r="B66" s="28"/>
      <c r="C66" s="28"/>
      <c r="D66" s="12"/>
      <c r="E66" s="12"/>
      <c r="F66" s="12"/>
      <c r="G66" s="12"/>
      <c r="Z66" s="12" t="str">
        <f>IF(AND($B66&lt;&gt;"",$C66="Gasto"),COUNT($Z$4:Z65)+1,"")</f>
        <v/>
      </c>
      <c r="AA66" s="12" t="str">
        <f>IF(AND($B66&lt;&gt;"",$C66="Ingreso",SUMIFS('Registro Mensual'!$H$9:$H$1008,'Registro Mensual'!$C$9:$C$1008,Dashboard!$B$5,'Registro Mensual'!$D$9:$D$1008,$B66)&gt;0),COUNT($AA$4:AA65)+1,"")</f>
        <v/>
      </c>
      <c r="AB66" s="12" t="str">
        <f>IFERROR(INDEX($B$5:$B$200,MATCH(ROWS($AB$5:AB66),$Z$5:$Z$200,0)),"")</f>
        <v/>
      </c>
      <c r="AC66" s="12" t="str">
        <f>IF($AB66="","",SUMIFS('Registro Mensual'!$I$9:$I$1008,'Registro Mensual'!$C$9:$C$1008,Dashboard!$B$5,'Registro Mensual'!$D$9:$D$1008,$AB66))</f>
        <v/>
      </c>
    </row>
    <row r="67" spans="1:29" ht="21.95" customHeight="1" x14ac:dyDescent="0.25">
      <c r="A67" s="12"/>
      <c r="B67" s="28"/>
      <c r="C67" s="28"/>
      <c r="D67" s="12"/>
      <c r="E67" s="12"/>
      <c r="F67" s="12"/>
      <c r="G67" s="12"/>
      <c r="Z67" s="12" t="str">
        <f>IF(AND($B67&lt;&gt;"",$C67="Gasto"),COUNT($Z$4:Z66)+1,"")</f>
        <v/>
      </c>
      <c r="AA67" s="12" t="str">
        <f>IF(AND($B67&lt;&gt;"",$C67="Ingreso",SUMIFS('Registro Mensual'!$H$9:$H$1008,'Registro Mensual'!$C$9:$C$1008,Dashboard!$B$5,'Registro Mensual'!$D$9:$D$1008,$B67)&gt;0),COUNT($AA$4:AA66)+1,"")</f>
        <v/>
      </c>
      <c r="AB67" s="12" t="str">
        <f>IFERROR(INDEX($B$5:$B$200,MATCH(ROWS($AB$5:AB67),$Z$5:$Z$200,0)),"")</f>
        <v/>
      </c>
      <c r="AC67" s="12" t="str">
        <f>IF($AB67="","",SUMIFS('Registro Mensual'!$I$9:$I$1008,'Registro Mensual'!$C$9:$C$1008,Dashboard!$B$5,'Registro Mensual'!$D$9:$D$1008,$AB67))</f>
        <v/>
      </c>
    </row>
    <row r="68" spans="1:29" ht="21.95" customHeight="1" x14ac:dyDescent="0.25">
      <c r="A68" s="12"/>
      <c r="B68" s="28"/>
      <c r="C68" s="28"/>
      <c r="D68" s="12"/>
      <c r="E68" s="12"/>
      <c r="F68" s="12"/>
      <c r="G68" s="12"/>
      <c r="Z68" s="12" t="str">
        <f>IF(AND($B68&lt;&gt;"",$C68="Gasto"),COUNT($Z$4:Z67)+1,"")</f>
        <v/>
      </c>
      <c r="AA68" s="12" t="str">
        <f>IF(AND($B68&lt;&gt;"",$C68="Ingreso",SUMIFS('Registro Mensual'!$H$9:$H$1008,'Registro Mensual'!$C$9:$C$1008,Dashboard!$B$5,'Registro Mensual'!$D$9:$D$1008,$B68)&gt;0),COUNT($AA$4:AA67)+1,"")</f>
        <v/>
      </c>
      <c r="AB68" s="12" t="str">
        <f>IFERROR(INDEX($B$5:$B$200,MATCH(ROWS($AB$5:AB68),$Z$5:$Z$200,0)),"")</f>
        <v/>
      </c>
      <c r="AC68" s="12" t="str">
        <f>IF($AB68="","",SUMIFS('Registro Mensual'!$I$9:$I$1008,'Registro Mensual'!$C$9:$C$1008,Dashboard!$B$5,'Registro Mensual'!$D$9:$D$1008,$AB68))</f>
        <v/>
      </c>
    </row>
    <row r="69" spans="1:29" ht="21.95" customHeight="1" x14ac:dyDescent="0.25">
      <c r="A69" s="12"/>
      <c r="B69" s="28"/>
      <c r="C69" s="28"/>
      <c r="D69" s="12"/>
      <c r="E69" s="12"/>
      <c r="F69" s="12"/>
      <c r="G69" s="12"/>
      <c r="Z69" s="12" t="str">
        <f>IF(AND($B69&lt;&gt;"",$C69="Gasto"),COUNT($Z$4:Z68)+1,"")</f>
        <v/>
      </c>
      <c r="AA69" s="12" t="str">
        <f>IF(AND($B69&lt;&gt;"",$C69="Ingreso",SUMIFS('Registro Mensual'!$H$9:$H$1008,'Registro Mensual'!$C$9:$C$1008,Dashboard!$B$5,'Registro Mensual'!$D$9:$D$1008,$B69)&gt;0),COUNT($AA$4:AA68)+1,"")</f>
        <v/>
      </c>
      <c r="AB69" s="12" t="str">
        <f>IFERROR(INDEX($B$5:$B$200,MATCH(ROWS($AB$5:AB69),$Z$5:$Z$200,0)),"")</f>
        <v/>
      </c>
      <c r="AC69" s="12" t="str">
        <f>IF($AB69="","",SUMIFS('Registro Mensual'!$I$9:$I$1008,'Registro Mensual'!$C$9:$C$1008,Dashboard!$B$5,'Registro Mensual'!$D$9:$D$1008,$AB69))</f>
        <v/>
      </c>
    </row>
    <row r="70" spans="1:29" ht="21.95" customHeight="1" x14ac:dyDescent="0.25">
      <c r="A70" s="12"/>
      <c r="B70" s="28"/>
      <c r="C70" s="28"/>
      <c r="D70" s="12"/>
      <c r="E70" s="12"/>
      <c r="F70" s="12"/>
      <c r="G70" s="12"/>
      <c r="Z70" s="12" t="str">
        <f>IF(AND($B70&lt;&gt;"",$C70="Gasto"),COUNT($Z$4:Z69)+1,"")</f>
        <v/>
      </c>
      <c r="AA70" s="12" t="str">
        <f>IF(AND($B70&lt;&gt;"",$C70="Ingreso",SUMIFS('Registro Mensual'!$H$9:$H$1008,'Registro Mensual'!$C$9:$C$1008,Dashboard!$B$5,'Registro Mensual'!$D$9:$D$1008,$B70)&gt;0),COUNT($AA$4:AA69)+1,"")</f>
        <v/>
      </c>
      <c r="AB70" s="12" t="str">
        <f>IFERROR(INDEX($B$5:$B$200,MATCH(ROWS($AB$5:AB70),$Z$5:$Z$200,0)),"")</f>
        <v/>
      </c>
      <c r="AC70" s="12" t="str">
        <f>IF($AB70="","",SUMIFS('Registro Mensual'!$I$9:$I$1008,'Registro Mensual'!$C$9:$C$1008,Dashboard!$B$5,'Registro Mensual'!$D$9:$D$1008,$AB70))</f>
        <v/>
      </c>
    </row>
    <row r="71" spans="1:29" ht="21.95" customHeight="1" x14ac:dyDescent="0.25">
      <c r="A71" s="12"/>
      <c r="B71" s="28"/>
      <c r="C71" s="28"/>
      <c r="D71" s="12"/>
      <c r="E71" s="12"/>
      <c r="F71" s="12"/>
      <c r="G71" s="12"/>
      <c r="Z71" s="12" t="str">
        <f>IF(AND($B71&lt;&gt;"",$C71="Gasto"),COUNT($Z$4:Z70)+1,"")</f>
        <v/>
      </c>
      <c r="AA71" s="12" t="str">
        <f>IF(AND($B71&lt;&gt;"",$C71="Ingreso",SUMIFS('Registro Mensual'!$H$9:$H$1008,'Registro Mensual'!$C$9:$C$1008,Dashboard!$B$5,'Registro Mensual'!$D$9:$D$1008,$B71)&gt;0),COUNT($AA$4:AA70)+1,"")</f>
        <v/>
      </c>
      <c r="AB71" s="12" t="str">
        <f>IFERROR(INDEX($B$5:$B$200,MATCH(ROWS($AB$5:AB71),$Z$5:$Z$200,0)),"")</f>
        <v/>
      </c>
      <c r="AC71" s="12" t="str">
        <f>IF($AB71="","",SUMIFS('Registro Mensual'!$I$9:$I$1008,'Registro Mensual'!$C$9:$C$1008,Dashboard!$B$5,'Registro Mensual'!$D$9:$D$1008,$AB71))</f>
        <v/>
      </c>
    </row>
    <row r="72" spans="1:29" ht="21.95" customHeight="1" x14ac:dyDescent="0.25">
      <c r="A72" s="12"/>
      <c r="B72" s="28"/>
      <c r="C72" s="28"/>
      <c r="D72" s="12"/>
      <c r="E72" s="12"/>
      <c r="F72" s="12"/>
      <c r="G72" s="12"/>
      <c r="Z72" s="12" t="str">
        <f>IF(AND($B72&lt;&gt;"",$C72="Gasto"),COUNT($Z$4:Z71)+1,"")</f>
        <v/>
      </c>
      <c r="AA72" s="12" t="str">
        <f>IF(AND($B72&lt;&gt;"",$C72="Ingreso",SUMIFS('Registro Mensual'!$H$9:$H$1008,'Registro Mensual'!$C$9:$C$1008,Dashboard!$B$5,'Registro Mensual'!$D$9:$D$1008,$B72)&gt;0),COUNT($AA$4:AA71)+1,"")</f>
        <v/>
      </c>
      <c r="AB72" s="12" t="str">
        <f>IFERROR(INDEX($B$5:$B$200,MATCH(ROWS($AB$5:AB72),$Z$5:$Z$200,0)),"")</f>
        <v/>
      </c>
      <c r="AC72" s="12" t="str">
        <f>IF($AB72="","",SUMIFS('Registro Mensual'!$I$9:$I$1008,'Registro Mensual'!$C$9:$C$1008,Dashboard!$B$5,'Registro Mensual'!$D$9:$D$1008,$AB72))</f>
        <v/>
      </c>
    </row>
    <row r="73" spans="1:29" ht="21.95" customHeight="1" x14ac:dyDescent="0.25">
      <c r="A73" s="12"/>
      <c r="B73" s="28"/>
      <c r="C73" s="28"/>
      <c r="D73" s="12"/>
      <c r="E73" s="12"/>
      <c r="F73" s="12"/>
      <c r="G73" s="12"/>
      <c r="Z73" s="12" t="str">
        <f>IF(AND($B73&lt;&gt;"",$C73="Gasto"),COUNT($Z$4:Z72)+1,"")</f>
        <v/>
      </c>
      <c r="AA73" s="12" t="str">
        <f>IF(AND($B73&lt;&gt;"",$C73="Ingreso",SUMIFS('Registro Mensual'!$H$9:$H$1008,'Registro Mensual'!$C$9:$C$1008,Dashboard!$B$5,'Registro Mensual'!$D$9:$D$1008,$B73)&gt;0),COUNT($AA$4:AA72)+1,"")</f>
        <v/>
      </c>
      <c r="AB73" s="12" t="str">
        <f>IFERROR(INDEX($B$5:$B$200,MATCH(ROWS($AB$5:AB73),$Z$5:$Z$200,0)),"")</f>
        <v/>
      </c>
      <c r="AC73" s="12" t="str">
        <f>IF($AB73="","",SUMIFS('Registro Mensual'!$I$9:$I$1008,'Registro Mensual'!$C$9:$C$1008,Dashboard!$B$5,'Registro Mensual'!$D$9:$D$1008,$AB73))</f>
        <v/>
      </c>
    </row>
    <row r="74" spans="1:29" ht="21.95" customHeight="1" x14ac:dyDescent="0.25">
      <c r="A74" s="12"/>
      <c r="B74" s="28"/>
      <c r="C74" s="28"/>
      <c r="D74" s="12"/>
      <c r="E74" s="12"/>
      <c r="F74" s="12"/>
      <c r="G74" s="12"/>
      <c r="Z74" s="12" t="str">
        <f>IF(AND($B74&lt;&gt;"",$C74="Gasto"),COUNT($Z$4:Z73)+1,"")</f>
        <v/>
      </c>
      <c r="AA74" s="12" t="str">
        <f>IF(AND($B74&lt;&gt;"",$C74="Ingreso",SUMIFS('Registro Mensual'!$H$9:$H$1008,'Registro Mensual'!$C$9:$C$1008,Dashboard!$B$5,'Registro Mensual'!$D$9:$D$1008,$B74)&gt;0),COUNT($AA$4:AA73)+1,"")</f>
        <v/>
      </c>
      <c r="AB74" s="12" t="str">
        <f>IFERROR(INDEX($B$5:$B$200,MATCH(ROWS($AB$5:AB74),$Z$5:$Z$200,0)),"")</f>
        <v/>
      </c>
      <c r="AC74" s="12" t="str">
        <f>IF($AB74="","",SUMIFS('Registro Mensual'!$I$9:$I$1008,'Registro Mensual'!$C$9:$C$1008,Dashboard!$B$5,'Registro Mensual'!$D$9:$D$1008,$AB74))</f>
        <v/>
      </c>
    </row>
    <row r="75" spans="1:29" ht="21.95" customHeight="1" x14ac:dyDescent="0.25">
      <c r="A75" s="12"/>
      <c r="B75" s="28"/>
      <c r="C75" s="28"/>
      <c r="D75" s="12"/>
      <c r="E75" s="12"/>
      <c r="F75" s="12"/>
      <c r="G75" s="12"/>
      <c r="Z75" s="12" t="str">
        <f>IF(AND($B75&lt;&gt;"",$C75="Gasto"),COUNT($Z$4:Z74)+1,"")</f>
        <v/>
      </c>
      <c r="AA75" s="12" t="str">
        <f>IF(AND($B75&lt;&gt;"",$C75="Ingreso",SUMIFS('Registro Mensual'!$H$9:$H$1008,'Registro Mensual'!$C$9:$C$1008,Dashboard!$B$5,'Registro Mensual'!$D$9:$D$1008,$B75)&gt;0),COUNT($AA$4:AA74)+1,"")</f>
        <v/>
      </c>
      <c r="AB75" s="12" t="str">
        <f>IFERROR(INDEX($B$5:$B$200,MATCH(ROWS($AB$5:AB75),$Z$5:$Z$200,0)),"")</f>
        <v/>
      </c>
      <c r="AC75" s="12" t="str">
        <f>IF($AB75="","",SUMIFS('Registro Mensual'!$I$9:$I$1008,'Registro Mensual'!$C$9:$C$1008,Dashboard!$B$5,'Registro Mensual'!$D$9:$D$1008,$AB75))</f>
        <v/>
      </c>
    </row>
    <row r="76" spans="1:29" ht="21.95" customHeight="1" x14ac:dyDescent="0.25">
      <c r="A76" s="12"/>
      <c r="B76" s="28"/>
      <c r="C76" s="28"/>
      <c r="D76" s="12"/>
      <c r="E76" s="12"/>
      <c r="F76" s="12"/>
      <c r="G76" s="12"/>
      <c r="Z76" s="12" t="str">
        <f>IF(AND($B76&lt;&gt;"",$C76="Gasto"),COUNT($Z$4:Z75)+1,"")</f>
        <v/>
      </c>
      <c r="AA76" s="12" t="str">
        <f>IF(AND($B76&lt;&gt;"",$C76="Ingreso",SUMIFS('Registro Mensual'!$H$9:$H$1008,'Registro Mensual'!$C$9:$C$1008,Dashboard!$B$5,'Registro Mensual'!$D$9:$D$1008,$B76)&gt;0),COUNT($AA$4:AA75)+1,"")</f>
        <v/>
      </c>
      <c r="AB76" s="12" t="str">
        <f>IFERROR(INDEX($B$5:$B$200,MATCH(ROWS($AB$5:AB76),$Z$5:$Z$200,0)),"")</f>
        <v/>
      </c>
      <c r="AC76" s="12" t="str">
        <f>IF($AB76="","",SUMIFS('Registro Mensual'!$I$9:$I$1008,'Registro Mensual'!$C$9:$C$1008,Dashboard!$B$5,'Registro Mensual'!$D$9:$D$1008,$AB76))</f>
        <v/>
      </c>
    </row>
    <row r="77" spans="1:29" ht="21.95" customHeight="1" x14ac:dyDescent="0.25">
      <c r="A77" s="12"/>
      <c r="B77" s="28"/>
      <c r="C77" s="28"/>
      <c r="D77" s="12"/>
      <c r="E77" s="12"/>
      <c r="F77" s="12"/>
      <c r="G77" s="12"/>
      <c r="Z77" s="12" t="str">
        <f>IF(AND($B77&lt;&gt;"",$C77="Gasto"),COUNT($Z$4:Z76)+1,"")</f>
        <v/>
      </c>
      <c r="AA77" s="12" t="str">
        <f>IF(AND($B77&lt;&gt;"",$C77="Ingreso",SUMIFS('Registro Mensual'!$H$9:$H$1008,'Registro Mensual'!$C$9:$C$1008,Dashboard!$B$5,'Registro Mensual'!$D$9:$D$1008,$B77)&gt;0),COUNT($AA$4:AA76)+1,"")</f>
        <v/>
      </c>
      <c r="AB77" s="12" t="str">
        <f>IFERROR(INDEX($B$5:$B$200,MATCH(ROWS($AB$5:AB77),$Z$5:$Z$200,0)),"")</f>
        <v/>
      </c>
      <c r="AC77" s="12" t="str">
        <f>IF($AB77="","",SUMIFS('Registro Mensual'!$I$9:$I$1008,'Registro Mensual'!$C$9:$C$1008,Dashboard!$B$5,'Registro Mensual'!$D$9:$D$1008,$AB77))</f>
        <v/>
      </c>
    </row>
    <row r="78" spans="1:29" ht="21.95" customHeight="1" x14ac:dyDescent="0.25">
      <c r="A78" s="12"/>
      <c r="B78" s="28"/>
      <c r="C78" s="28"/>
      <c r="D78" s="12"/>
      <c r="E78" s="12"/>
      <c r="F78" s="12"/>
      <c r="G78" s="12"/>
      <c r="Z78" s="12" t="str">
        <f>IF(AND($B78&lt;&gt;"",$C78="Gasto"),COUNT($Z$4:Z77)+1,"")</f>
        <v/>
      </c>
      <c r="AA78" s="12" t="str">
        <f>IF(AND($B78&lt;&gt;"",$C78="Ingreso",SUMIFS('Registro Mensual'!$H$9:$H$1008,'Registro Mensual'!$C$9:$C$1008,Dashboard!$B$5,'Registro Mensual'!$D$9:$D$1008,$B78)&gt;0),COUNT($AA$4:AA77)+1,"")</f>
        <v/>
      </c>
      <c r="AB78" s="12" t="str">
        <f>IFERROR(INDEX($B$5:$B$200,MATCH(ROWS($AB$5:AB78),$Z$5:$Z$200,0)),"")</f>
        <v/>
      </c>
      <c r="AC78" s="12" t="str">
        <f>IF($AB78="","",SUMIFS('Registro Mensual'!$I$9:$I$1008,'Registro Mensual'!$C$9:$C$1008,Dashboard!$B$5,'Registro Mensual'!$D$9:$D$1008,$AB78))</f>
        <v/>
      </c>
    </row>
    <row r="79" spans="1:29" ht="21.95" customHeight="1" x14ac:dyDescent="0.25">
      <c r="A79" s="12"/>
      <c r="B79" s="28"/>
      <c r="C79" s="28"/>
      <c r="D79" s="12"/>
      <c r="E79" s="12"/>
      <c r="F79" s="12"/>
      <c r="G79" s="12"/>
      <c r="Z79" s="12" t="str">
        <f>IF(AND($B79&lt;&gt;"",$C79="Gasto"),COUNT($Z$4:Z78)+1,"")</f>
        <v/>
      </c>
      <c r="AA79" s="12" t="str">
        <f>IF(AND($B79&lt;&gt;"",$C79="Ingreso",SUMIFS('Registro Mensual'!$H$9:$H$1008,'Registro Mensual'!$C$9:$C$1008,Dashboard!$B$5,'Registro Mensual'!$D$9:$D$1008,$B79)&gt;0),COUNT($AA$4:AA78)+1,"")</f>
        <v/>
      </c>
      <c r="AB79" s="12" t="str">
        <f>IFERROR(INDEX($B$5:$B$200,MATCH(ROWS($AB$5:AB79),$Z$5:$Z$200,0)),"")</f>
        <v/>
      </c>
      <c r="AC79" s="12" t="str">
        <f>IF($AB79="","",SUMIFS('Registro Mensual'!$I$9:$I$1008,'Registro Mensual'!$C$9:$C$1008,Dashboard!$B$5,'Registro Mensual'!$D$9:$D$1008,$AB79))</f>
        <v/>
      </c>
    </row>
    <row r="80" spans="1:29" ht="21.95" customHeight="1" x14ac:dyDescent="0.25">
      <c r="A80" s="12"/>
      <c r="B80" s="28"/>
      <c r="C80" s="28"/>
      <c r="D80" s="12"/>
      <c r="E80" s="12"/>
      <c r="F80" s="12"/>
      <c r="G80" s="12"/>
      <c r="Z80" s="12" t="str">
        <f>IF(AND($B80&lt;&gt;"",$C80="Gasto"),COUNT($Z$4:Z79)+1,"")</f>
        <v/>
      </c>
      <c r="AA80" s="12" t="str">
        <f>IF(AND($B80&lt;&gt;"",$C80="Ingreso",SUMIFS('Registro Mensual'!$H$9:$H$1008,'Registro Mensual'!$C$9:$C$1008,Dashboard!$B$5,'Registro Mensual'!$D$9:$D$1008,$B80)&gt;0),COUNT($AA$4:AA79)+1,"")</f>
        <v/>
      </c>
      <c r="AB80" s="12" t="str">
        <f>IFERROR(INDEX($B$5:$B$200,MATCH(ROWS($AB$5:AB80),$Z$5:$Z$200,0)),"")</f>
        <v/>
      </c>
      <c r="AC80" s="12" t="str">
        <f>IF($AB80="","",SUMIFS('Registro Mensual'!$I$9:$I$1008,'Registro Mensual'!$C$9:$C$1008,Dashboard!$B$5,'Registro Mensual'!$D$9:$D$1008,$AB80))</f>
        <v/>
      </c>
    </row>
    <row r="81" spans="1:29" ht="21.95" customHeight="1" x14ac:dyDescent="0.25">
      <c r="A81" s="12"/>
      <c r="B81" s="28"/>
      <c r="C81" s="28"/>
      <c r="D81" s="12"/>
      <c r="E81" s="12"/>
      <c r="F81" s="12"/>
      <c r="G81" s="12"/>
      <c r="Z81" s="12" t="str">
        <f>IF(AND($B81&lt;&gt;"",$C81="Gasto"),COUNT($Z$4:Z80)+1,"")</f>
        <v/>
      </c>
      <c r="AA81" s="12" t="str">
        <f>IF(AND($B81&lt;&gt;"",$C81="Ingreso",SUMIFS('Registro Mensual'!$H$9:$H$1008,'Registro Mensual'!$C$9:$C$1008,Dashboard!$B$5,'Registro Mensual'!$D$9:$D$1008,$B81)&gt;0),COUNT($AA$4:AA80)+1,"")</f>
        <v/>
      </c>
      <c r="AB81" s="12" t="str">
        <f>IFERROR(INDEX($B$5:$B$200,MATCH(ROWS($AB$5:AB81),$Z$5:$Z$200,0)),"")</f>
        <v/>
      </c>
      <c r="AC81" s="12" t="str">
        <f>IF($AB81="","",SUMIFS('Registro Mensual'!$I$9:$I$1008,'Registro Mensual'!$C$9:$C$1008,Dashboard!$B$5,'Registro Mensual'!$D$9:$D$1008,$AB81))</f>
        <v/>
      </c>
    </row>
    <row r="82" spans="1:29" ht="21.95" customHeight="1" x14ac:dyDescent="0.25">
      <c r="A82" s="12"/>
      <c r="B82" s="28"/>
      <c r="C82" s="28"/>
      <c r="D82" s="12"/>
      <c r="E82" s="12"/>
      <c r="F82" s="12"/>
      <c r="G82" s="12"/>
      <c r="Z82" s="12" t="str">
        <f>IF(AND($B82&lt;&gt;"",$C82="Gasto"),COUNT($Z$4:Z81)+1,"")</f>
        <v/>
      </c>
      <c r="AA82" s="12" t="str">
        <f>IF(AND($B82&lt;&gt;"",$C82="Ingreso",SUMIFS('Registro Mensual'!$H$9:$H$1008,'Registro Mensual'!$C$9:$C$1008,Dashboard!$B$5,'Registro Mensual'!$D$9:$D$1008,$B82)&gt;0),COUNT($AA$4:AA81)+1,"")</f>
        <v/>
      </c>
      <c r="AB82" s="12" t="str">
        <f>IFERROR(INDEX($B$5:$B$200,MATCH(ROWS($AB$5:AB82),$Z$5:$Z$200,0)),"")</f>
        <v/>
      </c>
      <c r="AC82" s="12" t="str">
        <f>IF($AB82="","",SUMIFS('Registro Mensual'!$I$9:$I$1008,'Registro Mensual'!$C$9:$C$1008,Dashboard!$B$5,'Registro Mensual'!$D$9:$D$1008,$AB82))</f>
        <v/>
      </c>
    </row>
    <row r="83" spans="1:29" ht="21.95" customHeight="1" x14ac:dyDescent="0.25">
      <c r="A83" s="12"/>
      <c r="B83" s="28"/>
      <c r="C83" s="28"/>
      <c r="D83" s="12"/>
      <c r="E83" s="12"/>
      <c r="F83" s="12"/>
      <c r="G83" s="12"/>
      <c r="Z83" s="12" t="str">
        <f>IF(AND($B83&lt;&gt;"",$C83="Gasto"),COUNT($Z$4:Z82)+1,"")</f>
        <v/>
      </c>
      <c r="AA83" s="12" t="str">
        <f>IF(AND($B83&lt;&gt;"",$C83="Ingreso",SUMIFS('Registro Mensual'!$H$9:$H$1008,'Registro Mensual'!$C$9:$C$1008,Dashboard!$B$5,'Registro Mensual'!$D$9:$D$1008,$B83)&gt;0),COUNT($AA$4:AA82)+1,"")</f>
        <v/>
      </c>
      <c r="AB83" s="12" t="str">
        <f>IFERROR(INDEX($B$5:$B$200,MATCH(ROWS($AB$5:AB83),$Z$5:$Z$200,0)),"")</f>
        <v/>
      </c>
      <c r="AC83" s="12" t="str">
        <f>IF($AB83="","",SUMIFS('Registro Mensual'!$I$9:$I$1008,'Registro Mensual'!$C$9:$C$1008,Dashboard!$B$5,'Registro Mensual'!$D$9:$D$1008,$AB83))</f>
        <v/>
      </c>
    </row>
    <row r="84" spans="1:29" ht="21.95" customHeight="1" x14ac:dyDescent="0.25">
      <c r="A84" s="12"/>
      <c r="B84" s="28"/>
      <c r="C84" s="28"/>
      <c r="D84" s="12"/>
      <c r="E84" s="12"/>
      <c r="F84" s="12"/>
      <c r="G84" s="12"/>
      <c r="Z84" s="12" t="str">
        <f>IF(AND($B84&lt;&gt;"",$C84="Gasto"),COUNT($Z$4:Z83)+1,"")</f>
        <v/>
      </c>
      <c r="AA84" s="12" t="str">
        <f>IF(AND($B84&lt;&gt;"",$C84="Ingreso",SUMIFS('Registro Mensual'!$H$9:$H$1008,'Registro Mensual'!$C$9:$C$1008,Dashboard!$B$5,'Registro Mensual'!$D$9:$D$1008,$B84)&gt;0),COUNT($AA$4:AA83)+1,"")</f>
        <v/>
      </c>
      <c r="AB84" s="12" t="str">
        <f>IFERROR(INDEX($B$5:$B$200,MATCH(ROWS($AB$5:AB84),$Z$5:$Z$200,0)),"")</f>
        <v/>
      </c>
      <c r="AC84" s="12" t="str">
        <f>IF($AB84="","",SUMIFS('Registro Mensual'!$I$9:$I$1008,'Registro Mensual'!$C$9:$C$1008,Dashboard!$B$5,'Registro Mensual'!$D$9:$D$1008,$AB84))</f>
        <v/>
      </c>
    </row>
    <row r="85" spans="1:29" ht="21.95" customHeight="1" x14ac:dyDescent="0.25">
      <c r="A85" s="12"/>
      <c r="B85" s="28"/>
      <c r="C85" s="28"/>
      <c r="D85" s="12"/>
      <c r="E85" s="12"/>
      <c r="F85" s="12"/>
      <c r="G85" s="12"/>
      <c r="Z85" s="12" t="str">
        <f>IF(AND($B85&lt;&gt;"",$C85="Gasto"),COUNT($Z$4:Z84)+1,"")</f>
        <v/>
      </c>
      <c r="AA85" s="12" t="str">
        <f>IF(AND($B85&lt;&gt;"",$C85="Ingreso",SUMIFS('Registro Mensual'!$H$9:$H$1008,'Registro Mensual'!$C$9:$C$1008,Dashboard!$B$5,'Registro Mensual'!$D$9:$D$1008,$B85)&gt;0),COUNT($AA$4:AA84)+1,"")</f>
        <v/>
      </c>
      <c r="AB85" s="12" t="str">
        <f>IFERROR(INDEX($B$5:$B$200,MATCH(ROWS($AB$5:AB85),$Z$5:$Z$200,0)),"")</f>
        <v/>
      </c>
      <c r="AC85" s="12" t="str">
        <f>IF($AB85="","",SUMIFS('Registro Mensual'!$I$9:$I$1008,'Registro Mensual'!$C$9:$C$1008,Dashboard!$B$5,'Registro Mensual'!$D$9:$D$1008,$AB85))</f>
        <v/>
      </c>
    </row>
    <row r="86" spans="1:29" ht="21.95" customHeight="1" x14ac:dyDescent="0.25">
      <c r="A86" s="12"/>
      <c r="B86" s="28"/>
      <c r="C86" s="28"/>
      <c r="D86" s="12"/>
      <c r="E86" s="12"/>
      <c r="F86" s="12"/>
      <c r="G86" s="12"/>
      <c r="Z86" s="12" t="str">
        <f>IF(AND($B86&lt;&gt;"",$C86="Gasto"),COUNT($Z$4:Z85)+1,"")</f>
        <v/>
      </c>
      <c r="AA86" s="12" t="str">
        <f>IF(AND($B86&lt;&gt;"",$C86="Ingreso",SUMIFS('Registro Mensual'!$H$9:$H$1008,'Registro Mensual'!$C$9:$C$1008,Dashboard!$B$5,'Registro Mensual'!$D$9:$D$1008,$B86)&gt;0),COUNT($AA$4:AA85)+1,"")</f>
        <v/>
      </c>
      <c r="AB86" s="12" t="str">
        <f>IFERROR(INDEX($B$5:$B$200,MATCH(ROWS($AB$5:AB86),$Z$5:$Z$200,0)),"")</f>
        <v/>
      </c>
      <c r="AC86" s="12" t="str">
        <f>IF($AB86="","",SUMIFS('Registro Mensual'!$I$9:$I$1008,'Registro Mensual'!$C$9:$C$1008,Dashboard!$B$5,'Registro Mensual'!$D$9:$D$1008,$AB86))</f>
        <v/>
      </c>
    </row>
    <row r="87" spans="1:29" ht="21.95" customHeight="1" x14ac:dyDescent="0.25">
      <c r="A87" s="12"/>
      <c r="B87" s="28"/>
      <c r="C87" s="28"/>
      <c r="D87" s="12"/>
      <c r="E87" s="12"/>
      <c r="F87" s="12"/>
      <c r="G87" s="12"/>
      <c r="Z87" s="12" t="str">
        <f>IF(AND($B87&lt;&gt;"",$C87="Gasto"),COUNT($Z$4:Z86)+1,"")</f>
        <v/>
      </c>
      <c r="AA87" s="12" t="str">
        <f>IF(AND($B87&lt;&gt;"",$C87="Ingreso",SUMIFS('Registro Mensual'!$H$9:$H$1008,'Registro Mensual'!$C$9:$C$1008,Dashboard!$B$5,'Registro Mensual'!$D$9:$D$1008,$B87)&gt;0),COUNT($AA$4:AA86)+1,"")</f>
        <v/>
      </c>
      <c r="AB87" s="12" t="str">
        <f>IFERROR(INDEX($B$5:$B$200,MATCH(ROWS($AB$5:AB87),$Z$5:$Z$200,0)),"")</f>
        <v/>
      </c>
      <c r="AC87" s="12" t="str">
        <f>IF($AB87="","",SUMIFS('Registro Mensual'!$I$9:$I$1008,'Registro Mensual'!$C$9:$C$1008,Dashboard!$B$5,'Registro Mensual'!$D$9:$D$1008,$AB87))</f>
        <v/>
      </c>
    </row>
    <row r="88" spans="1:29" ht="21.95" customHeight="1" x14ac:dyDescent="0.25">
      <c r="A88" s="12"/>
      <c r="B88" s="28"/>
      <c r="C88" s="28"/>
      <c r="D88" s="12"/>
      <c r="E88" s="12"/>
      <c r="F88" s="12"/>
      <c r="G88" s="12"/>
      <c r="Z88" s="12" t="str">
        <f>IF(AND($B88&lt;&gt;"",$C88="Gasto"),COUNT($Z$4:Z87)+1,"")</f>
        <v/>
      </c>
      <c r="AA88" s="12" t="str">
        <f>IF(AND($B88&lt;&gt;"",$C88="Ingreso",SUMIFS('Registro Mensual'!$H$9:$H$1008,'Registro Mensual'!$C$9:$C$1008,Dashboard!$B$5,'Registro Mensual'!$D$9:$D$1008,$B88)&gt;0),COUNT($AA$4:AA87)+1,"")</f>
        <v/>
      </c>
      <c r="AB88" s="12" t="str">
        <f>IFERROR(INDEX($B$5:$B$200,MATCH(ROWS($AB$5:AB88),$Z$5:$Z$200,0)),"")</f>
        <v/>
      </c>
      <c r="AC88" s="12" t="str">
        <f>IF($AB88="","",SUMIFS('Registro Mensual'!$I$9:$I$1008,'Registro Mensual'!$C$9:$C$1008,Dashboard!$B$5,'Registro Mensual'!$D$9:$D$1008,$AB88))</f>
        <v/>
      </c>
    </row>
    <row r="89" spans="1:29" ht="21.95" customHeight="1" x14ac:dyDescent="0.25">
      <c r="A89" s="12"/>
      <c r="B89" s="28"/>
      <c r="C89" s="28"/>
      <c r="D89" s="12"/>
      <c r="E89" s="12"/>
      <c r="F89" s="12"/>
      <c r="G89" s="12"/>
      <c r="Z89" s="12" t="str">
        <f>IF(AND($B89&lt;&gt;"",$C89="Gasto"),COUNT($Z$4:Z88)+1,"")</f>
        <v/>
      </c>
      <c r="AA89" s="12" t="str">
        <f>IF(AND($B89&lt;&gt;"",$C89="Ingreso",SUMIFS('Registro Mensual'!$H$9:$H$1008,'Registro Mensual'!$C$9:$C$1008,Dashboard!$B$5,'Registro Mensual'!$D$9:$D$1008,$B89)&gt;0),COUNT($AA$4:AA88)+1,"")</f>
        <v/>
      </c>
      <c r="AB89" s="12" t="str">
        <f>IFERROR(INDEX($B$5:$B$200,MATCH(ROWS($AB$5:AB89),$Z$5:$Z$200,0)),"")</f>
        <v/>
      </c>
      <c r="AC89" s="12" t="str">
        <f>IF($AB89="","",SUMIFS('Registro Mensual'!$I$9:$I$1008,'Registro Mensual'!$C$9:$C$1008,Dashboard!$B$5,'Registro Mensual'!$D$9:$D$1008,$AB89))</f>
        <v/>
      </c>
    </row>
    <row r="90" spans="1:29" ht="21.95" customHeight="1" x14ac:dyDescent="0.25">
      <c r="A90" s="12"/>
      <c r="B90" s="28"/>
      <c r="C90" s="28"/>
      <c r="D90" s="12"/>
      <c r="E90" s="12"/>
      <c r="F90" s="12"/>
      <c r="G90" s="12"/>
      <c r="Z90" s="12" t="str">
        <f>IF(AND($B90&lt;&gt;"",$C90="Gasto"),COUNT($Z$4:Z89)+1,"")</f>
        <v/>
      </c>
      <c r="AA90" s="12" t="str">
        <f>IF(AND($B90&lt;&gt;"",$C90="Ingreso",SUMIFS('Registro Mensual'!$H$9:$H$1008,'Registro Mensual'!$C$9:$C$1008,Dashboard!$B$5,'Registro Mensual'!$D$9:$D$1008,$B90)&gt;0),COUNT($AA$4:AA89)+1,"")</f>
        <v/>
      </c>
      <c r="AB90" s="12" t="str">
        <f>IFERROR(INDEX($B$5:$B$200,MATCH(ROWS($AB$5:AB90),$Z$5:$Z$200,0)),"")</f>
        <v/>
      </c>
      <c r="AC90" s="12" t="str">
        <f>IF($AB90="","",SUMIFS('Registro Mensual'!$I$9:$I$1008,'Registro Mensual'!$C$9:$C$1008,Dashboard!$B$5,'Registro Mensual'!$D$9:$D$1008,$AB90))</f>
        <v/>
      </c>
    </row>
    <row r="91" spans="1:29" ht="21.95" customHeight="1" x14ac:dyDescent="0.25">
      <c r="A91" s="12"/>
      <c r="B91" s="28"/>
      <c r="C91" s="28"/>
      <c r="D91" s="12"/>
      <c r="E91" s="12"/>
      <c r="F91" s="12"/>
      <c r="G91" s="12"/>
      <c r="Z91" s="12" t="str">
        <f>IF(AND($B91&lt;&gt;"",$C91="Gasto"),COUNT($Z$4:Z90)+1,"")</f>
        <v/>
      </c>
      <c r="AA91" s="12" t="str">
        <f>IF(AND($B91&lt;&gt;"",$C91="Ingreso",SUMIFS('Registro Mensual'!$H$9:$H$1008,'Registro Mensual'!$C$9:$C$1008,Dashboard!$B$5,'Registro Mensual'!$D$9:$D$1008,$B91)&gt;0),COUNT($AA$4:AA90)+1,"")</f>
        <v/>
      </c>
      <c r="AB91" s="12" t="str">
        <f>IFERROR(INDEX($B$5:$B$200,MATCH(ROWS($AB$5:AB91),$Z$5:$Z$200,0)),"")</f>
        <v/>
      </c>
      <c r="AC91" s="12" t="str">
        <f>IF($AB91="","",SUMIFS('Registro Mensual'!$I$9:$I$1008,'Registro Mensual'!$C$9:$C$1008,Dashboard!$B$5,'Registro Mensual'!$D$9:$D$1008,$AB91))</f>
        <v/>
      </c>
    </row>
    <row r="92" spans="1:29" ht="21.95" customHeight="1" x14ac:dyDescent="0.25">
      <c r="A92" s="12"/>
      <c r="B92" s="28"/>
      <c r="C92" s="28"/>
      <c r="D92" s="12"/>
      <c r="E92" s="12"/>
      <c r="F92" s="12"/>
      <c r="G92" s="12"/>
      <c r="Z92" s="12" t="str">
        <f>IF(AND($B92&lt;&gt;"",$C92="Gasto"),COUNT($Z$4:Z91)+1,"")</f>
        <v/>
      </c>
      <c r="AA92" s="12" t="str">
        <f>IF(AND($B92&lt;&gt;"",$C92="Ingreso",SUMIFS('Registro Mensual'!$H$9:$H$1008,'Registro Mensual'!$C$9:$C$1008,Dashboard!$B$5,'Registro Mensual'!$D$9:$D$1008,$B92)&gt;0),COUNT($AA$4:AA91)+1,"")</f>
        <v/>
      </c>
      <c r="AB92" s="12" t="str">
        <f>IFERROR(INDEX($B$5:$B$200,MATCH(ROWS($AB$5:AB92),$Z$5:$Z$200,0)),"")</f>
        <v/>
      </c>
      <c r="AC92" s="12" t="str">
        <f>IF($AB92="","",SUMIFS('Registro Mensual'!$I$9:$I$1008,'Registro Mensual'!$C$9:$C$1008,Dashboard!$B$5,'Registro Mensual'!$D$9:$D$1008,$AB92))</f>
        <v/>
      </c>
    </row>
    <row r="93" spans="1:29" ht="21.95" customHeight="1" x14ac:dyDescent="0.25">
      <c r="A93" s="12"/>
      <c r="B93" s="28"/>
      <c r="C93" s="28"/>
      <c r="D93" s="12"/>
      <c r="E93" s="12"/>
      <c r="F93" s="12"/>
      <c r="G93" s="12"/>
      <c r="Z93" s="12" t="str">
        <f>IF(AND($B93&lt;&gt;"",$C93="Gasto"),COUNT($Z$4:Z92)+1,"")</f>
        <v/>
      </c>
      <c r="AA93" s="12" t="str">
        <f>IF(AND($B93&lt;&gt;"",$C93="Ingreso",SUMIFS('Registro Mensual'!$H$9:$H$1008,'Registro Mensual'!$C$9:$C$1008,Dashboard!$B$5,'Registro Mensual'!$D$9:$D$1008,$B93)&gt;0),COUNT($AA$4:AA92)+1,"")</f>
        <v/>
      </c>
      <c r="AB93" s="12" t="str">
        <f>IFERROR(INDEX($B$5:$B$200,MATCH(ROWS($AB$5:AB93),$Z$5:$Z$200,0)),"")</f>
        <v/>
      </c>
      <c r="AC93" s="12" t="str">
        <f>IF($AB93="","",SUMIFS('Registro Mensual'!$I$9:$I$1008,'Registro Mensual'!$C$9:$C$1008,Dashboard!$B$5,'Registro Mensual'!$D$9:$D$1008,$AB93))</f>
        <v/>
      </c>
    </row>
    <row r="94" spans="1:29" ht="21.95" customHeight="1" x14ac:dyDescent="0.25">
      <c r="A94" s="12"/>
      <c r="B94" s="28"/>
      <c r="C94" s="28"/>
      <c r="D94" s="12"/>
      <c r="E94" s="12"/>
      <c r="F94" s="12"/>
      <c r="G94" s="12"/>
      <c r="Z94" s="12" t="str">
        <f>IF(AND($B94&lt;&gt;"",$C94="Gasto"),COUNT($Z$4:Z93)+1,"")</f>
        <v/>
      </c>
      <c r="AA94" s="12" t="str">
        <f>IF(AND($B94&lt;&gt;"",$C94="Ingreso",SUMIFS('Registro Mensual'!$H$9:$H$1008,'Registro Mensual'!$C$9:$C$1008,Dashboard!$B$5,'Registro Mensual'!$D$9:$D$1008,$B94)&gt;0),COUNT($AA$4:AA93)+1,"")</f>
        <v/>
      </c>
      <c r="AB94" s="12" t="str">
        <f>IFERROR(INDEX($B$5:$B$200,MATCH(ROWS($AB$5:AB94),$Z$5:$Z$200,0)),"")</f>
        <v/>
      </c>
      <c r="AC94" s="12" t="str">
        <f>IF($AB94="","",SUMIFS('Registro Mensual'!$I$9:$I$1008,'Registro Mensual'!$C$9:$C$1008,Dashboard!$B$5,'Registro Mensual'!$D$9:$D$1008,$AB94))</f>
        <v/>
      </c>
    </row>
    <row r="95" spans="1:29" ht="21.95" customHeight="1" x14ac:dyDescent="0.25">
      <c r="A95" s="12"/>
      <c r="B95" s="28"/>
      <c r="C95" s="28"/>
      <c r="D95" s="12"/>
      <c r="E95" s="12"/>
      <c r="F95" s="12"/>
      <c r="G95" s="12"/>
      <c r="Z95" s="12" t="str">
        <f>IF(AND($B95&lt;&gt;"",$C95="Gasto"),COUNT($Z$4:Z94)+1,"")</f>
        <v/>
      </c>
      <c r="AA95" s="12" t="str">
        <f>IF(AND($B95&lt;&gt;"",$C95="Ingreso",SUMIFS('Registro Mensual'!$H$9:$H$1008,'Registro Mensual'!$C$9:$C$1008,Dashboard!$B$5,'Registro Mensual'!$D$9:$D$1008,$B95)&gt;0),COUNT($AA$4:AA94)+1,"")</f>
        <v/>
      </c>
      <c r="AB95" s="12" t="str">
        <f>IFERROR(INDEX($B$5:$B$200,MATCH(ROWS($AB$5:AB95),$Z$5:$Z$200,0)),"")</f>
        <v/>
      </c>
      <c r="AC95" s="12" t="str">
        <f>IF($AB95="","",SUMIFS('Registro Mensual'!$I$9:$I$1008,'Registro Mensual'!$C$9:$C$1008,Dashboard!$B$5,'Registro Mensual'!$D$9:$D$1008,$AB95))</f>
        <v/>
      </c>
    </row>
    <row r="96" spans="1:29" ht="21.95" customHeight="1" x14ac:dyDescent="0.25">
      <c r="A96" s="12"/>
      <c r="B96" s="28"/>
      <c r="C96" s="28"/>
      <c r="D96" s="12"/>
      <c r="E96" s="12"/>
      <c r="F96" s="12"/>
      <c r="G96" s="12"/>
      <c r="Z96" s="12" t="str">
        <f>IF(AND($B96&lt;&gt;"",$C96="Gasto"),COUNT($Z$4:Z95)+1,"")</f>
        <v/>
      </c>
      <c r="AA96" s="12" t="str">
        <f>IF(AND($B96&lt;&gt;"",$C96="Ingreso",SUMIFS('Registro Mensual'!$H$9:$H$1008,'Registro Mensual'!$C$9:$C$1008,Dashboard!$B$5,'Registro Mensual'!$D$9:$D$1008,$B96)&gt;0),COUNT($AA$4:AA95)+1,"")</f>
        <v/>
      </c>
      <c r="AB96" s="12" t="str">
        <f>IFERROR(INDEX($B$5:$B$200,MATCH(ROWS($AB$5:AB96),$Z$5:$Z$200,0)),"")</f>
        <v/>
      </c>
      <c r="AC96" s="12" t="str">
        <f>IF($AB96="","",SUMIFS('Registro Mensual'!$I$9:$I$1008,'Registro Mensual'!$C$9:$C$1008,Dashboard!$B$5,'Registro Mensual'!$D$9:$D$1008,$AB96))</f>
        <v/>
      </c>
    </row>
    <row r="97" spans="1:29" ht="21.95" customHeight="1" x14ac:dyDescent="0.25">
      <c r="A97" s="12"/>
      <c r="B97" s="28"/>
      <c r="C97" s="28"/>
      <c r="D97" s="12"/>
      <c r="E97" s="12"/>
      <c r="F97" s="12"/>
      <c r="G97" s="12"/>
      <c r="Z97" s="12" t="str">
        <f>IF(AND($B97&lt;&gt;"",$C97="Gasto"),COUNT($Z$4:Z96)+1,"")</f>
        <v/>
      </c>
      <c r="AA97" s="12" t="str">
        <f>IF(AND($B97&lt;&gt;"",$C97="Ingreso",SUMIFS('Registro Mensual'!$H$9:$H$1008,'Registro Mensual'!$C$9:$C$1008,Dashboard!$B$5,'Registro Mensual'!$D$9:$D$1008,$B97)&gt;0),COUNT($AA$4:AA96)+1,"")</f>
        <v/>
      </c>
      <c r="AB97" s="12" t="str">
        <f>IFERROR(INDEX($B$5:$B$200,MATCH(ROWS($AB$5:AB97),$Z$5:$Z$200,0)),"")</f>
        <v/>
      </c>
      <c r="AC97" s="12" t="str">
        <f>IF($AB97="","",SUMIFS('Registro Mensual'!$I$9:$I$1008,'Registro Mensual'!$C$9:$C$1008,Dashboard!$B$5,'Registro Mensual'!$D$9:$D$1008,$AB97))</f>
        <v/>
      </c>
    </row>
    <row r="98" spans="1:29" ht="21.95" customHeight="1" x14ac:dyDescent="0.25">
      <c r="A98" s="12"/>
      <c r="B98" s="28"/>
      <c r="C98" s="28"/>
      <c r="D98" s="12"/>
      <c r="E98" s="12"/>
      <c r="F98" s="12"/>
      <c r="G98" s="12"/>
      <c r="Z98" s="12" t="str">
        <f>IF(AND($B98&lt;&gt;"",$C98="Gasto"),COUNT($Z$4:Z97)+1,"")</f>
        <v/>
      </c>
      <c r="AA98" s="12" t="str">
        <f>IF(AND($B98&lt;&gt;"",$C98="Ingreso",SUMIFS('Registro Mensual'!$H$9:$H$1008,'Registro Mensual'!$C$9:$C$1008,Dashboard!$B$5,'Registro Mensual'!$D$9:$D$1008,$B98)&gt;0),COUNT($AA$4:AA97)+1,"")</f>
        <v/>
      </c>
      <c r="AB98" s="12" t="str">
        <f>IFERROR(INDEX($B$5:$B$200,MATCH(ROWS($AB$5:AB98),$Z$5:$Z$200,0)),"")</f>
        <v/>
      </c>
      <c r="AC98" s="12" t="str">
        <f>IF($AB98="","",SUMIFS('Registro Mensual'!$I$9:$I$1008,'Registro Mensual'!$C$9:$C$1008,Dashboard!$B$5,'Registro Mensual'!$D$9:$D$1008,$AB98))</f>
        <v/>
      </c>
    </row>
    <row r="99" spans="1:29" ht="21.95" customHeight="1" x14ac:dyDescent="0.25">
      <c r="A99" s="12"/>
      <c r="B99" s="28"/>
      <c r="C99" s="28"/>
      <c r="D99" s="12"/>
      <c r="E99" s="12"/>
      <c r="F99" s="12"/>
      <c r="G99" s="12"/>
      <c r="Z99" s="12" t="str">
        <f>IF(AND($B99&lt;&gt;"",$C99="Gasto"),COUNT($Z$4:Z98)+1,"")</f>
        <v/>
      </c>
      <c r="AA99" s="12" t="str">
        <f>IF(AND($B99&lt;&gt;"",$C99="Ingreso",SUMIFS('Registro Mensual'!$H$9:$H$1008,'Registro Mensual'!$C$9:$C$1008,Dashboard!$B$5,'Registro Mensual'!$D$9:$D$1008,$B99)&gt;0),COUNT($AA$4:AA98)+1,"")</f>
        <v/>
      </c>
      <c r="AB99" s="12" t="str">
        <f>IFERROR(INDEX($B$5:$B$200,MATCH(ROWS($AB$5:AB99),$Z$5:$Z$200,0)),"")</f>
        <v/>
      </c>
      <c r="AC99" s="12" t="str">
        <f>IF($AB99="","",SUMIFS('Registro Mensual'!$I$9:$I$1008,'Registro Mensual'!$C$9:$C$1008,Dashboard!$B$5,'Registro Mensual'!$D$9:$D$1008,$AB99))</f>
        <v/>
      </c>
    </row>
    <row r="100" spans="1:29" ht="21.95" customHeight="1" x14ac:dyDescent="0.25">
      <c r="A100" s="12"/>
      <c r="B100" s="28"/>
      <c r="C100" s="28"/>
      <c r="D100" s="12"/>
      <c r="E100" s="12"/>
      <c r="F100" s="12"/>
      <c r="G100" s="12"/>
      <c r="Z100" s="12" t="str">
        <f>IF(AND($B100&lt;&gt;"",$C100="Gasto"),COUNT($Z$4:Z99)+1,"")</f>
        <v/>
      </c>
      <c r="AA100" s="12" t="str">
        <f>IF(AND($B100&lt;&gt;"",$C100="Ingreso",SUMIFS('Registro Mensual'!$H$9:$H$1008,'Registro Mensual'!$C$9:$C$1008,Dashboard!$B$5,'Registro Mensual'!$D$9:$D$1008,$B100)&gt;0),COUNT($AA$4:AA99)+1,"")</f>
        <v/>
      </c>
      <c r="AB100" s="12" t="str">
        <f>IFERROR(INDEX($B$5:$B$200,MATCH(ROWS($AB$5:AB100),$Z$5:$Z$200,0)),"")</f>
        <v/>
      </c>
      <c r="AC100" s="12" t="str">
        <f>IF($AB100="","",SUMIFS('Registro Mensual'!$I$9:$I$1008,'Registro Mensual'!$C$9:$C$1008,Dashboard!$B$5,'Registro Mensual'!$D$9:$D$1008,$AB100))</f>
        <v/>
      </c>
    </row>
    <row r="101" spans="1:29" ht="21.95" customHeight="1" x14ac:dyDescent="0.25">
      <c r="A101" s="12"/>
      <c r="B101" s="28"/>
      <c r="C101" s="28"/>
      <c r="D101" s="12"/>
      <c r="E101" s="12"/>
      <c r="F101" s="12"/>
      <c r="G101" s="12"/>
      <c r="Z101" s="12" t="str">
        <f>IF(AND($B101&lt;&gt;"",$C101="Gasto"),COUNT($Z$4:Z100)+1,"")</f>
        <v/>
      </c>
      <c r="AA101" s="12" t="str">
        <f>IF(AND($B101&lt;&gt;"",$C101="Ingreso",SUMIFS('Registro Mensual'!$H$9:$H$1008,'Registro Mensual'!$C$9:$C$1008,Dashboard!$B$5,'Registro Mensual'!$D$9:$D$1008,$B101)&gt;0),COUNT($AA$4:AA100)+1,"")</f>
        <v/>
      </c>
      <c r="AB101" s="12" t="str">
        <f>IFERROR(INDEX($B$5:$B$200,MATCH(ROWS($AB$5:AB101),$Z$5:$Z$200,0)),"")</f>
        <v/>
      </c>
      <c r="AC101" s="12" t="str">
        <f>IF($AB101="","",SUMIFS('Registro Mensual'!$I$9:$I$1008,'Registro Mensual'!$C$9:$C$1008,Dashboard!$B$5,'Registro Mensual'!$D$9:$D$1008,$AB101))</f>
        <v/>
      </c>
    </row>
    <row r="102" spans="1:29" ht="21.95" customHeight="1" x14ac:dyDescent="0.25">
      <c r="A102" s="12"/>
      <c r="B102" s="28"/>
      <c r="C102" s="28"/>
      <c r="D102" s="12"/>
      <c r="E102" s="12"/>
      <c r="F102" s="12"/>
      <c r="G102" s="12"/>
      <c r="Z102" s="12" t="str">
        <f>IF(AND($B102&lt;&gt;"",$C102="Gasto"),COUNT($Z$4:Z101)+1,"")</f>
        <v/>
      </c>
      <c r="AA102" s="12" t="str">
        <f>IF(AND($B102&lt;&gt;"",$C102="Ingreso",SUMIFS('Registro Mensual'!$H$9:$H$1008,'Registro Mensual'!$C$9:$C$1008,Dashboard!$B$5,'Registro Mensual'!$D$9:$D$1008,$B102)&gt;0),COUNT($AA$4:AA101)+1,"")</f>
        <v/>
      </c>
      <c r="AB102" s="12" t="str">
        <f>IFERROR(INDEX($B$5:$B$200,MATCH(ROWS($AB$5:AB102),$Z$5:$Z$200,0)),"")</f>
        <v/>
      </c>
      <c r="AC102" s="12" t="str">
        <f>IF($AB102="","",SUMIFS('Registro Mensual'!$I$9:$I$1008,'Registro Mensual'!$C$9:$C$1008,Dashboard!$B$5,'Registro Mensual'!$D$9:$D$1008,$AB102))</f>
        <v/>
      </c>
    </row>
    <row r="103" spans="1:29" ht="21.95" customHeight="1" x14ac:dyDescent="0.25">
      <c r="A103" s="12"/>
      <c r="B103" s="28"/>
      <c r="C103" s="28"/>
      <c r="D103" s="12"/>
      <c r="E103" s="12"/>
      <c r="F103" s="12"/>
      <c r="G103" s="12"/>
      <c r="Z103" s="12" t="str">
        <f>IF(AND($B103&lt;&gt;"",$C103="Gasto"),COUNT($Z$4:Z102)+1,"")</f>
        <v/>
      </c>
      <c r="AA103" s="12" t="str">
        <f>IF(AND($B103&lt;&gt;"",$C103="Ingreso",SUMIFS('Registro Mensual'!$H$9:$H$1008,'Registro Mensual'!$C$9:$C$1008,Dashboard!$B$5,'Registro Mensual'!$D$9:$D$1008,$B103)&gt;0),COUNT($AA$4:AA102)+1,"")</f>
        <v/>
      </c>
      <c r="AB103" s="12" t="str">
        <f>IFERROR(INDEX($B$5:$B$200,MATCH(ROWS($AB$5:AB103),$Z$5:$Z$200,0)),"")</f>
        <v/>
      </c>
      <c r="AC103" s="12" t="str">
        <f>IF($AB103="","",SUMIFS('Registro Mensual'!$I$9:$I$1008,'Registro Mensual'!$C$9:$C$1008,Dashboard!$B$5,'Registro Mensual'!$D$9:$D$1008,$AB103))</f>
        <v/>
      </c>
    </row>
    <row r="104" spans="1:29" ht="21.95" customHeight="1" x14ac:dyDescent="0.25">
      <c r="A104" s="12"/>
      <c r="B104" s="28"/>
      <c r="C104" s="28"/>
      <c r="D104" s="12"/>
      <c r="E104" s="12"/>
      <c r="F104" s="12"/>
      <c r="G104" s="12"/>
      <c r="Z104" s="12" t="str">
        <f>IF(AND($B104&lt;&gt;"",$C104="Gasto"),COUNT($Z$4:Z103)+1,"")</f>
        <v/>
      </c>
      <c r="AA104" s="12" t="str">
        <f>IF(AND($B104&lt;&gt;"",$C104="Ingreso",SUMIFS('Registro Mensual'!$H$9:$H$1008,'Registro Mensual'!$C$9:$C$1008,Dashboard!$B$5,'Registro Mensual'!$D$9:$D$1008,$B104)&gt;0),COUNT($AA$4:AA103)+1,"")</f>
        <v/>
      </c>
      <c r="AB104" s="12" t="str">
        <f>IFERROR(INDEX($B$5:$B$200,MATCH(ROWS($AB$5:AB104),$Z$5:$Z$200,0)),"")</f>
        <v/>
      </c>
      <c r="AC104" s="12" t="str">
        <f>IF($AB104="","",SUMIFS('Registro Mensual'!$I$9:$I$1008,'Registro Mensual'!$C$9:$C$1008,Dashboard!$B$5,'Registro Mensual'!$D$9:$D$1008,$AB104))</f>
        <v/>
      </c>
    </row>
    <row r="105" spans="1:29" ht="21.95" customHeight="1" x14ac:dyDescent="0.25">
      <c r="A105" s="12"/>
      <c r="B105" s="28"/>
      <c r="C105" s="28"/>
      <c r="D105" s="12"/>
      <c r="E105" s="12"/>
      <c r="F105" s="12"/>
      <c r="G105" s="12"/>
      <c r="Z105" s="12" t="str">
        <f>IF(AND($B105&lt;&gt;"",$C105="Gasto"),COUNT($Z$4:Z104)+1,"")</f>
        <v/>
      </c>
      <c r="AA105" s="12" t="str">
        <f>IF(AND($B105&lt;&gt;"",$C105="Ingreso",SUMIFS('Registro Mensual'!$H$9:$H$1008,'Registro Mensual'!$C$9:$C$1008,Dashboard!$B$5,'Registro Mensual'!$D$9:$D$1008,$B105)&gt;0),COUNT($AA$4:AA104)+1,"")</f>
        <v/>
      </c>
      <c r="AB105" s="12" t="str">
        <f>IFERROR(INDEX($B$5:$B$200,MATCH(ROWS($AB$5:AB105),$Z$5:$Z$200,0)),"")</f>
        <v/>
      </c>
      <c r="AC105" s="12" t="str">
        <f>IF($AB105="","",SUMIFS('Registro Mensual'!$I$9:$I$1008,'Registro Mensual'!$C$9:$C$1008,Dashboard!$B$5,'Registro Mensual'!$D$9:$D$1008,$AB105))</f>
        <v/>
      </c>
    </row>
    <row r="106" spans="1:29" ht="21.95" customHeight="1" x14ac:dyDescent="0.25">
      <c r="A106" s="12"/>
      <c r="B106" s="28"/>
      <c r="C106" s="28"/>
      <c r="D106" s="12"/>
      <c r="E106" s="12"/>
      <c r="F106" s="12"/>
      <c r="G106" s="12"/>
      <c r="Z106" s="12" t="str">
        <f>IF(AND($B106&lt;&gt;"",$C106="Gasto"),COUNT($Z$4:Z105)+1,"")</f>
        <v/>
      </c>
      <c r="AA106" s="12" t="str">
        <f>IF(AND($B106&lt;&gt;"",$C106="Ingreso",SUMIFS('Registro Mensual'!$H$9:$H$1008,'Registro Mensual'!$C$9:$C$1008,Dashboard!$B$5,'Registro Mensual'!$D$9:$D$1008,$B106)&gt;0),COUNT($AA$4:AA105)+1,"")</f>
        <v/>
      </c>
      <c r="AB106" s="12" t="str">
        <f>IFERROR(INDEX($B$5:$B$200,MATCH(ROWS($AB$5:AB106),$Z$5:$Z$200,0)),"")</f>
        <v/>
      </c>
      <c r="AC106" s="12" t="str">
        <f>IF($AB106="","",SUMIFS('Registro Mensual'!$I$9:$I$1008,'Registro Mensual'!$C$9:$C$1008,Dashboard!$B$5,'Registro Mensual'!$D$9:$D$1008,$AB106))</f>
        <v/>
      </c>
    </row>
    <row r="107" spans="1:29" ht="21.95" customHeight="1" x14ac:dyDescent="0.25">
      <c r="A107" s="12"/>
      <c r="B107" s="28"/>
      <c r="C107" s="28"/>
      <c r="D107" s="12"/>
      <c r="E107" s="12"/>
      <c r="F107" s="12"/>
      <c r="G107" s="12"/>
      <c r="Z107" s="12" t="str">
        <f>IF(AND($B107&lt;&gt;"",$C107="Gasto"),COUNT($Z$4:Z106)+1,"")</f>
        <v/>
      </c>
      <c r="AA107" s="12" t="str">
        <f>IF(AND($B107&lt;&gt;"",$C107="Ingreso",SUMIFS('Registro Mensual'!$H$9:$H$1008,'Registro Mensual'!$C$9:$C$1008,Dashboard!$B$5,'Registro Mensual'!$D$9:$D$1008,$B107)&gt;0),COUNT($AA$4:AA106)+1,"")</f>
        <v/>
      </c>
      <c r="AB107" s="12" t="str">
        <f>IFERROR(INDEX($B$5:$B$200,MATCH(ROWS($AB$5:AB107),$Z$5:$Z$200,0)),"")</f>
        <v/>
      </c>
      <c r="AC107" s="12" t="str">
        <f>IF($AB107="","",SUMIFS('Registro Mensual'!$I$9:$I$1008,'Registro Mensual'!$C$9:$C$1008,Dashboard!$B$5,'Registro Mensual'!$D$9:$D$1008,$AB107))</f>
        <v/>
      </c>
    </row>
    <row r="108" spans="1:29" ht="21.95" customHeight="1" x14ac:dyDescent="0.25">
      <c r="A108" s="12"/>
      <c r="B108" s="28"/>
      <c r="C108" s="28"/>
      <c r="D108" s="12"/>
      <c r="E108" s="12"/>
      <c r="F108" s="12"/>
      <c r="G108" s="12"/>
      <c r="Z108" s="12" t="str">
        <f>IF(AND($B108&lt;&gt;"",$C108="Gasto"),COUNT($Z$4:Z107)+1,"")</f>
        <v/>
      </c>
      <c r="AA108" s="12" t="str">
        <f>IF(AND($B108&lt;&gt;"",$C108="Ingreso",SUMIFS('Registro Mensual'!$H$9:$H$1008,'Registro Mensual'!$C$9:$C$1008,Dashboard!$B$5,'Registro Mensual'!$D$9:$D$1008,$B108)&gt;0),COUNT($AA$4:AA107)+1,"")</f>
        <v/>
      </c>
      <c r="AB108" s="12" t="str">
        <f>IFERROR(INDEX($B$5:$B$200,MATCH(ROWS($AB$5:AB108),$Z$5:$Z$200,0)),"")</f>
        <v/>
      </c>
      <c r="AC108" s="12" t="str">
        <f>IF($AB108="","",SUMIFS('Registro Mensual'!$I$9:$I$1008,'Registro Mensual'!$C$9:$C$1008,Dashboard!$B$5,'Registro Mensual'!$D$9:$D$1008,$AB108))</f>
        <v/>
      </c>
    </row>
    <row r="109" spans="1:29" ht="21.95" customHeight="1" x14ac:dyDescent="0.25">
      <c r="A109" s="12"/>
      <c r="B109" s="28"/>
      <c r="C109" s="28"/>
      <c r="D109" s="12"/>
      <c r="E109" s="12"/>
      <c r="F109" s="12"/>
      <c r="G109" s="12"/>
      <c r="Z109" s="12" t="str">
        <f>IF(AND($B109&lt;&gt;"",$C109="Gasto"),COUNT($Z$4:Z108)+1,"")</f>
        <v/>
      </c>
      <c r="AA109" s="12" t="str">
        <f>IF(AND($B109&lt;&gt;"",$C109="Ingreso",SUMIFS('Registro Mensual'!$H$9:$H$1008,'Registro Mensual'!$C$9:$C$1008,Dashboard!$B$5,'Registro Mensual'!$D$9:$D$1008,$B109)&gt;0),COUNT($AA$4:AA108)+1,"")</f>
        <v/>
      </c>
      <c r="AB109" s="12" t="str">
        <f>IFERROR(INDEX($B$5:$B$200,MATCH(ROWS($AB$5:AB109),$Z$5:$Z$200,0)),"")</f>
        <v/>
      </c>
      <c r="AC109" s="12" t="str">
        <f>IF($AB109="","",SUMIFS('Registro Mensual'!$I$9:$I$1008,'Registro Mensual'!$C$9:$C$1008,Dashboard!$B$5,'Registro Mensual'!$D$9:$D$1008,$AB109))</f>
        <v/>
      </c>
    </row>
    <row r="110" spans="1:29" ht="21.95" customHeight="1" x14ac:dyDescent="0.25">
      <c r="A110" s="12"/>
      <c r="B110" s="28"/>
      <c r="C110" s="28"/>
      <c r="D110" s="12"/>
      <c r="E110" s="12"/>
      <c r="F110" s="12"/>
      <c r="G110" s="12"/>
      <c r="Z110" s="12" t="str">
        <f>IF(AND($B110&lt;&gt;"",$C110="Gasto"),COUNT($Z$4:Z109)+1,"")</f>
        <v/>
      </c>
      <c r="AA110" s="12" t="str">
        <f>IF(AND($B110&lt;&gt;"",$C110="Ingreso",SUMIFS('Registro Mensual'!$H$9:$H$1008,'Registro Mensual'!$C$9:$C$1008,Dashboard!$B$5,'Registro Mensual'!$D$9:$D$1008,$B110)&gt;0),COUNT($AA$4:AA109)+1,"")</f>
        <v/>
      </c>
      <c r="AB110" s="12" t="str">
        <f>IFERROR(INDEX($B$5:$B$200,MATCH(ROWS($AB$5:AB110),$Z$5:$Z$200,0)),"")</f>
        <v/>
      </c>
      <c r="AC110" s="12" t="str">
        <f>IF($AB110="","",SUMIFS('Registro Mensual'!$I$9:$I$1008,'Registro Mensual'!$C$9:$C$1008,Dashboard!$B$5,'Registro Mensual'!$D$9:$D$1008,$AB110))</f>
        <v/>
      </c>
    </row>
    <row r="111" spans="1:29" ht="21.95" customHeight="1" x14ac:dyDescent="0.25">
      <c r="A111" s="12"/>
      <c r="B111" s="28"/>
      <c r="C111" s="28"/>
      <c r="D111" s="12"/>
      <c r="E111" s="12"/>
      <c r="F111" s="12"/>
      <c r="G111" s="12"/>
      <c r="Z111" s="12" t="str">
        <f>IF(AND($B111&lt;&gt;"",$C111="Gasto"),COUNT($Z$4:Z110)+1,"")</f>
        <v/>
      </c>
      <c r="AA111" s="12" t="str">
        <f>IF(AND($B111&lt;&gt;"",$C111="Ingreso",SUMIFS('Registro Mensual'!$H$9:$H$1008,'Registro Mensual'!$C$9:$C$1008,Dashboard!$B$5,'Registro Mensual'!$D$9:$D$1008,$B111)&gt;0),COUNT($AA$4:AA110)+1,"")</f>
        <v/>
      </c>
      <c r="AB111" s="12" t="str">
        <f>IFERROR(INDEX($B$5:$B$200,MATCH(ROWS($AB$5:AB111),$Z$5:$Z$200,0)),"")</f>
        <v/>
      </c>
      <c r="AC111" s="12" t="str">
        <f>IF($AB111="","",SUMIFS('Registro Mensual'!$I$9:$I$1008,'Registro Mensual'!$C$9:$C$1008,Dashboard!$B$5,'Registro Mensual'!$D$9:$D$1008,$AB111))</f>
        <v/>
      </c>
    </row>
    <row r="112" spans="1:29" ht="21.95" customHeight="1" x14ac:dyDescent="0.25">
      <c r="A112" s="12"/>
      <c r="B112" s="28"/>
      <c r="C112" s="28"/>
      <c r="D112" s="12"/>
      <c r="E112" s="12"/>
      <c r="F112" s="12"/>
      <c r="G112" s="12"/>
      <c r="Z112" s="12" t="str">
        <f>IF(AND($B112&lt;&gt;"",$C112="Gasto"),COUNT($Z$4:Z111)+1,"")</f>
        <v/>
      </c>
      <c r="AA112" s="12" t="str">
        <f>IF(AND($B112&lt;&gt;"",$C112="Ingreso",SUMIFS('Registro Mensual'!$H$9:$H$1008,'Registro Mensual'!$C$9:$C$1008,Dashboard!$B$5,'Registro Mensual'!$D$9:$D$1008,$B112)&gt;0),COUNT($AA$4:AA111)+1,"")</f>
        <v/>
      </c>
      <c r="AB112" s="12" t="str">
        <f>IFERROR(INDEX($B$5:$B$200,MATCH(ROWS($AB$5:AB112),$Z$5:$Z$200,0)),"")</f>
        <v/>
      </c>
      <c r="AC112" s="12" t="str">
        <f>IF($AB112="","",SUMIFS('Registro Mensual'!$I$9:$I$1008,'Registro Mensual'!$C$9:$C$1008,Dashboard!$B$5,'Registro Mensual'!$D$9:$D$1008,$AB112))</f>
        <v/>
      </c>
    </row>
    <row r="113" spans="1:29" ht="21.95" customHeight="1" x14ac:dyDescent="0.25">
      <c r="A113" s="12"/>
      <c r="B113" s="28"/>
      <c r="C113" s="28"/>
      <c r="D113" s="12"/>
      <c r="E113" s="12"/>
      <c r="F113" s="12"/>
      <c r="G113" s="12"/>
      <c r="Z113" s="12" t="str">
        <f>IF(AND($B113&lt;&gt;"",$C113="Gasto"),COUNT($Z$4:Z112)+1,"")</f>
        <v/>
      </c>
      <c r="AA113" s="12" t="str">
        <f>IF(AND($B113&lt;&gt;"",$C113="Ingreso",SUMIFS('Registro Mensual'!$H$9:$H$1008,'Registro Mensual'!$C$9:$C$1008,Dashboard!$B$5,'Registro Mensual'!$D$9:$D$1008,$B113)&gt;0),COUNT($AA$4:AA112)+1,"")</f>
        <v/>
      </c>
      <c r="AB113" s="12" t="str">
        <f>IFERROR(INDEX($B$5:$B$200,MATCH(ROWS($AB$5:AB113),$Z$5:$Z$200,0)),"")</f>
        <v/>
      </c>
      <c r="AC113" s="12" t="str">
        <f>IF($AB113="","",SUMIFS('Registro Mensual'!$I$9:$I$1008,'Registro Mensual'!$C$9:$C$1008,Dashboard!$B$5,'Registro Mensual'!$D$9:$D$1008,$AB113))</f>
        <v/>
      </c>
    </row>
    <row r="114" spans="1:29" ht="21.95" customHeight="1" x14ac:dyDescent="0.25">
      <c r="A114" s="12"/>
      <c r="B114" s="28"/>
      <c r="C114" s="28"/>
      <c r="D114" s="12"/>
      <c r="E114" s="12"/>
      <c r="F114" s="12"/>
      <c r="G114" s="12"/>
      <c r="Z114" s="12" t="str">
        <f>IF(AND($B114&lt;&gt;"",$C114="Gasto"),COUNT($Z$4:Z113)+1,"")</f>
        <v/>
      </c>
      <c r="AA114" s="12" t="str">
        <f>IF(AND($B114&lt;&gt;"",$C114="Ingreso",SUMIFS('Registro Mensual'!$H$9:$H$1008,'Registro Mensual'!$C$9:$C$1008,Dashboard!$B$5,'Registro Mensual'!$D$9:$D$1008,$B114)&gt;0),COUNT($AA$4:AA113)+1,"")</f>
        <v/>
      </c>
      <c r="AB114" s="12" t="str">
        <f>IFERROR(INDEX($B$5:$B$200,MATCH(ROWS($AB$5:AB114),$Z$5:$Z$200,0)),"")</f>
        <v/>
      </c>
      <c r="AC114" s="12" t="str">
        <f>IF($AB114="","",SUMIFS('Registro Mensual'!$I$9:$I$1008,'Registro Mensual'!$C$9:$C$1008,Dashboard!$B$5,'Registro Mensual'!$D$9:$D$1008,$AB114))</f>
        <v/>
      </c>
    </row>
    <row r="115" spans="1:29" ht="21.95" customHeight="1" x14ac:dyDescent="0.25">
      <c r="A115" s="12"/>
      <c r="B115" s="28"/>
      <c r="C115" s="28"/>
      <c r="D115" s="12"/>
      <c r="E115" s="12"/>
      <c r="F115" s="12"/>
      <c r="G115" s="12"/>
      <c r="Z115" s="12" t="str">
        <f>IF(AND($B115&lt;&gt;"",$C115="Gasto"),COUNT($Z$4:Z114)+1,"")</f>
        <v/>
      </c>
      <c r="AA115" s="12" t="str">
        <f>IF(AND($B115&lt;&gt;"",$C115="Ingreso",SUMIFS('Registro Mensual'!$H$9:$H$1008,'Registro Mensual'!$C$9:$C$1008,Dashboard!$B$5,'Registro Mensual'!$D$9:$D$1008,$B115)&gt;0),COUNT($AA$4:AA114)+1,"")</f>
        <v/>
      </c>
      <c r="AB115" s="12" t="str">
        <f>IFERROR(INDEX($B$5:$B$200,MATCH(ROWS($AB$5:AB115),$Z$5:$Z$200,0)),"")</f>
        <v/>
      </c>
      <c r="AC115" s="12" t="str">
        <f>IF($AB115="","",SUMIFS('Registro Mensual'!$I$9:$I$1008,'Registro Mensual'!$C$9:$C$1008,Dashboard!$B$5,'Registro Mensual'!$D$9:$D$1008,$AB115))</f>
        <v/>
      </c>
    </row>
    <row r="116" spans="1:29" ht="21.95" customHeight="1" x14ac:dyDescent="0.25">
      <c r="A116" s="12"/>
      <c r="B116" s="28"/>
      <c r="C116" s="28"/>
      <c r="D116" s="12"/>
      <c r="E116" s="12"/>
      <c r="F116" s="12"/>
      <c r="G116" s="12"/>
      <c r="Z116" s="12" t="str">
        <f>IF(AND($B116&lt;&gt;"",$C116="Gasto"),COUNT($Z$4:Z115)+1,"")</f>
        <v/>
      </c>
      <c r="AA116" s="12" t="str">
        <f>IF(AND($B116&lt;&gt;"",$C116="Ingreso",SUMIFS('Registro Mensual'!$H$9:$H$1008,'Registro Mensual'!$C$9:$C$1008,Dashboard!$B$5,'Registro Mensual'!$D$9:$D$1008,$B116)&gt;0),COUNT($AA$4:AA115)+1,"")</f>
        <v/>
      </c>
      <c r="AB116" s="12" t="str">
        <f>IFERROR(INDEX($B$5:$B$200,MATCH(ROWS($AB$5:AB116),$Z$5:$Z$200,0)),"")</f>
        <v/>
      </c>
      <c r="AC116" s="12" t="str">
        <f>IF($AB116="","",SUMIFS('Registro Mensual'!$I$9:$I$1008,'Registro Mensual'!$C$9:$C$1008,Dashboard!$B$5,'Registro Mensual'!$D$9:$D$1008,$AB116))</f>
        <v/>
      </c>
    </row>
    <row r="117" spans="1:29" ht="21.95" customHeight="1" x14ac:dyDescent="0.25">
      <c r="A117" s="12"/>
      <c r="B117" s="28"/>
      <c r="C117" s="28"/>
      <c r="D117" s="12"/>
      <c r="E117" s="12"/>
      <c r="F117" s="12"/>
      <c r="G117" s="12"/>
      <c r="Z117" s="12" t="str">
        <f>IF(AND($B117&lt;&gt;"",$C117="Gasto"),COUNT($Z$4:Z116)+1,"")</f>
        <v/>
      </c>
      <c r="AA117" s="12" t="str">
        <f>IF(AND($B117&lt;&gt;"",$C117="Ingreso",SUMIFS('Registro Mensual'!$H$9:$H$1008,'Registro Mensual'!$C$9:$C$1008,Dashboard!$B$5,'Registro Mensual'!$D$9:$D$1008,$B117)&gt;0),COUNT($AA$4:AA116)+1,"")</f>
        <v/>
      </c>
      <c r="AB117" s="12" t="str">
        <f>IFERROR(INDEX($B$5:$B$200,MATCH(ROWS($AB$5:AB117),$Z$5:$Z$200,0)),"")</f>
        <v/>
      </c>
      <c r="AC117" s="12" t="str">
        <f>IF($AB117="","",SUMIFS('Registro Mensual'!$I$9:$I$1008,'Registro Mensual'!$C$9:$C$1008,Dashboard!$B$5,'Registro Mensual'!$D$9:$D$1008,$AB117))</f>
        <v/>
      </c>
    </row>
    <row r="118" spans="1:29" ht="21.95" customHeight="1" x14ac:dyDescent="0.25">
      <c r="A118" s="12"/>
      <c r="B118" s="28"/>
      <c r="C118" s="28"/>
      <c r="D118" s="12"/>
      <c r="E118" s="12"/>
      <c r="F118" s="12"/>
      <c r="G118" s="12"/>
      <c r="Z118" s="12" t="str">
        <f>IF(AND($B118&lt;&gt;"",$C118="Gasto"),COUNT($Z$4:Z117)+1,"")</f>
        <v/>
      </c>
      <c r="AA118" s="12" t="str">
        <f>IF(AND($B118&lt;&gt;"",$C118="Ingreso",SUMIFS('Registro Mensual'!$H$9:$H$1008,'Registro Mensual'!$C$9:$C$1008,Dashboard!$B$5,'Registro Mensual'!$D$9:$D$1008,$B118)&gt;0),COUNT($AA$4:AA117)+1,"")</f>
        <v/>
      </c>
      <c r="AB118" s="12" t="str">
        <f>IFERROR(INDEX($B$5:$B$200,MATCH(ROWS($AB$5:AB118),$Z$5:$Z$200,0)),"")</f>
        <v/>
      </c>
      <c r="AC118" s="12" t="str">
        <f>IF($AB118="","",SUMIFS('Registro Mensual'!$I$9:$I$1008,'Registro Mensual'!$C$9:$C$1008,Dashboard!$B$5,'Registro Mensual'!$D$9:$D$1008,$AB118))</f>
        <v/>
      </c>
    </row>
    <row r="119" spans="1:29" ht="21.95" customHeight="1" x14ac:dyDescent="0.25">
      <c r="A119" s="12"/>
      <c r="B119" s="28"/>
      <c r="C119" s="28"/>
      <c r="D119" s="12"/>
      <c r="E119" s="12"/>
      <c r="F119" s="12"/>
      <c r="G119" s="12"/>
      <c r="Z119" s="12" t="str">
        <f>IF(AND($B119&lt;&gt;"",$C119="Gasto"),COUNT($Z$4:Z118)+1,"")</f>
        <v/>
      </c>
      <c r="AA119" s="12" t="str">
        <f>IF(AND($B119&lt;&gt;"",$C119="Ingreso",SUMIFS('Registro Mensual'!$H$9:$H$1008,'Registro Mensual'!$C$9:$C$1008,Dashboard!$B$5,'Registro Mensual'!$D$9:$D$1008,$B119)&gt;0),COUNT($AA$4:AA118)+1,"")</f>
        <v/>
      </c>
      <c r="AB119" s="12" t="str">
        <f>IFERROR(INDEX($B$5:$B$200,MATCH(ROWS($AB$5:AB119),$Z$5:$Z$200,0)),"")</f>
        <v/>
      </c>
      <c r="AC119" s="12" t="str">
        <f>IF($AB119="","",SUMIFS('Registro Mensual'!$I$9:$I$1008,'Registro Mensual'!$C$9:$C$1008,Dashboard!$B$5,'Registro Mensual'!$D$9:$D$1008,$AB119))</f>
        <v/>
      </c>
    </row>
    <row r="120" spans="1:29" ht="21.95" customHeight="1" x14ac:dyDescent="0.25">
      <c r="A120" s="12"/>
      <c r="B120" s="28"/>
      <c r="C120" s="28"/>
      <c r="D120" s="12"/>
      <c r="E120" s="12"/>
      <c r="F120" s="12"/>
      <c r="G120" s="12"/>
      <c r="Z120" s="12" t="str">
        <f>IF(AND($B120&lt;&gt;"",$C120="Gasto"),COUNT($Z$4:Z119)+1,"")</f>
        <v/>
      </c>
      <c r="AA120" s="12" t="str">
        <f>IF(AND($B120&lt;&gt;"",$C120="Ingreso",SUMIFS('Registro Mensual'!$H$9:$H$1008,'Registro Mensual'!$C$9:$C$1008,Dashboard!$B$5,'Registro Mensual'!$D$9:$D$1008,$B120)&gt;0),COUNT($AA$4:AA119)+1,"")</f>
        <v/>
      </c>
      <c r="AB120" s="12" t="str">
        <f>IFERROR(INDEX($B$5:$B$200,MATCH(ROWS($AB$5:AB120),$Z$5:$Z$200,0)),"")</f>
        <v/>
      </c>
      <c r="AC120" s="12" t="str">
        <f>IF($AB120="","",SUMIFS('Registro Mensual'!$I$9:$I$1008,'Registro Mensual'!$C$9:$C$1008,Dashboard!$B$5,'Registro Mensual'!$D$9:$D$1008,$AB120))</f>
        <v/>
      </c>
    </row>
    <row r="121" spans="1:29" ht="21.95" customHeight="1" x14ac:dyDescent="0.25">
      <c r="A121" s="12"/>
      <c r="B121" s="28"/>
      <c r="C121" s="28"/>
      <c r="D121" s="12"/>
      <c r="E121" s="12"/>
      <c r="F121" s="12"/>
      <c r="G121" s="12"/>
      <c r="Z121" s="12" t="str">
        <f>IF(AND($B121&lt;&gt;"",$C121="Gasto"),COUNT($Z$4:Z120)+1,"")</f>
        <v/>
      </c>
      <c r="AA121" s="12" t="str">
        <f>IF(AND($B121&lt;&gt;"",$C121="Ingreso",SUMIFS('Registro Mensual'!$H$9:$H$1008,'Registro Mensual'!$C$9:$C$1008,Dashboard!$B$5,'Registro Mensual'!$D$9:$D$1008,$B121)&gt;0),COUNT($AA$4:AA120)+1,"")</f>
        <v/>
      </c>
      <c r="AB121" s="12" t="str">
        <f>IFERROR(INDEX($B$5:$B$200,MATCH(ROWS($AB$5:AB121),$Z$5:$Z$200,0)),"")</f>
        <v/>
      </c>
      <c r="AC121" s="12" t="str">
        <f>IF($AB121="","",SUMIFS('Registro Mensual'!$I$9:$I$1008,'Registro Mensual'!$C$9:$C$1008,Dashboard!$B$5,'Registro Mensual'!$D$9:$D$1008,$AB121))</f>
        <v/>
      </c>
    </row>
    <row r="122" spans="1:29" ht="21.95" customHeight="1" x14ac:dyDescent="0.25">
      <c r="A122" s="12"/>
      <c r="B122" s="28"/>
      <c r="C122" s="28"/>
      <c r="D122" s="12"/>
      <c r="E122" s="12"/>
      <c r="F122" s="12"/>
      <c r="G122" s="12"/>
      <c r="Z122" s="12" t="str">
        <f>IF(AND($B122&lt;&gt;"",$C122="Gasto"),COUNT($Z$4:Z121)+1,"")</f>
        <v/>
      </c>
      <c r="AA122" s="12" t="str">
        <f>IF(AND($B122&lt;&gt;"",$C122="Ingreso",SUMIFS('Registro Mensual'!$H$9:$H$1008,'Registro Mensual'!$C$9:$C$1008,Dashboard!$B$5,'Registro Mensual'!$D$9:$D$1008,$B122)&gt;0),COUNT($AA$4:AA121)+1,"")</f>
        <v/>
      </c>
      <c r="AB122" s="12" t="str">
        <f>IFERROR(INDEX($B$5:$B$200,MATCH(ROWS($AB$5:AB122),$Z$5:$Z$200,0)),"")</f>
        <v/>
      </c>
      <c r="AC122" s="12" t="str">
        <f>IF($AB122="","",SUMIFS('Registro Mensual'!$I$9:$I$1008,'Registro Mensual'!$C$9:$C$1008,Dashboard!$B$5,'Registro Mensual'!$D$9:$D$1008,$AB122))</f>
        <v/>
      </c>
    </row>
    <row r="123" spans="1:29" ht="21.95" customHeight="1" x14ac:dyDescent="0.25">
      <c r="A123" s="12"/>
      <c r="B123" s="28"/>
      <c r="C123" s="28"/>
      <c r="D123" s="12"/>
      <c r="E123" s="12"/>
      <c r="F123" s="12"/>
      <c r="G123" s="12"/>
      <c r="Z123" s="12" t="str">
        <f>IF(AND($B123&lt;&gt;"",$C123="Gasto"),COUNT($Z$4:Z122)+1,"")</f>
        <v/>
      </c>
      <c r="AA123" s="12" t="str">
        <f>IF(AND($B123&lt;&gt;"",$C123="Ingreso",SUMIFS('Registro Mensual'!$H$9:$H$1008,'Registro Mensual'!$C$9:$C$1008,Dashboard!$B$5,'Registro Mensual'!$D$9:$D$1008,$B123)&gt;0),COUNT($AA$4:AA122)+1,"")</f>
        <v/>
      </c>
      <c r="AB123" s="12" t="str">
        <f>IFERROR(INDEX($B$5:$B$200,MATCH(ROWS($AB$5:AB123),$Z$5:$Z$200,0)),"")</f>
        <v/>
      </c>
      <c r="AC123" s="12" t="str">
        <f>IF($AB123="","",SUMIFS('Registro Mensual'!$I$9:$I$1008,'Registro Mensual'!$C$9:$C$1008,Dashboard!$B$5,'Registro Mensual'!$D$9:$D$1008,$AB123))</f>
        <v/>
      </c>
    </row>
    <row r="124" spans="1:29" ht="21.95" customHeight="1" x14ac:dyDescent="0.25">
      <c r="A124" s="12"/>
      <c r="B124" s="28"/>
      <c r="C124" s="28"/>
      <c r="D124" s="12"/>
      <c r="E124" s="12"/>
      <c r="F124" s="12"/>
      <c r="G124" s="12"/>
      <c r="Z124" s="12" t="str">
        <f>IF(AND($B124&lt;&gt;"",$C124="Gasto"),COUNT($Z$4:Z123)+1,"")</f>
        <v/>
      </c>
      <c r="AA124" s="12" t="str">
        <f>IF(AND($B124&lt;&gt;"",$C124="Ingreso",SUMIFS('Registro Mensual'!$H$9:$H$1008,'Registro Mensual'!$C$9:$C$1008,Dashboard!$B$5,'Registro Mensual'!$D$9:$D$1008,$B124)&gt;0),COUNT($AA$4:AA123)+1,"")</f>
        <v/>
      </c>
      <c r="AB124" s="12" t="str">
        <f>IFERROR(INDEX($B$5:$B$200,MATCH(ROWS($AB$5:AB124),$Z$5:$Z$200,0)),"")</f>
        <v/>
      </c>
      <c r="AC124" s="12" t="str">
        <f>IF($AB124="","",SUMIFS('Registro Mensual'!$I$9:$I$1008,'Registro Mensual'!$C$9:$C$1008,Dashboard!$B$5,'Registro Mensual'!$D$9:$D$1008,$AB124))</f>
        <v/>
      </c>
    </row>
    <row r="125" spans="1:29" ht="21.95" customHeight="1" x14ac:dyDescent="0.25">
      <c r="A125" s="12"/>
      <c r="B125" s="28"/>
      <c r="C125" s="28"/>
      <c r="D125" s="12"/>
      <c r="E125" s="12"/>
      <c r="F125" s="12"/>
      <c r="G125" s="12"/>
      <c r="Z125" s="12" t="str">
        <f>IF(AND($B125&lt;&gt;"",$C125="Gasto"),COUNT($Z$4:Z124)+1,"")</f>
        <v/>
      </c>
      <c r="AA125" s="12" t="str">
        <f>IF(AND($B125&lt;&gt;"",$C125="Ingreso",SUMIFS('Registro Mensual'!$H$9:$H$1008,'Registro Mensual'!$C$9:$C$1008,Dashboard!$B$5,'Registro Mensual'!$D$9:$D$1008,$B125)&gt;0),COUNT($AA$4:AA124)+1,"")</f>
        <v/>
      </c>
      <c r="AB125" s="12" t="str">
        <f>IFERROR(INDEX($B$5:$B$200,MATCH(ROWS($AB$5:AB125),$Z$5:$Z$200,0)),"")</f>
        <v/>
      </c>
      <c r="AC125" s="12" t="str">
        <f>IF($AB125="","",SUMIFS('Registro Mensual'!$I$9:$I$1008,'Registro Mensual'!$C$9:$C$1008,Dashboard!$B$5,'Registro Mensual'!$D$9:$D$1008,$AB125))</f>
        <v/>
      </c>
    </row>
    <row r="126" spans="1:29" ht="21.95" customHeight="1" x14ac:dyDescent="0.25">
      <c r="A126" s="12"/>
      <c r="B126" s="28"/>
      <c r="C126" s="28"/>
      <c r="D126" s="12"/>
      <c r="E126" s="12"/>
      <c r="F126" s="12"/>
      <c r="G126" s="12"/>
      <c r="Z126" s="12" t="str">
        <f>IF(AND($B126&lt;&gt;"",$C126="Gasto"),COUNT($Z$4:Z125)+1,"")</f>
        <v/>
      </c>
      <c r="AA126" s="12" t="str">
        <f>IF(AND($B126&lt;&gt;"",$C126="Ingreso",SUMIFS('Registro Mensual'!$H$9:$H$1008,'Registro Mensual'!$C$9:$C$1008,Dashboard!$B$5,'Registro Mensual'!$D$9:$D$1008,$B126)&gt;0),COUNT($AA$4:AA125)+1,"")</f>
        <v/>
      </c>
      <c r="AB126" s="12" t="str">
        <f>IFERROR(INDEX($B$5:$B$200,MATCH(ROWS($AB$5:AB126),$Z$5:$Z$200,0)),"")</f>
        <v/>
      </c>
      <c r="AC126" s="12" t="str">
        <f>IF($AB126="","",SUMIFS('Registro Mensual'!$I$9:$I$1008,'Registro Mensual'!$C$9:$C$1008,Dashboard!$B$5,'Registro Mensual'!$D$9:$D$1008,$AB126))</f>
        <v/>
      </c>
    </row>
    <row r="127" spans="1:29" ht="21.95" customHeight="1" x14ac:dyDescent="0.25">
      <c r="A127" s="12"/>
      <c r="B127" s="28"/>
      <c r="C127" s="28"/>
      <c r="D127" s="12"/>
      <c r="E127" s="12"/>
      <c r="F127" s="12"/>
      <c r="G127" s="12"/>
      <c r="Z127" s="12" t="str">
        <f>IF(AND($B127&lt;&gt;"",$C127="Gasto"),COUNT($Z$4:Z126)+1,"")</f>
        <v/>
      </c>
      <c r="AA127" s="12" t="str">
        <f>IF(AND($B127&lt;&gt;"",$C127="Ingreso",SUMIFS('Registro Mensual'!$H$9:$H$1008,'Registro Mensual'!$C$9:$C$1008,Dashboard!$B$5,'Registro Mensual'!$D$9:$D$1008,$B127)&gt;0),COUNT($AA$4:AA126)+1,"")</f>
        <v/>
      </c>
      <c r="AB127" s="12" t="str">
        <f>IFERROR(INDEX($B$5:$B$200,MATCH(ROWS($AB$5:AB127),$Z$5:$Z$200,0)),"")</f>
        <v/>
      </c>
      <c r="AC127" s="12" t="str">
        <f>IF($AB127="","",SUMIFS('Registro Mensual'!$I$9:$I$1008,'Registro Mensual'!$C$9:$C$1008,Dashboard!$B$5,'Registro Mensual'!$D$9:$D$1008,$AB127))</f>
        <v/>
      </c>
    </row>
    <row r="128" spans="1:29" ht="21.95" customHeight="1" x14ac:dyDescent="0.25">
      <c r="A128" s="12"/>
      <c r="B128" s="28"/>
      <c r="C128" s="28"/>
      <c r="D128" s="12"/>
      <c r="E128" s="12"/>
      <c r="F128" s="12"/>
      <c r="G128" s="12"/>
      <c r="Z128" s="12" t="str">
        <f>IF(AND($B128&lt;&gt;"",$C128="Gasto"),COUNT($Z$4:Z127)+1,"")</f>
        <v/>
      </c>
      <c r="AA128" s="12" t="str">
        <f>IF(AND($B128&lt;&gt;"",$C128="Ingreso",SUMIFS('Registro Mensual'!$H$9:$H$1008,'Registro Mensual'!$C$9:$C$1008,Dashboard!$B$5,'Registro Mensual'!$D$9:$D$1008,$B128)&gt;0),COUNT($AA$4:AA127)+1,"")</f>
        <v/>
      </c>
      <c r="AB128" s="12" t="str">
        <f>IFERROR(INDEX($B$5:$B$200,MATCH(ROWS($AB$5:AB128),$Z$5:$Z$200,0)),"")</f>
        <v/>
      </c>
      <c r="AC128" s="12" t="str">
        <f>IF($AB128="","",SUMIFS('Registro Mensual'!$I$9:$I$1008,'Registro Mensual'!$C$9:$C$1008,Dashboard!$B$5,'Registro Mensual'!$D$9:$D$1008,$AB128))</f>
        <v/>
      </c>
    </row>
    <row r="129" spans="1:29" ht="21.95" customHeight="1" x14ac:dyDescent="0.25">
      <c r="A129" s="12"/>
      <c r="B129" s="28"/>
      <c r="C129" s="28"/>
      <c r="D129" s="12"/>
      <c r="E129" s="12"/>
      <c r="F129" s="12"/>
      <c r="G129" s="12"/>
      <c r="Z129" s="12" t="str">
        <f>IF(AND($B129&lt;&gt;"",$C129="Gasto"),COUNT($Z$4:Z128)+1,"")</f>
        <v/>
      </c>
      <c r="AA129" s="12" t="str">
        <f>IF(AND($B129&lt;&gt;"",$C129="Ingreso",SUMIFS('Registro Mensual'!$H$9:$H$1008,'Registro Mensual'!$C$9:$C$1008,Dashboard!$B$5,'Registro Mensual'!$D$9:$D$1008,$B129)&gt;0),COUNT($AA$4:AA128)+1,"")</f>
        <v/>
      </c>
      <c r="AB129" s="12" t="str">
        <f>IFERROR(INDEX($B$5:$B$200,MATCH(ROWS($AB$5:AB129),$Z$5:$Z$200,0)),"")</f>
        <v/>
      </c>
      <c r="AC129" s="12" t="str">
        <f>IF($AB129="","",SUMIFS('Registro Mensual'!$I$9:$I$1008,'Registro Mensual'!$C$9:$C$1008,Dashboard!$B$5,'Registro Mensual'!$D$9:$D$1008,$AB129))</f>
        <v/>
      </c>
    </row>
    <row r="130" spans="1:29" ht="21.95" customHeight="1" x14ac:dyDescent="0.25">
      <c r="A130" s="12"/>
      <c r="B130" s="28"/>
      <c r="C130" s="28"/>
      <c r="D130" s="12"/>
      <c r="E130" s="12"/>
      <c r="F130" s="12"/>
      <c r="G130" s="12"/>
      <c r="Z130" s="12" t="str">
        <f>IF(AND($B130&lt;&gt;"",$C130="Gasto"),COUNT($Z$4:Z129)+1,"")</f>
        <v/>
      </c>
      <c r="AA130" s="12" t="str">
        <f>IF(AND($B130&lt;&gt;"",$C130="Ingreso",SUMIFS('Registro Mensual'!$H$9:$H$1008,'Registro Mensual'!$C$9:$C$1008,Dashboard!$B$5,'Registro Mensual'!$D$9:$D$1008,$B130)&gt;0),COUNT($AA$4:AA129)+1,"")</f>
        <v/>
      </c>
      <c r="AB130" s="12" t="str">
        <f>IFERROR(INDEX($B$5:$B$200,MATCH(ROWS($AB$5:AB130),$Z$5:$Z$200,0)),"")</f>
        <v/>
      </c>
      <c r="AC130" s="12" t="str">
        <f>IF($AB130="","",SUMIFS('Registro Mensual'!$I$9:$I$1008,'Registro Mensual'!$C$9:$C$1008,Dashboard!$B$5,'Registro Mensual'!$D$9:$D$1008,$AB130))</f>
        <v/>
      </c>
    </row>
    <row r="131" spans="1:29" ht="21.95" customHeight="1" x14ac:dyDescent="0.25">
      <c r="A131" s="12"/>
      <c r="B131" s="28"/>
      <c r="C131" s="28"/>
      <c r="D131" s="12"/>
      <c r="E131" s="12"/>
      <c r="F131" s="12"/>
      <c r="G131" s="12"/>
      <c r="Z131" s="12" t="str">
        <f>IF(AND($B131&lt;&gt;"",$C131="Gasto"),COUNT($Z$4:Z130)+1,"")</f>
        <v/>
      </c>
      <c r="AA131" s="12" t="str">
        <f>IF(AND($B131&lt;&gt;"",$C131="Ingreso",SUMIFS('Registro Mensual'!$H$9:$H$1008,'Registro Mensual'!$C$9:$C$1008,Dashboard!$B$5,'Registro Mensual'!$D$9:$D$1008,$B131)&gt;0),COUNT($AA$4:AA130)+1,"")</f>
        <v/>
      </c>
      <c r="AB131" s="12" t="str">
        <f>IFERROR(INDEX($B$5:$B$200,MATCH(ROWS($AB$5:AB131),$Z$5:$Z$200,0)),"")</f>
        <v/>
      </c>
      <c r="AC131" s="12" t="str">
        <f>IF($AB131="","",SUMIFS('Registro Mensual'!$I$9:$I$1008,'Registro Mensual'!$C$9:$C$1008,Dashboard!$B$5,'Registro Mensual'!$D$9:$D$1008,$AB131))</f>
        <v/>
      </c>
    </row>
    <row r="132" spans="1:29" ht="21.95" customHeight="1" x14ac:dyDescent="0.25">
      <c r="A132" s="12"/>
      <c r="B132" s="28"/>
      <c r="C132" s="28"/>
      <c r="D132" s="12"/>
      <c r="E132" s="12"/>
      <c r="F132" s="12"/>
      <c r="G132" s="12"/>
      <c r="Z132" s="12" t="str">
        <f>IF(AND($B132&lt;&gt;"",$C132="Gasto"),COUNT($Z$4:Z131)+1,"")</f>
        <v/>
      </c>
      <c r="AA132" s="12" t="str">
        <f>IF(AND($B132&lt;&gt;"",$C132="Ingreso",SUMIFS('Registro Mensual'!$H$9:$H$1008,'Registro Mensual'!$C$9:$C$1008,Dashboard!$B$5,'Registro Mensual'!$D$9:$D$1008,$B132)&gt;0),COUNT($AA$4:AA131)+1,"")</f>
        <v/>
      </c>
      <c r="AB132" s="12" t="str">
        <f>IFERROR(INDEX($B$5:$B$200,MATCH(ROWS($AB$5:AB132),$Z$5:$Z$200,0)),"")</f>
        <v/>
      </c>
      <c r="AC132" s="12" t="str">
        <f>IF($AB132="","",SUMIFS('Registro Mensual'!$I$9:$I$1008,'Registro Mensual'!$C$9:$C$1008,Dashboard!$B$5,'Registro Mensual'!$D$9:$D$1008,$AB132))</f>
        <v/>
      </c>
    </row>
    <row r="133" spans="1:29" ht="21.95" customHeight="1" x14ac:dyDescent="0.25">
      <c r="A133" s="12"/>
      <c r="B133" s="28"/>
      <c r="C133" s="28"/>
      <c r="D133" s="12"/>
      <c r="E133" s="12"/>
      <c r="F133" s="12"/>
      <c r="G133" s="12"/>
      <c r="Z133" s="12" t="str">
        <f>IF(AND($B133&lt;&gt;"",$C133="Gasto"),COUNT($Z$4:Z132)+1,"")</f>
        <v/>
      </c>
      <c r="AA133" s="12" t="str">
        <f>IF(AND($B133&lt;&gt;"",$C133="Ingreso",SUMIFS('Registro Mensual'!$H$9:$H$1008,'Registro Mensual'!$C$9:$C$1008,Dashboard!$B$5,'Registro Mensual'!$D$9:$D$1008,$B133)&gt;0),COUNT($AA$4:AA132)+1,"")</f>
        <v/>
      </c>
      <c r="AB133" s="12" t="str">
        <f>IFERROR(INDEX($B$5:$B$200,MATCH(ROWS($AB$5:AB133),$Z$5:$Z$200,0)),"")</f>
        <v/>
      </c>
      <c r="AC133" s="12" t="str">
        <f>IF($AB133="","",SUMIFS('Registro Mensual'!$I$9:$I$1008,'Registro Mensual'!$C$9:$C$1008,Dashboard!$B$5,'Registro Mensual'!$D$9:$D$1008,$AB133))</f>
        <v/>
      </c>
    </row>
    <row r="134" spans="1:29" ht="21.95" customHeight="1" x14ac:dyDescent="0.25">
      <c r="A134" s="12"/>
      <c r="B134" s="28"/>
      <c r="C134" s="28"/>
      <c r="D134" s="12"/>
      <c r="E134" s="12"/>
      <c r="F134" s="12"/>
      <c r="G134" s="12"/>
      <c r="Z134" s="12" t="str">
        <f>IF(AND($B134&lt;&gt;"",$C134="Gasto"),COUNT($Z$4:Z133)+1,"")</f>
        <v/>
      </c>
      <c r="AA134" s="12" t="str">
        <f>IF(AND($B134&lt;&gt;"",$C134="Ingreso",SUMIFS('Registro Mensual'!$H$9:$H$1008,'Registro Mensual'!$C$9:$C$1008,Dashboard!$B$5,'Registro Mensual'!$D$9:$D$1008,$B134)&gt;0),COUNT($AA$4:AA133)+1,"")</f>
        <v/>
      </c>
      <c r="AB134" s="12" t="str">
        <f>IFERROR(INDEX($B$5:$B$200,MATCH(ROWS($AB$5:AB134),$Z$5:$Z$200,0)),"")</f>
        <v/>
      </c>
      <c r="AC134" s="12" t="str">
        <f>IF($AB134="","",SUMIFS('Registro Mensual'!$I$9:$I$1008,'Registro Mensual'!$C$9:$C$1008,Dashboard!$B$5,'Registro Mensual'!$D$9:$D$1008,$AB134))</f>
        <v/>
      </c>
    </row>
    <row r="135" spans="1:29" ht="21.95" customHeight="1" x14ac:dyDescent="0.25">
      <c r="A135" s="12"/>
      <c r="B135" s="28"/>
      <c r="C135" s="28"/>
      <c r="D135" s="12"/>
      <c r="E135" s="12"/>
      <c r="F135" s="12"/>
      <c r="G135" s="12"/>
      <c r="Z135" s="12" t="str">
        <f>IF(AND($B135&lt;&gt;"",$C135="Gasto"),COUNT($Z$4:Z134)+1,"")</f>
        <v/>
      </c>
      <c r="AA135" s="12" t="str">
        <f>IF(AND($B135&lt;&gt;"",$C135="Ingreso",SUMIFS('Registro Mensual'!$H$9:$H$1008,'Registro Mensual'!$C$9:$C$1008,Dashboard!$B$5,'Registro Mensual'!$D$9:$D$1008,$B135)&gt;0),COUNT($AA$4:AA134)+1,"")</f>
        <v/>
      </c>
      <c r="AB135" s="12" t="str">
        <f>IFERROR(INDEX($B$5:$B$200,MATCH(ROWS($AB$5:AB135),$Z$5:$Z$200,0)),"")</f>
        <v/>
      </c>
      <c r="AC135" s="12" t="str">
        <f>IF($AB135="","",SUMIFS('Registro Mensual'!$I$9:$I$1008,'Registro Mensual'!$C$9:$C$1008,Dashboard!$B$5,'Registro Mensual'!$D$9:$D$1008,$AB135))</f>
        <v/>
      </c>
    </row>
    <row r="136" spans="1:29" ht="21.95" customHeight="1" x14ac:dyDescent="0.25">
      <c r="A136" s="12"/>
      <c r="B136" s="28"/>
      <c r="C136" s="28"/>
      <c r="D136" s="12"/>
      <c r="E136" s="12"/>
      <c r="F136" s="12"/>
      <c r="G136" s="12"/>
      <c r="Z136" s="12" t="str">
        <f>IF(AND($B136&lt;&gt;"",$C136="Gasto"),COUNT($Z$4:Z135)+1,"")</f>
        <v/>
      </c>
      <c r="AA136" s="12" t="str">
        <f>IF(AND($B136&lt;&gt;"",$C136="Ingreso",SUMIFS('Registro Mensual'!$H$9:$H$1008,'Registro Mensual'!$C$9:$C$1008,Dashboard!$B$5,'Registro Mensual'!$D$9:$D$1008,$B136)&gt;0),COUNT($AA$4:AA135)+1,"")</f>
        <v/>
      </c>
      <c r="AB136" s="12" t="str">
        <f>IFERROR(INDEX($B$5:$B$200,MATCH(ROWS($AB$5:AB136),$Z$5:$Z$200,0)),"")</f>
        <v/>
      </c>
      <c r="AC136" s="12" t="str">
        <f>IF($AB136="","",SUMIFS('Registro Mensual'!$I$9:$I$1008,'Registro Mensual'!$C$9:$C$1008,Dashboard!$B$5,'Registro Mensual'!$D$9:$D$1008,$AB136))</f>
        <v/>
      </c>
    </row>
    <row r="137" spans="1:29" ht="21.95" customHeight="1" x14ac:dyDescent="0.25">
      <c r="A137" s="12"/>
      <c r="B137" s="28"/>
      <c r="C137" s="28"/>
      <c r="D137" s="12"/>
      <c r="E137" s="12"/>
      <c r="F137" s="12"/>
      <c r="G137" s="12"/>
      <c r="Z137" s="12" t="str">
        <f>IF(AND($B137&lt;&gt;"",$C137="Gasto"),COUNT($Z$4:Z136)+1,"")</f>
        <v/>
      </c>
      <c r="AA137" s="12" t="str">
        <f>IF(AND($B137&lt;&gt;"",$C137="Ingreso",SUMIFS('Registro Mensual'!$H$9:$H$1008,'Registro Mensual'!$C$9:$C$1008,Dashboard!$B$5,'Registro Mensual'!$D$9:$D$1008,$B137)&gt;0),COUNT($AA$4:AA136)+1,"")</f>
        <v/>
      </c>
      <c r="AB137" s="12" t="str">
        <f>IFERROR(INDEX($B$5:$B$200,MATCH(ROWS($AB$5:AB137),$Z$5:$Z$200,0)),"")</f>
        <v/>
      </c>
      <c r="AC137" s="12" t="str">
        <f>IF($AB137="","",SUMIFS('Registro Mensual'!$I$9:$I$1008,'Registro Mensual'!$C$9:$C$1008,Dashboard!$B$5,'Registro Mensual'!$D$9:$D$1008,$AB137))</f>
        <v/>
      </c>
    </row>
    <row r="138" spans="1:29" ht="21.95" customHeight="1" x14ac:dyDescent="0.25">
      <c r="A138" s="12"/>
      <c r="B138" s="28"/>
      <c r="C138" s="28"/>
      <c r="D138" s="12"/>
      <c r="E138" s="12"/>
      <c r="F138" s="12"/>
      <c r="G138" s="12"/>
      <c r="Z138" s="12" t="str">
        <f>IF(AND($B138&lt;&gt;"",$C138="Gasto"),COUNT($Z$4:Z137)+1,"")</f>
        <v/>
      </c>
      <c r="AA138" s="12" t="str">
        <f>IF(AND($B138&lt;&gt;"",$C138="Ingreso",SUMIFS('Registro Mensual'!$H$9:$H$1008,'Registro Mensual'!$C$9:$C$1008,Dashboard!$B$5,'Registro Mensual'!$D$9:$D$1008,$B138)&gt;0),COUNT($AA$4:AA137)+1,"")</f>
        <v/>
      </c>
      <c r="AB138" s="12" t="str">
        <f>IFERROR(INDEX($B$5:$B$200,MATCH(ROWS($AB$5:AB138),$Z$5:$Z$200,0)),"")</f>
        <v/>
      </c>
      <c r="AC138" s="12" t="str">
        <f>IF($AB138="","",SUMIFS('Registro Mensual'!$I$9:$I$1008,'Registro Mensual'!$C$9:$C$1008,Dashboard!$B$5,'Registro Mensual'!$D$9:$D$1008,$AB138))</f>
        <v/>
      </c>
    </row>
    <row r="139" spans="1:29" ht="21.95" customHeight="1" x14ac:dyDescent="0.25">
      <c r="A139" s="12"/>
      <c r="B139" s="28"/>
      <c r="C139" s="28"/>
      <c r="D139" s="12"/>
      <c r="E139" s="12"/>
      <c r="F139" s="12"/>
      <c r="G139" s="12"/>
      <c r="Z139" s="12" t="str">
        <f>IF(AND($B139&lt;&gt;"",$C139="Gasto"),COUNT($Z$4:Z138)+1,"")</f>
        <v/>
      </c>
      <c r="AA139" s="12" t="str">
        <f>IF(AND($B139&lt;&gt;"",$C139="Ingreso",SUMIFS('Registro Mensual'!$H$9:$H$1008,'Registro Mensual'!$C$9:$C$1008,Dashboard!$B$5,'Registro Mensual'!$D$9:$D$1008,$B139)&gt;0),COUNT($AA$4:AA138)+1,"")</f>
        <v/>
      </c>
      <c r="AB139" s="12" t="str">
        <f>IFERROR(INDEX($B$5:$B$200,MATCH(ROWS($AB$5:AB139),$Z$5:$Z$200,0)),"")</f>
        <v/>
      </c>
      <c r="AC139" s="12" t="str">
        <f>IF($AB139="","",SUMIFS('Registro Mensual'!$I$9:$I$1008,'Registro Mensual'!$C$9:$C$1008,Dashboard!$B$5,'Registro Mensual'!$D$9:$D$1008,$AB139))</f>
        <v/>
      </c>
    </row>
    <row r="140" spans="1:29" ht="21.95" customHeight="1" x14ac:dyDescent="0.25">
      <c r="A140" s="12"/>
      <c r="B140" s="28"/>
      <c r="C140" s="28"/>
      <c r="D140" s="12"/>
      <c r="E140" s="12"/>
      <c r="F140" s="12"/>
      <c r="G140" s="12"/>
      <c r="Z140" s="12" t="str">
        <f>IF(AND($B140&lt;&gt;"",$C140="Gasto"),COUNT($Z$4:Z139)+1,"")</f>
        <v/>
      </c>
      <c r="AA140" s="12" t="str">
        <f>IF(AND($B140&lt;&gt;"",$C140="Ingreso",SUMIFS('Registro Mensual'!$H$9:$H$1008,'Registro Mensual'!$C$9:$C$1008,Dashboard!$B$5,'Registro Mensual'!$D$9:$D$1008,$B140)&gt;0),COUNT($AA$4:AA139)+1,"")</f>
        <v/>
      </c>
      <c r="AB140" s="12" t="str">
        <f>IFERROR(INDEX($B$5:$B$200,MATCH(ROWS($AB$5:AB140),$Z$5:$Z$200,0)),"")</f>
        <v/>
      </c>
      <c r="AC140" s="12" t="str">
        <f>IF($AB140="","",SUMIFS('Registro Mensual'!$I$9:$I$1008,'Registro Mensual'!$C$9:$C$1008,Dashboard!$B$5,'Registro Mensual'!$D$9:$D$1008,$AB140))</f>
        <v/>
      </c>
    </row>
    <row r="141" spans="1:29" ht="21.95" customHeight="1" x14ac:dyDescent="0.25">
      <c r="A141" s="12"/>
      <c r="B141" s="28"/>
      <c r="C141" s="28"/>
      <c r="D141" s="12"/>
      <c r="E141" s="12"/>
      <c r="F141" s="12"/>
      <c r="G141" s="12"/>
      <c r="Z141" s="12" t="str">
        <f>IF(AND($B141&lt;&gt;"",$C141="Gasto"),COUNT($Z$4:Z140)+1,"")</f>
        <v/>
      </c>
      <c r="AA141" s="12" t="str">
        <f>IF(AND($B141&lt;&gt;"",$C141="Ingreso",SUMIFS('Registro Mensual'!$H$9:$H$1008,'Registro Mensual'!$C$9:$C$1008,Dashboard!$B$5,'Registro Mensual'!$D$9:$D$1008,$B141)&gt;0),COUNT($AA$4:AA140)+1,"")</f>
        <v/>
      </c>
      <c r="AB141" s="12" t="str">
        <f>IFERROR(INDEX($B$5:$B$200,MATCH(ROWS($AB$5:AB141),$Z$5:$Z$200,0)),"")</f>
        <v/>
      </c>
      <c r="AC141" s="12" t="str">
        <f>IF($AB141="","",SUMIFS('Registro Mensual'!$I$9:$I$1008,'Registro Mensual'!$C$9:$C$1008,Dashboard!$B$5,'Registro Mensual'!$D$9:$D$1008,$AB141))</f>
        <v/>
      </c>
    </row>
    <row r="142" spans="1:29" ht="21.95" customHeight="1" x14ac:dyDescent="0.25">
      <c r="A142" s="12"/>
      <c r="B142" s="28"/>
      <c r="C142" s="28"/>
      <c r="D142" s="12"/>
      <c r="E142" s="12"/>
      <c r="F142" s="12"/>
      <c r="G142" s="12"/>
      <c r="Z142" s="12" t="str">
        <f>IF(AND($B142&lt;&gt;"",$C142="Gasto"),COUNT($Z$4:Z141)+1,"")</f>
        <v/>
      </c>
      <c r="AA142" s="12" t="str">
        <f>IF(AND($B142&lt;&gt;"",$C142="Ingreso",SUMIFS('Registro Mensual'!$H$9:$H$1008,'Registro Mensual'!$C$9:$C$1008,Dashboard!$B$5,'Registro Mensual'!$D$9:$D$1008,$B142)&gt;0),COUNT($AA$4:AA141)+1,"")</f>
        <v/>
      </c>
      <c r="AB142" s="12" t="str">
        <f>IFERROR(INDEX($B$5:$B$200,MATCH(ROWS($AB$5:AB142),$Z$5:$Z$200,0)),"")</f>
        <v/>
      </c>
      <c r="AC142" s="12" t="str">
        <f>IF($AB142="","",SUMIFS('Registro Mensual'!$I$9:$I$1008,'Registro Mensual'!$C$9:$C$1008,Dashboard!$B$5,'Registro Mensual'!$D$9:$D$1008,$AB142))</f>
        <v/>
      </c>
    </row>
    <row r="143" spans="1:29" ht="21.95" customHeight="1" x14ac:dyDescent="0.25">
      <c r="A143" s="12"/>
      <c r="B143" s="28"/>
      <c r="C143" s="28"/>
      <c r="D143" s="12"/>
      <c r="E143" s="12"/>
      <c r="F143" s="12"/>
      <c r="G143" s="12"/>
      <c r="Z143" s="12" t="str">
        <f>IF(AND($B143&lt;&gt;"",$C143="Gasto"),COUNT($Z$4:Z142)+1,"")</f>
        <v/>
      </c>
      <c r="AA143" s="12" t="str">
        <f>IF(AND($B143&lt;&gt;"",$C143="Ingreso",SUMIFS('Registro Mensual'!$H$9:$H$1008,'Registro Mensual'!$C$9:$C$1008,Dashboard!$B$5,'Registro Mensual'!$D$9:$D$1008,$B143)&gt;0),COUNT($AA$4:AA142)+1,"")</f>
        <v/>
      </c>
      <c r="AB143" s="12" t="str">
        <f>IFERROR(INDEX($B$5:$B$200,MATCH(ROWS($AB$5:AB143),$Z$5:$Z$200,0)),"")</f>
        <v/>
      </c>
      <c r="AC143" s="12" t="str">
        <f>IF($AB143="","",SUMIFS('Registro Mensual'!$I$9:$I$1008,'Registro Mensual'!$C$9:$C$1008,Dashboard!$B$5,'Registro Mensual'!$D$9:$D$1008,$AB143))</f>
        <v/>
      </c>
    </row>
    <row r="144" spans="1:29" ht="21.95" customHeight="1" x14ac:dyDescent="0.25">
      <c r="A144" s="12"/>
      <c r="B144" s="28"/>
      <c r="C144" s="28"/>
      <c r="D144" s="12"/>
      <c r="E144" s="12"/>
      <c r="F144" s="12"/>
      <c r="G144" s="12"/>
      <c r="Z144" s="12" t="str">
        <f>IF(AND($B144&lt;&gt;"",$C144="Gasto"),COUNT($Z$4:Z143)+1,"")</f>
        <v/>
      </c>
      <c r="AA144" s="12" t="str">
        <f>IF(AND($B144&lt;&gt;"",$C144="Ingreso",SUMIFS('Registro Mensual'!$H$9:$H$1008,'Registro Mensual'!$C$9:$C$1008,Dashboard!$B$5,'Registro Mensual'!$D$9:$D$1008,$B144)&gt;0),COUNT($AA$4:AA143)+1,"")</f>
        <v/>
      </c>
      <c r="AB144" s="12" t="str">
        <f>IFERROR(INDEX($B$5:$B$200,MATCH(ROWS($AB$5:AB144),$Z$5:$Z$200,0)),"")</f>
        <v/>
      </c>
      <c r="AC144" s="12" t="str">
        <f>IF($AB144="","",SUMIFS('Registro Mensual'!$I$9:$I$1008,'Registro Mensual'!$C$9:$C$1008,Dashboard!$B$5,'Registro Mensual'!$D$9:$D$1008,$AB144))</f>
        <v/>
      </c>
    </row>
    <row r="145" spans="1:29" ht="21.95" customHeight="1" x14ac:dyDescent="0.25">
      <c r="A145" s="12"/>
      <c r="B145" s="28"/>
      <c r="C145" s="28"/>
      <c r="D145" s="12"/>
      <c r="E145" s="12"/>
      <c r="F145" s="12"/>
      <c r="G145" s="12"/>
      <c r="Z145" s="12" t="str">
        <f>IF(AND($B145&lt;&gt;"",$C145="Gasto"),COUNT($Z$4:Z144)+1,"")</f>
        <v/>
      </c>
      <c r="AA145" s="12" t="str">
        <f>IF(AND($B145&lt;&gt;"",$C145="Ingreso",SUMIFS('Registro Mensual'!$H$9:$H$1008,'Registro Mensual'!$C$9:$C$1008,Dashboard!$B$5,'Registro Mensual'!$D$9:$D$1008,$B145)&gt;0),COUNT($AA$4:AA144)+1,"")</f>
        <v/>
      </c>
      <c r="AB145" s="12" t="str">
        <f>IFERROR(INDEX($B$5:$B$200,MATCH(ROWS($AB$5:AB145),$Z$5:$Z$200,0)),"")</f>
        <v/>
      </c>
      <c r="AC145" s="12" t="str">
        <f>IF($AB145="","",SUMIFS('Registro Mensual'!$I$9:$I$1008,'Registro Mensual'!$C$9:$C$1008,Dashboard!$B$5,'Registro Mensual'!$D$9:$D$1008,$AB145))</f>
        <v/>
      </c>
    </row>
    <row r="146" spans="1:29" ht="21.95" customHeight="1" x14ac:dyDescent="0.25">
      <c r="A146" s="12"/>
      <c r="B146" s="28"/>
      <c r="C146" s="28"/>
      <c r="D146" s="12"/>
      <c r="E146" s="12"/>
      <c r="F146" s="12"/>
      <c r="G146" s="12"/>
      <c r="Z146" s="12" t="str">
        <f>IF(AND($B146&lt;&gt;"",$C146="Gasto"),COUNT($Z$4:Z145)+1,"")</f>
        <v/>
      </c>
      <c r="AA146" s="12" t="str">
        <f>IF(AND($B146&lt;&gt;"",$C146="Ingreso",SUMIFS('Registro Mensual'!$H$9:$H$1008,'Registro Mensual'!$C$9:$C$1008,Dashboard!$B$5,'Registro Mensual'!$D$9:$D$1008,$B146)&gt;0),COUNT($AA$4:AA145)+1,"")</f>
        <v/>
      </c>
      <c r="AB146" s="12" t="str">
        <f>IFERROR(INDEX($B$5:$B$200,MATCH(ROWS($AB$5:AB146),$Z$5:$Z$200,0)),"")</f>
        <v/>
      </c>
      <c r="AC146" s="12" t="str">
        <f>IF($AB146="","",SUMIFS('Registro Mensual'!$I$9:$I$1008,'Registro Mensual'!$C$9:$C$1008,Dashboard!$B$5,'Registro Mensual'!$D$9:$D$1008,$AB146))</f>
        <v/>
      </c>
    </row>
    <row r="147" spans="1:29" ht="21.95" customHeight="1" x14ac:dyDescent="0.25">
      <c r="A147" s="12"/>
      <c r="B147" s="28"/>
      <c r="C147" s="28"/>
      <c r="D147" s="12"/>
      <c r="E147" s="12"/>
      <c r="F147" s="12"/>
      <c r="G147" s="12"/>
      <c r="Z147" s="12" t="str">
        <f>IF(AND($B147&lt;&gt;"",$C147="Gasto"),COUNT($Z$4:Z146)+1,"")</f>
        <v/>
      </c>
      <c r="AA147" s="12" t="str">
        <f>IF(AND($B147&lt;&gt;"",$C147="Ingreso",SUMIFS('Registro Mensual'!$H$9:$H$1008,'Registro Mensual'!$C$9:$C$1008,Dashboard!$B$5,'Registro Mensual'!$D$9:$D$1008,$B147)&gt;0),COUNT($AA$4:AA146)+1,"")</f>
        <v/>
      </c>
      <c r="AB147" s="12" t="str">
        <f>IFERROR(INDEX($B$5:$B$200,MATCH(ROWS($AB$5:AB147),$Z$5:$Z$200,0)),"")</f>
        <v/>
      </c>
      <c r="AC147" s="12" t="str">
        <f>IF($AB147="","",SUMIFS('Registro Mensual'!$I$9:$I$1008,'Registro Mensual'!$C$9:$C$1008,Dashboard!$B$5,'Registro Mensual'!$D$9:$D$1008,$AB147))</f>
        <v/>
      </c>
    </row>
    <row r="148" spans="1:29" ht="21.95" customHeight="1" x14ac:dyDescent="0.25">
      <c r="A148" s="12"/>
      <c r="B148" s="28"/>
      <c r="C148" s="28"/>
      <c r="D148" s="12"/>
      <c r="E148" s="12"/>
      <c r="F148" s="12"/>
      <c r="G148" s="12"/>
      <c r="Z148" s="12" t="str">
        <f>IF(AND($B148&lt;&gt;"",$C148="Gasto"),COUNT($Z$4:Z147)+1,"")</f>
        <v/>
      </c>
      <c r="AA148" s="12" t="str">
        <f>IF(AND($B148&lt;&gt;"",$C148="Ingreso",SUMIFS('Registro Mensual'!$H$9:$H$1008,'Registro Mensual'!$C$9:$C$1008,Dashboard!$B$5,'Registro Mensual'!$D$9:$D$1008,$B148)&gt;0),COUNT($AA$4:AA147)+1,"")</f>
        <v/>
      </c>
      <c r="AB148" s="12" t="str">
        <f>IFERROR(INDEX($B$5:$B$200,MATCH(ROWS($AB$5:AB148),$Z$5:$Z$200,0)),"")</f>
        <v/>
      </c>
      <c r="AC148" s="12" t="str">
        <f>IF($AB148="","",SUMIFS('Registro Mensual'!$I$9:$I$1008,'Registro Mensual'!$C$9:$C$1008,Dashboard!$B$5,'Registro Mensual'!$D$9:$D$1008,$AB148))</f>
        <v/>
      </c>
    </row>
    <row r="149" spans="1:29" ht="21.95" customHeight="1" x14ac:dyDescent="0.25">
      <c r="A149" s="12"/>
      <c r="B149" s="28"/>
      <c r="C149" s="28"/>
      <c r="D149" s="12"/>
      <c r="E149" s="12"/>
      <c r="F149" s="12"/>
      <c r="G149" s="12"/>
      <c r="Z149" s="12" t="str">
        <f>IF(AND($B149&lt;&gt;"",$C149="Gasto"),COUNT($Z$4:Z148)+1,"")</f>
        <v/>
      </c>
      <c r="AA149" s="12" t="str">
        <f>IF(AND($B149&lt;&gt;"",$C149="Ingreso",SUMIFS('Registro Mensual'!$H$9:$H$1008,'Registro Mensual'!$C$9:$C$1008,Dashboard!$B$5,'Registro Mensual'!$D$9:$D$1008,$B149)&gt;0),COUNT($AA$4:AA148)+1,"")</f>
        <v/>
      </c>
      <c r="AB149" s="12" t="str">
        <f>IFERROR(INDEX($B$5:$B$200,MATCH(ROWS($AB$5:AB149),$Z$5:$Z$200,0)),"")</f>
        <v/>
      </c>
      <c r="AC149" s="12" t="str">
        <f>IF($AB149="","",SUMIFS('Registro Mensual'!$I$9:$I$1008,'Registro Mensual'!$C$9:$C$1008,Dashboard!$B$5,'Registro Mensual'!$D$9:$D$1008,$AB149))</f>
        <v/>
      </c>
    </row>
    <row r="150" spans="1:29" ht="21.95" customHeight="1" x14ac:dyDescent="0.25">
      <c r="A150" s="12"/>
      <c r="B150" s="28"/>
      <c r="C150" s="28"/>
      <c r="D150" s="12"/>
      <c r="E150" s="12"/>
      <c r="F150" s="12"/>
      <c r="G150" s="12"/>
      <c r="Z150" s="12" t="str">
        <f>IF(AND($B150&lt;&gt;"",$C150="Gasto"),COUNT($Z$4:Z149)+1,"")</f>
        <v/>
      </c>
      <c r="AA150" s="12" t="str">
        <f>IF(AND($B150&lt;&gt;"",$C150="Ingreso",SUMIFS('Registro Mensual'!$H$9:$H$1008,'Registro Mensual'!$C$9:$C$1008,Dashboard!$B$5,'Registro Mensual'!$D$9:$D$1008,$B150)&gt;0),COUNT($AA$4:AA149)+1,"")</f>
        <v/>
      </c>
      <c r="AB150" s="12" t="str">
        <f>IFERROR(INDEX($B$5:$B$200,MATCH(ROWS($AB$5:AB150),$Z$5:$Z$200,0)),"")</f>
        <v/>
      </c>
      <c r="AC150" s="12" t="str">
        <f>IF($AB150="","",SUMIFS('Registro Mensual'!$I$9:$I$1008,'Registro Mensual'!$C$9:$C$1008,Dashboard!$B$5,'Registro Mensual'!$D$9:$D$1008,$AB150))</f>
        <v/>
      </c>
    </row>
    <row r="151" spans="1:29" ht="21.95" customHeight="1" x14ac:dyDescent="0.25">
      <c r="A151" s="12"/>
      <c r="B151" s="28"/>
      <c r="C151" s="28"/>
      <c r="D151" s="12"/>
      <c r="E151" s="12"/>
      <c r="F151" s="12"/>
      <c r="G151" s="12"/>
      <c r="Z151" s="12" t="str">
        <f>IF(AND($B151&lt;&gt;"",$C151="Gasto"),COUNT($Z$4:Z150)+1,"")</f>
        <v/>
      </c>
      <c r="AA151" s="12" t="str">
        <f>IF(AND($B151&lt;&gt;"",$C151="Ingreso",SUMIFS('Registro Mensual'!$H$9:$H$1008,'Registro Mensual'!$C$9:$C$1008,Dashboard!$B$5,'Registro Mensual'!$D$9:$D$1008,$B151)&gt;0),COUNT($AA$4:AA150)+1,"")</f>
        <v/>
      </c>
      <c r="AB151" s="12" t="str">
        <f>IFERROR(INDEX($B$5:$B$200,MATCH(ROWS($AB$5:AB151),$Z$5:$Z$200,0)),"")</f>
        <v/>
      </c>
      <c r="AC151" s="12" t="str">
        <f>IF($AB151="","",SUMIFS('Registro Mensual'!$I$9:$I$1008,'Registro Mensual'!$C$9:$C$1008,Dashboard!$B$5,'Registro Mensual'!$D$9:$D$1008,$AB151))</f>
        <v/>
      </c>
    </row>
    <row r="152" spans="1:29" ht="21.95" customHeight="1" x14ac:dyDescent="0.25">
      <c r="A152" s="12"/>
      <c r="B152" s="28"/>
      <c r="C152" s="28"/>
      <c r="D152" s="12"/>
      <c r="E152" s="12"/>
      <c r="F152" s="12"/>
      <c r="G152" s="12"/>
      <c r="Z152" s="12" t="str">
        <f>IF(AND($B152&lt;&gt;"",$C152="Gasto"),COUNT($Z$4:Z151)+1,"")</f>
        <v/>
      </c>
      <c r="AA152" s="12" t="str">
        <f>IF(AND($B152&lt;&gt;"",$C152="Ingreso",SUMIFS('Registro Mensual'!$H$9:$H$1008,'Registro Mensual'!$C$9:$C$1008,Dashboard!$B$5,'Registro Mensual'!$D$9:$D$1008,$B152)&gt;0),COUNT($AA$4:AA151)+1,"")</f>
        <v/>
      </c>
      <c r="AB152" s="12" t="str">
        <f>IFERROR(INDEX($B$5:$B$200,MATCH(ROWS($AB$5:AB152),$Z$5:$Z$200,0)),"")</f>
        <v/>
      </c>
      <c r="AC152" s="12" t="str">
        <f>IF($AB152="","",SUMIFS('Registro Mensual'!$I$9:$I$1008,'Registro Mensual'!$C$9:$C$1008,Dashboard!$B$5,'Registro Mensual'!$D$9:$D$1008,$AB152))</f>
        <v/>
      </c>
    </row>
    <row r="153" spans="1:29" ht="21.95" customHeight="1" x14ac:dyDescent="0.25">
      <c r="A153" s="12"/>
      <c r="B153" s="28"/>
      <c r="C153" s="28"/>
      <c r="D153" s="12"/>
      <c r="E153" s="12"/>
      <c r="F153" s="12"/>
      <c r="G153" s="12"/>
      <c r="Z153" s="12" t="str">
        <f>IF(AND($B153&lt;&gt;"",$C153="Gasto"),COUNT($Z$4:Z152)+1,"")</f>
        <v/>
      </c>
      <c r="AA153" s="12" t="str">
        <f>IF(AND($B153&lt;&gt;"",$C153="Ingreso",SUMIFS('Registro Mensual'!$H$9:$H$1008,'Registro Mensual'!$C$9:$C$1008,Dashboard!$B$5,'Registro Mensual'!$D$9:$D$1008,$B153)&gt;0),COUNT($AA$4:AA152)+1,"")</f>
        <v/>
      </c>
      <c r="AB153" s="12" t="str">
        <f>IFERROR(INDEX($B$5:$B$200,MATCH(ROWS($AB$5:AB153),$Z$5:$Z$200,0)),"")</f>
        <v/>
      </c>
      <c r="AC153" s="12" t="str">
        <f>IF($AB153="","",SUMIFS('Registro Mensual'!$I$9:$I$1008,'Registro Mensual'!$C$9:$C$1008,Dashboard!$B$5,'Registro Mensual'!$D$9:$D$1008,$AB153))</f>
        <v/>
      </c>
    </row>
    <row r="154" spans="1:29" ht="21.95" customHeight="1" x14ac:dyDescent="0.25">
      <c r="A154" s="12"/>
      <c r="B154" s="28"/>
      <c r="C154" s="28"/>
      <c r="D154" s="12"/>
      <c r="E154" s="12"/>
      <c r="F154" s="12"/>
      <c r="G154" s="12"/>
      <c r="Z154" s="12" t="str">
        <f>IF(AND($B154&lt;&gt;"",$C154="Gasto"),COUNT($Z$4:Z153)+1,"")</f>
        <v/>
      </c>
      <c r="AA154" s="12" t="str">
        <f>IF(AND($B154&lt;&gt;"",$C154="Ingreso",SUMIFS('Registro Mensual'!$H$9:$H$1008,'Registro Mensual'!$C$9:$C$1008,Dashboard!$B$5,'Registro Mensual'!$D$9:$D$1008,$B154)&gt;0),COUNT($AA$4:AA153)+1,"")</f>
        <v/>
      </c>
      <c r="AB154" s="12" t="str">
        <f>IFERROR(INDEX($B$5:$B$200,MATCH(ROWS($AB$5:AB154),$Z$5:$Z$200,0)),"")</f>
        <v/>
      </c>
      <c r="AC154" s="12" t="str">
        <f>IF($AB154="","",SUMIFS('Registro Mensual'!$I$9:$I$1008,'Registro Mensual'!$C$9:$C$1008,Dashboard!$B$5,'Registro Mensual'!$D$9:$D$1008,$AB154))</f>
        <v/>
      </c>
    </row>
    <row r="155" spans="1:29" ht="21.95" customHeight="1" x14ac:dyDescent="0.25">
      <c r="A155" s="12"/>
      <c r="B155" s="28"/>
      <c r="C155" s="28"/>
      <c r="D155" s="12"/>
      <c r="E155" s="12"/>
      <c r="F155" s="12"/>
      <c r="G155" s="12"/>
      <c r="Z155" s="12" t="str">
        <f>IF(AND($B155&lt;&gt;"",$C155="Gasto"),COUNT($Z$4:Z154)+1,"")</f>
        <v/>
      </c>
      <c r="AA155" s="12" t="str">
        <f>IF(AND($B155&lt;&gt;"",$C155="Ingreso",SUMIFS('Registro Mensual'!$H$9:$H$1008,'Registro Mensual'!$C$9:$C$1008,Dashboard!$B$5,'Registro Mensual'!$D$9:$D$1008,$B155)&gt;0),COUNT($AA$4:AA154)+1,"")</f>
        <v/>
      </c>
      <c r="AB155" s="12" t="str">
        <f>IFERROR(INDEX($B$5:$B$200,MATCH(ROWS($AB$5:AB155),$Z$5:$Z$200,0)),"")</f>
        <v/>
      </c>
      <c r="AC155" s="12" t="str">
        <f>IF($AB155="","",SUMIFS('Registro Mensual'!$I$9:$I$1008,'Registro Mensual'!$C$9:$C$1008,Dashboard!$B$5,'Registro Mensual'!$D$9:$D$1008,$AB155))</f>
        <v/>
      </c>
    </row>
    <row r="156" spans="1:29" ht="21.95" customHeight="1" x14ac:dyDescent="0.25">
      <c r="A156" s="12"/>
      <c r="B156" s="28"/>
      <c r="C156" s="28"/>
      <c r="D156" s="12"/>
      <c r="E156" s="12"/>
      <c r="F156" s="12"/>
      <c r="G156" s="12"/>
      <c r="Z156" s="12" t="str">
        <f>IF(AND($B156&lt;&gt;"",$C156="Gasto"),COUNT($Z$4:Z155)+1,"")</f>
        <v/>
      </c>
      <c r="AA156" s="12" t="str">
        <f>IF(AND($B156&lt;&gt;"",$C156="Ingreso",SUMIFS('Registro Mensual'!$H$9:$H$1008,'Registro Mensual'!$C$9:$C$1008,Dashboard!$B$5,'Registro Mensual'!$D$9:$D$1008,$B156)&gt;0),COUNT($AA$4:AA155)+1,"")</f>
        <v/>
      </c>
      <c r="AB156" s="12" t="str">
        <f>IFERROR(INDEX($B$5:$B$200,MATCH(ROWS($AB$5:AB156),$Z$5:$Z$200,0)),"")</f>
        <v/>
      </c>
      <c r="AC156" s="12" t="str">
        <f>IF($AB156="","",SUMIFS('Registro Mensual'!$I$9:$I$1008,'Registro Mensual'!$C$9:$C$1008,Dashboard!$B$5,'Registro Mensual'!$D$9:$D$1008,$AB156))</f>
        <v/>
      </c>
    </row>
    <row r="157" spans="1:29" ht="21.95" customHeight="1" x14ac:dyDescent="0.25">
      <c r="A157" s="12"/>
      <c r="B157" s="28"/>
      <c r="C157" s="28"/>
      <c r="D157" s="12"/>
      <c r="E157" s="12"/>
      <c r="F157" s="12"/>
      <c r="G157" s="12"/>
      <c r="Z157" s="12" t="str">
        <f>IF(AND($B157&lt;&gt;"",$C157="Gasto"),COUNT($Z$4:Z156)+1,"")</f>
        <v/>
      </c>
      <c r="AA157" s="12" t="str">
        <f>IF(AND($B157&lt;&gt;"",$C157="Ingreso",SUMIFS('Registro Mensual'!$H$9:$H$1008,'Registro Mensual'!$C$9:$C$1008,Dashboard!$B$5,'Registro Mensual'!$D$9:$D$1008,$B157)&gt;0),COUNT($AA$4:AA156)+1,"")</f>
        <v/>
      </c>
      <c r="AB157" s="12" t="str">
        <f>IFERROR(INDEX($B$5:$B$200,MATCH(ROWS($AB$5:AB157),$Z$5:$Z$200,0)),"")</f>
        <v/>
      </c>
      <c r="AC157" s="12" t="str">
        <f>IF($AB157="","",SUMIFS('Registro Mensual'!$I$9:$I$1008,'Registro Mensual'!$C$9:$C$1008,Dashboard!$B$5,'Registro Mensual'!$D$9:$D$1008,$AB157))</f>
        <v/>
      </c>
    </row>
    <row r="158" spans="1:29" ht="21.95" customHeight="1" x14ac:dyDescent="0.25">
      <c r="A158" s="12"/>
      <c r="B158" s="28"/>
      <c r="C158" s="28"/>
      <c r="D158" s="12"/>
      <c r="E158" s="12"/>
      <c r="F158" s="12"/>
      <c r="G158" s="12"/>
      <c r="Z158" s="12" t="str">
        <f>IF(AND($B158&lt;&gt;"",$C158="Gasto"),COUNT($Z$4:Z157)+1,"")</f>
        <v/>
      </c>
      <c r="AA158" s="12" t="str">
        <f>IF(AND($B158&lt;&gt;"",$C158="Ingreso",SUMIFS('Registro Mensual'!$H$9:$H$1008,'Registro Mensual'!$C$9:$C$1008,Dashboard!$B$5,'Registro Mensual'!$D$9:$D$1008,$B158)&gt;0),COUNT($AA$4:AA157)+1,"")</f>
        <v/>
      </c>
      <c r="AB158" s="12" t="str">
        <f>IFERROR(INDEX($B$5:$B$200,MATCH(ROWS($AB$5:AB158),$Z$5:$Z$200,0)),"")</f>
        <v/>
      </c>
      <c r="AC158" s="12" t="str">
        <f>IF($AB158="","",SUMIFS('Registro Mensual'!$I$9:$I$1008,'Registro Mensual'!$C$9:$C$1008,Dashboard!$B$5,'Registro Mensual'!$D$9:$D$1008,$AB158))</f>
        <v/>
      </c>
    </row>
    <row r="159" spans="1:29" ht="21.95" customHeight="1" x14ac:dyDescent="0.25">
      <c r="A159" s="12"/>
      <c r="B159" s="28"/>
      <c r="C159" s="28"/>
      <c r="D159" s="12"/>
      <c r="E159" s="12"/>
      <c r="F159" s="12"/>
      <c r="G159" s="12"/>
      <c r="Z159" s="12" t="str">
        <f>IF(AND($B159&lt;&gt;"",$C159="Gasto"),COUNT($Z$4:Z158)+1,"")</f>
        <v/>
      </c>
      <c r="AA159" s="12" t="str">
        <f>IF(AND($B159&lt;&gt;"",$C159="Ingreso",SUMIFS('Registro Mensual'!$H$9:$H$1008,'Registro Mensual'!$C$9:$C$1008,Dashboard!$B$5,'Registro Mensual'!$D$9:$D$1008,$B159)&gt;0),COUNT($AA$4:AA158)+1,"")</f>
        <v/>
      </c>
      <c r="AB159" s="12" t="str">
        <f>IFERROR(INDEX($B$5:$B$200,MATCH(ROWS($AB$5:AB159),$Z$5:$Z$200,0)),"")</f>
        <v/>
      </c>
      <c r="AC159" s="12" t="str">
        <f>IF($AB159="","",SUMIFS('Registro Mensual'!$I$9:$I$1008,'Registro Mensual'!$C$9:$C$1008,Dashboard!$B$5,'Registro Mensual'!$D$9:$D$1008,$AB159))</f>
        <v/>
      </c>
    </row>
    <row r="160" spans="1:29" ht="21.95" customHeight="1" x14ac:dyDescent="0.25">
      <c r="A160" s="12"/>
      <c r="B160" s="28"/>
      <c r="C160" s="28"/>
      <c r="D160" s="12"/>
      <c r="E160" s="12"/>
      <c r="F160" s="12"/>
      <c r="G160" s="12"/>
      <c r="Z160" s="12" t="str">
        <f>IF(AND($B160&lt;&gt;"",$C160="Gasto"),COUNT($Z$4:Z159)+1,"")</f>
        <v/>
      </c>
      <c r="AA160" s="12" t="str">
        <f>IF(AND($B160&lt;&gt;"",$C160="Ingreso",SUMIFS('Registro Mensual'!$H$9:$H$1008,'Registro Mensual'!$C$9:$C$1008,Dashboard!$B$5,'Registro Mensual'!$D$9:$D$1008,$B160)&gt;0),COUNT($AA$4:AA159)+1,"")</f>
        <v/>
      </c>
      <c r="AB160" s="12" t="str">
        <f>IFERROR(INDEX($B$5:$B$200,MATCH(ROWS($AB$5:AB160),$Z$5:$Z$200,0)),"")</f>
        <v/>
      </c>
      <c r="AC160" s="12" t="str">
        <f>IF($AB160="","",SUMIFS('Registro Mensual'!$I$9:$I$1008,'Registro Mensual'!$C$9:$C$1008,Dashboard!$B$5,'Registro Mensual'!$D$9:$D$1008,$AB160))</f>
        <v/>
      </c>
    </row>
    <row r="161" spans="1:29" ht="21.95" customHeight="1" x14ac:dyDescent="0.25">
      <c r="A161" s="12"/>
      <c r="B161" s="28"/>
      <c r="C161" s="28"/>
      <c r="D161" s="12"/>
      <c r="E161" s="12"/>
      <c r="F161" s="12"/>
      <c r="G161" s="12"/>
      <c r="Z161" s="12" t="str">
        <f>IF(AND($B161&lt;&gt;"",$C161="Gasto"),COUNT($Z$4:Z160)+1,"")</f>
        <v/>
      </c>
      <c r="AA161" s="12" t="str">
        <f>IF(AND($B161&lt;&gt;"",$C161="Ingreso",SUMIFS('Registro Mensual'!$H$9:$H$1008,'Registro Mensual'!$C$9:$C$1008,Dashboard!$B$5,'Registro Mensual'!$D$9:$D$1008,$B161)&gt;0),COUNT($AA$4:AA160)+1,"")</f>
        <v/>
      </c>
      <c r="AB161" s="12" t="str">
        <f>IFERROR(INDEX($B$5:$B$200,MATCH(ROWS($AB$5:AB161),$Z$5:$Z$200,0)),"")</f>
        <v/>
      </c>
      <c r="AC161" s="12" t="str">
        <f>IF($AB161="","",SUMIFS('Registro Mensual'!$I$9:$I$1008,'Registro Mensual'!$C$9:$C$1008,Dashboard!$B$5,'Registro Mensual'!$D$9:$D$1008,$AB161))</f>
        <v/>
      </c>
    </row>
    <row r="162" spans="1:29" ht="21.95" customHeight="1" x14ac:dyDescent="0.25">
      <c r="A162" s="12"/>
      <c r="B162" s="28"/>
      <c r="C162" s="28"/>
      <c r="D162" s="12"/>
      <c r="E162" s="12"/>
      <c r="F162" s="12"/>
      <c r="G162" s="12"/>
      <c r="Z162" s="12" t="str">
        <f>IF(AND($B162&lt;&gt;"",$C162="Gasto"),COUNT($Z$4:Z161)+1,"")</f>
        <v/>
      </c>
      <c r="AA162" s="12" t="str">
        <f>IF(AND($B162&lt;&gt;"",$C162="Ingreso",SUMIFS('Registro Mensual'!$H$9:$H$1008,'Registro Mensual'!$C$9:$C$1008,Dashboard!$B$5,'Registro Mensual'!$D$9:$D$1008,$B162)&gt;0),COUNT($AA$4:AA161)+1,"")</f>
        <v/>
      </c>
      <c r="AB162" s="12" t="str">
        <f>IFERROR(INDEX($B$5:$B$200,MATCH(ROWS($AB$5:AB162),$Z$5:$Z$200,0)),"")</f>
        <v/>
      </c>
      <c r="AC162" s="12" t="str">
        <f>IF($AB162="","",SUMIFS('Registro Mensual'!$I$9:$I$1008,'Registro Mensual'!$C$9:$C$1008,Dashboard!$B$5,'Registro Mensual'!$D$9:$D$1008,$AB162))</f>
        <v/>
      </c>
    </row>
    <row r="163" spans="1:29" ht="21.95" customHeight="1" x14ac:dyDescent="0.25">
      <c r="A163" s="12"/>
      <c r="B163" s="28"/>
      <c r="C163" s="28"/>
      <c r="D163" s="12"/>
      <c r="E163" s="12"/>
      <c r="F163" s="12"/>
      <c r="G163" s="12"/>
      <c r="Z163" s="12" t="str">
        <f>IF(AND($B163&lt;&gt;"",$C163="Gasto"),COUNT($Z$4:Z162)+1,"")</f>
        <v/>
      </c>
      <c r="AA163" s="12" t="str">
        <f>IF(AND($B163&lt;&gt;"",$C163="Ingreso",SUMIFS('Registro Mensual'!$H$9:$H$1008,'Registro Mensual'!$C$9:$C$1008,Dashboard!$B$5,'Registro Mensual'!$D$9:$D$1008,$B163)&gt;0),COUNT($AA$4:AA162)+1,"")</f>
        <v/>
      </c>
      <c r="AB163" s="12" t="str">
        <f>IFERROR(INDEX($B$5:$B$200,MATCH(ROWS($AB$5:AB163),$Z$5:$Z$200,0)),"")</f>
        <v/>
      </c>
      <c r="AC163" s="12" t="str">
        <f>IF($AB163="","",SUMIFS('Registro Mensual'!$I$9:$I$1008,'Registro Mensual'!$C$9:$C$1008,Dashboard!$B$5,'Registro Mensual'!$D$9:$D$1008,$AB163))</f>
        <v/>
      </c>
    </row>
    <row r="164" spans="1:29" ht="21.95" customHeight="1" x14ac:dyDescent="0.25">
      <c r="A164" s="12"/>
      <c r="B164" s="28"/>
      <c r="C164" s="28"/>
      <c r="D164" s="12"/>
      <c r="E164" s="12"/>
      <c r="F164" s="12"/>
      <c r="G164" s="12"/>
      <c r="Z164" s="12" t="str">
        <f>IF(AND($B164&lt;&gt;"",$C164="Gasto"),COUNT($Z$4:Z163)+1,"")</f>
        <v/>
      </c>
      <c r="AA164" s="12" t="str">
        <f>IF(AND($B164&lt;&gt;"",$C164="Ingreso",SUMIFS('Registro Mensual'!$H$9:$H$1008,'Registro Mensual'!$C$9:$C$1008,Dashboard!$B$5,'Registro Mensual'!$D$9:$D$1008,$B164)&gt;0),COUNT($AA$4:AA163)+1,"")</f>
        <v/>
      </c>
      <c r="AB164" s="12" t="str">
        <f>IFERROR(INDEX($B$5:$B$200,MATCH(ROWS($AB$5:AB164),$Z$5:$Z$200,0)),"")</f>
        <v/>
      </c>
      <c r="AC164" s="12" t="str">
        <f>IF($AB164="","",SUMIFS('Registro Mensual'!$I$9:$I$1008,'Registro Mensual'!$C$9:$C$1008,Dashboard!$B$5,'Registro Mensual'!$D$9:$D$1008,$AB164))</f>
        <v/>
      </c>
    </row>
    <row r="165" spans="1:29" ht="21.95" customHeight="1" x14ac:dyDescent="0.25">
      <c r="A165" s="12"/>
      <c r="B165" s="28"/>
      <c r="C165" s="28"/>
      <c r="D165" s="12"/>
      <c r="E165" s="12"/>
      <c r="F165" s="12"/>
      <c r="G165" s="12"/>
      <c r="Z165" s="12" t="str">
        <f>IF(AND($B165&lt;&gt;"",$C165="Gasto"),COUNT($Z$4:Z164)+1,"")</f>
        <v/>
      </c>
      <c r="AA165" s="12" t="str">
        <f>IF(AND($B165&lt;&gt;"",$C165="Ingreso",SUMIFS('Registro Mensual'!$H$9:$H$1008,'Registro Mensual'!$C$9:$C$1008,Dashboard!$B$5,'Registro Mensual'!$D$9:$D$1008,$B165)&gt;0),COUNT($AA$4:AA164)+1,"")</f>
        <v/>
      </c>
      <c r="AB165" s="12" t="str">
        <f>IFERROR(INDEX($B$5:$B$200,MATCH(ROWS($AB$5:AB165),$Z$5:$Z$200,0)),"")</f>
        <v/>
      </c>
      <c r="AC165" s="12" t="str">
        <f>IF($AB165="","",SUMIFS('Registro Mensual'!$I$9:$I$1008,'Registro Mensual'!$C$9:$C$1008,Dashboard!$B$5,'Registro Mensual'!$D$9:$D$1008,$AB165))</f>
        <v/>
      </c>
    </row>
    <row r="166" spans="1:29" ht="21.95" customHeight="1" x14ac:dyDescent="0.25">
      <c r="A166" s="12"/>
      <c r="B166" s="28"/>
      <c r="C166" s="28"/>
      <c r="D166" s="12"/>
      <c r="E166" s="12"/>
      <c r="F166" s="12"/>
      <c r="G166" s="12"/>
      <c r="Z166" s="12" t="str">
        <f>IF(AND($B166&lt;&gt;"",$C166="Gasto"),COUNT($Z$4:Z165)+1,"")</f>
        <v/>
      </c>
      <c r="AA166" s="12" t="str">
        <f>IF(AND($B166&lt;&gt;"",$C166="Ingreso",SUMIFS('Registro Mensual'!$H$9:$H$1008,'Registro Mensual'!$C$9:$C$1008,Dashboard!$B$5,'Registro Mensual'!$D$9:$D$1008,$B166)&gt;0),COUNT($AA$4:AA165)+1,"")</f>
        <v/>
      </c>
      <c r="AB166" s="12" t="str">
        <f>IFERROR(INDEX($B$5:$B$200,MATCH(ROWS($AB$5:AB166),$Z$5:$Z$200,0)),"")</f>
        <v/>
      </c>
      <c r="AC166" s="12" t="str">
        <f>IF($AB166="","",SUMIFS('Registro Mensual'!$I$9:$I$1008,'Registro Mensual'!$C$9:$C$1008,Dashboard!$B$5,'Registro Mensual'!$D$9:$D$1008,$AB166))</f>
        <v/>
      </c>
    </row>
    <row r="167" spans="1:29" ht="21.95" customHeight="1" x14ac:dyDescent="0.25">
      <c r="A167" s="12"/>
      <c r="B167" s="28"/>
      <c r="C167" s="28"/>
      <c r="D167" s="12"/>
      <c r="E167" s="12"/>
      <c r="F167" s="12"/>
      <c r="G167" s="12"/>
      <c r="Z167" s="12" t="str">
        <f>IF(AND($B167&lt;&gt;"",$C167="Gasto"),COUNT($Z$4:Z166)+1,"")</f>
        <v/>
      </c>
      <c r="AA167" s="12" t="str">
        <f>IF(AND($B167&lt;&gt;"",$C167="Ingreso",SUMIFS('Registro Mensual'!$H$9:$H$1008,'Registro Mensual'!$C$9:$C$1008,Dashboard!$B$5,'Registro Mensual'!$D$9:$D$1008,$B167)&gt;0),COUNT($AA$4:AA166)+1,"")</f>
        <v/>
      </c>
      <c r="AB167" s="12" t="str">
        <f>IFERROR(INDEX($B$5:$B$200,MATCH(ROWS($AB$5:AB167),$Z$5:$Z$200,0)),"")</f>
        <v/>
      </c>
      <c r="AC167" s="12" t="str">
        <f>IF($AB167="","",SUMIFS('Registro Mensual'!$I$9:$I$1008,'Registro Mensual'!$C$9:$C$1008,Dashboard!$B$5,'Registro Mensual'!$D$9:$D$1008,$AB167))</f>
        <v/>
      </c>
    </row>
    <row r="168" spans="1:29" ht="21.95" customHeight="1" x14ac:dyDescent="0.25">
      <c r="A168" s="12"/>
      <c r="B168" s="28"/>
      <c r="C168" s="28"/>
      <c r="D168" s="12"/>
      <c r="E168" s="12"/>
      <c r="F168" s="12"/>
      <c r="G168" s="12"/>
      <c r="Z168" s="12" t="str">
        <f>IF(AND($B168&lt;&gt;"",$C168="Gasto"),COUNT($Z$4:Z167)+1,"")</f>
        <v/>
      </c>
      <c r="AA168" s="12" t="str">
        <f>IF(AND($B168&lt;&gt;"",$C168="Ingreso",SUMIFS('Registro Mensual'!$H$9:$H$1008,'Registro Mensual'!$C$9:$C$1008,Dashboard!$B$5,'Registro Mensual'!$D$9:$D$1008,$B168)&gt;0),COUNT($AA$4:AA167)+1,"")</f>
        <v/>
      </c>
      <c r="AB168" s="12" t="str">
        <f>IFERROR(INDEX($B$5:$B$200,MATCH(ROWS($AB$5:AB168),$Z$5:$Z$200,0)),"")</f>
        <v/>
      </c>
      <c r="AC168" s="12" t="str">
        <f>IF($AB168="","",SUMIFS('Registro Mensual'!$I$9:$I$1008,'Registro Mensual'!$C$9:$C$1008,Dashboard!$B$5,'Registro Mensual'!$D$9:$D$1008,$AB168))</f>
        <v/>
      </c>
    </row>
    <row r="169" spans="1:29" ht="21.95" customHeight="1" x14ac:dyDescent="0.25">
      <c r="A169" s="12"/>
      <c r="B169" s="28"/>
      <c r="C169" s="28"/>
      <c r="D169" s="12"/>
      <c r="E169" s="12"/>
      <c r="F169" s="12"/>
      <c r="G169" s="12"/>
      <c r="Z169" s="12" t="str">
        <f>IF(AND($B169&lt;&gt;"",$C169="Gasto"),COUNT($Z$4:Z168)+1,"")</f>
        <v/>
      </c>
      <c r="AA169" s="12" t="str">
        <f>IF(AND($B169&lt;&gt;"",$C169="Ingreso",SUMIFS('Registro Mensual'!$H$9:$H$1008,'Registro Mensual'!$C$9:$C$1008,Dashboard!$B$5,'Registro Mensual'!$D$9:$D$1008,$B169)&gt;0),COUNT($AA$4:AA168)+1,"")</f>
        <v/>
      </c>
      <c r="AB169" s="12" t="str">
        <f>IFERROR(INDEX($B$5:$B$200,MATCH(ROWS($AB$5:AB169),$Z$5:$Z$200,0)),"")</f>
        <v/>
      </c>
      <c r="AC169" s="12" t="str">
        <f>IF($AB169="","",SUMIFS('Registro Mensual'!$I$9:$I$1008,'Registro Mensual'!$C$9:$C$1008,Dashboard!$B$5,'Registro Mensual'!$D$9:$D$1008,$AB169))</f>
        <v/>
      </c>
    </row>
    <row r="170" spans="1:29" ht="21.95" customHeight="1" x14ac:dyDescent="0.25">
      <c r="A170" s="12"/>
      <c r="B170" s="28"/>
      <c r="C170" s="28"/>
      <c r="D170" s="12"/>
      <c r="E170" s="12"/>
      <c r="F170" s="12"/>
      <c r="G170" s="12"/>
      <c r="Z170" s="12" t="str">
        <f>IF(AND($B170&lt;&gt;"",$C170="Gasto"),COUNT($Z$4:Z169)+1,"")</f>
        <v/>
      </c>
      <c r="AA170" s="12" t="str">
        <f>IF(AND($B170&lt;&gt;"",$C170="Ingreso",SUMIFS('Registro Mensual'!$H$9:$H$1008,'Registro Mensual'!$C$9:$C$1008,Dashboard!$B$5,'Registro Mensual'!$D$9:$D$1008,$B170)&gt;0),COUNT($AA$4:AA169)+1,"")</f>
        <v/>
      </c>
      <c r="AB170" s="12" t="str">
        <f>IFERROR(INDEX($B$5:$B$200,MATCH(ROWS($AB$5:AB170),$Z$5:$Z$200,0)),"")</f>
        <v/>
      </c>
      <c r="AC170" s="12" t="str">
        <f>IF($AB170="","",SUMIFS('Registro Mensual'!$I$9:$I$1008,'Registro Mensual'!$C$9:$C$1008,Dashboard!$B$5,'Registro Mensual'!$D$9:$D$1008,$AB170))</f>
        <v/>
      </c>
    </row>
    <row r="171" spans="1:29" ht="21.95" customHeight="1" x14ac:dyDescent="0.25">
      <c r="A171" s="12"/>
      <c r="B171" s="28"/>
      <c r="C171" s="28"/>
      <c r="D171" s="12"/>
      <c r="E171" s="12"/>
      <c r="F171" s="12"/>
      <c r="G171" s="12"/>
      <c r="Z171" s="12" t="str">
        <f>IF(AND($B171&lt;&gt;"",$C171="Gasto"),COUNT($Z$4:Z170)+1,"")</f>
        <v/>
      </c>
      <c r="AA171" s="12" t="str">
        <f>IF(AND($B171&lt;&gt;"",$C171="Ingreso",SUMIFS('Registro Mensual'!$H$9:$H$1008,'Registro Mensual'!$C$9:$C$1008,Dashboard!$B$5,'Registro Mensual'!$D$9:$D$1008,$B171)&gt;0),COUNT($AA$4:AA170)+1,"")</f>
        <v/>
      </c>
      <c r="AB171" s="12" t="str">
        <f>IFERROR(INDEX($B$5:$B$200,MATCH(ROWS($AB$5:AB171),$Z$5:$Z$200,0)),"")</f>
        <v/>
      </c>
      <c r="AC171" s="12" t="str">
        <f>IF($AB171="","",SUMIFS('Registro Mensual'!$I$9:$I$1008,'Registro Mensual'!$C$9:$C$1008,Dashboard!$B$5,'Registro Mensual'!$D$9:$D$1008,$AB171))</f>
        <v/>
      </c>
    </row>
    <row r="172" spans="1:29" ht="21.95" customHeight="1" x14ac:dyDescent="0.25">
      <c r="A172" s="12"/>
      <c r="B172" s="28"/>
      <c r="C172" s="28"/>
      <c r="D172" s="12"/>
      <c r="E172" s="12"/>
      <c r="F172" s="12"/>
      <c r="G172" s="12"/>
      <c r="Z172" s="12" t="str">
        <f>IF(AND($B172&lt;&gt;"",$C172="Gasto"),COUNT($Z$4:Z171)+1,"")</f>
        <v/>
      </c>
      <c r="AA172" s="12" t="str">
        <f>IF(AND($B172&lt;&gt;"",$C172="Ingreso",SUMIFS('Registro Mensual'!$H$9:$H$1008,'Registro Mensual'!$C$9:$C$1008,Dashboard!$B$5,'Registro Mensual'!$D$9:$D$1008,$B172)&gt;0),COUNT($AA$4:AA171)+1,"")</f>
        <v/>
      </c>
      <c r="AB172" s="12" t="str">
        <f>IFERROR(INDEX($B$5:$B$200,MATCH(ROWS($AB$5:AB172),$Z$5:$Z$200,0)),"")</f>
        <v/>
      </c>
      <c r="AC172" s="12" t="str">
        <f>IF($AB172="","",SUMIFS('Registro Mensual'!$I$9:$I$1008,'Registro Mensual'!$C$9:$C$1008,Dashboard!$B$5,'Registro Mensual'!$D$9:$D$1008,$AB172))</f>
        <v/>
      </c>
    </row>
    <row r="173" spans="1:29" ht="21.95" customHeight="1" x14ac:dyDescent="0.25">
      <c r="A173" s="12"/>
      <c r="B173" s="28"/>
      <c r="C173" s="28"/>
      <c r="D173" s="12"/>
      <c r="E173" s="12"/>
      <c r="F173" s="12"/>
      <c r="G173" s="12"/>
      <c r="Z173" s="12" t="str">
        <f>IF(AND($B173&lt;&gt;"",$C173="Gasto"),COUNT($Z$4:Z172)+1,"")</f>
        <v/>
      </c>
      <c r="AA173" s="12" t="str">
        <f>IF(AND($B173&lt;&gt;"",$C173="Ingreso",SUMIFS('Registro Mensual'!$H$9:$H$1008,'Registro Mensual'!$C$9:$C$1008,Dashboard!$B$5,'Registro Mensual'!$D$9:$D$1008,$B173)&gt;0),COUNT($AA$4:AA172)+1,"")</f>
        <v/>
      </c>
      <c r="AB173" s="12" t="str">
        <f>IFERROR(INDEX($B$5:$B$200,MATCH(ROWS($AB$5:AB173),$Z$5:$Z$200,0)),"")</f>
        <v/>
      </c>
      <c r="AC173" s="12" t="str">
        <f>IF($AB173="","",SUMIFS('Registro Mensual'!$I$9:$I$1008,'Registro Mensual'!$C$9:$C$1008,Dashboard!$B$5,'Registro Mensual'!$D$9:$D$1008,$AB173))</f>
        <v/>
      </c>
    </row>
    <row r="174" spans="1:29" ht="21.95" customHeight="1" x14ac:dyDescent="0.25">
      <c r="A174" s="12"/>
      <c r="B174" s="28"/>
      <c r="C174" s="28"/>
      <c r="D174" s="12"/>
      <c r="E174" s="12"/>
      <c r="F174" s="12"/>
      <c r="G174" s="12"/>
      <c r="Z174" s="12" t="str">
        <f>IF(AND($B174&lt;&gt;"",$C174="Gasto"),COUNT($Z$4:Z173)+1,"")</f>
        <v/>
      </c>
      <c r="AA174" s="12" t="str">
        <f>IF(AND($B174&lt;&gt;"",$C174="Ingreso",SUMIFS('Registro Mensual'!$H$9:$H$1008,'Registro Mensual'!$C$9:$C$1008,Dashboard!$B$5,'Registro Mensual'!$D$9:$D$1008,$B174)&gt;0),COUNT($AA$4:AA173)+1,"")</f>
        <v/>
      </c>
      <c r="AB174" s="12" t="str">
        <f>IFERROR(INDEX($B$5:$B$200,MATCH(ROWS($AB$5:AB174),$Z$5:$Z$200,0)),"")</f>
        <v/>
      </c>
      <c r="AC174" s="12" t="str">
        <f>IF($AB174="","",SUMIFS('Registro Mensual'!$I$9:$I$1008,'Registro Mensual'!$C$9:$C$1008,Dashboard!$B$5,'Registro Mensual'!$D$9:$D$1008,$AB174))</f>
        <v/>
      </c>
    </row>
    <row r="175" spans="1:29" ht="21.95" customHeight="1" x14ac:dyDescent="0.25">
      <c r="A175" s="12"/>
      <c r="B175" s="28"/>
      <c r="C175" s="28"/>
      <c r="D175" s="12"/>
      <c r="E175" s="12"/>
      <c r="F175" s="12"/>
      <c r="G175" s="12"/>
      <c r="Z175" s="12" t="str">
        <f>IF(AND($B175&lt;&gt;"",$C175="Gasto"),COUNT($Z$4:Z174)+1,"")</f>
        <v/>
      </c>
      <c r="AA175" s="12" t="str">
        <f>IF(AND($B175&lt;&gt;"",$C175="Ingreso",SUMIFS('Registro Mensual'!$H$9:$H$1008,'Registro Mensual'!$C$9:$C$1008,Dashboard!$B$5,'Registro Mensual'!$D$9:$D$1008,$B175)&gt;0),COUNT($AA$4:AA174)+1,"")</f>
        <v/>
      </c>
      <c r="AB175" s="12" t="str">
        <f>IFERROR(INDEX($B$5:$B$200,MATCH(ROWS($AB$5:AB175),$Z$5:$Z$200,0)),"")</f>
        <v/>
      </c>
      <c r="AC175" s="12" t="str">
        <f>IF($AB175="","",SUMIFS('Registro Mensual'!$I$9:$I$1008,'Registro Mensual'!$C$9:$C$1008,Dashboard!$B$5,'Registro Mensual'!$D$9:$D$1008,$AB175))</f>
        <v/>
      </c>
    </row>
    <row r="176" spans="1:29" ht="21.95" customHeight="1" x14ac:dyDescent="0.25">
      <c r="A176" s="12"/>
      <c r="B176" s="28"/>
      <c r="C176" s="28"/>
      <c r="D176" s="12"/>
      <c r="E176" s="12"/>
      <c r="F176" s="12"/>
      <c r="G176" s="12"/>
      <c r="Z176" s="12" t="str">
        <f>IF(AND($B176&lt;&gt;"",$C176="Gasto"),COUNT($Z$4:Z175)+1,"")</f>
        <v/>
      </c>
      <c r="AA176" s="12" t="str">
        <f>IF(AND($B176&lt;&gt;"",$C176="Ingreso",SUMIFS('Registro Mensual'!$H$9:$H$1008,'Registro Mensual'!$C$9:$C$1008,Dashboard!$B$5,'Registro Mensual'!$D$9:$D$1008,$B176)&gt;0),COUNT($AA$4:AA175)+1,"")</f>
        <v/>
      </c>
      <c r="AB176" s="12" t="str">
        <f>IFERROR(INDEX($B$5:$B$200,MATCH(ROWS($AB$5:AB176),$Z$5:$Z$200,0)),"")</f>
        <v/>
      </c>
      <c r="AC176" s="12" t="str">
        <f>IF($AB176="","",SUMIFS('Registro Mensual'!$I$9:$I$1008,'Registro Mensual'!$C$9:$C$1008,Dashboard!$B$5,'Registro Mensual'!$D$9:$D$1008,$AB176))</f>
        <v/>
      </c>
    </row>
    <row r="177" spans="1:29" ht="21.95" customHeight="1" x14ac:dyDescent="0.25">
      <c r="A177" s="12"/>
      <c r="B177" s="28"/>
      <c r="C177" s="28"/>
      <c r="D177" s="12"/>
      <c r="E177" s="12"/>
      <c r="F177" s="12"/>
      <c r="G177" s="12"/>
      <c r="Z177" s="12" t="str">
        <f>IF(AND($B177&lt;&gt;"",$C177="Gasto"),COUNT($Z$4:Z176)+1,"")</f>
        <v/>
      </c>
      <c r="AA177" s="12" t="str">
        <f>IF(AND($B177&lt;&gt;"",$C177="Ingreso",SUMIFS('Registro Mensual'!$H$9:$H$1008,'Registro Mensual'!$C$9:$C$1008,Dashboard!$B$5,'Registro Mensual'!$D$9:$D$1008,$B177)&gt;0),COUNT($AA$4:AA176)+1,"")</f>
        <v/>
      </c>
      <c r="AB177" s="12" t="str">
        <f>IFERROR(INDEX($B$5:$B$200,MATCH(ROWS($AB$5:AB177),$Z$5:$Z$200,0)),"")</f>
        <v/>
      </c>
      <c r="AC177" s="12" t="str">
        <f>IF($AB177="","",SUMIFS('Registro Mensual'!$I$9:$I$1008,'Registro Mensual'!$C$9:$C$1008,Dashboard!$B$5,'Registro Mensual'!$D$9:$D$1008,$AB177))</f>
        <v/>
      </c>
    </row>
    <row r="178" spans="1:29" ht="21.95" customHeight="1" x14ac:dyDescent="0.25">
      <c r="A178" s="12"/>
      <c r="B178" s="28"/>
      <c r="C178" s="28"/>
      <c r="D178" s="12"/>
      <c r="E178" s="12"/>
      <c r="F178" s="12"/>
      <c r="G178" s="12"/>
      <c r="Z178" s="12" t="str">
        <f>IF(AND($B178&lt;&gt;"",$C178="Gasto"),COUNT($Z$4:Z177)+1,"")</f>
        <v/>
      </c>
      <c r="AA178" s="12" t="str">
        <f>IF(AND($B178&lt;&gt;"",$C178="Ingreso",SUMIFS('Registro Mensual'!$H$9:$H$1008,'Registro Mensual'!$C$9:$C$1008,Dashboard!$B$5,'Registro Mensual'!$D$9:$D$1008,$B178)&gt;0),COUNT($AA$4:AA177)+1,"")</f>
        <v/>
      </c>
      <c r="AB178" s="12" t="str">
        <f>IFERROR(INDEX($B$5:$B$200,MATCH(ROWS($AB$5:AB178),$Z$5:$Z$200,0)),"")</f>
        <v/>
      </c>
      <c r="AC178" s="12" t="str">
        <f>IF($AB178="","",SUMIFS('Registro Mensual'!$I$9:$I$1008,'Registro Mensual'!$C$9:$C$1008,Dashboard!$B$5,'Registro Mensual'!$D$9:$D$1008,$AB178))</f>
        <v/>
      </c>
    </row>
    <row r="179" spans="1:29" ht="21.95" customHeight="1" x14ac:dyDescent="0.25">
      <c r="A179" s="12"/>
      <c r="B179" s="28"/>
      <c r="C179" s="28"/>
      <c r="D179" s="12"/>
      <c r="E179" s="12"/>
      <c r="F179" s="12"/>
      <c r="G179" s="12"/>
      <c r="Z179" s="12" t="str">
        <f>IF(AND($B179&lt;&gt;"",$C179="Gasto"),COUNT($Z$4:Z178)+1,"")</f>
        <v/>
      </c>
      <c r="AA179" s="12" t="str">
        <f>IF(AND($B179&lt;&gt;"",$C179="Ingreso",SUMIFS('Registro Mensual'!$H$9:$H$1008,'Registro Mensual'!$C$9:$C$1008,Dashboard!$B$5,'Registro Mensual'!$D$9:$D$1008,$B179)&gt;0),COUNT($AA$4:AA178)+1,"")</f>
        <v/>
      </c>
      <c r="AB179" s="12" t="str">
        <f>IFERROR(INDEX($B$5:$B$200,MATCH(ROWS($AB$5:AB179),$Z$5:$Z$200,0)),"")</f>
        <v/>
      </c>
      <c r="AC179" s="12" t="str">
        <f>IF($AB179="","",SUMIFS('Registro Mensual'!$I$9:$I$1008,'Registro Mensual'!$C$9:$C$1008,Dashboard!$B$5,'Registro Mensual'!$D$9:$D$1008,$AB179))</f>
        <v/>
      </c>
    </row>
    <row r="180" spans="1:29" ht="21.95" customHeight="1" x14ac:dyDescent="0.25">
      <c r="A180" s="12"/>
      <c r="B180" s="28"/>
      <c r="C180" s="28"/>
      <c r="D180" s="12"/>
      <c r="E180" s="12"/>
      <c r="F180" s="12"/>
      <c r="G180" s="12"/>
      <c r="Z180" s="12" t="str">
        <f>IF(AND($B180&lt;&gt;"",$C180="Gasto"),COUNT($Z$4:Z179)+1,"")</f>
        <v/>
      </c>
      <c r="AA180" s="12" t="str">
        <f>IF(AND($B180&lt;&gt;"",$C180="Ingreso",SUMIFS('Registro Mensual'!$H$9:$H$1008,'Registro Mensual'!$C$9:$C$1008,Dashboard!$B$5,'Registro Mensual'!$D$9:$D$1008,$B180)&gt;0),COUNT($AA$4:AA179)+1,"")</f>
        <v/>
      </c>
      <c r="AB180" s="12" t="str">
        <f>IFERROR(INDEX($B$5:$B$200,MATCH(ROWS($AB$5:AB180),$Z$5:$Z$200,0)),"")</f>
        <v/>
      </c>
      <c r="AC180" s="12" t="str">
        <f>IF($AB180="","",SUMIFS('Registro Mensual'!$I$9:$I$1008,'Registro Mensual'!$C$9:$C$1008,Dashboard!$B$5,'Registro Mensual'!$D$9:$D$1008,$AB180))</f>
        <v/>
      </c>
    </row>
    <row r="181" spans="1:29" ht="21.95" customHeight="1" x14ac:dyDescent="0.25">
      <c r="A181" s="12"/>
      <c r="B181" s="28"/>
      <c r="C181" s="28"/>
      <c r="D181" s="12"/>
      <c r="E181" s="12"/>
      <c r="F181" s="12"/>
      <c r="G181" s="12"/>
      <c r="Z181" s="12" t="str">
        <f>IF(AND($B181&lt;&gt;"",$C181="Gasto"),COUNT($Z$4:Z180)+1,"")</f>
        <v/>
      </c>
      <c r="AA181" s="12" t="str">
        <f>IF(AND($B181&lt;&gt;"",$C181="Ingreso",SUMIFS('Registro Mensual'!$H$9:$H$1008,'Registro Mensual'!$C$9:$C$1008,Dashboard!$B$5,'Registro Mensual'!$D$9:$D$1008,$B181)&gt;0),COUNT($AA$4:AA180)+1,"")</f>
        <v/>
      </c>
      <c r="AB181" s="12" t="str">
        <f>IFERROR(INDEX($B$5:$B$200,MATCH(ROWS($AB$5:AB181),$Z$5:$Z$200,0)),"")</f>
        <v/>
      </c>
      <c r="AC181" s="12" t="str">
        <f>IF($AB181="","",SUMIFS('Registro Mensual'!$I$9:$I$1008,'Registro Mensual'!$C$9:$C$1008,Dashboard!$B$5,'Registro Mensual'!$D$9:$D$1008,$AB181))</f>
        <v/>
      </c>
    </row>
    <row r="182" spans="1:29" ht="21.95" customHeight="1" x14ac:dyDescent="0.25">
      <c r="A182" s="12"/>
      <c r="B182" s="28"/>
      <c r="C182" s="28"/>
      <c r="D182" s="12"/>
      <c r="E182" s="12"/>
      <c r="F182" s="12"/>
      <c r="G182" s="12"/>
      <c r="Z182" s="12" t="str">
        <f>IF(AND($B182&lt;&gt;"",$C182="Gasto"),COUNT($Z$4:Z181)+1,"")</f>
        <v/>
      </c>
      <c r="AA182" s="12" t="str">
        <f>IF(AND($B182&lt;&gt;"",$C182="Ingreso",SUMIFS('Registro Mensual'!$H$9:$H$1008,'Registro Mensual'!$C$9:$C$1008,Dashboard!$B$5,'Registro Mensual'!$D$9:$D$1008,$B182)&gt;0),COUNT($AA$4:AA181)+1,"")</f>
        <v/>
      </c>
      <c r="AB182" s="12" t="str">
        <f>IFERROR(INDEX($B$5:$B$200,MATCH(ROWS($AB$5:AB182),$Z$5:$Z$200,0)),"")</f>
        <v/>
      </c>
      <c r="AC182" s="12" t="str">
        <f>IF($AB182="","",SUMIFS('Registro Mensual'!$I$9:$I$1008,'Registro Mensual'!$C$9:$C$1008,Dashboard!$B$5,'Registro Mensual'!$D$9:$D$1008,$AB182))</f>
        <v/>
      </c>
    </row>
    <row r="183" spans="1:29" ht="21.95" customHeight="1" x14ac:dyDescent="0.25">
      <c r="A183" s="12"/>
      <c r="B183" s="28"/>
      <c r="C183" s="28"/>
      <c r="D183" s="12"/>
      <c r="E183" s="12"/>
      <c r="F183" s="12"/>
      <c r="G183" s="12"/>
      <c r="Z183" s="12" t="str">
        <f>IF(AND($B183&lt;&gt;"",$C183="Gasto"),COUNT($Z$4:Z182)+1,"")</f>
        <v/>
      </c>
      <c r="AA183" s="12" t="str">
        <f>IF(AND($B183&lt;&gt;"",$C183="Ingreso",SUMIFS('Registro Mensual'!$H$9:$H$1008,'Registro Mensual'!$C$9:$C$1008,Dashboard!$B$5,'Registro Mensual'!$D$9:$D$1008,$B183)&gt;0),COUNT($AA$4:AA182)+1,"")</f>
        <v/>
      </c>
      <c r="AB183" s="12" t="str">
        <f>IFERROR(INDEX($B$5:$B$200,MATCH(ROWS($AB$5:AB183),$Z$5:$Z$200,0)),"")</f>
        <v/>
      </c>
      <c r="AC183" s="12" t="str">
        <f>IF($AB183="","",SUMIFS('Registro Mensual'!$I$9:$I$1008,'Registro Mensual'!$C$9:$C$1008,Dashboard!$B$5,'Registro Mensual'!$D$9:$D$1008,$AB183))</f>
        <v/>
      </c>
    </row>
    <row r="184" spans="1:29" ht="21.95" customHeight="1" x14ac:dyDescent="0.25">
      <c r="A184" s="12"/>
      <c r="B184" s="28"/>
      <c r="C184" s="28"/>
      <c r="D184" s="12"/>
      <c r="E184" s="12"/>
      <c r="F184" s="12"/>
      <c r="G184" s="12"/>
      <c r="Z184" s="12" t="str">
        <f>IF(AND($B184&lt;&gt;"",$C184="Gasto"),COUNT($Z$4:Z183)+1,"")</f>
        <v/>
      </c>
      <c r="AA184" s="12" t="str">
        <f>IF(AND($B184&lt;&gt;"",$C184="Ingreso",SUMIFS('Registro Mensual'!$H$9:$H$1008,'Registro Mensual'!$C$9:$C$1008,Dashboard!$B$5,'Registro Mensual'!$D$9:$D$1008,$B184)&gt;0),COUNT($AA$4:AA183)+1,"")</f>
        <v/>
      </c>
      <c r="AB184" s="12" t="str">
        <f>IFERROR(INDEX($B$5:$B$200,MATCH(ROWS($AB$5:AB184),$Z$5:$Z$200,0)),"")</f>
        <v/>
      </c>
      <c r="AC184" s="12" t="str">
        <f>IF($AB184="","",SUMIFS('Registro Mensual'!$I$9:$I$1008,'Registro Mensual'!$C$9:$C$1008,Dashboard!$B$5,'Registro Mensual'!$D$9:$D$1008,$AB184))</f>
        <v/>
      </c>
    </row>
    <row r="185" spans="1:29" ht="21.95" customHeight="1" x14ac:dyDescent="0.25">
      <c r="A185" s="12"/>
      <c r="B185" s="28"/>
      <c r="C185" s="28"/>
      <c r="D185" s="12"/>
      <c r="E185" s="12"/>
      <c r="F185" s="12"/>
      <c r="G185" s="12"/>
      <c r="Z185" s="12" t="str">
        <f>IF(AND($B185&lt;&gt;"",$C185="Gasto"),COUNT($Z$4:Z184)+1,"")</f>
        <v/>
      </c>
      <c r="AA185" s="12" t="str">
        <f>IF(AND($B185&lt;&gt;"",$C185="Ingreso",SUMIFS('Registro Mensual'!$H$9:$H$1008,'Registro Mensual'!$C$9:$C$1008,Dashboard!$B$5,'Registro Mensual'!$D$9:$D$1008,$B185)&gt;0),COUNT($AA$4:AA184)+1,"")</f>
        <v/>
      </c>
      <c r="AB185" s="12" t="str">
        <f>IFERROR(INDEX($B$5:$B$200,MATCH(ROWS($AB$5:AB185),$Z$5:$Z$200,0)),"")</f>
        <v/>
      </c>
      <c r="AC185" s="12" t="str">
        <f>IF($AB185="","",SUMIFS('Registro Mensual'!$I$9:$I$1008,'Registro Mensual'!$C$9:$C$1008,Dashboard!$B$5,'Registro Mensual'!$D$9:$D$1008,$AB185))</f>
        <v/>
      </c>
    </row>
    <row r="186" spans="1:29" ht="21.95" customHeight="1" x14ac:dyDescent="0.25">
      <c r="A186" s="12"/>
      <c r="B186" s="28"/>
      <c r="C186" s="28"/>
      <c r="D186" s="12"/>
      <c r="E186" s="12"/>
      <c r="F186" s="12"/>
      <c r="G186" s="12"/>
      <c r="Z186" s="12" t="str">
        <f>IF(AND($B186&lt;&gt;"",$C186="Gasto"),COUNT($Z$4:Z185)+1,"")</f>
        <v/>
      </c>
      <c r="AA186" s="12" t="str">
        <f>IF(AND($B186&lt;&gt;"",$C186="Ingreso",SUMIFS('Registro Mensual'!$H$9:$H$1008,'Registro Mensual'!$C$9:$C$1008,Dashboard!$B$5,'Registro Mensual'!$D$9:$D$1008,$B186)&gt;0),COUNT($AA$4:AA185)+1,"")</f>
        <v/>
      </c>
      <c r="AB186" s="12" t="str">
        <f>IFERROR(INDEX($B$5:$B$200,MATCH(ROWS($AB$5:AB186),$Z$5:$Z$200,0)),"")</f>
        <v/>
      </c>
      <c r="AC186" s="12" t="str">
        <f>IF($AB186="","",SUMIFS('Registro Mensual'!$I$9:$I$1008,'Registro Mensual'!$C$9:$C$1008,Dashboard!$B$5,'Registro Mensual'!$D$9:$D$1008,$AB186))</f>
        <v/>
      </c>
    </row>
    <row r="187" spans="1:29" ht="21.95" customHeight="1" x14ac:dyDescent="0.25">
      <c r="A187" s="12"/>
      <c r="B187" s="28"/>
      <c r="C187" s="28"/>
      <c r="D187" s="12"/>
      <c r="E187" s="12"/>
      <c r="F187" s="12"/>
      <c r="G187" s="12"/>
      <c r="Z187" s="12" t="str">
        <f>IF(AND($B187&lt;&gt;"",$C187="Gasto"),COUNT($Z$4:Z186)+1,"")</f>
        <v/>
      </c>
      <c r="AA187" s="12" t="str">
        <f>IF(AND($B187&lt;&gt;"",$C187="Ingreso",SUMIFS('Registro Mensual'!$H$9:$H$1008,'Registro Mensual'!$C$9:$C$1008,Dashboard!$B$5,'Registro Mensual'!$D$9:$D$1008,$B187)&gt;0),COUNT($AA$4:AA186)+1,"")</f>
        <v/>
      </c>
      <c r="AB187" s="12" t="str">
        <f>IFERROR(INDEX($B$5:$B$200,MATCH(ROWS($AB$5:AB187),$Z$5:$Z$200,0)),"")</f>
        <v/>
      </c>
      <c r="AC187" s="12" t="str">
        <f>IF($AB187="","",SUMIFS('Registro Mensual'!$I$9:$I$1008,'Registro Mensual'!$C$9:$C$1008,Dashboard!$B$5,'Registro Mensual'!$D$9:$D$1008,$AB187))</f>
        <v/>
      </c>
    </row>
    <row r="188" spans="1:29" ht="21.95" customHeight="1" x14ac:dyDescent="0.25">
      <c r="A188" s="12"/>
      <c r="B188" s="28"/>
      <c r="C188" s="28"/>
      <c r="D188" s="12"/>
      <c r="E188" s="12"/>
      <c r="F188" s="12"/>
      <c r="G188" s="12"/>
      <c r="Z188" s="12" t="str">
        <f>IF(AND($B188&lt;&gt;"",$C188="Gasto"),COUNT($Z$4:Z187)+1,"")</f>
        <v/>
      </c>
      <c r="AA188" s="12" t="str">
        <f>IF(AND($B188&lt;&gt;"",$C188="Ingreso",SUMIFS('Registro Mensual'!$H$9:$H$1008,'Registro Mensual'!$C$9:$C$1008,Dashboard!$B$5,'Registro Mensual'!$D$9:$D$1008,$B188)&gt;0),COUNT($AA$4:AA187)+1,"")</f>
        <v/>
      </c>
      <c r="AB188" s="12" t="str">
        <f>IFERROR(INDEX($B$5:$B$200,MATCH(ROWS($AB$5:AB188),$Z$5:$Z$200,0)),"")</f>
        <v/>
      </c>
      <c r="AC188" s="12" t="str">
        <f>IF($AB188="","",SUMIFS('Registro Mensual'!$I$9:$I$1008,'Registro Mensual'!$C$9:$C$1008,Dashboard!$B$5,'Registro Mensual'!$D$9:$D$1008,$AB188))</f>
        <v/>
      </c>
    </row>
    <row r="189" spans="1:29" ht="21.95" customHeight="1" x14ac:dyDescent="0.25">
      <c r="A189" s="12"/>
      <c r="B189" s="28"/>
      <c r="C189" s="28"/>
      <c r="D189" s="12"/>
      <c r="E189" s="12"/>
      <c r="F189" s="12"/>
      <c r="G189" s="12"/>
      <c r="Z189" s="12" t="str">
        <f>IF(AND($B189&lt;&gt;"",$C189="Gasto"),COUNT($Z$4:Z188)+1,"")</f>
        <v/>
      </c>
      <c r="AA189" s="12" t="str">
        <f>IF(AND($B189&lt;&gt;"",$C189="Ingreso",SUMIFS('Registro Mensual'!$H$9:$H$1008,'Registro Mensual'!$C$9:$C$1008,Dashboard!$B$5,'Registro Mensual'!$D$9:$D$1008,$B189)&gt;0),COUNT($AA$4:AA188)+1,"")</f>
        <v/>
      </c>
      <c r="AB189" s="12" t="str">
        <f>IFERROR(INDEX($B$5:$B$200,MATCH(ROWS($AB$5:AB189),$Z$5:$Z$200,0)),"")</f>
        <v/>
      </c>
      <c r="AC189" s="12" t="str">
        <f>IF($AB189="","",SUMIFS('Registro Mensual'!$I$9:$I$1008,'Registro Mensual'!$C$9:$C$1008,Dashboard!$B$5,'Registro Mensual'!$D$9:$D$1008,$AB189))</f>
        <v/>
      </c>
    </row>
    <row r="190" spans="1:29" ht="21.95" customHeight="1" x14ac:dyDescent="0.25">
      <c r="A190" s="12"/>
      <c r="B190" s="28"/>
      <c r="C190" s="28"/>
      <c r="D190" s="12"/>
      <c r="E190" s="12"/>
      <c r="F190" s="12"/>
      <c r="G190" s="12"/>
      <c r="Z190" s="12" t="str">
        <f>IF(AND($B190&lt;&gt;"",$C190="Gasto"),COUNT($Z$4:Z189)+1,"")</f>
        <v/>
      </c>
      <c r="AA190" s="12" t="str">
        <f>IF(AND($B190&lt;&gt;"",$C190="Ingreso",SUMIFS('Registro Mensual'!$H$9:$H$1008,'Registro Mensual'!$C$9:$C$1008,Dashboard!$B$5,'Registro Mensual'!$D$9:$D$1008,$B190)&gt;0),COUNT($AA$4:AA189)+1,"")</f>
        <v/>
      </c>
      <c r="AB190" s="12" t="str">
        <f>IFERROR(INDEX($B$5:$B$200,MATCH(ROWS($AB$5:AB190),$Z$5:$Z$200,0)),"")</f>
        <v/>
      </c>
      <c r="AC190" s="12" t="str">
        <f>IF($AB190="","",SUMIFS('Registro Mensual'!$I$9:$I$1008,'Registro Mensual'!$C$9:$C$1008,Dashboard!$B$5,'Registro Mensual'!$D$9:$D$1008,$AB190))</f>
        <v/>
      </c>
    </row>
    <row r="191" spans="1:29" ht="21.95" customHeight="1" x14ac:dyDescent="0.25">
      <c r="A191" s="12"/>
      <c r="B191" s="28"/>
      <c r="C191" s="28"/>
      <c r="D191" s="12"/>
      <c r="E191" s="12"/>
      <c r="F191" s="12"/>
      <c r="G191" s="12"/>
      <c r="Z191" s="12" t="str">
        <f>IF(AND($B191&lt;&gt;"",$C191="Gasto"),COUNT($Z$4:Z190)+1,"")</f>
        <v/>
      </c>
      <c r="AA191" s="12" t="str">
        <f>IF(AND($B191&lt;&gt;"",$C191="Ingreso",SUMIFS('Registro Mensual'!$H$9:$H$1008,'Registro Mensual'!$C$9:$C$1008,Dashboard!$B$5,'Registro Mensual'!$D$9:$D$1008,$B191)&gt;0),COUNT($AA$4:AA190)+1,"")</f>
        <v/>
      </c>
      <c r="AB191" s="12" t="str">
        <f>IFERROR(INDEX($B$5:$B$200,MATCH(ROWS($AB$5:AB191),$Z$5:$Z$200,0)),"")</f>
        <v/>
      </c>
      <c r="AC191" s="12" t="str">
        <f>IF($AB191="","",SUMIFS('Registro Mensual'!$I$9:$I$1008,'Registro Mensual'!$C$9:$C$1008,Dashboard!$B$5,'Registro Mensual'!$D$9:$D$1008,$AB191))</f>
        <v/>
      </c>
    </row>
    <row r="192" spans="1:29" ht="21.95" customHeight="1" x14ac:dyDescent="0.25">
      <c r="A192" s="12"/>
      <c r="B192" s="28"/>
      <c r="C192" s="28"/>
      <c r="D192" s="12"/>
      <c r="E192" s="12"/>
      <c r="F192" s="12"/>
      <c r="G192" s="12"/>
      <c r="Z192" s="12" t="str">
        <f>IF(AND($B192&lt;&gt;"",$C192="Gasto"),COUNT($Z$4:Z191)+1,"")</f>
        <v/>
      </c>
      <c r="AA192" s="12" t="str">
        <f>IF(AND($B192&lt;&gt;"",$C192="Ingreso",SUMIFS('Registro Mensual'!$H$9:$H$1008,'Registro Mensual'!$C$9:$C$1008,Dashboard!$B$5,'Registro Mensual'!$D$9:$D$1008,$B192)&gt;0),COUNT($AA$4:AA191)+1,"")</f>
        <v/>
      </c>
      <c r="AB192" s="12" t="str">
        <f>IFERROR(INDEX($B$5:$B$200,MATCH(ROWS($AB$5:AB192),$Z$5:$Z$200,0)),"")</f>
        <v/>
      </c>
      <c r="AC192" s="12" t="str">
        <f>IF($AB192="","",SUMIFS('Registro Mensual'!$I$9:$I$1008,'Registro Mensual'!$C$9:$C$1008,Dashboard!$B$5,'Registro Mensual'!$D$9:$D$1008,$AB192))</f>
        <v/>
      </c>
    </row>
    <row r="193" spans="1:29" ht="21.95" customHeight="1" x14ac:dyDescent="0.25">
      <c r="A193" s="12"/>
      <c r="B193" s="28"/>
      <c r="C193" s="28"/>
      <c r="D193" s="12"/>
      <c r="E193" s="12"/>
      <c r="F193" s="12"/>
      <c r="G193" s="12"/>
      <c r="Z193" s="12" t="str">
        <f>IF(AND($B193&lt;&gt;"",$C193="Gasto"),COUNT($Z$4:Z192)+1,"")</f>
        <v/>
      </c>
      <c r="AA193" s="12" t="str">
        <f>IF(AND($B193&lt;&gt;"",$C193="Ingreso",SUMIFS('Registro Mensual'!$H$9:$H$1008,'Registro Mensual'!$C$9:$C$1008,Dashboard!$B$5,'Registro Mensual'!$D$9:$D$1008,$B193)&gt;0),COUNT($AA$4:AA192)+1,"")</f>
        <v/>
      </c>
      <c r="AB193" s="12" t="str">
        <f>IFERROR(INDEX($B$5:$B$200,MATCH(ROWS($AB$5:AB193),$Z$5:$Z$200,0)),"")</f>
        <v/>
      </c>
      <c r="AC193" s="12" t="str">
        <f>IF($AB193="","",SUMIFS('Registro Mensual'!$I$9:$I$1008,'Registro Mensual'!$C$9:$C$1008,Dashboard!$B$5,'Registro Mensual'!$D$9:$D$1008,$AB193))</f>
        <v/>
      </c>
    </row>
    <row r="194" spans="1:29" ht="21.95" customHeight="1" x14ac:dyDescent="0.25">
      <c r="A194" s="12"/>
      <c r="B194" s="28"/>
      <c r="C194" s="28"/>
      <c r="D194" s="12"/>
      <c r="E194" s="12"/>
      <c r="F194" s="12"/>
      <c r="G194" s="12"/>
      <c r="Z194" s="12" t="str">
        <f>IF(AND($B194&lt;&gt;"",$C194="Gasto"),COUNT($Z$4:Z193)+1,"")</f>
        <v/>
      </c>
      <c r="AA194" s="12" t="str">
        <f>IF(AND($B194&lt;&gt;"",$C194="Ingreso",SUMIFS('Registro Mensual'!$H$9:$H$1008,'Registro Mensual'!$C$9:$C$1008,Dashboard!$B$5,'Registro Mensual'!$D$9:$D$1008,$B194)&gt;0),COUNT($AA$4:AA193)+1,"")</f>
        <v/>
      </c>
      <c r="AB194" s="12" t="str">
        <f>IFERROR(INDEX($B$5:$B$200,MATCH(ROWS($AB$5:AB194),$Z$5:$Z$200,0)),"")</f>
        <v/>
      </c>
      <c r="AC194" s="12" t="str">
        <f>IF($AB194="","",SUMIFS('Registro Mensual'!$I$9:$I$1008,'Registro Mensual'!$C$9:$C$1008,Dashboard!$B$5,'Registro Mensual'!$D$9:$D$1008,$AB194))</f>
        <v/>
      </c>
    </row>
    <row r="195" spans="1:29" ht="21.95" customHeight="1" x14ac:dyDescent="0.25">
      <c r="A195" s="12"/>
      <c r="B195" s="28"/>
      <c r="C195" s="28"/>
      <c r="D195" s="12"/>
      <c r="E195" s="12"/>
      <c r="F195" s="12"/>
      <c r="G195" s="12"/>
      <c r="Z195" s="12" t="str">
        <f>IF(AND($B195&lt;&gt;"",$C195="Gasto"),COUNT($Z$4:Z194)+1,"")</f>
        <v/>
      </c>
      <c r="AA195" s="12" t="str">
        <f>IF(AND($B195&lt;&gt;"",$C195="Ingreso",SUMIFS('Registro Mensual'!$H$9:$H$1008,'Registro Mensual'!$C$9:$C$1008,Dashboard!$B$5,'Registro Mensual'!$D$9:$D$1008,$B195)&gt;0),COUNT($AA$4:AA194)+1,"")</f>
        <v/>
      </c>
      <c r="AB195" s="12" t="str">
        <f>IFERROR(INDEX($B$5:$B$200,MATCH(ROWS($AB$5:AB195),$Z$5:$Z$200,0)),"")</f>
        <v/>
      </c>
      <c r="AC195" s="12" t="str">
        <f>IF($AB195="","",SUMIFS('Registro Mensual'!$I$9:$I$1008,'Registro Mensual'!$C$9:$C$1008,Dashboard!$B$5,'Registro Mensual'!$D$9:$D$1008,$AB195))</f>
        <v/>
      </c>
    </row>
    <row r="196" spans="1:29" ht="21.95" customHeight="1" x14ac:dyDescent="0.25">
      <c r="A196" s="12"/>
      <c r="B196" s="28"/>
      <c r="C196" s="28"/>
      <c r="D196" s="12"/>
      <c r="E196" s="12"/>
      <c r="F196" s="12"/>
      <c r="G196" s="12"/>
      <c r="Z196" s="12" t="str">
        <f>IF(AND($B196&lt;&gt;"",$C196="Gasto"),COUNT($Z$4:Z195)+1,"")</f>
        <v/>
      </c>
      <c r="AA196" s="12" t="str">
        <f>IF(AND($B196&lt;&gt;"",$C196="Ingreso",SUMIFS('Registro Mensual'!$H$9:$H$1008,'Registro Mensual'!$C$9:$C$1008,Dashboard!$B$5,'Registro Mensual'!$D$9:$D$1008,$B196)&gt;0),COUNT($AA$4:AA195)+1,"")</f>
        <v/>
      </c>
      <c r="AB196" s="12" t="str">
        <f>IFERROR(INDEX($B$5:$B$200,MATCH(ROWS($AB$5:AB196),$Z$5:$Z$200,0)),"")</f>
        <v/>
      </c>
      <c r="AC196" s="12" t="str">
        <f>IF($AB196="","",SUMIFS('Registro Mensual'!$I$9:$I$1008,'Registro Mensual'!$C$9:$C$1008,Dashboard!$B$5,'Registro Mensual'!$D$9:$D$1008,$AB196))</f>
        <v/>
      </c>
    </row>
    <row r="197" spans="1:29" ht="21.95" customHeight="1" x14ac:dyDescent="0.25">
      <c r="A197" s="12"/>
      <c r="B197" s="28"/>
      <c r="C197" s="28"/>
      <c r="D197" s="12"/>
      <c r="E197" s="12"/>
      <c r="F197" s="12"/>
      <c r="G197" s="12"/>
      <c r="Z197" s="12" t="str">
        <f>IF(AND($B197&lt;&gt;"",$C197="Gasto"),COUNT($Z$4:Z196)+1,"")</f>
        <v/>
      </c>
      <c r="AA197" s="12" t="str">
        <f>IF(AND($B197&lt;&gt;"",$C197="Ingreso",SUMIFS('Registro Mensual'!$H$9:$H$1008,'Registro Mensual'!$C$9:$C$1008,Dashboard!$B$5,'Registro Mensual'!$D$9:$D$1008,$B197)&gt;0),COUNT($AA$4:AA196)+1,"")</f>
        <v/>
      </c>
      <c r="AB197" s="12" t="str">
        <f>IFERROR(INDEX($B$5:$B$200,MATCH(ROWS($AB$5:AB197),$Z$5:$Z$200,0)),"")</f>
        <v/>
      </c>
      <c r="AC197" s="12" t="str">
        <f>IF($AB197="","",SUMIFS('Registro Mensual'!$I$9:$I$1008,'Registro Mensual'!$C$9:$C$1008,Dashboard!$B$5,'Registro Mensual'!$D$9:$D$1008,$AB197))</f>
        <v/>
      </c>
    </row>
    <row r="198" spans="1:29" ht="21.95" customHeight="1" x14ac:dyDescent="0.25">
      <c r="A198" s="12"/>
      <c r="B198" s="28"/>
      <c r="C198" s="28"/>
      <c r="D198" s="12"/>
      <c r="E198" s="12"/>
      <c r="F198" s="12"/>
      <c r="G198" s="12"/>
      <c r="Z198" s="12" t="str">
        <f>IF(AND($B198&lt;&gt;"",$C198="Gasto"),COUNT($Z$4:Z197)+1,"")</f>
        <v/>
      </c>
      <c r="AA198" s="12" t="str">
        <f>IF(AND($B198&lt;&gt;"",$C198="Ingreso",SUMIFS('Registro Mensual'!$H$9:$H$1008,'Registro Mensual'!$C$9:$C$1008,Dashboard!$B$5,'Registro Mensual'!$D$9:$D$1008,$B198)&gt;0),COUNT($AA$4:AA197)+1,"")</f>
        <v/>
      </c>
      <c r="AB198" s="12" t="str">
        <f>IFERROR(INDEX($B$5:$B$200,MATCH(ROWS($AB$5:AB198),$Z$5:$Z$200,0)),"")</f>
        <v/>
      </c>
      <c r="AC198" s="12" t="str">
        <f>IF($AB198="","",SUMIFS('Registro Mensual'!$I$9:$I$1008,'Registro Mensual'!$C$9:$C$1008,Dashboard!$B$5,'Registro Mensual'!$D$9:$D$1008,$AB198))</f>
        <v/>
      </c>
    </row>
    <row r="199" spans="1:29" ht="21.95" customHeight="1" x14ac:dyDescent="0.25">
      <c r="A199" s="12"/>
      <c r="B199" s="28"/>
      <c r="C199" s="28"/>
      <c r="D199" s="12"/>
      <c r="E199" s="12"/>
      <c r="F199" s="12"/>
      <c r="G199" s="12"/>
      <c r="Z199" s="12" t="str">
        <f>IF(AND($B199&lt;&gt;"",$C199="Gasto"),COUNT($Z$4:Z198)+1,"")</f>
        <v/>
      </c>
      <c r="AA199" s="12" t="str">
        <f>IF(AND($B199&lt;&gt;"",$C199="Ingreso",SUMIFS('Registro Mensual'!$H$9:$H$1008,'Registro Mensual'!$C$9:$C$1008,Dashboard!$B$5,'Registro Mensual'!$D$9:$D$1008,$B199)&gt;0),COUNT($AA$4:AA198)+1,"")</f>
        <v/>
      </c>
      <c r="AB199" s="12" t="str">
        <f>IFERROR(INDEX($B$5:$B$200,MATCH(ROWS($AB$5:AB199),$Z$5:$Z$200,0)),"")</f>
        <v/>
      </c>
      <c r="AC199" s="12" t="str">
        <f>IF($AB199="","",SUMIFS('Registro Mensual'!$I$9:$I$1008,'Registro Mensual'!$C$9:$C$1008,Dashboard!$B$5,'Registro Mensual'!$D$9:$D$1008,$AB199))</f>
        <v/>
      </c>
    </row>
    <row r="200" spans="1:29" ht="21.95" customHeight="1" x14ac:dyDescent="0.25">
      <c r="A200" s="12"/>
      <c r="B200" s="28"/>
      <c r="C200" s="28"/>
      <c r="D200" s="12"/>
      <c r="E200" s="12"/>
      <c r="F200" s="12"/>
      <c r="G200" s="12"/>
      <c r="Z200" s="12" t="str">
        <f>IF(AND($B200&lt;&gt;"",$C200="Gasto"),COUNT($Z$4:Z199)+1,"")</f>
        <v/>
      </c>
      <c r="AA200" s="12" t="str">
        <f>IF(AND($B200&lt;&gt;"",$C200="Ingreso",SUMIFS('Registro Mensual'!$H$9:$H$1008,'Registro Mensual'!$C$9:$C$1008,Dashboard!$B$5,'Registro Mensual'!$D$9:$D$1008,$B200)&gt;0),COUNT($AA$4:AA199)+1,"")</f>
        <v/>
      </c>
      <c r="AB200" s="12" t="str">
        <f>IFERROR(INDEX($B$5:$B$200,MATCH(ROWS($AB$5:AB200),$Z$5:$Z$200,0)),"")</f>
        <v/>
      </c>
      <c r="AC200" s="12" t="str">
        <f>IF($AB200="","",SUMIFS('Registro Mensual'!$I$9:$I$1008,'Registro Mensual'!$C$9:$C$1008,Dashboard!$B$5,'Registro Mensual'!$D$9:$D$1008,$AB200))</f>
        <v/>
      </c>
    </row>
    <row r="201" spans="1:29" ht="21.95" customHeight="1" x14ac:dyDescent="0.25">
      <c r="A201" s="12"/>
      <c r="B201" s="12"/>
      <c r="C201" s="12"/>
      <c r="D201" s="12"/>
      <c r="E201" s="12"/>
      <c r="F201" s="12"/>
      <c r="G201" s="12"/>
    </row>
    <row r="202" spans="1:29" ht="21.95" customHeight="1" x14ac:dyDescent="0.25">
      <c r="A202" s="12"/>
      <c r="B202" s="12"/>
      <c r="C202" s="12"/>
      <c r="D202" s="12"/>
      <c r="E202" s="12"/>
      <c r="F202" s="12"/>
      <c r="G202" s="12"/>
    </row>
    <row r="203" spans="1:29" ht="21.95" customHeight="1" x14ac:dyDescent="0.25">
      <c r="A203" s="12"/>
      <c r="B203" s="12"/>
      <c r="C203" s="12"/>
      <c r="D203" s="12"/>
      <c r="E203" s="12"/>
      <c r="F203" s="12"/>
      <c r="G203" s="12"/>
    </row>
    <row r="204" spans="1:29" ht="21.95" customHeight="1" x14ac:dyDescent="0.25">
      <c r="A204" s="12"/>
      <c r="B204" s="12"/>
      <c r="C204" s="12"/>
      <c r="D204" s="12"/>
      <c r="E204" s="12"/>
      <c r="F204" s="12"/>
      <c r="G204" s="12"/>
    </row>
    <row r="205" spans="1:29" ht="21.95" customHeight="1" x14ac:dyDescent="0.25">
      <c r="A205" s="12"/>
      <c r="B205" s="12"/>
      <c r="C205" s="12"/>
      <c r="D205" s="12"/>
      <c r="E205" s="12"/>
      <c r="F205" s="12"/>
      <c r="G205" s="12"/>
    </row>
    <row r="206" spans="1:29" ht="21.95" customHeight="1" x14ac:dyDescent="0.25">
      <c r="A206" s="12"/>
      <c r="B206" s="12"/>
      <c r="C206" s="12"/>
      <c r="D206" s="12"/>
      <c r="E206" s="12"/>
      <c r="F206" s="12"/>
      <c r="G206" s="12"/>
    </row>
    <row r="207" spans="1:29" ht="21.95" customHeight="1" x14ac:dyDescent="0.25">
      <c r="A207" s="12"/>
      <c r="B207" s="12"/>
      <c r="C207" s="12"/>
      <c r="D207" s="12"/>
      <c r="E207" s="12"/>
      <c r="F207" s="12"/>
      <c r="G207" s="12"/>
    </row>
    <row r="208" spans="1:29" ht="21.95" customHeight="1" x14ac:dyDescent="0.25">
      <c r="A208" s="12"/>
      <c r="B208" s="12"/>
      <c r="C208" s="12"/>
      <c r="D208" s="12"/>
      <c r="E208" s="12"/>
      <c r="F208" s="12"/>
      <c r="G208" s="12"/>
    </row>
    <row r="209" spans="1:7" ht="21.95" customHeight="1" x14ac:dyDescent="0.25">
      <c r="A209" s="12"/>
      <c r="B209" s="12"/>
      <c r="C209" s="12"/>
      <c r="D209" s="12"/>
      <c r="E209" s="12"/>
      <c r="F209" s="12"/>
      <c r="G209" s="12"/>
    </row>
    <row r="210" spans="1:7" ht="21.95" customHeight="1" x14ac:dyDescent="0.25">
      <c r="A210" s="12"/>
      <c r="B210" s="12"/>
      <c r="C210" s="12"/>
      <c r="D210" s="12"/>
      <c r="E210" s="12"/>
      <c r="F210" s="12"/>
      <c r="G210" s="12"/>
    </row>
    <row r="211" spans="1:7" ht="21.95" customHeight="1" x14ac:dyDescent="0.25">
      <c r="A211" s="12"/>
      <c r="B211" s="12"/>
      <c r="C211" s="12"/>
      <c r="D211" s="12"/>
      <c r="E211" s="12"/>
      <c r="F211" s="12"/>
      <c r="G211" s="12"/>
    </row>
    <row r="212" spans="1:7" ht="21.95" customHeight="1" x14ac:dyDescent="0.25">
      <c r="A212" s="12"/>
      <c r="B212" s="12"/>
      <c r="C212" s="12"/>
      <c r="D212" s="12"/>
      <c r="E212" s="12"/>
      <c r="F212" s="12"/>
      <c r="G212" s="12"/>
    </row>
    <row r="213" spans="1:7" ht="21.95" customHeight="1" x14ac:dyDescent="0.25">
      <c r="A213" s="12"/>
      <c r="B213" s="12"/>
      <c r="C213" s="12"/>
      <c r="D213" s="12"/>
      <c r="E213" s="12"/>
      <c r="F213" s="12"/>
      <c r="G213" s="12"/>
    </row>
    <row r="214" spans="1:7" ht="21.95" customHeight="1" x14ac:dyDescent="0.25">
      <c r="A214" s="12"/>
      <c r="B214" s="12"/>
      <c r="C214" s="12"/>
      <c r="D214" s="12"/>
      <c r="E214" s="12"/>
      <c r="F214" s="12"/>
      <c r="G214" s="12"/>
    </row>
    <row r="215" spans="1:7" ht="21.95" customHeight="1" x14ac:dyDescent="0.25">
      <c r="A215" s="12"/>
      <c r="B215" s="12"/>
      <c r="C215" s="12"/>
      <c r="D215" s="12"/>
      <c r="E215" s="12"/>
      <c r="F215" s="12"/>
      <c r="G215" s="12"/>
    </row>
    <row r="216" spans="1:7" ht="21.95" customHeight="1" x14ac:dyDescent="0.25">
      <c r="A216" s="12"/>
      <c r="B216" s="12"/>
      <c r="C216" s="12"/>
      <c r="D216" s="12"/>
      <c r="E216" s="12"/>
      <c r="F216" s="12"/>
      <c r="G216" s="12"/>
    </row>
    <row r="217" spans="1:7" ht="21.95" customHeight="1" x14ac:dyDescent="0.25">
      <c r="A217" s="12"/>
      <c r="B217" s="12"/>
      <c r="C217" s="12"/>
      <c r="D217" s="12"/>
      <c r="E217" s="12"/>
      <c r="F217" s="12"/>
      <c r="G217" s="12"/>
    </row>
    <row r="218" spans="1:7" ht="21.95" customHeight="1" x14ac:dyDescent="0.25">
      <c r="A218" s="12"/>
      <c r="B218" s="12"/>
      <c r="C218" s="12"/>
      <c r="D218" s="12"/>
      <c r="E218" s="12"/>
      <c r="F218" s="12"/>
      <c r="G218" s="12"/>
    </row>
    <row r="219" spans="1:7" ht="21.95" customHeight="1" x14ac:dyDescent="0.25">
      <c r="A219" s="12"/>
      <c r="B219" s="12"/>
      <c r="C219" s="12"/>
      <c r="D219" s="12"/>
      <c r="E219" s="12"/>
      <c r="F219" s="12"/>
      <c r="G219" s="12"/>
    </row>
    <row r="220" spans="1:7" ht="21.95" customHeight="1" x14ac:dyDescent="0.25">
      <c r="A220" s="12"/>
      <c r="B220" s="12"/>
      <c r="C220" s="12"/>
      <c r="D220" s="12"/>
      <c r="E220" s="12"/>
      <c r="F220" s="12"/>
      <c r="G220" s="12"/>
    </row>
    <row r="221" spans="1:7" ht="21.95" customHeight="1" x14ac:dyDescent="0.25">
      <c r="A221" s="12"/>
      <c r="B221" s="12"/>
      <c r="C221" s="12"/>
      <c r="D221" s="12"/>
      <c r="E221" s="12"/>
      <c r="F221" s="12"/>
      <c r="G221" s="12"/>
    </row>
    <row r="222" spans="1:7" ht="21.95" customHeight="1" x14ac:dyDescent="0.25">
      <c r="A222" s="12"/>
      <c r="B222" s="12"/>
      <c r="C222" s="12"/>
      <c r="D222" s="12"/>
      <c r="E222" s="12"/>
      <c r="F222" s="12"/>
      <c r="G222" s="12"/>
    </row>
    <row r="223" spans="1:7" ht="21.95" customHeight="1" x14ac:dyDescent="0.25">
      <c r="A223" s="12"/>
      <c r="B223" s="12"/>
      <c r="C223" s="12"/>
      <c r="D223" s="12"/>
      <c r="E223" s="12"/>
      <c r="F223" s="12"/>
      <c r="G223" s="12"/>
    </row>
    <row r="224" spans="1:7" ht="21.95" customHeight="1" x14ac:dyDescent="0.25">
      <c r="A224" s="12"/>
      <c r="B224" s="12"/>
      <c r="C224" s="12"/>
      <c r="D224" s="12"/>
      <c r="E224" s="12"/>
      <c r="F224" s="12"/>
      <c r="G224" s="12"/>
    </row>
    <row r="225" spans="1:7" ht="21.95" customHeight="1" x14ac:dyDescent="0.25">
      <c r="A225" s="12"/>
      <c r="B225" s="12"/>
      <c r="C225" s="12"/>
      <c r="D225" s="12"/>
      <c r="E225" s="12"/>
      <c r="F225" s="12"/>
      <c r="G225" s="12"/>
    </row>
    <row r="226" spans="1:7" ht="21.95" customHeight="1" x14ac:dyDescent="0.25">
      <c r="A226" s="12"/>
      <c r="B226" s="12"/>
      <c r="C226" s="12"/>
      <c r="D226" s="12"/>
      <c r="E226" s="12"/>
      <c r="F226" s="12"/>
      <c r="G226" s="12"/>
    </row>
    <row r="227" spans="1:7" ht="21.95" customHeight="1" x14ac:dyDescent="0.25">
      <c r="A227" s="12"/>
      <c r="B227" s="12"/>
      <c r="C227" s="12"/>
      <c r="D227" s="12"/>
      <c r="E227" s="12"/>
      <c r="F227" s="12"/>
      <c r="G227" s="12"/>
    </row>
    <row r="228" spans="1:7" ht="21.95" customHeight="1" x14ac:dyDescent="0.25">
      <c r="A228" s="12"/>
      <c r="B228" s="12"/>
      <c r="C228" s="12"/>
      <c r="D228" s="12"/>
      <c r="E228" s="12"/>
      <c r="F228" s="12"/>
      <c r="G228" s="12"/>
    </row>
    <row r="229" spans="1:7" ht="21.95" customHeight="1" x14ac:dyDescent="0.25">
      <c r="A229" s="12"/>
      <c r="B229" s="12"/>
      <c r="C229" s="12"/>
      <c r="D229" s="12"/>
      <c r="E229" s="12"/>
      <c r="F229" s="12"/>
      <c r="G229" s="12"/>
    </row>
    <row r="230" spans="1:7" ht="21.95" customHeight="1" x14ac:dyDescent="0.25">
      <c r="A230" s="12"/>
      <c r="B230" s="12"/>
      <c r="C230" s="12"/>
      <c r="D230" s="12"/>
      <c r="E230" s="12"/>
      <c r="F230" s="12"/>
      <c r="G230" s="12"/>
    </row>
    <row r="231" spans="1:7" ht="21.95" customHeight="1" x14ac:dyDescent="0.25">
      <c r="A231" s="12"/>
      <c r="B231" s="12"/>
      <c r="C231" s="12"/>
      <c r="D231" s="12"/>
      <c r="E231" s="12"/>
      <c r="F231" s="12"/>
      <c r="G231" s="12"/>
    </row>
    <row r="232" spans="1:7" ht="21.95" customHeight="1" x14ac:dyDescent="0.25">
      <c r="A232" s="12"/>
      <c r="B232" s="12"/>
      <c r="C232" s="12"/>
      <c r="D232" s="12"/>
      <c r="E232" s="12"/>
      <c r="F232" s="12"/>
      <c r="G232" s="12"/>
    </row>
    <row r="233" spans="1:7" ht="21.95" customHeight="1" x14ac:dyDescent="0.25">
      <c r="A233" s="12"/>
      <c r="B233" s="12"/>
      <c r="C233" s="12"/>
      <c r="D233" s="12"/>
      <c r="E233" s="12"/>
      <c r="F233" s="12"/>
      <c r="G233" s="12"/>
    </row>
    <row r="234" spans="1:7" ht="21.95" customHeight="1" x14ac:dyDescent="0.25">
      <c r="A234" s="12"/>
      <c r="B234" s="12"/>
      <c r="C234" s="12"/>
      <c r="D234" s="12"/>
      <c r="E234" s="12"/>
      <c r="F234" s="12"/>
      <c r="G234" s="12"/>
    </row>
    <row r="235" spans="1:7" ht="21.95" customHeight="1" x14ac:dyDescent="0.25">
      <c r="A235" s="12"/>
      <c r="B235" s="12"/>
      <c r="C235" s="12"/>
      <c r="D235" s="12"/>
      <c r="E235" s="12"/>
      <c r="F235" s="12"/>
      <c r="G235" s="12"/>
    </row>
    <row r="236" spans="1:7" ht="21.95" customHeight="1" x14ac:dyDescent="0.25">
      <c r="A236" s="12"/>
      <c r="B236" s="12"/>
      <c r="C236" s="12"/>
      <c r="D236" s="12"/>
      <c r="E236" s="12"/>
      <c r="F236" s="12"/>
      <c r="G236" s="12"/>
    </row>
    <row r="237" spans="1:7" ht="21.95" customHeight="1" x14ac:dyDescent="0.25">
      <c r="A237" s="12"/>
      <c r="B237" s="12"/>
      <c r="C237" s="12"/>
      <c r="D237" s="12"/>
      <c r="E237" s="12"/>
      <c r="F237" s="12"/>
      <c r="G237" s="12"/>
    </row>
    <row r="238" spans="1:7" ht="21.95" customHeight="1" x14ac:dyDescent="0.25">
      <c r="A238" s="12"/>
      <c r="B238" s="12"/>
      <c r="C238" s="12"/>
      <c r="D238" s="12"/>
      <c r="E238" s="12"/>
      <c r="F238" s="12"/>
      <c r="G238" s="12"/>
    </row>
    <row r="239" spans="1:7" ht="21.95" customHeight="1" x14ac:dyDescent="0.25">
      <c r="A239" s="12"/>
      <c r="B239" s="12"/>
      <c r="C239" s="12"/>
      <c r="D239" s="12"/>
      <c r="E239" s="12"/>
      <c r="F239" s="12"/>
      <c r="G239" s="12"/>
    </row>
    <row r="240" spans="1:7" ht="21.95" customHeight="1" x14ac:dyDescent="0.25">
      <c r="A240" s="12"/>
      <c r="B240" s="12"/>
      <c r="C240" s="12"/>
      <c r="D240" s="12"/>
      <c r="E240" s="12"/>
      <c r="F240" s="12"/>
      <c r="G240" s="12"/>
    </row>
    <row r="241" spans="1:7" ht="21.95" customHeight="1" x14ac:dyDescent="0.25">
      <c r="A241" s="12"/>
      <c r="B241" s="12"/>
      <c r="C241" s="12"/>
      <c r="D241" s="12"/>
      <c r="E241" s="12"/>
      <c r="F241" s="12"/>
      <c r="G241" s="12"/>
    </row>
    <row r="242" spans="1:7" ht="21.95" customHeight="1" x14ac:dyDescent="0.25">
      <c r="A242" s="12"/>
      <c r="B242" s="12"/>
      <c r="C242" s="12"/>
      <c r="D242" s="12"/>
      <c r="E242" s="12"/>
      <c r="F242" s="12"/>
      <c r="G242" s="12"/>
    </row>
    <row r="243" spans="1:7" ht="21.95" customHeight="1" x14ac:dyDescent="0.25">
      <c r="A243" s="12"/>
      <c r="B243" s="12"/>
      <c r="C243" s="12"/>
      <c r="D243" s="12"/>
      <c r="E243" s="12"/>
      <c r="F243" s="12"/>
      <c r="G243" s="12"/>
    </row>
    <row r="244" spans="1:7" ht="21.95" customHeight="1" x14ac:dyDescent="0.25">
      <c r="A244" s="12"/>
      <c r="B244" s="12"/>
      <c r="C244" s="12"/>
      <c r="D244" s="12"/>
      <c r="E244" s="12"/>
      <c r="F244" s="12"/>
      <c r="G244" s="12"/>
    </row>
    <row r="245" spans="1:7" ht="21.95" customHeight="1" x14ac:dyDescent="0.25">
      <c r="A245" s="12"/>
      <c r="B245" s="12"/>
      <c r="C245" s="12"/>
      <c r="D245" s="12"/>
      <c r="E245" s="12"/>
      <c r="F245" s="12"/>
      <c r="G245" s="12"/>
    </row>
    <row r="246" spans="1:7" ht="21.95" customHeight="1" x14ac:dyDescent="0.25">
      <c r="A246" s="12"/>
      <c r="B246" s="12"/>
      <c r="C246" s="12"/>
      <c r="D246" s="12"/>
      <c r="E246" s="12"/>
      <c r="F246" s="12"/>
      <c r="G246" s="12"/>
    </row>
    <row r="247" spans="1:7" ht="21.95" customHeight="1" x14ac:dyDescent="0.25">
      <c r="A247" s="12"/>
      <c r="B247" s="12"/>
      <c r="C247" s="12"/>
      <c r="D247" s="12"/>
      <c r="E247" s="12"/>
      <c r="F247" s="12"/>
      <c r="G247" s="12"/>
    </row>
    <row r="248" spans="1:7" ht="21.95" customHeight="1" x14ac:dyDescent="0.25">
      <c r="A248" s="12"/>
      <c r="B248" s="12"/>
      <c r="C248" s="12"/>
      <c r="D248" s="12"/>
      <c r="E248" s="12"/>
      <c r="F248" s="12"/>
      <c r="G248" s="12"/>
    </row>
    <row r="249" spans="1:7" ht="21.95" customHeight="1" x14ac:dyDescent="0.25">
      <c r="A249" s="12"/>
      <c r="B249" s="12"/>
      <c r="C249" s="12"/>
      <c r="D249" s="12"/>
      <c r="E249" s="12"/>
      <c r="F249" s="12"/>
      <c r="G249" s="12"/>
    </row>
    <row r="250" spans="1:7" ht="21.95" customHeight="1" x14ac:dyDescent="0.25">
      <c r="A250" s="12"/>
      <c r="B250" s="12"/>
      <c r="C250" s="12"/>
      <c r="D250" s="12"/>
      <c r="E250" s="12"/>
      <c r="F250" s="12"/>
      <c r="G250" s="12"/>
    </row>
    <row r="251" spans="1:7" ht="21.95" customHeight="1" x14ac:dyDescent="0.25">
      <c r="A251" s="12"/>
      <c r="B251" s="12"/>
      <c r="C251" s="12"/>
      <c r="D251" s="12"/>
      <c r="E251" s="12"/>
      <c r="F251" s="12"/>
      <c r="G251" s="12"/>
    </row>
    <row r="252" spans="1:7" ht="21.95" customHeight="1" x14ac:dyDescent="0.25">
      <c r="A252" s="12"/>
      <c r="B252" s="12"/>
      <c r="C252" s="12"/>
      <c r="D252" s="12"/>
      <c r="E252" s="12"/>
      <c r="F252" s="12"/>
      <c r="G252" s="12"/>
    </row>
    <row r="253" spans="1:7" ht="21.95" customHeight="1" x14ac:dyDescent="0.25">
      <c r="A253" s="12"/>
      <c r="B253" s="12"/>
      <c r="C253" s="12"/>
      <c r="D253" s="12"/>
      <c r="E253" s="12"/>
      <c r="F253" s="12"/>
      <c r="G253" s="12"/>
    </row>
    <row r="254" spans="1:7" ht="21.95" customHeight="1" x14ac:dyDescent="0.25">
      <c r="A254" s="12"/>
      <c r="B254" s="12"/>
      <c r="C254" s="12"/>
      <c r="D254" s="12"/>
      <c r="E254" s="12"/>
      <c r="F254" s="12"/>
      <c r="G254" s="12"/>
    </row>
    <row r="255" spans="1:7" ht="21.95" customHeight="1" x14ac:dyDescent="0.25">
      <c r="A255" s="12"/>
      <c r="B255" s="12"/>
      <c r="C255" s="12"/>
      <c r="D255" s="12"/>
      <c r="E255" s="12"/>
      <c r="F255" s="12"/>
      <c r="G255" s="12"/>
    </row>
    <row r="256" spans="1:7" ht="21.95" customHeight="1" x14ac:dyDescent="0.25">
      <c r="A256" s="12"/>
      <c r="B256" s="12"/>
      <c r="C256" s="12"/>
      <c r="D256" s="12"/>
      <c r="E256" s="12"/>
      <c r="F256" s="12"/>
      <c r="G256" s="12"/>
    </row>
    <row r="257" spans="1:7" ht="21.95" customHeight="1" x14ac:dyDescent="0.25">
      <c r="A257" s="12"/>
      <c r="B257" s="12"/>
      <c r="C257" s="12"/>
      <c r="D257" s="12"/>
      <c r="E257" s="12"/>
      <c r="F257" s="12"/>
      <c r="G257" s="12"/>
    </row>
    <row r="258" spans="1:7" ht="21.95" customHeight="1" x14ac:dyDescent="0.25">
      <c r="A258" s="12"/>
      <c r="B258" s="12"/>
      <c r="C258" s="12"/>
      <c r="D258" s="12"/>
      <c r="E258" s="12"/>
      <c r="F258" s="12"/>
      <c r="G258" s="12"/>
    </row>
    <row r="259" spans="1:7" ht="21.95" customHeight="1" x14ac:dyDescent="0.25">
      <c r="A259" s="12"/>
      <c r="B259" s="12"/>
      <c r="C259" s="12"/>
      <c r="D259" s="12"/>
      <c r="E259" s="12"/>
      <c r="F259" s="12"/>
      <c r="G259" s="12"/>
    </row>
    <row r="260" spans="1:7" ht="21.95" customHeight="1" x14ac:dyDescent="0.25">
      <c r="A260" s="12"/>
      <c r="B260" s="12"/>
      <c r="C260" s="12"/>
      <c r="D260" s="12"/>
      <c r="E260" s="12"/>
      <c r="F260" s="12"/>
      <c r="G260" s="12"/>
    </row>
    <row r="261" spans="1:7" ht="21.95" customHeight="1" x14ac:dyDescent="0.25">
      <c r="A261" s="12"/>
      <c r="B261" s="12"/>
      <c r="C261" s="12"/>
      <c r="D261" s="12"/>
      <c r="E261" s="12"/>
      <c r="F261" s="12"/>
      <c r="G261" s="12"/>
    </row>
    <row r="262" spans="1:7" ht="21.95" customHeight="1" x14ac:dyDescent="0.25">
      <c r="A262" s="12"/>
      <c r="B262" s="12"/>
      <c r="C262" s="12"/>
      <c r="D262" s="12"/>
      <c r="E262" s="12"/>
      <c r="F262" s="12"/>
      <c r="G262" s="12"/>
    </row>
    <row r="263" spans="1:7" ht="21.95" customHeight="1" x14ac:dyDescent="0.25">
      <c r="A263" s="12"/>
      <c r="B263" s="12"/>
      <c r="C263" s="12"/>
      <c r="D263" s="12"/>
      <c r="E263" s="12"/>
      <c r="F263" s="12"/>
      <c r="G263" s="12"/>
    </row>
    <row r="264" spans="1:7" ht="21.95" customHeight="1" x14ac:dyDescent="0.25">
      <c r="A264" s="12"/>
      <c r="B264" s="12"/>
      <c r="C264" s="12"/>
      <c r="D264" s="12"/>
      <c r="E264" s="12"/>
      <c r="F264" s="12"/>
      <c r="G264" s="12"/>
    </row>
    <row r="265" spans="1:7" ht="21.95" customHeight="1" x14ac:dyDescent="0.25">
      <c r="A265" s="12"/>
      <c r="B265" s="12"/>
      <c r="C265" s="12"/>
      <c r="D265" s="12"/>
      <c r="E265" s="12"/>
      <c r="F265" s="12"/>
      <c r="G265" s="12"/>
    </row>
    <row r="266" spans="1:7" ht="21.95" customHeight="1" x14ac:dyDescent="0.25">
      <c r="A266" s="12"/>
      <c r="B266" s="12"/>
      <c r="C266" s="12"/>
      <c r="D266" s="12"/>
      <c r="E266" s="12"/>
      <c r="F266" s="12"/>
      <c r="G266" s="12"/>
    </row>
    <row r="267" spans="1:7" ht="21.95" customHeight="1" x14ac:dyDescent="0.25">
      <c r="A267" s="12"/>
      <c r="B267" s="12"/>
      <c r="C267" s="12"/>
      <c r="D267" s="12"/>
      <c r="E267" s="12"/>
      <c r="F267" s="12"/>
      <c r="G267" s="12"/>
    </row>
    <row r="268" spans="1:7" ht="21.95" customHeight="1" x14ac:dyDescent="0.25">
      <c r="A268" s="12"/>
      <c r="B268" s="12"/>
      <c r="C268" s="12"/>
      <c r="D268" s="12"/>
      <c r="E268" s="12"/>
      <c r="F268" s="12"/>
      <c r="G268" s="12"/>
    </row>
    <row r="269" spans="1:7" ht="21.95" customHeight="1" x14ac:dyDescent="0.25">
      <c r="A269" s="12"/>
      <c r="B269" s="12"/>
      <c r="C269" s="12"/>
      <c r="D269" s="12"/>
      <c r="E269" s="12"/>
      <c r="F269" s="12"/>
      <c r="G269" s="12"/>
    </row>
    <row r="270" spans="1:7" ht="21.95" customHeight="1" x14ac:dyDescent="0.25">
      <c r="A270" s="12"/>
      <c r="B270" s="12"/>
      <c r="C270" s="12"/>
      <c r="D270" s="12"/>
      <c r="E270" s="12"/>
      <c r="F270" s="12"/>
      <c r="G270" s="12"/>
    </row>
    <row r="271" spans="1:7" ht="21.95" customHeight="1" x14ac:dyDescent="0.25">
      <c r="A271" s="12"/>
      <c r="B271" s="12"/>
      <c r="C271" s="12"/>
      <c r="D271" s="12"/>
      <c r="E271" s="12"/>
      <c r="F271" s="12"/>
      <c r="G271" s="12"/>
    </row>
    <row r="272" spans="1:7" ht="21.95" customHeight="1" x14ac:dyDescent="0.25">
      <c r="A272" s="12"/>
      <c r="B272" s="12"/>
      <c r="C272" s="12"/>
      <c r="D272" s="12"/>
      <c r="E272" s="12"/>
      <c r="F272" s="12"/>
      <c r="G272" s="12"/>
    </row>
    <row r="273" spans="1:7" ht="21.95" customHeight="1" x14ac:dyDescent="0.25">
      <c r="A273" s="12"/>
      <c r="B273" s="12"/>
      <c r="C273" s="12"/>
      <c r="D273" s="12"/>
      <c r="E273" s="12"/>
      <c r="F273" s="12"/>
      <c r="G273" s="12"/>
    </row>
    <row r="274" spans="1:7" ht="21.95" customHeight="1" x14ac:dyDescent="0.25">
      <c r="A274" s="12"/>
      <c r="B274" s="12"/>
      <c r="C274" s="12"/>
      <c r="D274" s="12"/>
      <c r="E274" s="12"/>
      <c r="F274" s="12"/>
      <c r="G274" s="12"/>
    </row>
    <row r="275" spans="1:7" ht="21.95" customHeight="1" x14ac:dyDescent="0.25">
      <c r="A275" s="12"/>
      <c r="B275" s="12"/>
      <c r="C275" s="12"/>
      <c r="D275" s="12"/>
      <c r="E275" s="12"/>
      <c r="F275" s="12"/>
      <c r="G275" s="12"/>
    </row>
    <row r="276" spans="1:7" ht="21.95" customHeight="1" x14ac:dyDescent="0.25">
      <c r="A276" s="12"/>
      <c r="B276" s="12"/>
      <c r="C276" s="12"/>
      <c r="D276" s="12"/>
      <c r="E276" s="12"/>
      <c r="F276" s="12"/>
      <c r="G276" s="12"/>
    </row>
    <row r="277" spans="1:7" ht="21.95" customHeight="1" x14ac:dyDescent="0.25">
      <c r="A277" s="12"/>
      <c r="B277" s="12"/>
      <c r="C277" s="12"/>
      <c r="D277" s="12"/>
      <c r="E277" s="12"/>
      <c r="F277" s="12"/>
      <c r="G277" s="12"/>
    </row>
    <row r="278" spans="1:7" ht="21.95" customHeight="1" x14ac:dyDescent="0.25">
      <c r="A278" s="12"/>
      <c r="B278" s="12"/>
      <c r="C278" s="12"/>
      <c r="D278" s="12"/>
      <c r="E278" s="12"/>
      <c r="F278" s="12"/>
      <c r="G278" s="12"/>
    </row>
    <row r="279" spans="1:7" ht="21.95" customHeight="1" x14ac:dyDescent="0.25">
      <c r="A279" s="12"/>
      <c r="B279" s="12"/>
      <c r="C279" s="12"/>
      <c r="D279" s="12"/>
      <c r="E279" s="12"/>
      <c r="F279" s="12"/>
      <c r="G279" s="12"/>
    </row>
    <row r="280" spans="1:7" ht="21.95" customHeight="1" x14ac:dyDescent="0.25">
      <c r="A280" s="12"/>
      <c r="B280" s="12"/>
      <c r="C280" s="12"/>
      <c r="D280" s="12"/>
      <c r="E280" s="12"/>
      <c r="F280" s="12"/>
      <c r="G280" s="12"/>
    </row>
    <row r="281" spans="1:7" ht="21.95" customHeight="1" x14ac:dyDescent="0.25">
      <c r="A281" s="12"/>
      <c r="B281" s="12"/>
      <c r="C281" s="12"/>
      <c r="D281" s="12"/>
      <c r="E281" s="12"/>
      <c r="F281" s="12"/>
      <c r="G281" s="12"/>
    </row>
    <row r="282" spans="1:7" ht="21.95" customHeight="1" x14ac:dyDescent="0.25">
      <c r="A282" s="12"/>
      <c r="B282" s="12"/>
      <c r="C282" s="12"/>
      <c r="D282" s="12"/>
      <c r="E282" s="12"/>
      <c r="F282" s="12"/>
      <c r="G282" s="12"/>
    </row>
    <row r="283" spans="1:7" ht="21.95" customHeight="1" x14ac:dyDescent="0.25">
      <c r="A283" s="12"/>
      <c r="B283" s="12"/>
      <c r="C283" s="12"/>
      <c r="D283" s="12"/>
      <c r="E283" s="12"/>
      <c r="F283" s="12"/>
      <c r="G283" s="12"/>
    </row>
    <row r="284" spans="1:7" ht="21.95" customHeight="1" x14ac:dyDescent="0.25">
      <c r="A284" s="12"/>
      <c r="B284" s="12"/>
      <c r="C284" s="12"/>
      <c r="D284" s="12"/>
      <c r="E284" s="12"/>
      <c r="F284" s="12"/>
      <c r="G284" s="12"/>
    </row>
    <row r="285" spans="1:7" ht="21.95" customHeight="1" x14ac:dyDescent="0.25">
      <c r="A285" s="12"/>
      <c r="B285" s="12"/>
      <c r="C285" s="12"/>
      <c r="D285" s="12"/>
      <c r="E285" s="12"/>
      <c r="F285" s="12"/>
      <c r="G285" s="12"/>
    </row>
    <row r="286" spans="1:7" ht="21.95" customHeight="1" x14ac:dyDescent="0.25">
      <c r="A286" s="12"/>
      <c r="B286" s="12"/>
      <c r="C286" s="12"/>
      <c r="D286" s="12"/>
      <c r="E286" s="12"/>
      <c r="F286" s="12"/>
      <c r="G286" s="12"/>
    </row>
    <row r="287" spans="1:7" ht="21.95" customHeight="1" x14ac:dyDescent="0.25">
      <c r="A287" s="12"/>
      <c r="B287" s="12"/>
      <c r="C287" s="12"/>
      <c r="D287" s="12"/>
      <c r="E287" s="12"/>
      <c r="F287" s="12"/>
      <c r="G287" s="12"/>
    </row>
    <row r="288" spans="1:7" ht="21.95" customHeight="1" x14ac:dyDescent="0.25">
      <c r="A288" s="12"/>
      <c r="B288" s="12"/>
      <c r="C288" s="12"/>
      <c r="D288" s="12"/>
      <c r="E288" s="12"/>
      <c r="F288" s="12"/>
      <c r="G288" s="12"/>
    </row>
    <row r="289" spans="1:7" ht="21.95" customHeight="1" x14ac:dyDescent="0.25">
      <c r="A289" s="12"/>
      <c r="B289" s="12"/>
      <c r="C289" s="12"/>
      <c r="D289" s="12"/>
      <c r="E289" s="12"/>
      <c r="F289" s="12"/>
      <c r="G289" s="12"/>
    </row>
    <row r="290" spans="1:7" ht="21.95" customHeight="1" x14ac:dyDescent="0.25">
      <c r="A290" s="12"/>
      <c r="B290" s="12"/>
      <c r="C290" s="12"/>
      <c r="D290" s="12"/>
      <c r="E290" s="12"/>
      <c r="F290" s="12"/>
      <c r="G290" s="12"/>
    </row>
    <row r="291" spans="1:7" ht="21.95" customHeight="1" x14ac:dyDescent="0.25">
      <c r="A291" s="12"/>
      <c r="B291" s="12"/>
      <c r="C291" s="12"/>
      <c r="D291" s="12"/>
      <c r="E291" s="12"/>
      <c r="F291" s="12"/>
      <c r="G291" s="12"/>
    </row>
    <row r="292" spans="1:7" ht="21.95" customHeight="1" x14ac:dyDescent="0.25">
      <c r="A292" s="12"/>
      <c r="B292" s="12"/>
      <c r="C292" s="12"/>
      <c r="D292" s="12"/>
      <c r="E292" s="12"/>
      <c r="F292" s="12"/>
      <c r="G292" s="12"/>
    </row>
    <row r="293" spans="1:7" ht="21.95" customHeight="1" x14ac:dyDescent="0.25">
      <c r="A293" s="12"/>
      <c r="B293" s="12"/>
      <c r="C293" s="12"/>
      <c r="D293" s="12"/>
      <c r="E293" s="12"/>
      <c r="F293" s="12"/>
      <c r="G293" s="12"/>
    </row>
    <row r="294" spans="1:7" ht="21.95" customHeight="1" x14ac:dyDescent="0.25">
      <c r="A294" s="12"/>
      <c r="B294" s="12"/>
      <c r="C294" s="12"/>
      <c r="D294" s="12"/>
      <c r="E294" s="12"/>
      <c r="F294" s="12"/>
      <c r="G294" s="12"/>
    </row>
    <row r="295" spans="1:7" ht="21.95" customHeight="1" x14ac:dyDescent="0.25">
      <c r="A295" s="12"/>
      <c r="B295" s="12"/>
      <c r="C295" s="12"/>
      <c r="D295" s="12"/>
      <c r="E295" s="12"/>
      <c r="F295" s="12"/>
      <c r="G295" s="12"/>
    </row>
    <row r="296" spans="1:7" ht="21.95" customHeight="1" x14ac:dyDescent="0.25">
      <c r="A296" s="12"/>
      <c r="B296" s="12"/>
      <c r="C296" s="12"/>
      <c r="D296" s="12"/>
      <c r="E296" s="12"/>
      <c r="F296" s="12"/>
      <c r="G296" s="12"/>
    </row>
    <row r="297" spans="1:7" ht="21.95" customHeight="1" x14ac:dyDescent="0.25">
      <c r="A297" s="12"/>
      <c r="B297" s="12"/>
      <c r="C297" s="12"/>
      <c r="D297" s="12"/>
      <c r="E297" s="12"/>
      <c r="F297" s="12"/>
      <c r="G297" s="12"/>
    </row>
    <row r="298" spans="1:7" ht="21.95" customHeight="1" x14ac:dyDescent="0.25">
      <c r="A298" s="12"/>
      <c r="B298" s="12"/>
      <c r="C298" s="12"/>
      <c r="D298" s="12"/>
      <c r="E298" s="12"/>
      <c r="F298" s="12"/>
      <c r="G298" s="12"/>
    </row>
    <row r="299" spans="1:7" ht="21.95" customHeight="1" x14ac:dyDescent="0.25">
      <c r="A299" s="12"/>
      <c r="B299" s="12"/>
      <c r="C299" s="12"/>
      <c r="D299" s="12"/>
      <c r="E299" s="12"/>
      <c r="F299" s="12"/>
      <c r="G299" s="12"/>
    </row>
    <row r="300" spans="1:7" ht="21.95" customHeight="1" x14ac:dyDescent="0.25">
      <c r="A300" s="12"/>
      <c r="B300" s="12"/>
      <c r="C300" s="12"/>
      <c r="D300" s="12"/>
      <c r="E300" s="12"/>
      <c r="F300" s="12"/>
      <c r="G300" s="12"/>
    </row>
    <row r="301" spans="1:7" ht="21.95" customHeight="1" x14ac:dyDescent="0.25">
      <c r="A301" s="12"/>
      <c r="B301" s="12"/>
      <c r="C301" s="12"/>
      <c r="D301" s="12"/>
      <c r="E301" s="12"/>
      <c r="F301" s="12"/>
      <c r="G301" s="12"/>
    </row>
    <row r="302" spans="1:7" ht="21.95" customHeight="1" x14ac:dyDescent="0.25">
      <c r="A302" s="12"/>
      <c r="B302" s="12"/>
      <c r="C302" s="12"/>
      <c r="D302" s="12"/>
      <c r="E302" s="12"/>
      <c r="F302" s="12"/>
      <c r="G302" s="12"/>
    </row>
    <row r="303" spans="1:7" ht="21.95" customHeight="1" x14ac:dyDescent="0.25">
      <c r="A303" s="12"/>
      <c r="B303" s="12"/>
      <c r="C303" s="12"/>
      <c r="D303" s="12"/>
      <c r="E303" s="12"/>
      <c r="F303" s="12"/>
      <c r="G303" s="12"/>
    </row>
    <row r="304" spans="1:7" ht="21.95" customHeight="1" x14ac:dyDescent="0.25">
      <c r="A304" s="12"/>
      <c r="B304" s="12"/>
      <c r="C304" s="12"/>
      <c r="D304" s="12"/>
      <c r="E304" s="12"/>
      <c r="F304" s="12"/>
      <c r="G304" s="12"/>
    </row>
    <row r="305" spans="1:7" ht="21.95" customHeight="1" x14ac:dyDescent="0.25">
      <c r="A305" s="12"/>
      <c r="B305" s="12"/>
      <c r="C305" s="12"/>
      <c r="D305" s="12"/>
      <c r="E305" s="12"/>
      <c r="F305" s="12"/>
      <c r="G305" s="12"/>
    </row>
    <row r="306" spans="1:7" ht="21.95" customHeight="1" x14ac:dyDescent="0.25">
      <c r="A306" s="12"/>
      <c r="B306" s="12"/>
      <c r="C306" s="12"/>
      <c r="D306" s="12"/>
      <c r="E306" s="12"/>
      <c r="F306" s="12"/>
      <c r="G306" s="12"/>
    </row>
    <row r="307" spans="1:7" ht="21.95" customHeight="1" x14ac:dyDescent="0.25">
      <c r="A307" s="12"/>
      <c r="B307" s="12"/>
      <c r="C307" s="12"/>
      <c r="D307" s="12"/>
      <c r="E307" s="12"/>
      <c r="F307" s="12"/>
      <c r="G307" s="12"/>
    </row>
    <row r="308" spans="1:7" ht="21.95" customHeight="1" x14ac:dyDescent="0.25">
      <c r="A308" s="12"/>
      <c r="B308" s="12"/>
      <c r="C308" s="12"/>
      <c r="D308" s="12"/>
      <c r="E308" s="12"/>
      <c r="F308" s="12"/>
      <c r="G308" s="12"/>
    </row>
    <row r="309" spans="1:7" ht="21.95" customHeight="1" x14ac:dyDescent="0.25">
      <c r="A309" s="12"/>
      <c r="B309" s="12"/>
      <c r="C309" s="12"/>
      <c r="D309" s="12"/>
      <c r="E309" s="12"/>
      <c r="F309" s="12"/>
      <c r="G309" s="12"/>
    </row>
    <row r="310" spans="1:7" ht="21.95" customHeight="1" x14ac:dyDescent="0.25">
      <c r="A310" s="12"/>
      <c r="B310" s="12"/>
      <c r="C310" s="12"/>
      <c r="D310" s="12"/>
      <c r="E310" s="12"/>
      <c r="F310" s="12"/>
      <c r="G310" s="12"/>
    </row>
    <row r="311" spans="1:7" ht="21.95" customHeight="1" x14ac:dyDescent="0.25">
      <c r="A311" s="12"/>
      <c r="B311" s="12"/>
      <c r="C311" s="12"/>
      <c r="D311" s="12"/>
      <c r="E311" s="12"/>
      <c r="F311" s="12"/>
      <c r="G311" s="12"/>
    </row>
    <row r="312" spans="1:7" ht="21.95" customHeight="1" x14ac:dyDescent="0.25">
      <c r="A312" s="12"/>
      <c r="B312" s="12"/>
      <c r="C312" s="12"/>
      <c r="D312" s="12"/>
      <c r="E312" s="12"/>
      <c r="F312" s="12"/>
      <c r="G312" s="12"/>
    </row>
    <row r="313" spans="1:7" ht="21.95" customHeight="1" x14ac:dyDescent="0.25">
      <c r="A313" s="12"/>
      <c r="B313" s="12"/>
      <c r="C313" s="12"/>
      <c r="D313" s="12"/>
      <c r="E313" s="12"/>
      <c r="F313" s="12"/>
      <c r="G313" s="12"/>
    </row>
    <row r="314" spans="1:7" ht="21.95" customHeight="1" x14ac:dyDescent="0.25">
      <c r="A314" s="12"/>
      <c r="B314" s="12"/>
      <c r="C314" s="12"/>
      <c r="D314" s="12"/>
      <c r="E314" s="12"/>
      <c r="F314" s="12"/>
      <c r="G314" s="12"/>
    </row>
    <row r="315" spans="1:7" ht="21.95" customHeight="1" x14ac:dyDescent="0.25">
      <c r="A315" s="12"/>
      <c r="B315" s="12"/>
      <c r="C315" s="12"/>
      <c r="D315" s="12"/>
      <c r="E315" s="12"/>
      <c r="F315" s="12"/>
      <c r="G315" s="12"/>
    </row>
    <row r="316" spans="1:7" ht="21.95" customHeight="1" x14ac:dyDescent="0.25">
      <c r="A316" s="12"/>
      <c r="B316" s="12"/>
      <c r="C316" s="12"/>
      <c r="D316" s="12"/>
      <c r="E316" s="12"/>
      <c r="F316" s="12"/>
      <c r="G316" s="12"/>
    </row>
    <row r="317" spans="1:7" ht="21.95" customHeight="1" x14ac:dyDescent="0.25">
      <c r="A317" s="12"/>
      <c r="B317" s="12"/>
      <c r="C317" s="12"/>
      <c r="D317" s="12"/>
    </row>
    <row r="318" spans="1:7" ht="21.95" customHeight="1" x14ac:dyDescent="0.25">
      <c r="A318" s="12"/>
      <c r="B318" s="12"/>
      <c r="C318" s="12"/>
      <c r="D318" s="12"/>
    </row>
    <row r="319" spans="1:7" ht="21.95" customHeight="1" x14ac:dyDescent="0.25">
      <c r="A319" s="12"/>
      <c r="B319" s="12"/>
      <c r="C319" s="12"/>
      <c r="D319" s="12"/>
    </row>
    <row r="320" spans="1:7" ht="21.95" customHeight="1" x14ac:dyDescent="0.25">
      <c r="A320" s="12"/>
      <c r="B320" s="12"/>
      <c r="C320" s="12"/>
      <c r="D320" s="12"/>
    </row>
    <row r="321" spans="1:4" ht="21.95" customHeight="1" x14ac:dyDescent="0.25">
      <c r="A321" s="12"/>
      <c r="B321" s="12"/>
      <c r="C321" s="12"/>
      <c r="D321" s="12"/>
    </row>
    <row r="322" spans="1:4" ht="21.95" customHeight="1" x14ac:dyDescent="0.25">
      <c r="A322" s="12"/>
      <c r="B322" s="12"/>
      <c r="C322" s="12"/>
      <c r="D322" s="12"/>
    </row>
    <row r="323" spans="1:4" ht="21.95" customHeight="1" x14ac:dyDescent="0.25">
      <c r="A323" s="12"/>
      <c r="B323" s="12"/>
      <c r="C323" s="12"/>
      <c r="D323" s="12"/>
    </row>
    <row r="324" spans="1:4" ht="21.95" customHeight="1" x14ac:dyDescent="0.25">
      <c r="A324" s="12"/>
      <c r="B324" s="12"/>
      <c r="C324" s="12"/>
      <c r="D324" s="12"/>
    </row>
    <row r="325" spans="1:4" ht="21.95" customHeight="1" x14ac:dyDescent="0.25">
      <c r="A325" s="12"/>
      <c r="B325" s="12"/>
      <c r="C325" s="12"/>
      <c r="D325" s="12"/>
    </row>
    <row r="326" spans="1:4" ht="21.95" customHeight="1" x14ac:dyDescent="0.25">
      <c r="A326" s="12"/>
      <c r="B326" s="12"/>
      <c r="C326" s="12"/>
      <c r="D326" s="12"/>
    </row>
    <row r="327" spans="1:4" ht="21.95" customHeight="1" x14ac:dyDescent="0.25">
      <c r="A327" s="12"/>
      <c r="B327" s="12"/>
      <c r="C327" s="12"/>
      <c r="D327" s="12"/>
    </row>
    <row r="328" spans="1:4" ht="21.95" customHeight="1" x14ac:dyDescent="0.25">
      <c r="A328" s="12"/>
      <c r="B328" s="12"/>
      <c r="C328" s="12"/>
      <c r="D328" s="12"/>
    </row>
    <row r="329" spans="1:4" ht="21.95" customHeight="1" x14ac:dyDescent="0.25">
      <c r="A329" s="12"/>
      <c r="B329" s="12"/>
      <c r="C329" s="12"/>
      <c r="D329" s="12"/>
    </row>
    <row r="330" spans="1:4" ht="21.95" customHeight="1" x14ac:dyDescent="0.25">
      <c r="A330" s="12"/>
      <c r="B330" s="12"/>
      <c r="C330" s="12"/>
      <c r="D330" s="12"/>
    </row>
    <row r="331" spans="1:4" ht="21.95" customHeight="1" x14ac:dyDescent="0.25">
      <c r="A331" s="12"/>
      <c r="B331" s="12"/>
      <c r="C331" s="12"/>
      <c r="D331" s="12"/>
    </row>
    <row r="332" spans="1:4" ht="21.95" customHeight="1" x14ac:dyDescent="0.25">
      <c r="A332" s="12"/>
      <c r="B332" s="12"/>
      <c r="C332" s="12"/>
      <c r="D332" s="12"/>
    </row>
    <row r="333" spans="1:4" ht="21.95" customHeight="1" x14ac:dyDescent="0.25">
      <c r="A333" s="12"/>
      <c r="B333" s="12"/>
      <c r="C333" s="12"/>
      <c r="D333" s="12"/>
    </row>
    <row r="334" spans="1:4" ht="21.95" customHeight="1" x14ac:dyDescent="0.25">
      <c r="A334" s="12"/>
      <c r="B334" s="12"/>
      <c r="C334" s="12"/>
      <c r="D334" s="12"/>
    </row>
    <row r="335" spans="1:4" ht="21.95" customHeight="1" x14ac:dyDescent="0.25">
      <c r="A335" s="12"/>
      <c r="B335" s="12"/>
      <c r="C335" s="12"/>
      <c r="D335" s="12"/>
    </row>
    <row r="336" spans="1:4" ht="21.95" customHeight="1" x14ac:dyDescent="0.25">
      <c r="A336" s="12"/>
      <c r="B336" s="12"/>
      <c r="C336" s="12"/>
      <c r="D336" s="12"/>
    </row>
    <row r="337" spans="1:4" ht="21.95" customHeight="1" x14ac:dyDescent="0.25">
      <c r="A337" s="12"/>
      <c r="B337" s="12"/>
      <c r="C337" s="12"/>
      <c r="D337" s="12"/>
    </row>
    <row r="338" spans="1:4" ht="21.95" customHeight="1" x14ac:dyDescent="0.25">
      <c r="A338" s="12"/>
      <c r="B338" s="12"/>
      <c r="C338" s="12"/>
      <c r="D338" s="12"/>
    </row>
    <row r="339" spans="1:4" ht="21.95" customHeight="1" x14ac:dyDescent="0.25">
      <c r="A339" s="12"/>
      <c r="B339" s="12"/>
      <c r="C339" s="12"/>
      <c r="D339" s="12"/>
    </row>
    <row r="340" spans="1:4" ht="21.95" customHeight="1" x14ac:dyDescent="0.25">
      <c r="A340" s="12"/>
      <c r="B340" s="12"/>
      <c r="C340" s="12"/>
      <c r="D340" s="12"/>
    </row>
    <row r="341" spans="1:4" ht="21.95" customHeight="1" x14ac:dyDescent="0.25">
      <c r="A341" s="12"/>
      <c r="B341" s="12"/>
      <c r="C341" s="12"/>
      <c r="D341" s="12"/>
    </row>
    <row r="342" spans="1:4" ht="21.95" customHeight="1" x14ac:dyDescent="0.25">
      <c r="A342" s="12"/>
      <c r="B342" s="12"/>
      <c r="C342" s="12"/>
      <c r="D342" s="12"/>
    </row>
    <row r="343" spans="1:4" ht="21.95" customHeight="1" x14ac:dyDescent="0.25">
      <c r="A343" s="12"/>
      <c r="B343" s="12"/>
      <c r="C343" s="12"/>
      <c r="D343" s="12"/>
    </row>
    <row r="344" spans="1:4" ht="21.95" customHeight="1" x14ac:dyDescent="0.25">
      <c r="A344" s="12"/>
      <c r="B344" s="12"/>
      <c r="C344" s="12"/>
      <c r="D344" s="12"/>
    </row>
    <row r="345" spans="1:4" ht="21.95" customHeight="1" x14ac:dyDescent="0.25">
      <c r="A345" s="12"/>
      <c r="B345" s="12"/>
      <c r="C345" s="12"/>
      <c r="D345" s="12"/>
    </row>
    <row r="346" spans="1:4" ht="21.95" customHeight="1" x14ac:dyDescent="0.25">
      <c r="A346" s="12"/>
      <c r="B346" s="12"/>
      <c r="C346" s="12"/>
      <c r="D346" s="12"/>
    </row>
    <row r="347" spans="1:4" ht="21.95" customHeight="1" x14ac:dyDescent="0.25">
      <c r="A347" s="12"/>
      <c r="B347" s="12"/>
      <c r="C347" s="12"/>
      <c r="D347" s="12"/>
    </row>
    <row r="348" spans="1:4" ht="21.95" customHeight="1" x14ac:dyDescent="0.25">
      <c r="A348" s="12"/>
      <c r="B348" s="12"/>
      <c r="C348" s="12"/>
      <c r="D348" s="12"/>
    </row>
    <row r="349" spans="1:4" ht="21.95" customHeight="1" x14ac:dyDescent="0.25">
      <c r="A349" s="12"/>
      <c r="B349" s="12"/>
      <c r="C349" s="12"/>
      <c r="D349" s="12"/>
    </row>
    <row r="350" spans="1:4" ht="21.95" customHeight="1" x14ac:dyDescent="0.25">
      <c r="A350" s="12"/>
      <c r="B350" s="12"/>
      <c r="C350" s="12"/>
      <c r="D350" s="12"/>
    </row>
    <row r="351" spans="1:4" ht="21.95" customHeight="1" x14ac:dyDescent="0.25">
      <c r="A351" s="12"/>
      <c r="B351" s="12"/>
      <c r="C351" s="12"/>
      <c r="D351" s="12"/>
    </row>
    <row r="352" spans="1:4" ht="21.95" customHeight="1" x14ac:dyDescent="0.25">
      <c r="A352" s="12"/>
      <c r="B352" s="12"/>
      <c r="C352" s="12"/>
      <c r="D352" s="12"/>
    </row>
    <row r="353" spans="1:4" ht="21.95" customHeight="1" x14ac:dyDescent="0.25">
      <c r="A353" s="12"/>
      <c r="B353" s="12"/>
      <c r="C353" s="12"/>
      <c r="D353" s="12"/>
    </row>
    <row r="354" spans="1:4" ht="21.95" customHeight="1" x14ac:dyDescent="0.25">
      <c r="A354" s="12"/>
      <c r="B354" s="12"/>
      <c r="C354" s="12"/>
      <c r="D354" s="12"/>
    </row>
    <row r="355" spans="1:4" ht="21.95" customHeight="1" x14ac:dyDescent="0.25">
      <c r="A355" s="12"/>
      <c r="B355" s="12"/>
      <c r="C355" s="12"/>
      <c r="D355" s="12"/>
    </row>
    <row r="356" spans="1:4" ht="21.95" customHeight="1" x14ac:dyDescent="0.25">
      <c r="A356" s="12"/>
      <c r="B356" s="12"/>
      <c r="C356" s="12"/>
      <c r="D356" s="12"/>
    </row>
    <row r="357" spans="1:4" ht="21.95" customHeight="1" x14ac:dyDescent="0.25">
      <c r="A357" s="12"/>
      <c r="B357" s="12"/>
      <c r="C357" s="12"/>
      <c r="D357" s="12"/>
    </row>
    <row r="358" spans="1:4" ht="21.95" customHeight="1" x14ac:dyDescent="0.25">
      <c r="A358" s="12"/>
      <c r="B358" s="12"/>
      <c r="C358" s="12"/>
      <c r="D358" s="12"/>
    </row>
    <row r="359" spans="1:4" ht="21.95" customHeight="1" x14ac:dyDescent="0.25">
      <c r="A359" s="12"/>
      <c r="B359" s="12"/>
      <c r="C359" s="12"/>
      <c r="D359" s="12"/>
    </row>
    <row r="360" spans="1:4" ht="21.95" customHeight="1" x14ac:dyDescent="0.25">
      <c r="A360" s="12"/>
      <c r="B360" s="12"/>
      <c r="C360" s="12"/>
      <c r="D360" s="12"/>
    </row>
    <row r="361" spans="1:4" ht="21.95" customHeight="1" x14ac:dyDescent="0.25">
      <c r="A361" s="12"/>
      <c r="B361" s="12"/>
      <c r="C361" s="12"/>
      <c r="D361" s="12"/>
    </row>
    <row r="362" spans="1:4" ht="21.95" customHeight="1" x14ac:dyDescent="0.25">
      <c r="A362" s="12"/>
      <c r="B362" s="12"/>
      <c r="C362" s="12"/>
      <c r="D362" s="12"/>
    </row>
    <row r="363" spans="1:4" ht="21.95" customHeight="1" x14ac:dyDescent="0.25">
      <c r="A363" s="12"/>
      <c r="B363" s="12"/>
      <c r="C363" s="12"/>
      <c r="D363" s="12"/>
    </row>
    <row r="364" spans="1:4" ht="21.95" customHeight="1" x14ac:dyDescent="0.25"/>
    <row r="365" spans="1:4" ht="21.95" customHeight="1" x14ac:dyDescent="0.25"/>
    <row r="366" spans="1:4" ht="21.95" customHeight="1" x14ac:dyDescent="0.25"/>
    <row r="367" spans="1:4" ht="21.95" customHeight="1" x14ac:dyDescent="0.25"/>
    <row r="368" spans="1:4" ht="21.95" customHeight="1" x14ac:dyDescent="0.25"/>
    <row r="369" ht="21.95" customHeight="1" x14ac:dyDescent="0.25"/>
    <row r="370" ht="21.95" customHeight="1" x14ac:dyDescent="0.25"/>
    <row r="371" ht="21.95" customHeight="1" x14ac:dyDescent="0.25"/>
    <row r="372" ht="21.95" customHeight="1" x14ac:dyDescent="0.25"/>
    <row r="373" ht="21.95" customHeight="1" x14ac:dyDescent="0.25"/>
    <row r="374" ht="21.95" customHeight="1" x14ac:dyDescent="0.25"/>
    <row r="375" ht="21.95" customHeight="1" x14ac:dyDescent="0.25"/>
    <row r="376" ht="21.95" customHeight="1" x14ac:dyDescent="0.25"/>
    <row r="377" ht="21.95" customHeight="1" x14ac:dyDescent="0.25"/>
    <row r="378" ht="21.95" customHeight="1" x14ac:dyDescent="0.25"/>
    <row r="379" ht="21.95" customHeight="1" x14ac:dyDescent="0.25"/>
    <row r="380" ht="21.95" customHeight="1" x14ac:dyDescent="0.25"/>
    <row r="381" ht="21.95" customHeight="1" x14ac:dyDescent="0.25"/>
    <row r="382" ht="21.95" customHeight="1" x14ac:dyDescent="0.25"/>
    <row r="383" ht="21.95" customHeight="1" x14ac:dyDescent="0.25"/>
    <row r="384" ht="21.95" customHeight="1" x14ac:dyDescent="0.25"/>
    <row r="385" ht="21.95" customHeight="1" x14ac:dyDescent="0.25"/>
    <row r="386" ht="21.95" customHeight="1" x14ac:dyDescent="0.25"/>
    <row r="387" ht="21.95" customHeight="1" x14ac:dyDescent="0.25"/>
    <row r="388" ht="21.95" customHeight="1" x14ac:dyDescent="0.25"/>
    <row r="389" ht="21.95" customHeight="1" x14ac:dyDescent="0.25"/>
    <row r="390" ht="21.95" customHeight="1" x14ac:dyDescent="0.25"/>
    <row r="391" ht="21.95" customHeight="1" x14ac:dyDescent="0.25"/>
    <row r="392" ht="21.95" customHeight="1" x14ac:dyDescent="0.25"/>
    <row r="393" ht="21.95" customHeight="1" x14ac:dyDescent="0.25"/>
    <row r="394" ht="21.95" customHeight="1" x14ac:dyDescent="0.25"/>
    <row r="395" ht="21.95" customHeight="1" x14ac:dyDescent="0.25"/>
    <row r="396" ht="21.95" customHeight="1" x14ac:dyDescent="0.25"/>
    <row r="397" ht="21.95" customHeight="1" x14ac:dyDescent="0.25"/>
    <row r="398" ht="21.95" customHeight="1" x14ac:dyDescent="0.25"/>
    <row r="399" ht="21.95" customHeight="1" x14ac:dyDescent="0.25"/>
    <row r="400" ht="21.95" customHeight="1" x14ac:dyDescent="0.25"/>
    <row r="401" ht="21.95" customHeight="1" x14ac:dyDescent="0.25"/>
    <row r="402" ht="21.95" customHeight="1" x14ac:dyDescent="0.25"/>
    <row r="403" ht="21.95" customHeight="1" x14ac:dyDescent="0.25"/>
    <row r="404" ht="21.95" customHeight="1" x14ac:dyDescent="0.25"/>
    <row r="405" ht="21.95" customHeight="1" x14ac:dyDescent="0.25"/>
    <row r="406" ht="21.95" customHeight="1" x14ac:dyDescent="0.25"/>
    <row r="407" ht="21.95" customHeight="1" x14ac:dyDescent="0.25"/>
    <row r="408" ht="21.95" customHeight="1" x14ac:dyDescent="0.25"/>
    <row r="409" ht="21.95" customHeight="1" x14ac:dyDescent="0.25"/>
    <row r="410" ht="21.95" customHeight="1" x14ac:dyDescent="0.25"/>
    <row r="411" ht="21.95" customHeight="1" x14ac:dyDescent="0.25"/>
    <row r="412" ht="21.95" customHeight="1" x14ac:dyDescent="0.25"/>
    <row r="413" ht="21.95" customHeight="1" x14ac:dyDescent="0.25"/>
    <row r="414" ht="21.95" customHeight="1" x14ac:dyDescent="0.25"/>
    <row r="415" ht="21.95" customHeight="1" x14ac:dyDescent="0.25"/>
    <row r="416" ht="21.95" customHeight="1" x14ac:dyDescent="0.25"/>
    <row r="417" ht="21.95" customHeight="1" x14ac:dyDescent="0.25"/>
    <row r="418" ht="21.95" customHeight="1" x14ac:dyDescent="0.25"/>
    <row r="419" ht="21.95" customHeight="1" x14ac:dyDescent="0.25"/>
    <row r="420" ht="21.95" customHeight="1" x14ac:dyDescent="0.25"/>
    <row r="421" ht="21.95" customHeight="1" x14ac:dyDescent="0.25"/>
    <row r="422" ht="21.95" customHeight="1" x14ac:dyDescent="0.25"/>
    <row r="423" ht="21.95" customHeight="1" x14ac:dyDescent="0.25"/>
    <row r="424" ht="21.95" customHeight="1" x14ac:dyDescent="0.25"/>
    <row r="425" ht="21.95" customHeight="1" x14ac:dyDescent="0.25"/>
    <row r="426" ht="21.95" customHeight="1" x14ac:dyDescent="0.25"/>
    <row r="427" ht="21.95" customHeight="1" x14ac:dyDescent="0.25"/>
    <row r="428" ht="21.95" customHeight="1" x14ac:dyDescent="0.25"/>
    <row r="429" ht="21.95" customHeight="1" x14ac:dyDescent="0.25"/>
    <row r="430" ht="21.95" customHeight="1" x14ac:dyDescent="0.25"/>
    <row r="431" ht="21.95" customHeight="1" x14ac:dyDescent="0.25"/>
    <row r="432" ht="21.95" customHeight="1" x14ac:dyDescent="0.25"/>
    <row r="433" ht="21.95" customHeight="1" x14ac:dyDescent="0.25"/>
    <row r="434" ht="21.95" customHeight="1" x14ac:dyDescent="0.25"/>
    <row r="435" ht="21.95" customHeight="1" x14ac:dyDescent="0.25"/>
    <row r="436" ht="21.95" customHeight="1" x14ac:dyDescent="0.25"/>
    <row r="437" ht="21.95" customHeight="1" x14ac:dyDescent="0.25"/>
    <row r="438" ht="21.95" customHeight="1" x14ac:dyDescent="0.25"/>
    <row r="439" ht="21.95" customHeight="1" x14ac:dyDescent="0.25"/>
    <row r="440" ht="21.95" customHeight="1" x14ac:dyDescent="0.25"/>
    <row r="441" ht="21.95" customHeight="1" x14ac:dyDescent="0.25"/>
    <row r="442" ht="21.95" customHeight="1" x14ac:dyDescent="0.25"/>
    <row r="443" ht="21.95" customHeight="1" x14ac:dyDescent="0.25"/>
    <row r="444" ht="21.95" customHeight="1" x14ac:dyDescent="0.25"/>
    <row r="445" ht="21.95" customHeight="1" x14ac:dyDescent="0.25"/>
    <row r="446" ht="21.95" customHeight="1" x14ac:dyDescent="0.25"/>
    <row r="447" ht="21.95" customHeight="1" x14ac:dyDescent="0.25"/>
    <row r="448" ht="21.95" customHeight="1" x14ac:dyDescent="0.25"/>
    <row r="449" ht="21.95" customHeight="1" x14ac:dyDescent="0.25"/>
    <row r="450" ht="21.95" customHeight="1" x14ac:dyDescent="0.25"/>
    <row r="451" ht="21.95" customHeight="1" x14ac:dyDescent="0.25"/>
    <row r="452" ht="21.95" customHeight="1" x14ac:dyDescent="0.25"/>
    <row r="453" ht="21.95" customHeight="1" x14ac:dyDescent="0.25"/>
    <row r="454" ht="21.95" customHeight="1" x14ac:dyDescent="0.25"/>
    <row r="455" ht="21.95" customHeight="1" x14ac:dyDescent="0.25"/>
    <row r="456" ht="21.95" customHeight="1" x14ac:dyDescent="0.25"/>
    <row r="457" ht="21.95" customHeight="1" x14ac:dyDescent="0.25"/>
    <row r="458" ht="21.95" customHeight="1" x14ac:dyDescent="0.25"/>
    <row r="459" ht="21.95" customHeight="1" x14ac:dyDescent="0.25"/>
    <row r="460" ht="21.95" customHeight="1" x14ac:dyDescent="0.25"/>
    <row r="461" ht="21.95" customHeight="1" x14ac:dyDescent="0.25"/>
    <row r="462" ht="21.95" customHeight="1" x14ac:dyDescent="0.25"/>
    <row r="463" ht="21.95" customHeight="1" x14ac:dyDescent="0.25"/>
    <row r="464" ht="21.95" customHeight="1" x14ac:dyDescent="0.25"/>
    <row r="465" ht="21.95" customHeight="1" x14ac:dyDescent="0.25"/>
    <row r="466" ht="21.95" customHeight="1" x14ac:dyDescent="0.25"/>
    <row r="467" ht="21.95" customHeight="1" x14ac:dyDescent="0.25"/>
    <row r="468" ht="21.95" customHeight="1" x14ac:dyDescent="0.25"/>
    <row r="469" ht="21.95" customHeight="1" x14ac:dyDescent="0.25"/>
    <row r="470" ht="21.95" customHeight="1" x14ac:dyDescent="0.25"/>
    <row r="471" ht="21.95" customHeight="1" x14ac:dyDescent="0.25"/>
    <row r="472" ht="21.95" customHeight="1" x14ac:dyDescent="0.25"/>
    <row r="473" ht="21.95" customHeight="1" x14ac:dyDescent="0.25"/>
    <row r="474" ht="21.95" customHeight="1" x14ac:dyDescent="0.25"/>
    <row r="475" ht="21.95" customHeight="1" x14ac:dyDescent="0.25"/>
    <row r="476" ht="21.95" customHeight="1" x14ac:dyDescent="0.25"/>
    <row r="477" ht="21.95" customHeight="1" x14ac:dyDescent="0.25"/>
    <row r="478" ht="21.95" customHeight="1" x14ac:dyDescent="0.25"/>
    <row r="479" ht="21.95" customHeight="1" x14ac:dyDescent="0.25"/>
    <row r="480" ht="21.95" customHeight="1" x14ac:dyDescent="0.25"/>
    <row r="481" ht="21.95" customHeight="1" x14ac:dyDescent="0.25"/>
    <row r="482" ht="21.95" customHeight="1" x14ac:dyDescent="0.25"/>
    <row r="483" ht="21.95" customHeight="1" x14ac:dyDescent="0.25"/>
    <row r="484" ht="21.95" customHeight="1" x14ac:dyDescent="0.25"/>
    <row r="485" ht="21.95" customHeight="1" x14ac:dyDescent="0.25"/>
    <row r="486" ht="21.95" customHeight="1" x14ac:dyDescent="0.25"/>
    <row r="487" ht="21.95" customHeight="1" x14ac:dyDescent="0.25"/>
    <row r="488" ht="21.95" customHeight="1" x14ac:dyDescent="0.25"/>
    <row r="489" ht="21.95" customHeight="1" x14ac:dyDescent="0.25"/>
    <row r="490" ht="21.95" customHeight="1" x14ac:dyDescent="0.25"/>
    <row r="491" ht="21.95" customHeight="1" x14ac:dyDescent="0.25"/>
    <row r="492" ht="21.95" customHeight="1" x14ac:dyDescent="0.25"/>
    <row r="493" ht="21.95" customHeight="1" x14ac:dyDescent="0.25"/>
    <row r="494" ht="21.95" customHeight="1" x14ac:dyDescent="0.25"/>
    <row r="495" ht="21.95" customHeight="1" x14ac:dyDescent="0.25"/>
    <row r="496" ht="21.95" customHeight="1" x14ac:dyDescent="0.25"/>
    <row r="497" ht="21.95" customHeight="1" x14ac:dyDescent="0.25"/>
    <row r="498" ht="21.95" customHeight="1" x14ac:dyDescent="0.25"/>
    <row r="499" ht="21.95" customHeight="1" x14ac:dyDescent="0.25"/>
    <row r="500" ht="21.95" customHeight="1" x14ac:dyDescent="0.25"/>
    <row r="501" ht="21.95" customHeight="1" x14ac:dyDescent="0.25"/>
    <row r="502" ht="21.95" customHeight="1" x14ac:dyDescent="0.25"/>
    <row r="503" ht="21.95" customHeight="1" x14ac:dyDescent="0.25"/>
    <row r="504" ht="21.95" customHeight="1" x14ac:dyDescent="0.25"/>
    <row r="505" ht="21.95" customHeight="1" x14ac:dyDescent="0.25"/>
    <row r="506" ht="21.95" customHeight="1" x14ac:dyDescent="0.25"/>
    <row r="507" ht="21.95" customHeight="1" x14ac:dyDescent="0.25"/>
    <row r="508" ht="21.95" customHeight="1" x14ac:dyDescent="0.25"/>
    <row r="509" ht="21.95" customHeight="1" x14ac:dyDescent="0.25"/>
    <row r="510" ht="21.95" customHeight="1" x14ac:dyDescent="0.25"/>
    <row r="511" ht="21.95" customHeight="1" x14ac:dyDescent="0.25"/>
    <row r="512" ht="21.95" customHeight="1" x14ac:dyDescent="0.25"/>
    <row r="513" ht="21.95" customHeight="1" x14ac:dyDescent="0.25"/>
    <row r="514" ht="21.95" customHeight="1" x14ac:dyDescent="0.25"/>
    <row r="515" ht="21.95" customHeight="1" x14ac:dyDescent="0.25"/>
    <row r="516" ht="21.95" customHeight="1" x14ac:dyDescent="0.25"/>
    <row r="517" ht="21.95" customHeight="1" x14ac:dyDescent="0.25"/>
    <row r="518" ht="21.95" customHeight="1" x14ac:dyDescent="0.25"/>
    <row r="519" ht="21.95" customHeight="1" x14ac:dyDescent="0.25"/>
    <row r="520" ht="21.95" customHeight="1" x14ac:dyDescent="0.25"/>
    <row r="521" ht="21.95" customHeight="1" x14ac:dyDescent="0.25"/>
    <row r="522" ht="21.95" customHeight="1" x14ac:dyDescent="0.25"/>
    <row r="523" ht="21.95" customHeight="1" x14ac:dyDescent="0.25"/>
    <row r="524" ht="21.95" customHeight="1" x14ac:dyDescent="0.25"/>
    <row r="525" ht="21.95" customHeight="1" x14ac:dyDescent="0.25"/>
    <row r="526" ht="21.95" customHeight="1" x14ac:dyDescent="0.25"/>
    <row r="527" ht="21.95" customHeight="1" x14ac:dyDescent="0.25"/>
    <row r="528" ht="21.95" customHeight="1" x14ac:dyDescent="0.25"/>
    <row r="529" ht="21.95" customHeight="1" x14ac:dyDescent="0.25"/>
    <row r="530" ht="21.95" customHeight="1" x14ac:dyDescent="0.25"/>
    <row r="531" ht="21.95" customHeight="1" x14ac:dyDescent="0.25"/>
    <row r="532" ht="21.95" customHeight="1" x14ac:dyDescent="0.25"/>
    <row r="533" ht="21.95" customHeight="1" x14ac:dyDescent="0.25"/>
    <row r="534" ht="21.95" customHeight="1" x14ac:dyDescent="0.25"/>
    <row r="535" ht="21.95" customHeight="1" x14ac:dyDescent="0.25"/>
    <row r="536" ht="21.95" customHeight="1" x14ac:dyDescent="0.25"/>
    <row r="537" ht="21.95" customHeight="1" x14ac:dyDescent="0.25"/>
    <row r="538" ht="21.95" customHeight="1" x14ac:dyDescent="0.25"/>
    <row r="539" ht="21.95" customHeight="1" x14ac:dyDescent="0.25"/>
    <row r="540" ht="21.95" customHeight="1" x14ac:dyDescent="0.25"/>
    <row r="541" ht="21.95" customHeight="1" x14ac:dyDescent="0.25"/>
    <row r="542" ht="21.95" customHeight="1" x14ac:dyDescent="0.25"/>
    <row r="543" ht="21.95" customHeight="1" x14ac:dyDescent="0.25"/>
    <row r="544" ht="21.95" customHeight="1" x14ac:dyDescent="0.25"/>
    <row r="545" ht="21.95" customHeight="1" x14ac:dyDescent="0.25"/>
    <row r="546" ht="21.95" customHeight="1" x14ac:dyDescent="0.25"/>
    <row r="547" ht="21.95" customHeight="1" x14ac:dyDescent="0.25"/>
    <row r="548" ht="21.95" customHeight="1" x14ac:dyDescent="0.25"/>
    <row r="549" ht="21.95" customHeight="1" x14ac:dyDescent="0.25"/>
    <row r="550" ht="21.95" customHeight="1" x14ac:dyDescent="0.25"/>
    <row r="551" ht="21.95" customHeight="1" x14ac:dyDescent="0.25"/>
    <row r="552" ht="21.95" customHeight="1" x14ac:dyDescent="0.25"/>
    <row r="553" ht="21.95" customHeight="1" x14ac:dyDescent="0.25"/>
    <row r="554" ht="21.95" customHeight="1" x14ac:dyDescent="0.25"/>
    <row r="555" ht="21.95" customHeight="1" x14ac:dyDescent="0.25"/>
    <row r="556" ht="21.95" customHeight="1" x14ac:dyDescent="0.25"/>
    <row r="557" ht="21.95" customHeight="1" x14ac:dyDescent="0.25"/>
    <row r="558" ht="21.95" customHeight="1" x14ac:dyDescent="0.25"/>
    <row r="559" ht="21.95" customHeight="1" x14ac:dyDescent="0.25"/>
    <row r="560" ht="21.95" customHeight="1" x14ac:dyDescent="0.25"/>
    <row r="561" ht="21.95" customHeight="1" x14ac:dyDescent="0.25"/>
    <row r="562" ht="21.95" customHeight="1" x14ac:dyDescent="0.25"/>
    <row r="563" ht="21.95" customHeight="1" x14ac:dyDescent="0.25"/>
    <row r="564" ht="21.95" customHeight="1" x14ac:dyDescent="0.25"/>
    <row r="565" ht="21.95" customHeight="1" x14ac:dyDescent="0.25"/>
    <row r="566" ht="21.95" customHeight="1" x14ac:dyDescent="0.25"/>
    <row r="567" ht="21.95" customHeight="1" x14ac:dyDescent="0.25"/>
    <row r="568" ht="21.95" customHeight="1" x14ac:dyDescent="0.25"/>
    <row r="569" ht="21.95" customHeight="1" x14ac:dyDescent="0.25"/>
    <row r="570" ht="21.95" customHeight="1" x14ac:dyDescent="0.25"/>
    <row r="571" ht="21.95" customHeight="1" x14ac:dyDescent="0.25"/>
    <row r="572" ht="21.95" customHeight="1" x14ac:dyDescent="0.25"/>
    <row r="573" ht="21.95" customHeight="1" x14ac:dyDescent="0.25"/>
    <row r="574" ht="21.95" customHeight="1" x14ac:dyDescent="0.25"/>
    <row r="575" ht="21.95" customHeight="1" x14ac:dyDescent="0.25"/>
    <row r="576" ht="21.95" customHeight="1" x14ac:dyDescent="0.25"/>
    <row r="577" ht="21.95" customHeight="1" x14ac:dyDescent="0.25"/>
    <row r="578" ht="21.95" customHeight="1" x14ac:dyDescent="0.25"/>
    <row r="579" ht="21.95" customHeight="1" x14ac:dyDescent="0.25"/>
    <row r="580" ht="21.95" customHeight="1" x14ac:dyDescent="0.25"/>
    <row r="581" ht="21.95" customHeight="1" x14ac:dyDescent="0.25"/>
    <row r="582" ht="21.95" customHeight="1" x14ac:dyDescent="0.25"/>
    <row r="583" ht="21.95" customHeight="1" x14ac:dyDescent="0.25"/>
    <row r="584" ht="21.95" customHeight="1" x14ac:dyDescent="0.25"/>
    <row r="585" ht="21.95" customHeight="1" x14ac:dyDescent="0.25"/>
    <row r="586" ht="21.95" customHeight="1" x14ac:dyDescent="0.25"/>
    <row r="587" ht="21.95" customHeight="1" x14ac:dyDescent="0.25"/>
    <row r="588" ht="21.95" customHeight="1" x14ac:dyDescent="0.25"/>
    <row r="589" ht="21.95" customHeight="1" x14ac:dyDescent="0.25"/>
    <row r="590" ht="21.95" customHeight="1" x14ac:dyDescent="0.25"/>
    <row r="591" ht="21.95" customHeight="1" x14ac:dyDescent="0.25"/>
    <row r="592" ht="21.95" customHeight="1" x14ac:dyDescent="0.25"/>
    <row r="593" ht="21.95" customHeight="1" x14ac:dyDescent="0.25"/>
    <row r="594" ht="21.95" customHeight="1" x14ac:dyDescent="0.25"/>
    <row r="595" ht="21.95" customHeight="1" x14ac:dyDescent="0.25"/>
    <row r="596" ht="21.95" customHeight="1" x14ac:dyDescent="0.25"/>
    <row r="597" ht="21.95" customHeight="1" x14ac:dyDescent="0.25"/>
    <row r="598" ht="21.95" customHeight="1" x14ac:dyDescent="0.25"/>
    <row r="599" ht="21.95" customHeight="1" x14ac:dyDescent="0.25"/>
    <row r="600" ht="21.95" customHeight="1" x14ac:dyDescent="0.25"/>
    <row r="601" ht="21.95" customHeight="1" x14ac:dyDescent="0.25"/>
    <row r="602" ht="21.95" customHeight="1" x14ac:dyDescent="0.25"/>
    <row r="603" ht="21.95" customHeight="1" x14ac:dyDescent="0.25"/>
    <row r="604" ht="21.95" customHeight="1" x14ac:dyDescent="0.25"/>
    <row r="605" ht="21.95" customHeight="1" x14ac:dyDescent="0.25"/>
    <row r="606" ht="21.95" customHeight="1" x14ac:dyDescent="0.25"/>
    <row r="607" ht="21.95" customHeight="1" x14ac:dyDescent="0.25"/>
    <row r="608" ht="21.95" customHeight="1" x14ac:dyDescent="0.25"/>
    <row r="609" ht="21.95" customHeight="1" x14ac:dyDescent="0.25"/>
    <row r="610" ht="21.95" customHeight="1" x14ac:dyDescent="0.25"/>
    <row r="611" ht="21.95" customHeight="1" x14ac:dyDescent="0.25"/>
    <row r="612" ht="21.95" customHeight="1" x14ac:dyDescent="0.25"/>
    <row r="613" ht="21.95" customHeight="1" x14ac:dyDescent="0.25"/>
    <row r="614" ht="21.95" customHeight="1" x14ac:dyDescent="0.25"/>
    <row r="615" ht="21.95" customHeight="1" x14ac:dyDescent="0.25"/>
    <row r="616" ht="21.95" customHeight="1" x14ac:dyDescent="0.25"/>
    <row r="617" ht="21.95" customHeight="1" x14ac:dyDescent="0.25"/>
    <row r="618" ht="21.95" customHeight="1" x14ac:dyDescent="0.25"/>
    <row r="619" ht="21.95" customHeight="1" x14ac:dyDescent="0.25"/>
    <row r="620" ht="21.95" customHeight="1" x14ac:dyDescent="0.25"/>
    <row r="621" ht="21.95" customHeight="1" x14ac:dyDescent="0.25"/>
    <row r="622" ht="21.95" customHeight="1" x14ac:dyDescent="0.25"/>
    <row r="623" ht="21.95" customHeight="1" x14ac:dyDescent="0.25"/>
    <row r="624" ht="21.95" customHeight="1" x14ac:dyDescent="0.25"/>
    <row r="625" ht="21.95" customHeight="1" x14ac:dyDescent="0.25"/>
    <row r="626" ht="21.95" customHeight="1" x14ac:dyDescent="0.25"/>
    <row r="627" ht="21.95" customHeight="1" x14ac:dyDescent="0.25"/>
    <row r="628" ht="21.95" customHeight="1" x14ac:dyDescent="0.25"/>
    <row r="629" ht="21.95" customHeight="1" x14ac:dyDescent="0.25"/>
    <row r="630" ht="21.95" customHeight="1" x14ac:dyDescent="0.25"/>
    <row r="631" ht="21.95" customHeight="1" x14ac:dyDescent="0.25"/>
    <row r="632" ht="21.95" customHeight="1" x14ac:dyDescent="0.25"/>
    <row r="633" ht="21.95" customHeight="1" x14ac:dyDescent="0.25"/>
    <row r="634" ht="21.95" customHeight="1" x14ac:dyDescent="0.25"/>
    <row r="635" ht="21.95" customHeight="1" x14ac:dyDescent="0.25"/>
    <row r="636" ht="21.95" customHeight="1" x14ac:dyDescent="0.25"/>
    <row r="637" ht="21.95" customHeight="1" x14ac:dyDescent="0.25"/>
    <row r="638" ht="21.95" customHeight="1" x14ac:dyDescent="0.25"/>
    <row r="639" ht="21.95" customHeight="1" x14ac:dyDescent="0.25"/>
    <row r="640" ht="21.95" customHeight="1" x14ac:dyDescent="0.25"/>
    <row r="641" ht="21.95" customHeight="1" x14ac:dyDescent="0.25"/>
    <row r="642" ht="21.95" customHeight="1" x14ac:dyDescent="0.25"/>
    <row r="643" ht="21.95" customHeight="1" x14ac:dyDescent="0.25"/>
    <row r="644" ht="21.95" customHeight="1" x14ac:dyDescent="0.25"/>
    <row r="645" ht="21.95" customHeight="1" x14ac:dyDescent="0.25"/>
    <row r="646" ht="21.95" customHeight="1" x14ac:dyDescent="0.25"/>
    <row r="647" ht="21.95" customHeight="1" x14ac:dyDescent="0.25"/>
    <row r="648" ht="21.95" customHeight="1" x14ac:dyDescent="0.25"/>
    <row r="649" ht="21.95" customHeight="1" x14ac:dyDescent="0.25"/>
    <row r="650" ht="21.95" customHeight="1" x14ac:dyDescent="0.25"/>
    <row r="651" ht="21.95" customHeight="1" x14ac:dyDescent="0.25"/>
    <row r="652" ht="21.95" customHeight="1" x14ac:dyDescent="0.25"/>
    <row r="653" ht="21.95" customHeight="1" x14ac:dyDescent="0.25"/>
    <row r="654" ht="21.95" customHeight="1" x14ac:dyDescent="0.25"/>
    <row r="655" ht="21.95" customHeight="1" x14ac:dyDescent="0.25"/>
    <row r="656" ht="21.95" customHeight="1" x14ac:dyDescent="0.25"/>
    <row r="657" ht="21.95" customHeight="1" x14ac:dyDescent="0.25"/>
    <row r="658" ht="21.95" customHeight="1" x14ac:dyDescent="0.25"/>
    <row r="659" ht="21.95" customHeight="1" x14ac:dyDescent="0.25"/>
    <row r="660" ht="21.95" customHeight="1" x14ac:dyDescent="0.25"/>
    <row r="661" ht="21.95" customHeight="1" x14ac:dyDescent="0.25"/>
    <row r="662" ht="21.95" customHeight="1" x14ac:dyDescent="0.25"/>
    <row r="663" ht="21.95" customHeight="1" x14ac:dyDescent="0.25"/>
    <row r="664" ht="21.95" customHeight="1" x14ac:dyDescent="0.25"/>
    <row r="665" ht="21.95" customHeight="1" x14ac:dyDescent="0.25"/>
    <row r="666" ht="21.95" customHeight="1" x14ac:dyDescent="0.25"/>
    <row r="667" ht="21.95" customHeight="1" x14ac:dyDescent="0.25"/>
    <row r="668" ht="21.95" customHeight="1" x14ac:dyDescent="0.25"/>
    <row r="669" ht="21.95" customHeight="1" x14ac:dyDescent="0.25"/>
    <row r="670" ht="21.95" customHeight="1" x14ac:dyDescent="0.25"/>
    <row r="671" ht="21.95" customHeight="1" x14ac:dyDescent="0.25"/>
    <row r="672" ht="21.95" customHeight="1" x14ac:dyDescent="0.25"/>
    <row r="673" ht="21.95" customHeight="1" x14ac:dyDescent="0.25"/>
    <row r="674" ht="21.95" customHeight="1" x14ac:dyDescent="0.25"/>
    <row r="675" ht="21.95" customHeight="1" x14ac:dyDescent="0.25"/>
    <row r="676" ht="21.95" customHeight="1" x14ac:dyDescent="0.25"/>
    <row r="677" ht="21.95" customHeight="1" x14ac:dyDescent="0.25"/>
    <row r="678" ht="21.95" customHeight="1" x14ac:dyDescent="0.25"/>
    <row r="679" ht="21.95" customHeight="1" x14ac:dyDescent="0.25"/>
    <row r="680" ht="21.95" customHeight="1" x14ac:dyDescent="0.25"/>
    <row r="681" ht="21.95" customHeight="1" x14ac:dyDescent="0.25"/>
    <row r="682" ht="21.95" customHeight="1" x14ac:dyDescent="0.25"/>
    <row r="683" ht="21.95" customHeight="1" x14ac:dyDescent="0.25"/>
    <row r="684" ht="21.95" customHeight="1" x14ac:dyDescent="0.25"/>
    <row r="685" ht="21.95" customHeight="1" x14ac:dyDescent="0.25"/>
    <row r="686" ht="21.95" customHeight="1" x14ac:dyDescent="0.25"/>
    <row r="687" ht="21.95" customHeight="1" x14ac:dyDescent="0.25"/>
    <row r="688" ht="21.95" customHeight="1" x14ac:dyDescent="0.25"/>
    <row r="689" ht="21.95" customHeight="1" x14ac:dyDescent="0.25"/>
    <row r="690" ht="21.95" customHeight="1" x14ac:dyDescent="0.25"/>
    <row r="691" ht="21.95" customHeight="1" x14ac:dyDescent="0.25"/>
    <row r="692" ht="21.95" customHeight="1" x14ac:dyDescent="0.25"/>
    <row r="693" ht="21.95" customHeight="1" x14ac:dyDescent="0.25"/>
    <row r="694" ht="21.95" customHeight="1" x14ac:dyDescent="0.25"/>
    <row r="695" ht="21.95" customHeight="1" x14ac:dyDescent="0.25"/>
    <row r="696" ht="21.95" customHeight="1" x14ac:dyDescent="0.25"/>
    <row r="697" ht="21.95" customHeight="1" x14ac:dyDescent="0.25"/>
    <row r="698" ht="21.95" customHeight="1" x14ac:dyDescent="0.25"/>
    <row r="699" ht="21.95" customHeight="1" x14ac:dyDescent="0.25"/>
    <row r="700" ht="21.95" customHeight="1" x14ac:dyDescent="0.25"/>
    <row r="701" ht="21.95" customHeight="1" x14ac:dyDescent="0.25"/>
    <row r="702" ht="21.95" customHeight="1" x14ac:dyDescent="0.25"/>
    <row r="703" ht="21.95" customHeight="1" x14ac:dyDescent="0.25"/>
    <row r="704" ht="21.95" customHeight="1" x14ac:dyDescent="0.25"/>
    <row r="705" ht="21.95" customHeight="1" x14ac:dyDescent="0.25"/>
    <row r="706" ht="21.95" customHeight="1" x14ac:dyDescent="0.25"/>
    <row r="707" ht="21.95" customHeight="1" x14ac:dyDescent="0.25"/>
    <row r="708" ht="21.95" customHeight="1" x14ac:dyDescent="0.25"/>
    <row r="709" ht="21.95" customHeight="1" x14ac:dyDescent="0.25"/>
    <row r="710" ht="21.95" customHeight="1" x14ac:dyDescent="0.25"/>
    <row r="711" ht="21.95" customHeight="1" x14ac:dyDescent="0.25"/>
    <row r="712" ht="21.95" customHeight="1" x14ac:dyDescent="0.25"/>
    <row r="713" ht="21.95" customHeight="1" x14ac:dyDescent="0.25"/>
    <row r="714" ht="21.95" customHeight="1" x14ac:dyDescent="0.25"/>
    <row r="715" ht="21.95" customHeight="1" x14ac:dyDescent="0.25"/>
    <row r="716" ht="21.95" customHeight="1" x14ac:dyDescent="0.25"/>
    <row r="717" ht="21.95" customHeight="1" x14ac:dyDescent="0.25"/>
    <row r="718" ht="21.95" customHeight="1" x14ac:dyDescent="0.25"/>
    <row r="719" ht="21.95" customHeight="1" x14ac:dyDescent="0.25"/>
    <row r="720" ht="21.95" customHeight="1" x14ac:dyDescent="0.25"/>
    <row r="721" ht="21.95" customHeight="1" x14ac:dyDescent="0.25"/>
    <row r="722" ht="21.95" customHeight="1" x14ac:dyDescent="0.25"/>
    <row r="723" ht="21.95" customHeight="1" x14ac:dyDescent="0.25"/>
    <row r="724" ht="21.95" customHeight="1" x14ac:dyDescent="0.25"/>
    <row r="725" ht="21.95" customHeight="1" x14ac:dyDescent="0.25"/>
    <row r="726" ht="21.95" customHeight="1" x14ac:dyDescent="0.25"/>
    <row r="727" ht="21.95" customHeight="1" x14ac:dyDescent="0.25"/>
    <row r="728" ht="21.95" customHeight="1" x14ac:dyDescent="0.25"/>
    <row r="729" ht="21.95" customHeight="1" x14ac:dyDescent="0.25"/>
    <row r="730" ht="21.95" customHeight="1" x14ac:dyDescent="0.25"/>
    <row r="731" ht="21.95" customHeight="1" x14ac:dyDescent="0.25"/>
    <row r="732" ht="21.95" customHeight="1" x14ac:dyDescent="0.25"/>
    <row r="733" ht="21.95" customHeight="1" x14ac:dyDescent="0.25"/>
    <row r="734" ht="21.95" customHeight="1" x14ac:dyDescent="0.25"/>
    <row r="735" ht="21.95" customHeight="1" x14ac:dyDescent="0.25"/>
    <row r="736" ht="21.95" customHeight="1" x14ac:dyDescent="0.25"/>
    <row r="737" ht="21.95" customHeight="1" x14ac:dyDescent="0.25"/>
    <row r="738" ht="21.95" customHeight="1" x14ac:dyDescent="0.25"/>
    <row r="739" ht="21.95" customHeight="1" x14ac:dyDescent="0.25"/>
    <row r="740" ht="21.95" customHeight="1" x14ac:dyDescent="0.25"/>
    <row r="741" ht="21.95" customHeight="1" x14ac:dyDescent="0.25"/>
    <row r="742" ht="21.95" customHeight="1" x14ac:dyDescent="0.25"/>
    <row r="743" ht="21.95" customHeight="1" x14ac:dyDescent="0.25"/>
    <row r="744" ht="21.95" customHeight="1" x14ac:dyDescent="0.25"/>
    <row r="745" ht="21.95" customHeight="1" x14ac:dyDescent="0.25"/>
    <row r="746" ht="21.95" customHeight="1" x14ac:dyDescent="0.25"/>
    <row r="747" ht="21.95" customHeight="1" x14ac:dyDescent="0.25"/>
    <row r="748" ht="21.95" customHeight="1" x14ac:dyDescent="0.25"/>
    <row r="749" ht="21.95" customHeight="1" x14ac:dyDescent="0.25"/>
    <row r="750" ht="21.95" customHeight="1" x14ac:dyDescent="0.25"/>
    <row r="751" ht="21.95" customHeight="1" x14ac:dyDescent="0.25"/>
    <row r="752" ht="21.95" customHeight="1" x14ac:dyDescent="0.25"/>
    <row r="753" ht="21.95" customHeight="1" x14ac:dyDescent="0.25"/>
    <row r="754" ht="21.95" customHeight="1" x14ac:dyDescent="0.25"/>
    <row r="755" ht="21.95" customHeight="1" x14ac:dyDescent="0.25"/>
    <row r="756" ht="21.95" customHeight="1" x14ac:dyDescent="0.25"/>
    <row r="757" ht="21.95" customHeight="1" x14ac:dyDescent="0.25"/>
    <row r="758" ht="21.95" customHeight="1" x14ac:dyDescent="0.25"/>
    <row r="759" ht="21.95" customHeight="1" x14ac:dyDescent="0.25"/>
    <row r="760" ht="21.95" customHeight="1" x14ac:dyDescent="0.25"/>
    <row r="761" ht="21.95" customHeight="1" x14ac:dyDescent="0.25"/>
    <row r="762" ht="21.95" customHeight="1" x14ac:dyDescent="0.25"/>
    <row r="763" ht="21.95" customHeight="1" x14ac:dyDescent="0.25"/>
    <row r="764" ht="21.95" customHeight="1" x14ac:dyDescent="0.25"/>
    <row r="765" ht="21.95" customHeight="1" x14ac:dyDescent="0.25"/>
    <row r="766" ht="21.95" customHeight="1" x14ac:dyDescent="0.25"/>
    <row r="767" ht="21.95" customHeight="1" x14ac:dyDescent="0.25"/>
    <row r="768" ht="21.95" customHeight="1" x14ac:dyDescent="0.25"/>
    <row r="769" ht="21.95" customHeight="1" x14ac:dyDescent="0.25"/>
    <row r="770" ht="21.95" customHeight="1" x14ac:dyDescent="0.25"/>
    <row r="771" ht="21.95" customHeight="1" x14ac:dyDescent="0.25"/>
    <row r="772" ht="21.95" customHeight="1" x14ac:dyDescent="0.25"/>
    <row r="773" ht="21.95" customHeight="1" x14ac:dyDescent="0.25"/>
    <row r="774" ht="21.95" customHeight="1" x14ac:dyDescent="0.25"/>
    <row r="775" ht="21.95" customHeight="1" x14ac:dyDescent="0.25"/>
    <row r="776" ht="21.95" customHeight="1" x14ac:dyDescent="0.25"/>
    <row r="777" ht="21.95" customHeight="1" x14ac:dyDescent="0.25"/>
    <row r="778" ht="21.95" customHeight="1" x14ac:dyDescent="0.25"/>
    <row r="779" ht="21.95" customHeight="1" x14ac:dyDescent="0.25"/>
    <row r="780" ht="21.95" customHeight="1" x14ac:dyDescent="0.25"/>
    <row r="781" ht="21.95" customHeight="1" x14ac:dyDescent="0.25"/>
    <row r="782" ht="21.95" customHeight="1" x14ac:dyDescent="0.25"/>
    <row r="783" ht="21.95" customHeight="1" x14ac:dyDescent="0.25"/>
    <row r="784" ht="21.95" customHeight="1" x14ac:dyDescent="0.25"/>
    <row r="785" ht="21.95" customHeight="1" x14ac:dyDescent="0.25"/>
    <row r="786" ht="21.95" customHeight="1" x14ac:dyDescent="0.25"/>
    <row r="787" ht="21.95" customHeight="1" x14ac:dyDescent="0.25"/>
    <row r="788" ht="21.95" customHeight="1" x14ac:dyDescent="0.25"/>
    <row r="789" ht="21.95" customHeight="1" x14ac:dyDescent="0.25"/>
    <row r="790" ht="21.95" customHeight="1" x14ac:dyDescent="0.25"/>
    <row r="791" ht="21.95" customHeight="1" x14ac:dyDescent="0.25"/>
    <row r="792" ht="21.95" customHeight="1" x14ac:dyDescent="0.25"/>
    <row r="793" ht="21.95" customHeight="1" x14ac:dyDescent="0.25"/>
    <row r="794" ht="21.95" customHeight="1" x14ac:dyDescent="0.25"/>
    <row r="795" ht="21.95" customHeight="1" x14ac:dyDescent="0.25"/>
    <row r="796" ht="21.95" customHeight="1" x14ac:dyDescent="0.25"/>
    <row r="797" ht="21.95" customHeight="1" x14ac:dyDescent="0.25"/>
    <row r="798" ht="21.95" customHeight="1" x14ac:dyDescent="0.25"/>
    <row r="799" ht="21.95" customHeight="1" x14ac:dyDescent="0.25"/>
    <row r="800" ht="21.95" customHeight="1" x14ac:dyDescent="0.25"/>
    <row r="801" ht="21.95" customHeight="1" x14ac:dyDescent="0.25"/>
    <row r="802" ht="21.95" customHeight="1" x14ac:dyDescent="0.25"/>
    <row r="803" ht="21.95" customHeight="1" x14ac:dyDescent="0.25"/>
    <row r="804" ht="21.95" customHeight="1" x14ac:dyDescent="0.25"/>
    <row r="805" ht="21.95" customHeight="1" x14ac:dyDescent="0.25"/>
    <row r="806" ht="21.95" customHeight="1" x14ac:dyDescent="0.25"/>
    <row r="807" ht="21.95" customHeight="1" x14ac:dyDescent="0.25"/>
    <row r="808" ht="21.95" customHeight="1" x14ac:dyDescent="0.25"/>
    <row r="809" ht="21.95" customHeight="1" x14ac:dyDescent="0.25"/>
    <row r="810" ht="21.95" customHeight="1" x14ac:dyDescent="0.25"/>
    <row r="811" ht="21.95" customHeight="1" x14ac:dyDescent="0.25"/>
    <row r="812" ht="21.95" customHeight="1" x14ac:dyDescent="0.25"/>
    <row r="813" ht="21.95" customHeight="1" x14ac:dyDescent="0.25"/>
    <row r="814" ht="21.95" customHeight="1" x14ac:dyDescent="0.25"/>
    <row r="815" ht="21.95" customHeight="1" x14ac:dyDescent="0.25"/>
    <row r="816" ht="21.95" customHeight="1" x14ac:dyDescent="0.25"/>
    <row r="817" ht="21.95" customHeight="1" x14ac:dyDescent="0.25"/>
    <row r="818" ht="21.95" customHeight="1" x14ac:dyDescent="0.25"/>
    <row r="819" ht="21.95" customHeight="1" x14ac:dyDescent="0.25"/>
    <row r="820" ht="21.95" customHeight="1" x14ac:dyDescent="0.25"/>
    <row r="821" ht="21.95" customHeight="1" x14ac:dyDescent="0.25"/>
    <row r="822" ht="21.95" customHeight="1" x14ac:dyDescent="0.25"/>
    <row r="823" ht="21.95" customHeight="1" x14ac:dyDescent="0.25"/>
    <row r="824" ht="21.95" customHeight="1" x14ac:dyDescent="0.25"/>
    <row r="825" ht="21.95" customHeight="1" x14ac:dyDescent="0.25"/>
    <row r="826" ht="21.95" customHeight="1" x14ac:dyDescent="0.25"/>
    <row r="827" ht="21.95" customHeight="1" x14ac:dyDescent="0.25"/>
    <row r="828" ht="21.95" customHeight="1" x14ac:dyDescent="0.25"/>
    <row r="829" ht="21.95" customHeight="1" x14ac:dyDescent="0.25"/>
    <row r="830" ht="21.95" customHeight="1" x14ac:dyDescent="0.25"/>
    <row r="831" ht="21.95" customHeight="1" x14ac:dyDescent="0.25"/>
    <row r="832" ht="21.95" customHeight="1" x14ac:dyDescent="0.25"/>
    <row r="833" ht="21.95" customHeight="1" x14ac:dyDescent="0.25"/>
    <row r="834" ht="21.95" customHeight="1" x14ac:dyDescent="0.25"/>
    <row r="835" ht="21.95" customHeight="1" x14ac:dyDescent="0.25"/>
    <row r="836" ht="21.95" customHeight="1" x14ac:dyDescent="0.25"/>
    <row r="837" ht="21.95" customHeight="1" x14ac:dyDescent="0.25"/>
    <row r="838" ht="21.95" customHeight="1" x14ac:dyDescent="0.25"/>
    <row r="839" ht="21.95" customHeight="1" x14ac:dyDescent="0.25"/>
    <row r="840" ht="21.95" customHeight="1" x14ac:dyDescent="0.25"/>
    <row r="841" ht="21.95" customHeight="1" x14ac:dyDescent="0.25"/>
    <row r="842" ht="21.95" customHeight="1" x14ac:dyDescent="0.25"/>
    <row r="843" ht="21.95" customHeight="1" x14ac:dyDescent="0.25"/>
    <row r="844" ht="21.95" customHeight="1" x14ac:dyDescent="0.25"/>
    <row r="845" ht="21.95" customHeight="1" x14ac:dyDescent="0.25"/>
    <row r="846" ht="21.95" customHeight="1" x14ac:dyDescent="0.25"/>
    <row r="847" ht="21.95" customHeight="1" x14ac:dyDescent="0.25"/>
    <row r="848" ht="21.95" customHeight="1" x14ac:dyDescent="0.25"/>
    <row r="849" ht="21.95" customHeight="1" x14ac:dyDescent="0.25"/>
    <row r="850" ht="21.95" customHeight="1" x14ac:dyDescent="0.25"/>
    <row r="851" ht="21.95" customHeight="1" x14ac:dyDescent="0.25"/>
    <row r="852" ht="21.95" customHeight="1" x14ac:dyDescent="0.25"/>
    <row r="853" ht="21.95" customHeight="1" x14ac:dyDescent="0.25"/>
    <row r="854" ht="21.95" customHeight="1" x14ac:dyDescent="0.25"/>
    <row r="855" ht="21.95" customHeight="1" x14ac:dyDescent="0.25"/>
    <row r="856" ht="21.95" customHeight="1" x14ac:dyDescent="0.25"/>
    <row r="857" ht="21.95" customHeight="1" x14ac:dyDescent="0.25"/>
    <row r="858" ht="21.95" customHeight="1" x14ac:dyDescent="0.25"/>
    <row r="859" ht="21.95" customHeight="1" x14ac:dyDescent="0.25"/>
    <row r="860" ht="21.95" customHeight="1" x14ac:dyDescent="0.25"/>
    <row r="861" ht="21.95" customHeight="1" x14ac:dyDescent="0.25"/>
    <row r="862" ht="21.95" customHeight="1" x14ac:dyDescent="0.25"/>
    <row r="863" ht="21.95" customHeight="1" x14ac:dyDescent="0.25"/>
    <row r="864" ht="21.95" customHeight="1" x14ac:dyDescent="0.25"/>
    <row r="865" ht="21.95" customHeight="1" x14ac:dyDescent="0.25"/>
    <row r="866" ht="21.95" customHeight="1" x14ac:dyDescent="0.25"/>
    <row r="867" ht="21.95" customHeight="1" x14ac:dyDescent="0.25"/>
    <row r="868" ht="21.95" customHeight="1" x14ac:dyDescent="0.25"/>
    <row r="869" ht="21.95" customHeight="1" x14ac:dyDescent="0.25"/>
    <row r="870" ht="21.95" customHeight="1" x14ac:dyDescent="0.25"/>
    <row r="871" ht="21.95" customHeight="1" x14ac:dyDescent="0.25"/>
    <row r="872" ht="21.95" customHeight="1" x14ac:dyDescent="0.25"/>
    <row r="873" ht="21.95" customHeight="1" x14ac:dyDescent="0.25"/>
    <row r="874" ht="21.95" customHeight="1" x14ac:dyDescent="0.25"/>
    <row r="875" ht="21.95" customHeight="1" x14ac:dyDescent="0.25"/>
    <row r="876" ht="21.95" customHeight="1" x14ac:dyDescent="0.25"/>
    <row r="877" ht="21.95" customHeight="1" x14ac:dyDescent="0.25"/>
    <row r="878" ht="21.95" customHeight="1" x14ac:dyDescent="0.25"/>
    <row r="879" ht="21.95" customHeight="1" x14ac:dyDescent="0.25"/>
    <row r="880" ht="21.95" customHeight="1" x14ac:dyDescent="0.25"/>
    <row r="881" ht="21.95" customHeight="1" x14ac:dyDescent="0.25"/>
    <row r="882" ht="21.95" customHeight="1" x14ac:dyDescent="0.25"/>
    <row r="883" ht="21.95" customHeight="1" x14ac:dyDescent="0.25"/>
    <row r="884" ht="21.95" customHeight="1" x14ac:dyDescent="0.25"/>
    <row r="885" ht="21.95" customHeight="1" x14ac:dyDescent="0.25"/>
    <row r="886" ht="21.95" customHeight="1" x14ac:dyDescent="0.25"/>
    <row r="887" ht="21.95" customHeight="1" x14ac:dyDescent="0.25"/>
    <row r="888" ht="21.95" customHeight="1" x14ac:dyDescent="0.25"/>
    <row r="889" ht="21.95" customHeight="1" x14ac:dyDescent="0.25"/>
    <row r="890" ht="21.95" customHeight="1" x14ac:dyDescent="0.25"/>
    <row r="891" ht="21.95" customHeight="1" x14ac:dyDescent="0.25"/>
    <row r="892" ht="21.95" customHeight="1" x14ac:dyDescent="0.25"/>
    <row r="893" ht="21.95" customHeight="1" x14ac:dyDescent="0.25"/>
    <row r="894" ht="21.95" customHeight="1" x14ac:dyDescent="0.25"/>
    <row r="895" ht="21.95" customHeight="1" x14ac:dyDescent="0.25"/>
    <row r="896" ht="21.95" customHeight="1" x14ac:dyDescent="0.25"/>
    <row r="897" ht="21.95" customHeight="1" x14ac:dyDescent="0.25"/>
    <row r="898" ht="21.95" customHeight="1" x14ac:dyDescent="0.25"/>
    <row r="899" ht="21.95" customHeight="1" x14ac:dyDescent="0.25"/>
    <row r="900" ht="21.95" customHeight="1" x14ac:dyDescent="0.25"/>
    <row r="901" ht="21.95" customHeight="1" x14ac:dyDescent="0.25"/>
    <row r="902" ht="21.95" customHeight="1" x14ac:dyDescent="0.25"/>
    <row r="903" ht="21.95" customHeight="1" x14ac:dyDescent="0.25"/>
    <row r="904" ht="21.95" customHeight="1" x14ac:dyDescent="0.25"/>
    <row r="905" ht="21.95" customHeight="1" x14ac:dyDescent="0.25"/>
    <row r="906" ht="21.95" customHeight="1" x14ac:dyDescent="0.25"/>
    <row r="907" ht="21.95" customHeight="1" x14ac:dyDescent="0.25"/>
    <row r="908" ht="21.95" customHeight="1" x14ac:dyDescent="0.25"/>
    <row r="909" ht="21.95" customHeight="1" x14ac:dyDescent="0.25"/>
    <row r="910" ht="21.95" customHeight="1" x14ac:dyDescent="0.25"/>
    <row r="911" ht="21.95" customHeight="1" x14ac:dyDescent="0.25"/>
    <row r="912" ht="21.95" customHeight="1" x14ac:dyDescent="0.25"/>
    <row r="913" ht="21.95" customHeight="1" x14ac:dyDescent="0.25"/>
    <row r="914" ht="21.95" customHeight="1" x14ac:dyDescent="0.25"/>
    <row r="915" ht="21.95" customHeight="1" x14ac:dyDescent="0.25"/>
    <row r="916" ht="21.95" customHeight="1" x14ac:dyDescent="0.25"/>
    <row r="917" ht="21.95" customHeight="1" x14ac:dyDescent="0.25"/>
    <row r="918" ht="21.95" customHeight="1" x14ac:dyDescent="0.25"/>
    <row r="919" ht="21.95" customHeight="1" x14ac:dyDescent="0.25"/>
    <row r="920" ht="21.95" customHeight="1" x14ac:dyDescent="0.25"/>
    <row r="921" ht="21.95" customHeight="1" x14ac:dyDescent="0.25"/>
    <row r="922" ht="21.95" customHeight="1" x14ac:dyDescent="0.25"/>
    <row r="923" ht="21.95" customHeight="1" x14ac:dyDescent="0.25"/>
    <row r="924" ht="21.95" customHeight="1" x14ac:dyDescent="0.25"/>
    <row r="925" ht="21.95" customHeight="1" x14ac:dyDescent="0.25"/>
    <row r="926" ht="21.95" customHeight="1" x14ac:dyDescent="0.25"/>
    <row r="927" ht="21.95" customHeight="1" x14ac:dyDescent="0.25"/>
    <row r="928" ht="21.95" customHeight="1" x14ac:dyDescent="0.25"/>
    <row r="929" ht="21.95" customHeight="1" x14ac:dyDescent="0.25"/>
    <row r="930" ht="21.95" customHeight="1" x14ac:dyDescent="0.25"/>
    <row r="931" ht="21.95" customHeight="1" x14ac:dyDescent="0.25"/>
    <row r="932" ht="21.95" customHeight="1" x14ac:dyDescent="0.25"/>
    <row r="933" ht="21.95" customHeight="1" x14ac:dyDescent="0.25"/>
    <row r="934" ht="21.95" customHeight="1" x14ac:dyDescent="0.25"/>
    <row r="935" ht="21.95" customHeight="1" x14ac:dyDescent="0.25"/>
    <row r="936" ht="21.95" customHeight="1" x14ac:dyDescent="0.25"/>
    <row r="937" ht="21.95" customHeight="1" x14ac:dyDescent="0.25"/>
    <row r="938" ht="21.95" customHeight="1" x14ac:dyDescent="0.25"/>
    <row r="939" ht="21.95" customHeight="1" x14ac:dyDescent="0.25"/>
    <row r="940" ht="21.95" customHeight="1" x14ac:dyDescent="0.25"/>
    <row r="941" ht="21.95" customHeight="1" x14ac:dyDescent="0.25"/>
    <row r="942" ht="21.95" customHeight="1" x14ac:dyDescent="0.25"/>
    <row r="943" ht="21.95" customHeight="1" x14ac:dyDescent="0.25"/>
    <row r="944" ht="21.95" customHeight="1" x14ac:dyDescent="0.25"/>
    <row r="945" ht="21.95" customHeight="1" x14ac:dyDescent="0.25"/>
    <row r="946" ht="21.95" customHeight="1" x14ac:dyDescent="0.25"/>
    <row r="947" ht="21.95" customHeight="1" x14ac:dyDescent="0.25"/>
    <row r="948" ht="21.95" customHeight="1" x14ac:dyDescent="0.25"/>
    <row r="949" ht="21.95" customHeight="1" x14ac:dyDescent="0.25"/>
    <row r="950" ht="21.95" customHeight="1" x14ac:dyDescent="0.25"/>
    <row r="951" ht="21.95" customHeight="1" x14ac:dyDescent="0.25"/>
    <row r="952" ht="21.95" customHeight="1" x14ac:dyDescent="0.25"/>
    <row r="953" ht="21.95" customHeight="1" x14ac:dyDescent="0.25"/>
    <row r="954" ht="21.95" customHeight="1" x14ac:dyDescent="0.25"/>
    <row r="955" ht="21.95" customHeight="1" x14ac:dyDescent="0.25"/>
    <row r="956" ht="21.95" customHeight="1" x14ac:dyDescent="0.25"/>
    <row r="957" ht="21.95" customHeight="1" x14ac:dyDescent="0.25"/>
    <row r="958" ht="21.95" customHeight="1" x14ac:dyDescent="0.25"/>
    <row r="959" ht="21.95" customHeight="1" x14ac:dyDescent="0.25"/>
    <row r="960" ht="21.95" customHeight="1" x14ac:dyDescent="0.25"/>
    <row r="961" ht="21.95" customHeight="1" x14ac:dyDescent="0.25"/>
    <row r="962" ht="21.95" customHeight="1" x14ac:dyDescent="0.25"/>
    <row r="963" ht="21.95" customHeight="1" x14ac:dyDescent="0.25"/>
    <row r="964" ht="21.95" customHeight="1" x14ac:dyDescent="0.25"/>
    <row r="965" ht="21.95" customHeight="1" x14ac:dyDescent="0.25"/>
    <row r="966" ht="21.95" customHeight="1" x14ac:dyDescent="0.25"/>
    <row r="967" ht="21.95" customHeight="1" x14ac:dyDescent="0.25"/>
    <row r="968" ht="21.95" customHeight="1" x14ac:dyDescent="0.25"/>
    <row r="969" ht="21.95" customHeight="1" x14ac:dyDescent="0.25"/>
    <row r="970" ht="21.95" customHeight="1" x14ac:dyDescent="0.25"/>
    <row r="971" ht="21.95" customHeight="1" x14ac:dyDescent="0.25"/>
    <row r="972" ht="21.95" customHeight="1" x14ac:dyDescent="0.25"/>
    <row r="973" ht="21.95" customHeight="1" x14ac:dyDescent="0.25"/>
    <row r="974" ht="21.95" customHeight="1" x14ac:dyDescent="0.25"/>
    <row r="975" ht="21.95" customHeight="1" x14ac:dyDescent="0.25"/>
    <row r="976" ht="21.95" customHeight="1" x14ac:dyDescent="0.25"/>
    <row r="977" ht="21.95" customHeight="1" x14ac:dyDescent="0.25"/>
    <row r="978" ht="21.95" customHeight="1" x14ac:dyDescent="0.25"/>
    <row r="979" ht="21.95" customHeight="1" x14ac:dyDescent="0.25"/>
    <row r="980" ht="21.95" customHeight="1" x14ac:dyDescent="0.25"/>
    <row r="981" ht="21.95" customHeight="1" x14ac:dyDescent="0.25"/>
    <row r="982" ht="21.95" customHeight="1" x14ac:dyDescent="0.25"/>
    <row r="983" ht="21.95" customHeight="1" x14ac:dyDescent="0.25"/>
    <row r="984" ht="21.95" customHeight="1" x14ac:dyDescent="0.25"/>
    <row r="985" ht="21.95" customHeight="1" x14ac:dyDescent="0.25"/>
    <row r="986" ht="21.95" customHeight="1" x14ac:dyDescent="0.25"/>
    <row r="987" ht="21.95" customHeight="1" x14ac:dyDescent="0.25"/>
    <row r="988" ht="21.95" customHeight="1" x14ac:dyDescent="0.25"/>
    <row r="989" ht="21.95" customHeight="1" x14ac:dyDescent="0.25"/>
    <row r="990" ht="21.95" customHeight="1" x14ac:dyDescent="0.25"/>
    <row r="991" ht="21.95" customHeight="1" x14ac:dyDescent="0.25"/>
    <row r="992" ht="21.95" customHeight="1" x14ac:dyDescent="0.25"/>
    <row r="993" ht="21.95" customHeight="1" x14ac:dyDescent="0.25"/>
    <row r="994" ht="21.95" customHeight="1" x14ac:dyDescent="0.25"/>
    <row r="995" ht="21.95" customHeight="1" x14ac:dyDescent="0.25"/>
    <row r="996" ht="21.95" customHeight="1" x14ac:dyDescent="0.25"/>
    <row r="997" ht="21.95" customHeight="1" x14ac:dyDescent="0.25"/>
    <row r="998" ht="21.95" customHeight="1" x14ac:dyDescent="0.25"/>
    <row r="999" ht="21.95" customHeight="1" x14ac:dyDescent="0.25"/>
    <row r="1000" ht="21.95" customHeight="1" x14ac:dyDescent="0.25"/>
    <row r="1001" ht="21.95" customHeight="1" x14ac:dyDescent="0.25"/>
    <row r="1002" ht="21.95" customHeight="1" x14ac:dyDescent="0.25"/>
    <row r="1003" ht="21.95" customHeight="1" x14ac:dyDescent="0.25"/>
    <row r="1004" ht="21.95" customHeight="1" x14ac:dyDescent="0.25"/>
    <row r="1005" ht="21.95" customHeight="1" x14ac:dyDescent="0.25"/>
    <row r="1006" ht="21.95" customHeight="1" x14ac:dyDescent="0.25"/>
    <row r="1007" ht="21.95" customHeight="1" x14ac:dyDescent="0.25"/>
    <row r="1008" ht="21.95" customHeight="1" x14ac:dyDescent="0.25"/>
    <row r="1009" ht="21.95" customHeight="1" x14ac:dyDescent="0.25"/>
    <row r="1010" ht="21.95" customHeight="1" x14ac:dyDescent="0.25"/>
    <row r="1011" ht="21.95" customHeight="1" x14ac:dyDescent="0.25"/>
    <row r="1012" ht="21.95" customHeight="1" x14ac:dyDescent="0.25"/>
    <row r="1013" ht="21.95" customHeight="1" x14ac:dyDescent="0.25"/>
    <row r="1014" ht="21.95" customHeight="1" x14ac:dyDescent="0.25"/>
    <row r="1015" ht="21.95" customHeight="1" x14ac:dyDescent="0.25"/>
    <row r="1016" ht="21.95" customHeight="1" x14ac:dyDescent="0.25"/>
    <row r="1017" ht="21.95" customHeight="1" x14ac:dyDescent="0.25"/>
    <row r="1018" ht="21.95" customHeight="1" x14ac:dyDescent="0.25"/>
    <row r="1019" ht="21.95" customHeight="1" x14ac:dyDescent="0.25"/>
    <row r="1020" ht="21.95" customHeight="1" x14ac:dyDescent="0.25"/>
    <row r="1021" ht="21.95" customHeight="1" x14ac:dyDescent="0.25"/>
    <row r="1022" ht="21.95" customHeight="1" x14ac:dyDescent="0.25"/>
    <row r="1023" ht="21.95" customHeight="1" x14ac:dyDescent="0.25"/>
    <row r="1024" ht="21.95" customHeight="1" x14ac:dyDescent="0.25"/>
    <row r="1025" ht="21.95" customHeight="1" x14ac:dyDescent="0.25"/>
    <row r="1026" ht="21.95" customHeight="1" x14ac:dyDescent="0.25"/>
    <row r="1027" ht="21.95" customHeight="1" x14ac:dyDescent="0.25"/>
    <row r="1028" ht="21.95" customHeight="1" x14ac:dyDescent="0.25"/>
    <row r="1029" ht="21.95" customHeight="1" x14ac:dyDescent="0.25"/>
    <row r="1030" ht="21.95" customHeight="1" x14ac:dyDescent="0.25"/>
    <row r="1031" ht="21.95" customHeight="1" x14ac:dyDescent="0.25"/>
    <row r="1032" ht="21.95" customHeight="1" x14ac:dyDescent="0.25"/>
    <row r="1033" ht="21.95" customHeight="1" x14ac:dyDescent="0.25"/>
    <row r="1034" ht="21.95" customHeight="1" x14ac:dyDescent="0.25"/>
    <row r="1035" ht="21.95" customHeight="1" x14ac:dyDescent="0.25"/>
    <row r="1036" ht="21.95" customHeight="1" x14ac:dyDescent="0.25"/>
    <row r="1037" ht="21.95" customHeight="1" x14ac:dyDescent="0.25"/>
    <row r="1038" ht="21.95" customHeight="1" x14ac:dyDescent="0.25"/>
    <row r="1039" ht="21.95" customHeight="1" x14ac:dyDescent="0.25"/>
    <row r="1040" ht="21.95" customHeight="1" x14ac:dyDescent="0.25"/>
    <row r="1041" ht="21.95" customHeight="1" x14ac:dyDescent="0.25"/>
    <row r="1042" ht="21.95" customHeight="1" x14ac:dyDescent="0.25"/>
    <row r="1043" ht="21.95" customHeight="1" x14ac:dyDescent="0.25"/>
    <row r="1044" ht="21.95" customHeight="1" x14ac:dyDescent="0.25"/>
    <row r="1045" ht="21.95" customHeight="1" x14ac:dyDescent="0.25"/>
    <row r="1046" ht="21.95" customHeight="1" x14ac:dyDescent="0.25"/>
    <row r="1047" ht="21.95" customHeight="1" x14ac:dyDescent="0.25"/>
    <row r="1048" ht="21.95" customHeight="1" x14ac:dyDescent="0.25"/>
    <row r="1049" ht="21.95" customHeight="1" x14ac:dyDescent="0.25"/>
    <row r="1050" ht="21.95" customHeight="1" x14ac:dyDescent="0.25"/>
    <row r="1051" ht="21.95" customHeight="1" x14ac:dyDescent="0.25"/>
    <row r="1052" ht="21.95" customHeight="1" x14ac:dyDescent="0.25"/>
    <row r="1053" ht="21.95" customHeight="1" x14ac:dyDescent="0.25"/>
    <row r="1054" ht="21.95" customHeight="1" x14ac:dyDescent="0.25"/>
    <row r="1055" ht="21.95" customHeight="1" x14ac:dyDescent="0.25"/>
    <row r="1056" ht="21.95" customHeight="1" x14ac:dyDescent="0.25"/>
    <row r="1057" ht="21.95" customHeight="1" x14ac:dyDescent="0.25"/>
    <row r="1058" ht="21.95" customHeight="1" x14ac:dyDescent="0.25"/>
    <row r="1059" ht="21.95" customHeight="1" x14ac:dyDescent="0.25"/>
    <row r="1060" ht="21.95" customHeight="1" x14ac:dyDescent="0.25"/>
    <row r="1061" ht="21.95" customHeight="1" x14ac:dyDescent="0.25"/>
    <row r="1062" ht="21.95" customHeight="1" x14ac:dyDescent="0.25"/>
    <row r="1063" ht="21.95" customHeight="1" x14ac:dyDescent="0.25"/>
    <row r="1064" ht="21.95" customHeight="1" x14ac:dyDescent="0.25"/>
    <row r="1065" ht="21.95" customHeight="1" x14ac:dyDescent="0.25"/>
    <row r="1066" ht="21.95" customHeight="1" x14ac:dyDescent="0.25"/>
    <row r="1067" ht="21.95" customHeight="1" x14ac:dyDescent="0.25"/>
    <row r="1068" ht="21.95" customHeight="1" x14ac:dyDescent="0.25"/>
    <row r="1069" ht="21.95" customHeight="1" x14ac:dyDescent="0.25"/>
    <row r="1070" ht="21.95" customHeight="1" x14ac:dyDescent="0.25"/>
    <row r="1071" ht="21.95" customHeight="1" x14ac:dyDescent="0.25"/>
    <row r="1072" ht="21.95" customHeight="1" x14ac:dyDescent="0.25"/>
    <row r="1073" ht="21.95" customHeight="1" x14ac:dyDescent="0.25"/>
    <row r="1074" ht="21.95" customHeight="1" x14ac:dyDescent="0.25"/>
    <row r="1075" ht="21.95" customHeight="1" x14ac:dyDescent="0.25"/>
    <row r="1076" ht="21.95" customHeight="1" x14ac:dyDescent="0.25"/>
    <row r="1077" ht="21.95" customHeight="1" x14ac:dyDescent="0.25"/>
    <row r="1078" ht="21.95" customHeight="1" x14ac:dyDescent="0.25"/>
    <row r="1079" ht="21.95" customHeight="1" x14ac:dyDescent="0.25"/>
    <row r="1080" ht="21.95" customHeight="1" x14ac:dyDescent="0.25"/>
    <row r="1081" ht="21.95" customHeight="1" x14ac:dyDescent="0.25"/>
    <row r="1082" ht="21.95" customHeight="1" x14ac:dyDescent="0.25"/>
    <row r="1083" ht="21.95" customHeight="1" x14ac:dyDescent="0.25"/>
    <row r="1084" ht="21.95" customHeight="1" x14ac:dyDescent="0.25"/>
    <row r="1085" ht="21.95" customHeight="1" x14ac:dyDescent="0.25"/>
    <row r="1086" ht="21.95" customHeight="1" x14ac:dyDescent="0.25"/>
    <row r="1087" ht="21.95" customHeight="1" x14ac:dyDescent="0.25"/>
    <row r="1088" ht="21.95" customHeight="1" x14ac:dyDescent="0.25"/>
    <row r="1089" ht="21.95" customHeight="1" x14ac:dyDescent="0.25"/>
    <row r="1090" ht="21.95" customHeight="1" x14ac:dyDescent="0.25"/>
    <row r="1091" ht="21.95" customHeight="1" x14ac:dyDescent="0.25"/>
    <row r="1092" ht="21.95" customHeight="1" x14ac:dyDescent="0.25"/>
    <row r="1093" ht="21.95" customHeight="1" x14ac:dyDescent="0.25"/>
    <row r="1094" ht="21.95" customHeight="1" x14ac:dyDescent="0.25"/>
    <row r="1095" ht="21.95" customHeight="1" x14ac:dyDescent="0.25"/>
    <row r="1096" ht="21.95" customHeight="1" x14ac:dyDescent="0.25"/>
    <row r="1097" ht="21.95" customHeight="1" x14ac:dyDescent="0.25"/>
    <row r="1098" ht="21.95" customHeight="1" x14ac:dyDescent="0.25"/>
    <row r="1099" ht="21.95" customHeight="1" x14ac:dyDescent="0.25"/>
  </sheetData>
  <mergeCells count="6">
    <mergeCell ref="E4:F4"/>
    <mergeCell ref="A1:G1"/>
    <mergeCell ref="E5:F7"/>
    <mergeCell ref="E10:F10"/>
    <mergeCell ref="E11:F14"/>
    <mergeCell ref="A2:G2"/>
  </mergeCells>
  <dataValidations count="2">
    <dataValidation type="list" allowBlank="1" errorTitle="Tipo no válido" error="Usa solo Ingreso, Gasto o Reserva." promptTitle="Tipo de categoría" prompt="Elige: Ingreso, Gasto o Reserva." sqref="C5:C200" xr:uid="{00000000-0002-0000-0200-000000000000}">
      <formula1>"Ingreso,Gasto,Reserva"</formula1>
    </dataValidation>
    <dataValidation type="list" allowBlank="1" sqref="C5:C200" xr:uid="{00000000-0002-0000-0200-000001000000}">
      <formula1>"Ingreso,Gasto,Reserva"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00"/>
  </sheetPr>
  <dimension ref="A1:AL1098"/>
  <sheetViews>
    <sheetView topLeftCell="A31" workbookViewId="0">
      <selection activeCell="B5" sqref="B5:D6"/>
    </sheetView>
  </sheetViews>
  <sheetFormatPr baseColWidth="10" defaultColWidth="9.140625" defaultRowHeight="15" x14ac:dyDescent="0.25"/>
  <cols>
    <col min="1" max="1" width="18.42578125" style="17" customWidth="1"/>
    <col min="2" max="2" width="18" style="7" customWidth="1"/>
    <col min="3" max="4" width="14" style="7" customWidth="1"/>
    <col min="5" max="5" width="17.28515625" style="7" customWidth="1"/>
    <col min="6" max="6" width="14" style="7" customWidth="1"/>
    <col min="7" max="7" width="18" style="7" customWidth="1"/>
    <col min="8" max="13" width="14" style="7" customWidth="1"/>
    <col min="14" max="14" width="14" style="12" customWidth="1"/>
    <col min="15" max="15" width="14" style="7" customWidth="1"/>
    <col min="20" max="38" width="9.140625" style="12" customWidth="1"/>
  </cols>
  <sheetData>
    <row r="1" spans="1:19" ht="21.95" customHeight="1" x14ac:dyDescent="0.25">
      <c r="A1" s="12"/>
      <c r="B1" s="56" t="s">
        <v>91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71"/>
      <c r="O1" s="57"/>
      <c r="P1" s="12"/>
      <c r="Q1" s="12"/>
      <c r="R1" s="12"/>
      <c r="S1" s="12"/>
    </row>
    <row r="2" spans="1:19" ht="21.95" customHeight="1" x14ac:dyDescent="0.25">
      <c r="A2" s="12"/>
      <c r="B2" s="60" t="s">
        <v>92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71"/>
      <c r="O2" s="57"/>
      <c r="P2" s="12"/>
      <c r="Q2" s="12"/>
      <c r="R2" s="12"/>
      <c r="S2" s="12"/>
    </row>
    <row r="3" spans="1:19" ht="21.95" customHeight="1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O3" s="12"/>
      <c r="P3" s="12"/>
      <c r="Q3" s="12"/>
      <c r="R3" s="12"/>
      <c r="S3" s="12"/>
    </row>
    <row r="4" spans="1:19" ht="21.95" customHeight="1" x14ac:dyDescent="0.25">
      <c r="A4" s="12"/>
      <c r="B4" s="78" t="s">
        <v>93</v>
      </c>
      <c r="C4" s="57"/>
      <c r="D4" s="48"/>
      <c r="E4" s="67" t="s">
        <v>94</v>
      </c>
      <c r="F4" s="42"/>
      <c r="G4" s="43"/>
      <c r="H4" s="67" t="s">
        <v>95</v>
      </c>
      <c r="I4" s="42"/>
      <c r="J4" s="43"/>
      <c r="K4" s="67" t="s">
        <v>96</v>
      </c>
      <c r="L4" s="42"/>
      <c r="M4" s="43"/>
      <c r="O4" s="12"/>
      <c r="P4" s="12"/>
      <c r="Q4" s="12"/>
      <c r="R4" s="12"/>
      <c r="S4" s="12"/>
    </row>
    <row r="5" spans="1:19" ht="21.95" customHeight="1" x14ac:dyDescent="0.25">
      <c r="A5" s="75" t="s">
        <v>41</v>
      </c>
      <c r="B5" s="64" t="s">
        <v>97</v>
      </c>
      <c r="C5" s="65"/>
      <c r="D5" s="46"/>
      <c r="E5" s="68">
        <f>'Resumen Mensual'!$O$5</f>
        <v>1450000</v>
      </c>
      <c r="F5" s="65"/>
      <c r="G5" s="46"/>
      <c r="H5" s="68">
        <f>'Resumen Mensual'!$O$6</f>
        <v>2330000</v>
      </c>
      <c r="I5" s="65"/>
      <c r="J5" s="46"/>
      <c r="K5" s="68">
        <f>'Resumen Mensual'!$O$9</f>
        <v>-880000</v>
      </c>
      <c r="L5" s="65"/>
      <c r="M5" s="46"/>
      <c r="O5" s="12"/>
      <c r="P5" s="12"/>
      <c r="Q5" s="12"/>
      <c r="R5" s="12"/>
      <c r="S5" s="12"/>
    </row>
    <row r="6" spans="1:19" ht="21.95" customHeight="1" x14ac:dyDescent="0.25">
      <c r="A6" s="76"/>
      <c r="B6" s="49"/>
      <c r="C6" s="66"/>
      <c r="D6" s="50"/>
      <c r="E6" s="49"/>
      <c r="F6" s="66"/>
      <c r="G6" s="50"/>
      <c r="H6" s="49"/>
      <c r="I6" s="66"/>
      <c r="J6" s="50"/>
      <c r="K6" s="49"/>
      <c r="L6" s="66"/>
      <c r="M6" s="50"/>
      <c r="O6" s="77" t="s">
        <v>98</v>
      </c>
      <c r="P6" s="57"/>
      <c r="Q6" s="57"/>
      <c r="R6" s="12"/>
      <c r="S6" s="12"/>
    </row>
    <row r="7" spans="1:19" ht="21.95" customHeight="1" x14ac:dyDescent="0.25">
      <c r="A7" s="12"/>
      <c r="B7" s="12"/>
      <c r="C7" s="33"/>
      <c r="D7" s="33"/>
      <c r="E7" s="33"/>
      <c r="F7" s="33"/>
      <c r="G7" s="12"/>
      <c r="H7" s="12"/>
      <c r="I7" s="12"/>
      <c r="J7" s="12"/>
      <c r="K7" s="12"/>
      <c r="L7" s="12"/>
      <c r="M7" s="12"/>
      <c r="O7" s="57"/>
      <c r="P7" s="57"/>
      <c r="Q7" s="57"/>
      <c r="R7" s="12"/>
      <c r="S7" s="12"/>
    </row>
    <row r="8" spans="1:19" ht="21.95" customHeight="1" x14ac:dyDescent="0.25">
      <c r="A8" s="12"/>
      <c r="B8" s="67" t="s">
        <v>99</v>
      </c>
      <c r="C8" s="42"/>
      <c r="D8" s="43"/>
      <c r="E8" s="83" t="s">
        <v>100</v>
      </c>
      <c r="F8" s="42"/>
      <c r="G8" s="43"/>
      <c r="H8" s="67" t="s">
        <v>101</v>
      </c>
      <c r="I8" s="42"/>
      <c r="J8" s="43"/>
      <c r="K8" s="70" t="s">
        <v>102</v>
      </c>
      <c r="L8" s="57"/>
      <c r="M8" s="57"/>
      <c r="O8" s="57"/>
      <c r="P8" s="57"/>
      <c r="Q8" s="57"/>
      <c r="R8" s="12"/>
      <c r="S8" s="12"/>
    </row>
    <row r="9" spans="1:19" ht="21.95" customHeight="1" x14ac:dyDescent="0.25">
      <c r="A9" s="12"/>
      <c r="B9" s="68">
        <f>'Resumen Mensual'!$O$8</f>
        <v>0</v>
      </c>
      <c r="C9" s="65"/>
      <c r="D9" s="46"/>
      <c r="E9" s="79">
        <f>'Resumen Mensual'!$O$10</f>
        <v>-0.60689655172413792</v>
      </c>
      <c r="F9" s="65"/>
      <c r="G9" s="46"/>
      <c r="H9" s="74" t="str">
        <f>INDEX('Resumen Mensual'!$C$4:$N$4,1,MATCH(MAX('Resumen Mensual'!$C$9:$N$9),'Resumen Mensual'!$C$9:$N$9,0))</f>
        <v>Febrero</v>
      </c>
      <c r="I9" s="65"/>
      <c r="J9" s="46"/>
      <c r="K9" s="69">
        <f>COUNTIF('Resumen Mensual'!$C$11:$N$11,"Pérdida")</f>
        <v>1</v>
      </c>
      <c r="L9" s="57"/>
      <c r="M9" s="57"/>
      <c r="O9" s="57"/>
      <c r="P9" s="57"/>
      <c r="Q9" s="57"/>
      <c r="R9" s="12"/>
      <c r="S9" s="12"/>
    </row>
    <row r="10" spans="1:19" ht="21.95" customHeight="1" x14ac:dyDescent="0.25">
      <c r="A10" s="12"/>
      <c r="B10" s="49"/>
      <c r="C10" s="66"/>
      <c r="D10" s="50"/>
      <c r="E10" s="49"/>
      <c r="F10" s="66"/>
      <c r="G10" s="50"/>
      <c r="H10" s="49"/>
      <c r="I10" s="66"/>
      <c r="J10" s="50"/>
      <c r="K10" s="47"/>
      <c r="L10" s="57"/>
      <c r="M10" s="57"/>
      <c r="O10" s="12"/>
      <c r="P10" s="12"/>
      <c r="Q10" s="12"/>
      <c r="R10" s="12"/>
      <c r="S10" s="12"/>
    </row>
    <row r="11" spans="1:19" ht="21.95" customHeight="1" thickBot="1" x14ac:dyDescent="0.3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O11" s="12"/>
      <c r="P11" s="12"/>
      <c r="Q11" s="12"/>
      <c r="R11" s="12"/>
      <c r="S11" s="12"/>
    </row>
    <row r="12" spans="1:19" ht="21.95" customHeight="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O12" s="80" t="s">
        <v>40</v>
      </c>
      <c r="P12" s="81"/>
      <c r="Q12" s="81"/>
      <c r="R12" s="81"/>
      <c r="S12" s="82"/>
    </row>
    <row r="13" spans="1:19" ht="30.75" customHeight="1" x14ac:dyDescent="0.25">
      <c r="A13" s="12"/>
      <c r="B13" s="1" t="s">
        <v>44</v>
      </c>
      <c r="C13" s="1" t="s">
        <v>103</v>
      </c>
      <c r="D13" s="1" t="s">
        <v>104</v>
      </c>
      <c r="E13" s="1" t="s">
        <v>90</v>
      </c>
      <c r="F13" s="1" t="s">
        <v>39</v>
      </c>
      <c r="G13" s="12"/>
      <c r="H13" s="12"/>
      <c r="I13" s="12"/>
      <c r="J13" s="12"/>
      <c r="K13" s="12"/>
      <c r="L13" s="12"/>
      <c r="M13" s="12"/>
      <c r="O13" s="61" t="s">
        <v>105</v>
      </c>
      <c r="P13" s="65"/>
      <c r="Q13" s="65"/>
      <c r="R13" s="65"/>
      <c r="S13" s="46"/>
    </row>
    <row r="14" spans="1:19" ht="21.95" customHeight="1" x14ac:dyDescent="0.25">
      <c r="A14" s="12"/>
      <c r="B14" s="14" t="s">
        <v>97</v>
      </c>
      <c r="C14" s="32">
        <f>INDEX('Resumen Mensual'!$C$5:$N$5,1,MATCH($B14,'Resumen Mensual'!$C$4:$N$4,0))</f>
        <v>1450000</v>
      </c>
      <c r="D14" s="32">
        <f>INDEX('Resumen Mensual'!$C$6:$N$6,1,MATCH($B14,'Resumen Mensual'!$C$4:$N$4,0))</f>
        <v>2330000</v>
      </c>
      <c r="E14" s="32">
        <f>INDEX('Resumen Mensual'!$C$8:$N$8,1,MATCH($B14,'Resumen Mensual'!$C$4:$N$4,0))</f>
        <v>0</v>
      </c>
      <c r="F14" s="32">
        <f>INDEX('Resumen Mensual'!$C$9:$N$9,1,MATCH($B14,'Resumen Mensual'!$C$4:$N$4,0))</f>
        <v>-880000</v>
      </c>
      <c r="G14" s="12"/>
      <c r="H14" s="12"/>
      <c r="I14" s="12"/>
      <c r="J14" s="12"/>
      <c r="K14" s="12"/>
      <c r="L14" s="12"/>
      <c r="M14" s="12"/>
      <c r="O14" s="47"/>
      <c r="P14" s="57"/>
      <c r="Q14" s="57"/>
      <c r="R14" s="57"/>
      <c r="S14" s="48"/>
    </row>
    <row r="15" spans="1:19" ht="21.95" customHeight="1" x14ac:dyDescent="0.25">
      <c r="A15" s="12"/>
      <c r="B15" s="14" t="s">
        <v>106</v>
      </c>
      <c r="C15" s="32">
        <f>INDEX('Resumen Mensual'!$C$5:$N$5,1,MATCH($B15,'Resumen Mensual'!$C$4:$N$4,0))</f>
        <v>0</v>
      </c>
      <c r="D15" s="32">
        <f>INDEX('Resumen Mensual'!$C$6:$N$6,1,MATCH($B15,'Resumen Mensual'!$C$4:$N$4,0))</f>
        <v>0</v>
      </c>
      <c r="E15" s="32">
        <f>INDEX('Resumen Mensual'!$C$8:$N$8,1,MATCH($B15,'Resumen Mensual'!$C$4:$N$4,0))</f>
        <v>0</v>
      </c>
      <c r="F15" s="32">
        <f>INDEX('Resumen Mensual'!$C$9:$N$9,1,MATCH($B15,'Resumen Mensual'!$C$4:$N$4,0))</f>
        <v>0</v>
      </c>
      <c r="G15" s="12"/>
      <c r="H15" s="12"/>
      <c r="I15" s="12"/>
      <c r="J15" s="12"/>
      <c r="K15" s="12"/>
      <c r="L15" s="12"/>
      <c r="M15" s="12"/>
      <c r="O15" s="47"/>
      <c r="P15" s="57"/>
      <c r="Q15" s="57"/>
      <c r="R15" s="57"/>
      <c r="S15" s="48"/>
    </row>
    <row r="16" spans="1:19" ht="21.95" customHeight="1" x14ac:dyDescent="0.25">
      <c r="A16" s="12"/>
      <c r="B16" s="14" t="s">
        <v>107</v>
      </c>
      <c r="C16" s="32">
        <f>INDEX('Resumen Mensual'!$C$5:$N$5,1,MATCH($B16,'Resumen Mensual'!$C$4:$N$4,0))</f>
        <v>0</v>
      </c>
      <c r="D16" s="32">
        <f>INDEX('Resumen Mensual'!$C$6:$N$6,1,MATCH($B16,'Resumen Mensual'!$C$4:$N$4,0))</f>
        <v>0</v>
      </c>
      <c r="E16" s="32">
        <f>INDEX('Resumen Mensual'!$C$8:$N$8,1,MATCH($B16,'Resumen Mensual'!$C$4:$N$4,0))</f>
        <v>0</v>
      </c>
      <c r="F16" s="32">
        <f>INDEX('Resumen Mensual'!$C$9:$N$9,1,MATCH($B16,'Resumen Mensual'!$C$4:$N$4,0))</f>
        <v>0</v>
      </c>
      <c r="G16" s="12"/>
      <c r="H16" s="12"/>
      <c r="I16" s="12"/>
      <c r="J16" s="12"/>
      <c r="K16" s="12"/>
      <c r="L16" s="12"/>
      <c r="M16" s="12"/>
      <c r="O16" s="49"/>
      <c r="P16" s="66"/>
      <c r="Q16" s="66"/>
      <c r="R16" s="66"/>
      <c r="S16" s="50"/>
    </row>
    <row r="17" spans="1:19" ht="21.95" customHeight="1" x14ac:dyDescent="0.25">
      <c r="A17" s="12"/>
      <c r="B17" s="14" t="s">
        <v>108</v>
      </c>
      <c r="C17" s="32">
        <f>INDEX('Resumen Mensual'!$C$5:$N$5,1,MATCH($B17,'Resumen Mensual'!$C$4:$N$4,0))</f>
        <v>0</v>
      </c>
      <c r="D17" s="32">
        <f>INDEX('Resumen Mensual'!$C$6:$N$6,1,MATCH($B17,'Resumen Mensual'!$C$4:$N$4,0))</f>
        <v>0</v>
      </c>
      <c r="E17" s="32">
        <f>INDEX('Resumen Mensual'!$C$8:$N$8,1,MATCH($B17,'Resumen Mensual'!$C$4:$N$4,0))</f>
        <v>0</v>
      </c>
      <c r="F17" s="32">
        <f>INDEX('Resumen Mensual'!$C$9:$N$9,1,MATCH($B17,'Resumen Mensual'!$C$4:$N$4,0))</f>
        <v>0</v>
      </c>
      <c r="G17" s="12"/>
      <c r="H17" s="12"/>
      <c r="I17" s="12"/>
      <c r="J17" s="12"/>
      <c r="K17" s="12"/>
      <c r="L17" s="12"/>
      <c r="M17" s="12"/>
      <c r="O17" s="12"/>
      <c r="P17" s="12"/>
      <c r="Q17" s="12"/>
      <c r="R17" s="12"/>
      <c r="S17" s="12"/>
    </row>
    <row r="18" spans="1:19" ht="21.95" customHeight="1" x14ac:dyDescent="0.25">
      <c r="A18" s="12"/>
      <c r="B18" s="14" t="s">
        <v>109</v>
      </c>
      <c r="C18" s="32">
        <f>INDEX('Resumen Mensual'!$C$5:$N$5,1,MATCH($B18,'Resumen Mensual'!$C$4:$N$4,0))</f>
        <v>0</v>
      </c>
      <c r="D18" s="32">
        <f>INDEX('Resumen Mensual'!$C$6:$N$6,1,MATCH($B18,'Resumen Mensual'!$C$4:$N$4,0))</f>
        <v>0</v>
      </c>
      <c r="E18" s="32">
        <f>INDEX('Resumen Mensual'!$C$8:$N$8,1,MATCH($B18,'Resumen Mensual'!$C$4:$N$4,0))</f>
        <v>0</v>
      </c>
      <c r="F18" s="32">
        <f>INDEX('Resumen Mensual'!$C$9:$N$9,1,MATCH($B18,'Resumen Mensual'!$C$4:$N$4,0))</f>
        <v>0</v>
      </c>
      <c r="G18" s="12"/>
      <c r="H18" s="12"/>
      <c r="I18" s="12"/>
      <c r="J18" s="12"/>
      <c r="K18" s="12"/>
      <c r="L18" s="12"/>
      <c r="M18" s="12"/>
      <c r="O18" s="12"/>
      <c r="P18" s="12"/>
      <c r="Q18" s="12"/>
      <c r="R18" s="12"/>
      <c r="S18" s="12"/>
    </row>
    <row r="19" spans="1:19" ht="21.95" customHeight="1" x14ac:dyDescent="0.25">
      <c r="A19" s="12"/>
      <c r="B19" s="14" t="s">
        <v>110</v>
      </c>
      <c r="C19" s="32">
        <f>INDEX('Resumen Mensual'!$C$5:$N$5,1,MATCH($B19,'Resumen Mensual'!$C$4:$N$4,0))</f>
        <v>0</v>
      </c>
      <c r="D19" s="32">
        <f>INDEX('Resumen Mensual'!$C$6:$N$6,1,MATCH($B19,'Resumen Mensual'!$C$4:$N$4,0))</f>
        <v>0</v>
      </c>
      <c r="E19" s="32">
        <f>INDEX('Resumen Mensual'!$C$8:$N$8,1,MATCH($B19,'Resumen Mensual'!$C$4:$N$4,0))</f>
        <v>0</v>
      </c>
      <c r="F19" s="32">
        <f>INDEX('Resumen Mensual'!$C$9:$N$9,1,MATCH($B19,'Resumen Mensual'!$C$4:$N$4,0))</f>
        <v>0</v>
      </c>
      <c r="G19" s="12"/>
      <c r="H19" s="12"/>
      <c r="I19" s="12"/>
      <c r="J19" s="12"/>
      <c r="K19" s="12"/>
      <c r="L19" s="12"/>
      <c r="M19" s="12"/>
      <c r="O19" s="12"/>
      <c r="P19" s="12"/>
      <c r="Q19" s="12"/>
      <c r="R19" s="12"/>
      <c r="S19" s="12"/>
    </row>
    <row r="20" spans="1:19" ht="21.95" customHeight="1" x14ac:dyDescent="0.25">
      <c r="A20" s="12"/>
      <c r="B20" s="14" t="s">
        <v>111</v>
      </c>
      <c r="C20" s="32">
        <f>INDEX('Resumen Mensual'!$C$5:$N$5,1,MATCH($B20,'Resumen Mensual'!$C$4:$N$4,0))</f>
        <v>0</v>
      </c>
      <c r="D20" s="32">
        <f>INDEX('Resumen Mensual'!$C$6:$N$6,1,MATCH($B20,'Resumen Mensual'!$C$4:$N$4,0))</f>
        <v>0</v>
      </c>
      <c r="E20" s="32">
        <f>INDEX('Resumen Mensual'!$C$8:$N$8,1,MATCH($B20,'Resumen Mensual'!$C$4:$N$4,0))</f>
        <v>0</v>
      </c>
      <c r="F20" s="32">
        <f>INDEX('Resumen Mensual'!$C$9:$N$9,1,MATCH($B20,'Resumen Mensual'!$C$4:$N$4,0))</f>
        <v>0</v>
      </c>
      <c r="G20" s="12"/>
      <c r="H20" s="12"/>
      <c r="I20" s="12"/>
      <c r="J20" s="12"/>
      <c r="K20" s="12"/>
      <c r="L20" s="12"/>
      <c r="M20" s="12"/>
      <c r="O20" s="12"/>
      <c r="P20" s="12"/>
      <c r="Q20" s="12"/>
      <c r="R20" s="12"/>
      <c r="S20" s="12"/>
    </row>
    <row r="21" spans="1:19" ht="21.95" customHeight="1" x14ac:dyDescent="0.25">
      <c r="A21" s="12"/>
      <c r="B21" s="14" t="s">
        <v>112</v>
      </c>
      <c r="C21" s="32">
        <f>INDEX('Resumen Mensual'!$C$5:$N$5,1,MATCH($B21,'Resumen Mensual'!$C$4:$N$4,0))</f>
        <v>0</v>
      </c>
      <c r="D21" s="32">
        <f>INDEX('Resumen Mensual'!$C$6:$N$6,1,MATCH($B21,'Resumen Mensual'!$C$4:$N$4,0))</f>
        <v>0</v>
      </c>
      <c r="E21" s="32">
        <f>INDEX('Resumen Mensual'!$C$8:$N$8,1,MATCH($B21,'Resumen Mensual'!$C$4:$N$4,0))</f>
        <v>0</v>
      </c>
      <c r="F21" s="32">
        <f>INDEX('Resumen Mensual'!$C$9:$N$9,1,MATCH($B21,'Resumen Mensual'!$C$4:$N$4,0))</f>
        <v>0</v>
      </c>
      <c r="G21" s="12"/>
      <c r="H21" s="12"/>
      <c r="I21" s="12"/>
      <c r="J21" s="12"/>
      <c r="K21" s="12"/>
      <c r="L21" s="12"/>
      <c r="M21" s="12"/>
      <c r="O21" s="12"/>
      <c r="P21" s="12"/>
      <c r="Q21" s="12"/>
      <c r="R21" s="12"/>
      <c r="S21" s="12"/>
    </row>
    <row r="22" spans="1:19" ht="21.95" customHeight="1" x14ac:dyDescent="0.25">
      <c r="A22" s="12"/>
      <c r="B22" s="14" t="s">
        <v>113</v>
      </c>
      <c r="C22" s="32">
        <f>INDEX('Resumen Mensual'!$C$5:$N$5,1,MATCH($B22,'Resumen Mensual'!$C$4:$N$4,0))</f>
        <v>0</v>
      </c>
      <c r="D22" s="32">
        <f>INDEX('Resumen Mensual'!$C$6:$N$6,1,MATCH($B22,'Resumen Mensual'!$C$4:$N$4,0))</f>
        <v>0</v>
      </c>
      <c r="E22" s="32">
        <f>INDEX('Resumen Mensual'!$C$8:$N$8,1,MATCH($B22,'Resumen Mensual'!$C$4:$N$4,0))</f>
        <v>0</v>
      </c>
      <c r="F22" s="32">
        <f>INDEX('Resumen Mensual'!$C$9:$N$9,1,MATCH($B22,'Resumen Mensual'!$C$4:$N$4,0))</f>
        <v>0</v>
      </c>
      <c r="G22" s="12"/>
      <c r="H22" s="12"/>
      <c r="I22" s="12"/>
      <c r="J22" s="12"/>
      <c r="K22" s="12"/>
      <c r="L22" s="12"/>
      <c r="M22" s="12"/>
      <c r="O22" s="12"/>
      <c r="P22" s="12"/>
      <c r="Q22" s="12"/>
      <c r="R22" s="12"/>
      <c r="S22" s="12"/>
    </row>
    <row r="23" spans="1:19" ht="21.95" customHeight="1" x14ac:dyDescent="0.25">
      <c r="A23" s="12"/>
      <c r="B23" s="14" t="s">
        <v>114</v>
      </c>
      <c r="C23" s="32">
        <f>INDEX('Resumen Mensual'!$C$5:$N$5,1,MATCH($B23,'Resumen Mensual'!$C$4:$N$4,0))</f>
        <v>0</v>
      </c>
      <c r="D23" s="32">
        <f>INDEX('Resumen Mensual'!$C$6:$N$6,1,MATCH($B23,'Resumen Mensual'!$C$4:$N$4,0))</f>
        <v>0</v>
      </c>
      <c r="E23" s="32">
        <f>INDEX('Resumen Mensual'!$C$8:$N$8,1,MATCH($B23,'Resumen Mensual'!$C$4:$N$4,0))</f>
        <v>0</v>
      </c>
      <c r="F23" s="32">
        <f>INDEX('Resumen Mensual'!$C$9:$N$9,1,MATCH($B23,'Resumen Mensual'!$C$4:$N$4,0))</f>
        <v>0</v>
      </c>
      <c r="G23" s="12"/>
      <c r="H23" s="12"/>
      <c r="I23" s="12"/>
      <c r="J23" s="12"/>
      <c r="K23" s="12"/>
      <c r="L23" s="12"/>
      <c r="M23" s="12"/>
      <c r="O23" s="12"/>
      <c r="P23" s="12"/>
      <c r="Q23" s="12"/>
      <c r="R23" s="12"/>
      <c r="S23" s="12"/>
    </row>
    <row r="24" spans="1:19" ht="21.95" customHeight="1" x14ac:dyDescent="0.25">
      <c r="A24" s="12"/>
      <c r="B24" s="14" t="s">
        <v>115</v>
      </c>
      <c r="C24" s="32">
        <f>INDEX('Resumen Mensual'!$C$5:$N$5,1,MATCH($B24,'Resumen Mensual'!$C$4:$N$4,0))</f>
        <v>0</v>
      </c>
      <c r="D24" s="32">
        <f>INDEX('Resumen Mensual'!$C$6:$N$6,1,MATCH($B24,'Resumen Mensual'!$C$4:$N$4,0))</f>
        <v>0</v>
      </c>
      <c r="E24" s="32">
        <f>INDEX('Resumen Mensual'!$C$8:$N$8,1,MATCH($B24,'Resumen Mensual'!$C$4:$N$4,0))</f>
        <v>0</v>
      </c>
      <c r="F24" s="32">
        <f>INDEX('Resumen Mensual'!$C$9:$N$9,1,MATCH($B24,'Resumen Mensual'!$C$4:$N$4,0))</f>
        <v>0</v>
      </c>
      <c r="G24" s="12"/>
      <c r="H24" s="12"/>
      <c r="I24" s="12"/>
      <c r="J24" s="12"/>
      <c r="K24" s="12"/>
      <c r="L24" s="12"/>
      <c r="M24" s="12"/>
      <c r="O24" s="12"/>
      <c r="P24" s="12"/>
      <c r="Q24" s="12"/>
      <c r="R24" s="12"/>
      <c r="S24" s="12"/>
    </row>
    <row r="25" spans="1:19" ht="21.95" customHeight="1" x14ac:dyDescent="0.25">
      <c r="A25" s="12"/>
      <c r="B25" s="14" t="s">
        <v>116</v>
      </c>
      <c r="C25" s="32">
        <f>INDEX('Resumen Mensual'!$C$5:$N$5,1,MATCH($B25,'Resumen Mensual'!$C$4:$N$4,0))</f>
        <v>0</v>
      </c>
      <c r="D25" s="32">
        <f>INDEX('Resumen Mensual'!$C$6:$N$6,1,MATCH($B25,'Resumen Mensual'!$C$4:$N$4,0))</f>
        <v>0</v>
      </c>
      <c r="E25" s="32">
        <f>INDEX('Resumen Mensual'!$C$8:$N$8,1,MATCH($B25,'Resumen Mensual'!$C$4:$N$4,0))</f>
        <v>0</v>
      </c>
      <c r="F25" s="32">
        <f>INDEX('Resumen Mensual'!$C$9:$N$9,1,MATCH($B25,'Resumen Mensual'!$C$4:$N$4,0))</f>
        <v>0</v>
      </c>
      <c r="G25" s="12"/>
      <c r="H25" s="12"/>
      <c r="I25" s="12"/>
      <c r="J25" s="12"/>
      <c r="K25" s="12"/>
      <c r="L25" s="12"/>
      <c r="M25" s="12"/>
      <c r="O25" s="12"/>
      <c r="P25" s="12"/>
      <c r="Q25" s="12"/>
      <c r="R25" s="12"/>
      <c r="S25" s="12"/>
    </row>
    <row r="26" spans="1:19" ht="21.95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O26" s="12"/>
      <c r="P26" s="12"/>
      <c r="Q26" s="12"/>
      <c r="R26" s="12"/>
      <c r="S26" s="12"/>
    </row>
    <row r="27" spans="1:19" ht="21.95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O27" s="12"/>
      <c r="P27" s="12"/>
      <c r="Q27" s="12"/>
      <c r="R27" s="12"/>
      <c r="S27" s="12"/>
    </row>
    <row r="28" spans="1:19" ht="24.75" customHeight="1" x14ac:dyDescent="0.25">
      <c r="A28" s="12"/>
      <c r="B28" s="72" t="s">
        <v>117</v>
      </c>
      <c r="C28" s="73"/>
      <c r="D28" s="12"/>
      <c r="E28" s="72" t="s">
        <v>118</v>
      </c>
      <c r="F28" s="73"/>
      <c r="G28" s="12"/>
      <c r="H28" s="12"/>
      <c r="I28" s="12"/>
      <c r="J28" s="12"/>
      <c r="K28" s="12"/>
      <c r="L28" s="12"/>
      <c r="M28" s="12"/>
      <c r="O28" s="12"/>
      <c r="P28" s="12"/>
      <c r="Q28" s="12"/>
      <c r="R28" s="12"/>
      <c r="S28" s="12"/>
    </row>
    <row r="29" spans="1:19" ht="21.95" customHeight="1" x14ac:dyDescent="0.25">
      <c r="A29" s="12"/>
      <c r="B29" s="24" t="s">
        <v>45</v>
      </c>
      <c r="C29" s="24" t="s">
        <v>48</v>
      </c>
      <c r="D29" s="12"/>
      <c r="E29" s="24" t="s">
        <v>45</v>
      </c>
      <c r="F29" s="24" t="s">
        <v>48</v>
      </c>
      <c r="G29" s="12"/>
      <c r="H29" s="12"/>
      <c r="I29" s="12"/>
      <c r="J29" s="12"/>
      <c r="K29" s="12"/>
      <c r="L29" s="12"/>
      <c r="M29" s="12"/>
      <c r="O29" s="12"/>
      <c r="P29" s="12"/>
      <c r="Q29" s="12"/>
      <c r="R29" s="12"/>
      <c r="S29" s="12"/>
    </row>
    <row r="30" spans="1:19" ht="21.95" customHeight="1" x14ac:dyDescent="0.25">
      <c r="A30" s="12"/>
      <c r="B30" s="14" t="str">
        <f>IFERROR(INDEX(Categorias!$AB$5:$AB$200,ROWS($B$30:B30)),"")</f>
        <v>Arriendo</v>
      </c>
      <c r="C30" s="32">
        <f>IF($B30="","",SUMIFS('Registro Mensual'!$I$9:$I$1008,'Registro Mensual'!$C$9:$C$1008,$B$5,'Registro Mensual'!$D$9:$D$1008,$B30))</f>
        <v>700000</v>
      </c>
      <c r="D30" s="12"/>
      <c r="E30" s="14" t="str">
        <f>IFERROR(INDEX(Categorias!$B$5:$B$200,MATCH(ROWS($E$30:E30),Categorias!$AA$5:$AA$200,0)),"")</f>
        <v>Ventas</v>
      </c>
      <c r="F30" s="32">
        <f>IF($E30="","",SUMIFS('Registro Mensual'!$H$9:$H$1008,'Registro Mensual'!$C$9:$C$1008,$B$5,'Registro Mensual'!$D$9:$D$1008,$E30))</f>
        <v>1450000</v>
      </c>
      <c r="G30" s="12"/>
      <c r="H30" s="12"/>
      <c r="I30" s="12"/>
      <c r="J30" s="12"/>
      <c r="K30" s="12"/>
      <c r="L30" s="12"/>
      <c r="M30" s="12"/>
      <c r="O30" s="12"/>
      <c r="P30" s="12"/>
      <c r="Q30" s="12"/>
      <c r="R30" s="12"/>
      <c r="S30" s="12"/>
    </row>
    <row r="31" spans="1:19" ht="27" customHeight="1" x14ac:dyDescent="0.25">
      <c r="A31" s="12"/>
      <c r="B31" s="14" t="str">
        <f>IFERROR(INDEX(Categorias!$AB$5:$AB$200,ROWS($B$30:B31)),"")</f>
        <v>Sueldos</v>
      </c>
      <c r="C31" s="32">
        <f>IF($B31="","",SUMIFS('Registro Mensual'!$I$9:$I$1008,'Registro Mensual'!$C$9:$C$1008,$B$5,'Registro Mensual'!$D$9:$D$1008,$B31))</f>
        <v>0</v>
      </c>
      <c r="D31" s="12"/>
      <c r="E31" s="14" t="str">
        <f>IFERROR(INDEX(Categorias!$B$5:$B$200,MATCH(ROWS($E$30:E31),Categorias!$AA$5:$AA$200,0)),"")</f>
        <v/>
      </c>
      <c r="F31" s="32" t="str">
        <f>IF($E31="","",SUMIFS('Registro Mensual'!$H$9:$H$1008,'Registro Mensual'!$C$9:$C$1008,$B$5,'Registro Mensual'!$D$9:$D$1008,$E31))</f>
        <v/>
      </c>
      <c r="G31" s="12"/>
      <c r="H31" s="12"/>
      <c r="I31" s="12"/>
      <c r="J31" s="12"/>
      <c r="K31" s="12"/>
      <c r="L31" s="12"/>
      <c r="M31" s="12"/>
      <c r="O31" s="12"/>
      <c r="P31" s="12"/>
      <c r="Q31" s="12"/>
      <c r="R31" s="12"/>
      <c r="S31" s="12"/>
    </row>
    <row r="32" spans="1:19" ht="21.95" customHeight="1" x14ac:dyDescent="0.25">
      <c r="A32" s="12"/>
      <c r="B32" s="14" t="str">
        <f>IFERROR(INDEX(Categorias!$AB$5:$AB$200,ROWS($B$30:B32)),"")</f>
        <v>Servicios básicos</v>
      </c>
      <c r="C32" s="32">
        <f>IF($B32="","",SUMIFS('Registro Mensual'!$I$9:$I$1008,'Registro Mensual'!$C$9:$C$1008,$B$5,'Registro Mensual'!$D$9:$D$1008,$B32))</f>
        <v>130000</v>
      </c>
      <c r="D32" s="12"/>
      <c r="E32" s="14" t="str">
        <f>IFERROR(INDEX(Categorias!$B$5:$B$200,MATCH(ROWS($E$30:E32),Categorias!$AA$5:$AA$200,0)),"")</f>
        <v/>
      </c>
      <c r="F32" s="32" t="str">
        <f>IF($E32="","",SUMIFS('Registro Mensual'!$H$9:$H$1008,'Registro Mensual'!$C$9:$C$1008,$B$5,'Registro Mensual'!$D$9:$D$1008,$E32))</f>
        <v/>
      </c>
      <c r="G32" s="12"/>
      <c r="H32" s="12"/>
      <c r="I32" s="12"/>
      <c r="J32" s="12"/>
      <c r="K32" s="12"/>
      <c r="L32" s="12"/>
      <c r="M32" s="12"/>
      <c r="O32" s="12"/>
      <c r="P32" s="12"/>
      <c r="Q32" s="12"/>
      <c r="R32" s="12"/>
      <c r="S32" s="12"/>
    </row>
    <row r="33" spans="1:19" ht="21.95" customHeight="1" x14ac:dyDescent="0.25">
      <c r="A33" s="12"/>
      <c r="B33" s="14" t="str">
        <f>IFERROR(INDEX(Categorias!$AB$5:$AB$200,ROWS($B$30:B33)),"")</f>
        <v>Insumos</v>
      </c>
      <c r="C33" s="32">
        <f>IF($B33="","",SUMIFS('Registro Mensual'!$I$9:$I$1008,'Registro Mensual'!$C$9:$C$1008,$B$5,'Registro Mensual'!$D$9:$D$1008,$B33))</f>
        <v>0</v>
      </c>
      <c r="D33" s="12"/>
      <c r="E33" s="14" t="str">
        <f>IFERROR(INDEX(Categorias!$B$5:$B$200,MATCH(ROWS($E$30:E33),Categorias!$AA$5:$AA$200,0)),"")</f>
        <v/>
      </c>
      <c r="F33" s="32" t="str">
        <f>IF($E33="","",SUMIFS('Registro Mensual'!$H$9:$H$1008,'Registro Mensual'!$C$9:$C$1008,$B$5,'Registro Mensual'!$D$9:$D$1008,$E33))</f>
        <v/>
      </c>
      <c r="G33" s="12"/>
      <c r="H33" s="12"/>
      <c r="I33" s="12"/>
      <c r="J33" s="12"/>
      <c r="K33" s="12"/>
      <c r="L33" s="12"/>
      <c r="M33" s="12"/>
      <c r="O33" s="12"/>
      <c r="P33" s="12"/>
      <c r="Q33" s="12"/>
      <c r="R33" s="12"/>
      <c r="S33" s="12"/>
    </row>
    <row r="34" spans="1:19" ht="21.95" customHeight="1" x14ac:dyDescent="0.25">
      <c r="A34" s="12"/>
      <c r="B34" s="14" t="str">
        <f>IFERROR(INDEX(Categorias!$AB$5:$AB$200,ROWS($B$30:B34)),"")</f>
        <v>Transporte</v>
      </c>
      <c r="C34" s="32">
        <f>IF($B34="","",SUMIFS('Registro Mensual'!$I$9:$I$1008,'Registro Mensual'!$C$9:$C$1008,$B$5,'Registro Mensual'!$D$9:$D$1008,$B34))</f>
        <v>0</v>
      </c>
      <c r="D34" s="12"/>
      <c r="E34" s="20" t="str">
        <f>IFERROR(INDEX(Categorias!$B$5:$B$200,MATCH(ROWS($E$30:E34),Categorias!$AA$5:$AA$200,0)),"")</f>
        <v/>
      </c>
      <c r="F34" s="34" t="str">
        <f>IF($E34="","",SUMIFS('Registro Mensual'!$H$9:$H$1008,'Registro Mensual'!$C$9:$C$1008,$B$5,'Registro Mensual'!$D$9:$D$1008,$E34))</f>
        <v/>
      </c>
      <c r="G34" s="12"/>
      <c r="H34" s="12"/>
      <c r="I34" s="12"/>
      <c r="J34" s="12"/>
      <c r="K34" s="12"/>
      <c r="L34" s="12"/>
      <c r="M34" s="12"/>
      <c r="O34" s="12"/>
      <c r="P34" s="12"/>
      <c r="Q34" s="12"/>
      <c r="R34" s="12"/>
      <c r="S34" s="12"/>
    </row>
    <row r="35" spans="1:19" ht="21.95" customHeight="1" x14ac:dyDescent="0.25">
      <c r="A35" s="12"/>
      <c r="B35" s="14" t="str">
        <f>IFERROR(INDEX(Categorias!$AB$5:$AB$200,ROWS($B$30:B35)),"")</f>
        <v>Publicidad</v>
      </c>
      <c r="C35" s="32">
        <f>IF($B35="","",SUMIFS('Registro Mensual'!$I$9:$I$1008,'Registro Mensual'!$C$9:$C$1008,$B$5,'Registro Mensual'!$D$9:$D$1008,$B35))</f>
        <v>1500000</v>
      </c>
      <c r="D35" s="12"/>
      <c r="E35" s="23" t="str">
        <f>IFERROR(INDEX(Categorias!$B$5:$B$200,MATCH(ROWS($E$30:E35),Categorias!$AA$5:$AA$200,0)),"")</f>
        <v/>
      </c>
      <c r="F35" s="35" t="str">
        <f>IF($E35="","",SUMIFS('Registro Mensual'!$H$9:$H$1008,'Registro Mensual'!$C$9:$C$1008,$B$5,'Registro Mensual'!$D$9:$D$1008,$E35))</f>
        <v/>
      </c>
      <c r="G35" s="12"/>
      <c r="H35" s="12"/>
      <c r="I35" s="12"/>
      <c r="J35" s="12"/>
      <c r="K35" s="12"/>
      <c r="L35" s="12"/>
      <c r="M35" s="12"/>
      <c r="O35" s="12"/>
      <c r="P35" s="12"/>
      <c r="Q35" s="12"/>
      <c r="R35" s="12"/>
      <c r="S35" s="12"/>
    </row>
    <row r="36" spans="1:19" ht="21.95" customHeight="1" x14ac:dyDescent="0.25">
      <c r="A36" s="12"/>
      <c r="B36" s="14" t="str">
        <f>IFERROR(INDEX(Categorias!$AB$5:$AB$200,ROWS($B$30:B36)),"")</f>
        <v>Internet</v>
      </c>
      <c r="C36" s="32">
        <f>IF($B36="","",SUMIFS('Registro Mensual'!$I$9:$I$1008,'Registro Mensual'!$C$9:$C$1008,$B$5,'Registro Mensual'!$D$9:$D$1008,$B36))</f>
        <v>0</v>
      </c>
      <c r="D36" s="12"/>
      <c r="E36" s="23" t="str">
        <f>IFERROR(INDEX(Categorias!$B$5:$B$200,MATCH(ROWS($E$30:E36),Categorias!$AA$5:$AA$200,0)),"")</f>
        <v/>
      </c>
      <c r="F36" s="35" t="str">
        <f>IF($E36="","",SUMIFS('Registro Mensual'!$H$9:$H$1008,'Registro Mensual'!$C$9:$C$1008,$B$5,'Registro Mensual'!$D$9:$D$1008,$E36))</f>
        <v/>
      </c>
      <c r="G36" s="12"/>
      <c r="H36" s="12"/>
      <c r="I36" s="12"/>
      <c r="J36" s="12"/>
      <c r="K36" s="12"/>
      <c r="L36" s="12"/>
      <c r="M36" s="12"/>
      <c r="O36" s="12"/>
      <c r="P36" s="12"/>
      <c r="Q36" s="12"/>
      <c r="R36" s="12"/>
      <c r="S36" s="12"/>
    </row>
    <row r="37" spans="1:19" ht="21.95" customHeight="1" x14ac:dyDescent="0.25">
      <c r="A37" s="12"/>
      <c r="B37" s="14" t="str">
        <f>IFERROR(INDEX(Categorias!$AB$5:$AB$200,ROWS($B$30:B37)),"")</f>
        <v>Contabilidad</v>
      </c>
      <c r="C37" s="32">
        <f>IF($B37="","",SUMIFS('Registro Mensual'!$I$9:$I$1008,'Registro Mensual'!$C$9:$C$1008,$B$5,'Registro Mensual'!$D$9:$D$1008,$B37))</f>
        <v>0</v>
      </c>
      <c r="D37" s="12"/>
      <c r="E37" s="23" t="str">
        <f>IFERROR(INDEX(Categorias!$B$5:$B$200,MATCH(ROWS($E$30:E37),Categorias!$AA$5:$AA$200,0)),"")</f>
        <v/>
      </c>
      <c r="F37" s="35" t="str">
        <f>IF($E37="","",SUMIFS('Registro Mensual'!$H$9:$H$1008,'Registro Mensual'!$C$9:$C$1008,$B$5,'Registro Mensual'!$D$9:$D$1008,$E37))</f>
        <v/>
      </c>
      <c r="G37" s="12"/>
      <c r="H37" s="12"/>
      <c r="I37" s="12"/>
      <c r="J37" s="12"/>
      <c r="K37" s="12"/>
      <c r="L37" s="12"/>
      <c r="M37" s="12"/>
      <c r="O37" s="12"/>
      <c r="P37" s="12"/>
      <c r="Q37" s="12"/>
      <c r="R37" s="12"/>
      <c r="S37" s="12"/>
    </row>
    <row r="38" spans="1:19" ht="21.95" customHeight="1" x14ac:dyDescent="0.25">
      <c r="A38" s="12"/>
      <c r="B38" s="14" t="str">
        <f>IFERROR(INDEX(Categorias!$AB$5:$AB$200,ROWS($B$30:B38)),"")</f>
        <v>Patente / permisos</v>
      </c>
      <c r="C38" s="32">
        <f>IF($B38="","",SUMIFS('Registro Mensual'!$I$9:$I$1008,'Registro Mensual'!$C$9:$C$1008,$B$5,'Registro Mensual'!$D$9:$D$1008,$B38))</f>
        <v>0</v>
      </c>
      <c r="D38" s="12"/>
      <c r="E38" s="23" t="str">
        <f>IFERROR(INDEX(Categorias!$B$5:$B$200,MATCH(ROWS($E$30:E38),Categorias!$AA$5:$AA$200,0)),"")</f>
        <v/>
      </c>
      <c r="F38" s="35" t="str">
        <f>IF($E38="","",SUMIFS('Registro Mensual'!$H$9:$H$1008,'Registro Mensual'!$C$9:$C$1008,$B$5,'Registro Mensual'!$D$9:$D$1008,$E38))</f>
        <v/>
      </c>
      <c r="G38" s="12"/>
      <c r="H38" s="12"/>
      <c r="I38" s="12"/>
      <c r="J38" s="12"/>
      <c r="K38" s="12"/>
      <c r="L38" s="12"/>
      <c r="M38" s="12"/>
      <c r="O38" s="12"/>
      <c r="P38" s="12"/>
      <c r="Q38" s="12"/>
      <c r="R38" s="12"/>
      <c r="S38" s="12"/>
    </row>
    <row r="39" spans="1:19" ht="21.95" customHeight="1" x14ac:dyDescent="0.25">
      <c r="A39" s="12"/>
      <c r="B39" s="20" t="str">
        <f>IFERROR(INDEX(Categorias!$AB$5:$AB$200,ROWS($B$30:B39)),"")</f>
        <v>Mantenimiento</v>
      </c>
      <c r="C39" s="34">
        <f>IF($B39="","",SUMIFS('Registro Mensual'!$I$9:$I$1008,'Registro Mensual'!$C$9:$C$1008,$B$5,'Registro Mensual'!$D$9:$D$1008,$B39))</f>
        <v>0</v>
      </c>
      <c r="D39" s="12"/>
      <c r="E39" s="23" t="str">
        <f>IFERROR(INDEX(Categorias!$B$5:$B$200,MATCH(ROWS($E$30:E39),Categorias!$AA$5:$AA$200,0)),"")</f>
        <v/>
      </c>
      <c r="F39" s="35" t="str">
        <f>IF($E39="","",SUMIFS('Registro Mensual'!$H$9:$H$1008,'Registro Mensual'!$C$9:$C$1008,$B$5,'Registro Mensual'!$D$9:$D$1008,$E39))</f>
        <v/>
      </c>
      <c r="G39" s="12"/>
      <c r="H39" s="12"/>
      <c r="I39" s="12"/>
      <c r="J39" s="12"/>
      <c r="K39" s="12"/>
      <c r="L39" s="12"/>
      <c r="M39" s="12"/>
      <c r="O39" s="12"/>
      <c r="P39" s="12"/>
      <c r="Q39" s="12"/>
      <c r="R39" s="12"/>
      <c r="S39" s="12"/>
    </row>
    <row r="40" spans="1:19" ht="21.95" customHeight="1" x14ac:dyDescent="0.25">
      <c r="A40" s="12"/>
      <c r="B40" s="23" t="str">
        <f>IFERROR(INDEX(Categorias!$AB$5:$AB$200,ROWS($B$30:B40)),"")</f>
        <v>Comisiones</v>
      </c>
      <c r="C40" s="35">
        <f>IF($B40="","",SUMIFS('Registro Mensual'!$I$9:$I$1008,'Registro Mensual'!$C$9:$C$1008,$B$5,'Registro Mensual'!$D$9:$D$1008,$B40))</f>
        <v>0</v>
      </c>
      <c r="D40" s="12"/>
      <c r="E40" s="23" t="str">
        <f>IFERROR(INDEX(Categorias!$B$5:$B$200,MATCH(ROWS($E$30:E40),Categorias!$AA$5:$AA$200,0)),"")</f>
        <v/>
      </c>
      <c r="F40" s="35" t="str">
        <f>IF($E40="","",SUMIFS('Registro Mensual'!$H$9:$H$1008,'Registro Mensual'!$C$9:$C$1008,$B$5,'Registro Mensual'!$D$9:$D$1008,$E40))</f>
        <v/>
      </c>
      <c r="G40" s="12"/>
      <c r="H40" s="12"/>
      <c r="I40" s="12"/>
      <c r="J40" s="12"/>
      <c r="K40" s="12"/>
      <c r="L40" s="12"/>
      <c r="M40" s="12"/>
      <c r="O40" s="12"/>
      <c r="P40" s="12"/>
      <c r="Q40" s="12"/>
      <c r="R40" s="12"/>
      <c r="S40" s="12"/>
    </row>
    <row r="41" spans="1:19" ht="21.95" customHeight="1" x14ac:dyDescent="0.25">
      <c r="A41" s="12"/>
      <c r="B41" s="23" t="str">
        <f>IFERROR(INDEX(Categorias!$AB$5:$AB$200,ROWS($B$30:B41)),"")</f>
        <v>Delivery</v>
      </c>
      <c r="C41" s="35">
        <f>IF($B41="","",SUMIFS('Registro Mensual'!$I$9:$I$1008,'Registro Mensual'!$C$9:$C$1008,$B$5,'Registro Mensual'!$D$9:$D$1008,$B41))</f>
        <v>0</v>
      </c>
      <c r="D41" s="12"/>
      <c r="E41" s="23" t="str">
        <f>IFERROR(INDEX(Categorias!$B$5:$B$200,MATCH(ROWS($E$30:E41),Categorias!$AA$5:$AA$200,0)),"")</f>
        <v/>
      </c>
      <c r="F41" s="35" t="str">
        <f>IF($E41="","",SUMIFS('Registro Mensual'!$H$9:$H$1008,'Registro Mensual'!$C$9:$C$1008,$B$5,'Registro Mensual'!$D$9:$D$1008,$E41))</f>
        <v/>
      </c>
      <c r="G41" s="12"/>
      <c r="H41" s="12"/>
      <c r="I41" s="12"/>
      <c r="J41" s="12"/>
      <c r="K41" s="12"/>
      <c r="L41" s="12"/>
      <c r="M41" s="12"/>
      <c r="O41" s="12"/>
      <c r="P41" s="12"/>
      <c r="Q41" s="12"/>
      <c r="R41" s="12"/>
      <c r="S41" s="12"/>
    </row>
    <row r="42" spans="1:19" ht="21.95" customHeight="1" x14ac:dyDescent="0.25">
      <c r="A42" s="12"/>
      <c r="B42" s="23" t="str">
        <f>IFERROR(INDEX(Categorias!$AB$5:$AB$200,ROWS($B$30:B42)),"")</f>
        <v>Otros gastos</v>
      </c>
      <c r="C42" s="35">
        <f>IF($B42="","",SUMIFS('Registro Mensual'!$I$9:$I$1008,'Registro Mensual'!$C$9:$C$1008,$B$5,'Registro Mensual'!$D$9:$D$1008,$B42))</f>
        <v>0</v>
      </c>
      <c r="D42" s="12"/>
      <c r="E42" s="23" t="str">
        <f>IFERROR(INDEX(Categorias!$B$5:$B$200,MATCH(ROWS($E$30:E42),Categorias!$AA$5:$AA$200,0)),"")</f>
        <v/>
      </c>
      <c r="F42" s="35" t="str">
        <f>IF($E42="","",SUMIFS('Registro Mensual'!$H$9:$H$1008,'Registro Mensual'!$C$9:$C$1008,$B$5,'Registro Mensual'!$D$9:$D$1008,$E42))</f>
        <v/>
      </c>
      <c r="G42" s="12"/>
      <c r="H42" s="12"/>
      <c r="I42" s="12"/>
      <c r="J42" s="12"/>
      <c r="K42" s="12"/>
      <c r="L42" s="12"/>
      <c r="M42" s="12"/>
      <c r="O42" s="12"/>
      <c r="P42" s="12"/>
      <c r="Q42" s="12"/>
      <c r="R42" s="12"/>
      <c r="S42" s="12"/>
    </row>
    <row r="43" spans="1:19" ht="21.95" customHeight="1" x14ac:dyDescent="0.25">
      <c r="A43" s="12"/>
      <c r="B43" s="23" t="str">
        <f>IFERROR(INDEX(Categorias!$AB$5:$AB$200,ROWS($B$30:B43)),"")</f>
        <v/>
      </c>
      <c r="C43" s="35" t="str">
        <f>IF($B43="","",SUMIFS('Registro Mensual'!$I$9:$I$1008,'Registro Mensual'!$C$9:$C$1008,$B$5,'Registro Mensual'!$D$9:$D$1008,$B43))</f>
        <v/>
      </c>
      <c r="D43" s="12"/>
      <c r="E43" s="23" t="str">
        <f>IFERROR(INDEX(Categorias!$B$5:$B$200,MATCH(ROWS($E$30:E43),Categorias!$AA$5:$AA$200,0)),"")</f>
        <v/>
      </c>
      <c r="F43" s="35" t="str">
        <f>IF($E43="","",SUMIFS('Registro Mensual'!$H$9:$H$1008,'Registro Mensual'!$C$9:$C$1008,$B$5,'Registro Mensual'!$D$9:$D$1008,$E43))</f>
        <v/>
      </c>
      <c r="G43" s="12"/>
      <c r="H43" s="12"/>
      <c r="I43" s="12"/>
      <c r="J43" s="12"/>
      <c r="K43" s="12"/>
      <c r="L43" s="12"/>
      <c r="M43" s="12"/>
      <c r="O43" s="12"/>
      <c r="P43" s="12"/>
      <c r="Q43" s="12"/>
      <c r="R43" s="12"/>
      <c r="S43" s="12"/>
    </row>
    <row r="44" spans="1:19" ht="21.95" customHeight="1" x14ac:dyDescent="0.25">
      <c r="A44" s="12"/>
      <c r="B44" s="23" t="str">
        <f>IFERROR(INDEX(Categorias!$AB$5:$AB$200,ROWS($B$30:B44)),"")</f>
        <v/>
      </c>
      <c r="C44" s="35" t="str">
        <f>IF($B44="","",SUMIFS('Registro Mensual'!$I$9:$I$1008,'Registro Mensual'!$C$9:$C$1008,$B$5,'Registro Mensual'!$D$9:$D$1008,$B44))</f>
        <v/>
      </c>
      <c r="D44" s="12"/>
      <c r="E44" s="23" t="str">
        <f>IFERROR(INDEX(Categorias!$B$5:$B$200,MATCH(ROWS($E$30:E44),Categorias!$AA$5:$AA$200,0)),"")</f>
        <v/>
      </c>
      <c r="F44" s="35" t="str">
        <f>IF($E44="","",SUMIFS('Registro Mensual'!$H$9:$H$1008,'Registro Mensual'!$C$9:$C$1008,$B$5,'Registro Mensual'!$D$9:$D$1008,$E44))</f>
        <v/>
      </c>
      <c r="G44" s="12"/>
      <c r="H44" s="12"/>
      <c r="I44" s="12"/>
      <c r="J44" s="12"/>
      <c r="K44" s="12"/>
      <c r="L44" s="12"/>
      <c r="M44" s="12"/>
      <c r="O44" s="12"/>
      <c r="P44" s="12"/>
      <c r="Q44" s="12"/>
      <c r="R44" s="12"/>
      <c r="S44" s="12"/>
    </row>
    <row r="45" spans="1:19" ht="21.95" customHeight="1" x14ac:dyDescent="0.25">
      <c r="A45" s="12"/>
      <c r="B45" s="23" t="str">
        <f>IFERROR(INDEX(Categorias!$AB$5:$AB$200,ROWS($B$30:B45)),"")</f>
        <v/>
      </c>
      <c r="C45" s="35" t="str">
        <f>IF($B45="","",SUMIFS('Registro Mensual'!$I$9:$I$1008,'Registro Mensual'!$C$9:$C$1008,$B$5,'Registro Mensual'!$D$9:$D$1008,$B45))</f>
        <v/>
      </c>
      <c r="D45" s="12"/>
      <c r="E45" s="23" t="str">
        <f>IFERROR(INDEX(Categorias!$B$5:$B$200,MATCH(ROWS($E$30:E45),Categorias!$AA$5:$AA$200,0)),"")</f>
        <v/>
      </c>
      <c r="F45" s="35" t="str">
        <f>IF($E45="","",SUMIFS('Registro Mensual'!$H$9:$H$1008,'Registro Mensual'!$C$9:$C$1008,$B$5,'Registro Mensual'!$D$9:$D$1008,$E45))</f>
        <v/>
      </c>
      <c r="G45" s="12"/>
      <c r="H45" s="12"/>
      <c r="I45" s="12"/>
      <c r="J45" s="12"/>
      <c r="K45" s="12"/>
      <c r="L45" s="12"/>
      <c r="M45" s="12"/>
      <c r="O45" s="12"/>
      <c r="P45" s="12"/>
      <c r="Q45" s="12"/>
      <c r="R45" s="12"/>
      <c r="S45" s="12"/>
    </row>
    <row r="46" spans="1:19" ht="21.95" customHeight="1" x14ac:dyDescent="0.25">
      <c r="A46" s="12"/>
      <c r="B46" s="23" t="str">
        <f>IFERROR(INDEX(Categorias!$AB$5:$AB$200,ROWS($B$30:B46)),"")</f>
        <v/>
      </c>
      <c r="C46" s="35" t="str">
        <f>IF($B46="","",SUMIFS('Registro Mensual'!$I$9:$I$1008,'Registro Mensual'!$C$9:$C$1008,$B$5,'Registro Mensual'!$D$9:$D$1008,$B46))</f>
        <v/>
      </c>
      <c r="D46" s="12"/>
      <c r="E46" s="23" t="str">
        <f>IFERROR(INDEX(Categorias!$B$5:$B$200,MATCH(ROWS($E$30:E46),Categorias!$AA$5:$AA$200,0)),"")</f>
        <v/>
      </c>
      <c r="F46" s="35" t="str">
        <f>IF($E46="","",SUMIFS('Registro Mensual'!$H$9:$H$1008,'Registro Mensual'!$C$9:$C$1008,$B$5,'Registro Mensual'!$D$9:$D$1008,$E46))</f>
        <v/>
      </c>
      <c r="G46" s="12"/>
      <c r="H46" s="12"/>
      <c r="I46" s="12"/>
      <c r="J46" s="12"/>
      <c r="K46" s="12"/>
      <c r="L46" s="12"/>
      <c r="M46" s="12"/>
      <c r="O46" s="12"/>
      <c r="P46" s="12"/>
      <c r="Q46" s="12"/>
      <c r="R46" s="12"/>
      <c r="S46" s="12"/>
    </row>
    <row r="47" spans="1:19" ht="21.95" customHeight="1" x14ac:dyDescent="0.25">
      <c r="A47" s="12"/>
      <c r="B47" s="23" t="str">
        <f>IFERROR(INDEX(Categorias!$AB$5:$AB$200,ROWS($B$30:B47)),"")</f>
        <v/>
      </c>
      <c r="C47" s="35" t="str">
        <f>IF($B47="","",SUMIFS('Registro Mensual'!$I$9:$I$1008,'Registro Mensual'!$C$9:$C$1008,$B$5,'Registro Mensual'!$D$9:$D$1008,$B47))</f>
        <v/>
      </c>
      <c r="D47" s="12"/>
      <c r="E47" s="23" t="str">
        <f>IFERROR(INDEX(Categorias!$B$5:$B$200,MATCH(ROWS($E$30:E47),Categorias!$AA$5:$AA$200,0)),"")</f>
        <v/>
      </c>
      <c r="F47" s="35" t="str">
        <f>IF($E47="","",SUMIFS('Registro Mensual'!$H$9:$H$1008,'Registro Mensual'!$C$9:$C$1008,$B$5,'Registro Mensual'!$D$9:$D$1008,$E47))</f>
        <v/>
      </c>
      <c r="G47" s="12"/>
      <c r="H47" s="12"/>
      <c r="I47" s="12"/>
      <c r="J47" s="12"/>
      <c r="K47" s="12"/>
      <c r="L47" s="12"/>
      <c r="M47" s="12"/>
      <c r="O47" s="12"/>
      <c r="P47" s="12"/>
      <c r="Q47" s="12"/>
      <c r="R47" s="12"/>
      <c r="S47" s="12"/>
    </row>
    <row r="48" spans="1:19" ht="21.95" customHeight="1" x14ac:dyDescent="0.25">
      <c r="A48" s="12"/>
      <c r="B48" s="23" t="str">
        <f>IFERROR(INDEX(Categorias!$AB$5:$AB$200,ROWS($B$30:B48)),"")</f>
        <v/>
      </c>
      <c r="C48" s="35" t="str">
        <f>IF($B48="","",SUMIFS('Registro Mensual'!$I$9:$I$1008,'Registro Mensual'!$C$9:$C$1008,$B$5,'Registro Mensual'!$D$9:$D$1008,$B48))</f>
        <v/>
      </c>
      <c r="D48" s="12"/>
      <c r="E48" s="23" t="str">
        <f>IFERROR(INDEX(Categorias!$B$5:$B$200,MATCH(ROWS($E$30:E48),Categorias!$AA$5:$AA$200,0)),"")</f>
        <v/>
      </c>
      <c r="F48" s="35" t="str">
        <f>IF($E48="","",SUMIFS('Registro Mensual'!$H$9:$H$1008,'Registro Mensual'!$C$9:$C$1008,$B$5,'Registro Mensual'!$D$9:$D$1008,$E48))</f>
        <v/>
      </c>
      <c r="G48" s="12"/>
      <c r="H48" s="12"/>
      <c r="I48" s="12"/>
      <c r="J48" s="12"/>
      <c r="K48" s="12"/>
      <c r="L48" s="12"/>
      <c r="M48" s="12"/>
      <c r="O48" s="12"/>
      <c r="P48" s="12"/>
      <c r="Q48" s="12"/>
      <c r="R48" s="12"/>
      <c r="S48" s="12"/>
    </row>
    <row r="49" spans="1:19" ht="21.95" customHeight="1" x14ac:dyDescent="0.25">
      <c r="A49" s="12"/>
      <c r="B49" s="23" t="str">
        <f>IFERROR(INDEX(Categorias!$AB$5:$AB$200,ROWS($B$30:B49)),"")</f>
        <v/>
      </c>
      <c r="C49" s="35" t="str">
        <f>IF($B49="","",SUMIFS('Registro Mensual'!$I$9:$I$1008,'Registro Mensual'!$C$9:$C$1008,$B$5,'Registro Mensual'!$D$9:$D$1008,$B49))</f>
        <v/>
      </c>
      <c r="D49" s="12"/>
      <c r="E49" s="23" t="str">
        <f>IFERROR(INDEX(Categorias!$B$5:$B$200,MATCH(ROWS($E$30:E49),Categorias!$AA$5:$AA$200,0)),"")</f>
        <v/>
      </c>
      <c r="F49" s="35" t="str">
        <f>IF($E49="","",SUMIFS('Registro Mensual'!$H$9:$H$1008,'Registro Mensual'!$C$9:$C$1008,$B$5,'Registro Mensual'!$D$9:$D$1008,$E49))</f>
        <v/>
      </c>
      <c r="G49" s="12"/>
      <c r="H49" s="12"/>
      <c r="I49" s="12"/>
      <c r="J49" s="12"/>
      <c r="K49" s="12"/>
      <c r="L49" s="12"/>
      <c r="M49" s="12"/>
      <c r="O49" s="12"/>
      <c r="P49" s="12"/>
      <c r="Q49" s="12"/>
      <c r="R49" s="12"/>
      <c r="S49" s="12"/>
    </row>
    <row r="50" spans="1:19" ht="21.95" customHeight="1" x14ac:dyDescent="0.25">
      <c r="A50" s="12"/>
      <c r="B50" s="8" t="s">
        <v>119</v>
      </c>
      <c r="C50" s="36">
        <f>SUM(C30:C49)</f>
        <v>2330000</v>
      </c>
      <c r="D50" s="12"/>
      <c r="E50" s="8" t="s">
        <v>120</v>
      </c>
      <c r="F50" s="36">
        <f>SUM(F30:F49)</f>
        <v>1450000</v>
      </c>
      <c r="G50" s="12"/>
      <c r="H50" s="12"/>
      <c r="I50" s="12"/>
      <c r="J50" s="12"/>
      <c r="K50" s="12"/>
      <c r="L50" s="12"/>
      <c r="M50" s="12"/>
      <c r="O50" s="12"/>
      <c r="P50" s="12"/>
      <c r="Q50" s="12"/>
      <c r="R50" s="12"/>
      <c r="S50" s="12"/>
    </row>
    <row r="51" spans="1:19" ht="33" customHeight="1" x14ac:dyDescent="0.25">
      <c r="A51" s="12"/>
      <c r="B51" s="22" t="s">
        <v>121</v>
      </c>
      <c r="C51" s="21"/>
      <c r="D51" s="21"/>
      <c r="E51" s="21"/>
      <c r="F51" s="21"/>
      <c r="G51" s="12"/>
      <c r="H51" s="12"/>
      <c r="I51" s="12"/>
      <c r="J51" s="12"/>
      <c r="K51" s="12"/>
      <c r="L51" s="12"/>
      <c r="M51" s="12"/>
      <c r="O51" s="12"/>
      <c r="P51" s="12"/>
      <c r="Q51" s="12"/>
      <c r="R51" s="12"/>
      <c r="S51" s="12"/>
    </row>
    <row r="52" spans="1:19" ht="21.95" customHeight="1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O52" s="12"/>
      <c r="P52" s="12"/>
      <c r="Q52" s="12"/>
      <c r="R52" s="12"/>
      <c r="S52" s="12"/>
    </row>
    <row r="53" spans="1:19" ht="21.95" customHeight="1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O53" s="12"/>
      <c r="P53" s="12"/>
      <c r="Q53" s="12"/>
      <c r="R53" s="12"/>
      <c r="S53" s="12"/>
    </row>
    <row r="54" spans="1:19" ht="21.95" customHeight="1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O54" s="12"/>
      <c r="P54" s="12"/>
      <c r="Q54" s="12"/>
      <c r="R54" s="12"/>
      <c r="S54" s="12"/>
    </row>
    <row r="55" spans="1:19" ht="21.95" customHeight="1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O55" s="12"/>
      <c r="P55" s="12"/>
      <c r="Q55" s="12"/>
      <c r="R55" s="12"/>
      <c r="S55" s="12"/>
    </row>
    <row r="56" spans="1:19" ht="21.95" customHeight="1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O56" s="12"/>
      <c r="P56" s="12"/>
      <c r="Q56" s="12"/>
      <c r="R56" s="12"/>
      <c r="S56" s="12"/>
    </row>
    <row r="57" spans="1:19" ht="21.95" customHeight="1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O57" s="12"/>
      <c r="P57" s="12"/>
      <c r="Q57" s="12"/>
      <c r="R57" s="12"/>
      <c r="S57" s="12"/>
    </row>
    <row r="58" spans="1:19" ht="21.95" customHeight="1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O58" s="12"/>
      <c r="P58" s="12"/>
      <c r="Q58" s="12"/>
      <c r="R58" s="12"/>
      <c r="S58" s="12"/>
    </row>
    <row r="59" spans="1:19" ht="21.95" customHeight="1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O59" s="12"/>
      <c r="P59" s="12"/>
      <c r="Q59" s="12"/>
      <c r="R59" s="12"/>
      <c r="S59" s="12"/>
    </row>
    <row r="60" spans="1:19" ht="21.95" customHeight="1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O60" s="12"/>
      <c r="P60" s="12"/>
      <c r="Q60" s="12"/>
      <c r="R60" s="12"/>
      <c r="S60" s="12"/>
    </row>
    <row r="61" spans="1:19" ht="21.95" customHeight="1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O61" s="12"/>
      <c r="P61" s="12"/>
      <c r="Q61" s="12"/>
      <c r="R61" s="12"/>
      <c r="S61" s="12"/>
    </row>
    <row r="62" spans="1:19" ht="21.95" customHeight="1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O62" s="12"/>
      <c r="P62" s="12"/>
      <c r="Q62" s="12"/>
      <c r="R62" s="12"/>
      <c r="S62" s="12"/>
    </row>
    <row r="63" spans="1:19" ht="21.95" customHeight="1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O63" s="12"/>
      <c r="P63" s="12"/>
      <c r="Q63" s="12"/>
      <c r="R63" s="12"/>
      <c r="S63" s="12"/>
    </row>
    <row r="64" spans="1:19" ht="21.95" customHeight="1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O64" s="12"/>
      <c r="P64" s="12"/>
      <c r="Q64" s="12"/>
      <c r="R64" s="12"/>
      <c r="S64" s="12"/>
    </row>
    <row r="65" spans="1:19" ht="21.95" customHeight="1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O65" s="12"/>
      <c r="P65" s="12"/>
      <c r="Q65" s="12"/>
      <c r="R65" s="12"/>
      <c r="S65" s="12"/>
    </row>
    <row r="66" spans="1:19" ht="21.95" customHeight="1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O66" s="12"/>
      <c r="P66" s="12"/>
      <c r="Q66" s="12"/>
      <c r="R66" s="12"/>
      <c r="S66" s="12"/>
    </row>
    <row r="67" spans="1:19" ht="21.95" customHeight="1" x14ac:dyDescent="0.2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O67" s="12"/>
      <c r="P67" s="12"/>
      <c r="Q67" s="12"/>
      <c r="R67" s="12"/>
      <c r="S67" s="12"/>
    </row>
    <row r="68" spans="1:19" ht="21.95" customHeight="1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O68" s="12"/>
      <c r="P68" s="12"/>
      <c r="Q68" s="12"/>
      <c r="R68" s="12"/>
      <c r="S68" s="12"/>
    </row>
    <row r="69" spans="1:19" ht="21.95" customHeight="1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O69" s="12"/>
      <c r="P69" s="12"/>
      <c r="Q69" s="12"/>
      <c r="R69" s="12"/>
      <c r="S69" s="12"/>
    </row>
    <row r="70" spans="1:19" ht="21.95" customHeight="1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O70" s="12"/>
      <c r="P70" s="12"/>
      <c r="Q70" s="12"/>
      <c r="R70" s="12"/>
      <c r="S70" s="12"/>
    </row>
    <row r="71" spans="1:19" ht="21.95" customHeight="1" x14ac:dyDescent="0.2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O71" s="12"/>
      <c r="P71" s="12"/>
      <c r="Q71" s="12"/>
      <c r="R71" s="12"/>
      <c r="S71" s="12"/>
    </row>
    <row r="72" spans="1:19" ht="21.95" customHeight="1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O72" s="12"/>
      <c r="P72" s="12"/>
      <c r="Q72" s="12"/>
      <c r="R72" s="12"/>
      <c r="S72" s="12"/>
    </row>
    <row r="73" spans="1:19" ht="21.95" customHeight="1" x14ac:dyDescent="0.2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O73" s="12"/>
      <c r="P73" s="12"/>
      <c r="Q73" s="12"/>
      <c r="R73" s="12"/>
      <c r="S73" s="12"/>
    </row>
    <row r="74" spans="1:19" ht="21.95" customHeight="1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O74" s="12"/>
      <c r="P74" s="12"/>
      <c r="Q74" s="12"/>
      <c r="R74" s="12"/>
      <c r="S74" s="12"/>
    </row>
    <row r="75" spans="1:19" ht="21.95" customHeight="1" x14ac:dyDescent="0.25">
      <c r="A75" s="12"/>
      <c r="B75" s="12"/>
      <c r="C75" s="12"/>
      <c r="D75" s="12"/>
      <c r="E75" s="12"/>
      <c r="F75" s="12"/>
      <c r="O75" s="12"/>
      <c r="P75" s="12"/>
      <c r="Q75" s="12"/>
      <c r="R75" s="12"/>
      <c r="S75" s="12"/>
    </row>
    <row r="76" spans="1:19" ht="21.95" customHeight="1" x14ac:dyDescent="0.25">
      <c r="A76" s="12"/>
      <c r="B76" s="12"/>
      <c r="C76" s="12"/>
      <c r="D76" s="12"/>
      <c r="E76" s="12"/>
      <c r="F76" s="12"/>
      <c r="O76" s="12"/>
      <c r="P76" s="12"/>
      <c r="Q76" s="12"/>
      <c r="R76" s="12"/>
      <c r="S76" s="12"/>
    </row>
    <row r="77" spans="1:19" ht="21.95" customHeight="1" x14ac:dyDescent="0.25">
      <c r="A77" s="12"/>
      <c r="O77" s="12"/>
      <c r="P77" s="12"/>
      <c r="Q77" s="12"/>
      <c r="R77" s="12"/>
      <c r="S77" s="12"/>
    </row>
    <row r="78" spans="1:19" ht="21.95" customHeight="1" x14ac:dyDescent="0.25">
      <c r="A78" s="12"/>
      <c r="O78" s="12"/>
      <c r="P78" s="12"/>
      <c r="Q78" s="12"/>
      <c r="R78" s="12"/>
      <c r="S78" s="12"/>
    </row>
    <row r="79" spans="1:19" ht="21.95" customHeight="1" x14ac:dyDescent="0.25">
      <c r="A79" s="12"/>
      <c r="O79" s="12"/>
      <c r="P79" s="12"/>
      <c r="Q79" s="12"/>
      <c r="R79" s="12"/>
      <c r="S79" s="12"/>
    </row>
    <row r="80" spans="1:19" ht="21.95" customHeight="1" x14ac:dyDescent="0.25">
      <c r="A80" s="12"/>
      <c r="O80" s="12"/>
      <c r="P80" s="12"/>
      <c r="Q80" s="12"/>
      <c r="R80" s="12"/>
      <c r="S80" s="12"/>
    </row>
    <row r="81" spans="1:19" ht="21.95" customHeight="1" x14ac:dyDescent="0.25">
      <c r="A81" s="12"/>
      <c r="O81" s="12"/>
      <c r="P81" s="12"/>
      <c r="Q81" s="12"/>
      <c r="R81" s="12"/>
      <c r="S81" s="12"/>
    </row>
    <row r="82" spans="1:19" ht="21.95" customHeight="1" x14ac:dyDescent="0.25">
      <c r="A82" s="12"/>
      <c r="O82" s="12"/>
      <c r="P82" s="12"/>
      <c r="Q82" s="12"/>
      <c r="R82" s="12"/>
      <c r="S82" s="12"/>
    </row>
    <row r="83" spans="1:19" ht="21.95" customHeight="1" x14ac:dyDescent="0.25">
      <c r="A83" s="12"/>
      <c r="O83" s="12"/>
      <c r="P83" s="12"/>
      <c r="Q83" s="12"/>
      <c r="R83" s="12"/>
      <c r="S83" s="12"/>
    </row>
    <row r="84" spans="1:19" ht="21.95" customHeight="1" x14ac:dyDescent="0.25">
      <c r="A84" s="12"/>
      <c r="O84" s="12"/>
      <c r="P84" s="12"/>
      <c r="Q84" s="12"/>
      <c r="R84" s="12"/>
      <c r="S84" s="12"/>
    </row>
    <row r="85" spans="1:19" ht="21.95" customHeight="1" x14ac:dyDescent="0.25">
      <c r="A85" s="12"/>
      <c r="O85" s="12"/>
      <c r="P85" s="12"/>
      <c r="Q85" s="12"/>
      <c r="R85" s="12"/>
      <c r="S85" s="12"/>
    </row>
    <row r="86" spans="1:19" ht="21.95" customHeight="1" x14ac:dyDescent="0.25">
      <c r="A86" s="12"/>
      <c r="O86" s="12"/>
      <c r="P86" s="12"/>
      <c r="Q86" s="12"/>
      <c r="R86" s="12"/>
      <c r="S86" s="12"/>
    </row>
    <row r="87" spans="1:19" ht="21.95" customHeight="1" x14ac:dyDescent="0.25">
      <c r="A87" s="12"/>
      <c r="O87" s="12"/>
      <c r="P87" s="12"/>
      <c r="Q87" s="12"/>
      <c r="R87" s="12"/>
      <c r="S87" s="12"/>
    </row>
    <row r="88" spans="1:19" ht="21.95" customHeight="1" x14ac:dyDescent="0.25">
      <c r="A88" s="12"/>
      <c r="O88" s="12"/>
      <c r="P88" s="12"/>
      <c r="Q88" s="12"/>
      <c r="R88" s="12"/>
      <c r="S88" s="12"/>
    </row>
    <row r="89" spans="1:19" ht="21.95" customHeight="1" x14ac:dyDescent="0.25">
      <c r="A89" s="12"/>
      <c r="O89" s="12"/>
      <c r="P89" s="12"/>
      <c r="Q89" s="12"/>
      <c r="R89" s="12"/>
      <c r="S89" s="12"/>
    </row>
    <row r="90" spans="1:19" ht="21.95" customHeight="1" x14ac:dyDescent="0.25">
      <c r="A90" s="12"/>
      <c r="O90" s="12"/>
      <c r="P90" s="12"/>
      <c r="Q90" s="12"/>
      <c r="R90" s="12"/>
      <c r="S90" s="12"/>
    </row>
    <row r="91" spans="1:19" ht="21.95" customHeight="1" x14ac:dyDescent="0.25">
      <c r="A91" s="12"/>
      <c r="O91" s="12"/>
      <c r="P91" s="12"/>
      <c r="Q91" s="12"/>
      <c r="R91" s="12"/>
      <c r="S91" s="12"/>
    </row>
    <row r="92" spans="1:19" ht="21.95" customHeight="1" x14ac:dyDescent="0.25">
      <c r="A92" s="12"/>
      <c r="O92" s="12"/>
      <c r="P92" s="12"/>
      <c r="Q92" s="12"/>
      <c r="R92" s="12"/>
      <c r="S92" s="12"/>
    </row>
    <row r="93" spans="1:19" ht="21.95" customHeight="1" x14ac:dyDescent="0.25">
      <c r="A93" s="12"/>
      <c r="O93" s="12"/>
      <c r="P93" s="12"/>
      <c r="Q93" s="12"/>
      <c r="R93" s="12"/>
      <c r="S93" s="12"/>
    </row>
    <row r="94" spans="1:19" ht="21.95" customHeight="1" x14ac:dyDescent="0.25">
      <c r="A94" s="12"/>
      <c r="O94" s="12"/>
      <c r="P94" s="12"/>
      <c r="Q94" s="12"/>
      <c r="R94" s="12"/>
      <c r="S94" s="12"/>
    </row>
    <row r="95" spans="1:19" ht="21.95" customHeight="1" x14ac:dyDescent="0.25">
      <c r="A95" s="12"/>
      <c r="O95" s="12"/>
      <c r="P95" s="12"/>
      <c r="Q95" s="12"/>
      <c r="R95" s="12"/>
      <c r="S95" s="12"/>
    </row>
    <row r="96" spans="1:19" ht="21.95" customHeight="1" x14ac:dyDescent="0.25">
      <c r="A96" s="12"/>
      <c r="O96" s="12"/>
      <c r="P96" s="12"/>
      <c r="Q96" s="12"/>
      <c r="R96" s="12"/>
      <c r="S96" s="12"/>
    </row>
    <row r="97" spans="1:19" ht="21.95" customHeight="1" x14ac:dyDescent="0.25">
      <c r="A97" s="12"/>
      <c r="O97" s="12"/>
      <c r="P97" s="12"/>
      <c r="Q97" s="12"/>
      <c r="R97" s="12"/>
      <c r="S97" s="12"/>
    </row>
    <row r="98" spans="1:19" ht="21.95" customHeight="1" x14ac:dyDescent="0.25">
      <c r="A98" s="12"/>
      <c r="O98" s="12"/>
      <c r="P98" s="12"/>
      <c r="Q98" s="12"/>
      <c r="R98" s="12"/>
      <c r="S98" s="12"/>
    </row>
    <row r="99" spans="1:19" ht="21.95" customHeight="1" x14ac:dyDescent="0.25">
      <c r="A99" s="12"/>
      <c r="O99" s="12"/>
      <c r="P99" s="12"/>
      <c r="Q99" s="12"/>
      <c r="R99" s="12"/>
      <c r="S99" s="12"/>
    </row>
    <row r="100" spans="1:19" ht="21.95" customHeight="1" x14ac:dyDescent="0.25">
      <c r="A100" s="12"/>
      <c r="O100" s="12"/>
      <c r="P100" s="12"/>
      <c r="Q100" s="12"/>
      <c r="R100" s="12"/>
      <c r="S100" s="12"/>
    </row>
    <row r="101" spans="1:19" ht="21.95" customHeight="1" x14ac:dyDescent="0.25">
      <c r="A101" s="12"/>
      <c r="O101" s="12"/>
      <c r="P101" s="12"/>
      <c r="Q101" s="12"/>
      <c r="R101" s="12"/>
      <c r="S101" s="12"/>
    </row>
    <row r="102" spans="1:19" ht="21.95" customHeight="1" x14ac:dyDescent="0.25">
      <c r="A102" s="12"/>
      <c r="O102" s="12"/>
      <c r="P102" s="12"/>
      <c r="Q102" s="12"/>
      <c r="R102" s="12"/>
      <c r="S102" s="12"/>
    </row>
    <row r="103" spans="1:19" ht="21.95" customHeight="1" x14ac:dyDescent="0.25">
      <c r="A103" s="12"/>
      <c r="O103" s="12"/>
      <c r="P103" s="12"/>
      <c r="Q103" s="12"/>
      <c r="R103" s="12"/>
      <c r="S103" s="12"/>
    </row>
    <row r="104" spans="1:19" ht="21.95" customHeight="1" x14ac:dyDescent="0.25">
      <c r="A104" s="12"/>
      <c r="O104" s="12"/>
      <c r="P104" s="12"/>
      <c r="Q104" s="12"/>
      <c r="R104" s="12"/>
      <c r="S104" s="12"/>
    </row>
    <row r="105" spans="1:19" ht="21.95" customHeight="1" x14ac:dyDescent="0.25">
      <c r="A105" s="12"/>
      <c r="O105" s="12"/>
      <c r="P105" s="12"/>
      <c r="Q105" s="12"/>
      <c r="R105" s="12"/>
      <c r="S105" s="12"/>
    </row>
    <row r="106" spans="1:19" ht="21.95" customHeight="1" x14ac:dyDescent="0.25">
      <c r="A106" s="12"/>
      <c r="O106" s="12"/>
      <c r="P106" s="12"/>
      <c r="Q106" s="12"/>
      <c r="R106" s="12"/>
      <c r="S106" s="12"/>
    </row>
    <row r="107" spans="1:19" ht="21.95" customHeight="1" x14ac:dyDescent="0.25">
      <c r="A107" s="12"/>
      <c r="O107" s="12"/>
      <c r="P107" s="12"/>
      <c r="Q107" s="12"/>
      <c r="R107" s="12"/>
      <c r="S107" s="12"/>
    </row>
    <row r="108" spans="1:19" ht="21.95" customHeight="1" x14ac:dyDescent="0.25">
      <c r="A108" s="12"/>
      <c r="O108" s="12"/>
      <c r="P108" s="12"/>
      <c r="Q108" s="12"/>
      <c r="R108" s="12"/>
      <c r="S108" s="12"/>
    </row>
    <row r="109" spans="1:19" ht="21.95" customHeight="1" x14ac:dyDescent="0.25">
      <c r="A109" s="12"/>
      <c r="O109" s="12"/>
      <c r="P109" s="12"/>
      <c r="Q109" s="12"/>
      <c r="R109" s="12"/>
      <c r="S109" s="12"/>
    </row>
    <row r="110" spans="1:19" ht="21.95" customHeight="1" x14ac:dyDescent="0.25">
      <c r="A110" s="12"/>
      <c r="O110" s="12"/>
      <c r="P110" s="12"/>
      <c r="Q110" s="12"/>
      <c r="R110" s="12"/>
      <c r="S110" s="12"/>
    </row>
    <row r="111" spans="1:19" ht="21.95" customHeight="1" x14ac:dyDescent="0.25">
      <c r="A111" s="12"/>
      <c r="O111" s="12"/>
      <c r="P111" s="12"/>
      <c r="Q111" s="12"/>
      <c r="R111" s="12"/>
      <c r="S111" s="12"/>
    </row>
    <row r="112" spans="1:19" ht="21.95" customHeight="1" x14ac:dyDescent="0.25">
      <c r="A112" s="12"/>
      <c r="O112" s="12"/>
      <c r="P112" s="12"/>
      <c r="Q112" s="12"/>
      <c r="R112" s="12"/>
      <c r="S112" s="12"/>
    </row>
    <row r="113" spans="1:19" ht="21.95" customHeight="1" x14ac:dyDescent="0.25">
      <c r="A113" s="12"/>
      <c r="O113" s="12"/>
      <c r="P113" s="12"/>
      <c r="Q113" s="12"/>
      <c r="R113" s="12"/>
      <c r="S113" s="12"/>
    </row>
    <row r="114" spans="1:19" ht="21.95" customHeight="1" x14ac:dyDescent="0.25">
      <c r="A114" s="12"/>
      <c r="O114" s="12"/>
      <c r="P114" s="12"/>
      <c r="Q114" s="12"/>
      <c r="R114" s="12"/>
      <c r="S114" s="12"/>
    </row>
    <row r="115" spans="1:19" ht="21.95" customHeight="1" x14ac:dyDescent="0.25">
      <c r="A115" s="12"/>
      <c r="O115" s="12"/>
      <c r="P115" s="12"/>
      <c r="Q115" s="12"/>
      <c r="R115" s="12"/>
      <c r="S115" s="12"/>
    </row>
    <row r="116" spans="1:19" ht="21.95" customHeight="1" x14ac:dyDescent="0.25">
      <c r="A116" s="12"/>
    </row>
    <row r="117" spans="1:19" ht="21.95" customHeight="1" x14ac:dyDescent="0.25">
      <c r="A117" s="12"/>
    </row>
    <row r="118" spans="1:19" ht="21.95" customHeight="1" x14ac:dyDescent="0.25">
      <c r="A118" s="12"/>
    </row>
    <row r="119" spans="1:19" ht="21.95" customHeight="1" x14ac:dyDescent="0.25">
      <c r="A119" s="12"/>
    </row>
    <row r="120" spans="1:19" ht="21.95" customHeight="1" x14ac:dyDescent="0.25">
      <c r="A120" s="12"/>
    </row>
    <row r="121" spans="1:19" ht="21.95" customHeight="1" x14ac:dyDescent="0.25">
      <c r="A121" s="12"/>
    </row>
    <row r="122" spans="1:19" ht="21.95" customHeight="1" x14ac:dyDescent="0.25">
      <c r="A122" s="12"/>
    </row>
    <row r="123" spans="1:19" ht="21.95" customHeight="1" x14ac:dyDescent="0.25">
      <c r="A123" s="12"/>
    </row>
    <row r="124" spans="1:19" ht="21.95" customHeight="1" x14ac:dyDescent="0.25">
      <c r="A124" s="12"/>
    </row>
    <row r="125" spans="1:19" ht="21.95" customHeight="1" x14ac:dyDescent="0.25">
      <c r="A125" s="12"/>
    </row>
    <row r="126" spans="1:19" ht="21.95" customHeight="1" x14ac:dyDescent="0.25">
      <c r="A126" s="12"/>
    </row>
    <row r="127" spans="1:19" ht="21.95" customHeight="1" x14ac:dyDescent="0.25">
      <c r="A127" s="12"/>
    </row>
    <row r="128" spans="1:19" ht="21.95" customHeight="1" x14ac:dyDescent="0.25">
      <c r="A128" s="12"/>
    </row>
    <row r="129" spans="1:1" ht="21.95" customHeight="1" x14ac:dyDescent="0.25">
      <c r="A129" s="12"/>
    </row>
    <row r="130" spans="1:1" ht="21.95" customHeight="1" x14ac:dyDescent="0.25">
      <c r="A130" s="12"/>
    </row>
    <row r="131" spans="1:1" ht="21.95" customHeight="1" x14ac:dyDescent="0.25">
      <c r="A131" s="12"/>
    </row>
    <row r="132" spans="1:1" ht="21.95" customHeight="1" x14ac:dyDescent="0.25">
      <c r="A132" s="12"/>
    </row>
    <row r="133" spans="1:1" ht="21.95" customHeight="1" x14ac:dyDescent="0.25">
      <c r="A133" s="12"/>
    </row>
    <row r="134" spans="1:1" ht="21.95" customHeight="1" x14ac:dyDescent="0.25">
      <c r="A134" s="12"/>
    </row>
    <row r="135" spans="1:1" ht="21.95" customHeight="1" x14ac:dyDescent="0.25">
      <c r="A135" s="12"/>
    </row>
    <row r="136" spans="1:1" ht="21.95" customHeight="1" x14ac:dyDescent="0.25">
      <c r="A136" s="12"/>
    </row>
    <row r="137" spans="1:1" ht="21.95" customHeight="1" x14ac:dyDescent="0.25">
      <c r="A137" s="12"/>
    </row>
    <row r="138" spans="1:1" ht="21.95" customHeight="1" x14ac:dyDescent="0.25">
      <c r="A138" s="12"/>
    </row>
    <row r="139" spans="1:1" ht="21.95" customHeight="1" x14ac:dyDescent="0.25">
      <c r="A139" s="12"/>
    </row>
    <row r="140" spans="1:1" ht="21.95" customHeight="1" x14ac:dyDescent="0.25">
      <c r="A140" s="12"/>
    </row>
    <row r="141" spans="1:1" ht="21.95" customHeight="1" x14ac:dyDescent="0.25">
      <c r="A141" s="12"/>
    </row>
    <row r="142" spans="1:1" ht="21.95" customHeight="1" x14ac:dyDescent="0.25">
      <c r="A142" s="12"/>
    </row>
    <row r="143" spans="1:1" ht="21.95" customHeight="1" x14ac:dyDescent="0.25">
      <c r="A143" s="12"/>
    </row>
    <row r="144" spans="1:1" ht="21.95" customHeight="1" x14ac:dyDescent="0.25">
      <c r="A144" s="12"/>
    </row>
    <row r="145" spans="1:1" ht="21.95" customHeight="1" x14ac:dyDescent="0.25">
      <c r="A145" s="12"/>
    </row>
    <row r="146" spans="1:1" ht="21.95" customHeight="1" x14ac:dyDescent="0.25">
      <c r="A146" s="12"/>
    </row>
    <row r="147" spans="1:1" ht="21.95" customHeight="1" x14ac:dyDescent="0.25">
      <c r="A147" s="12"/>
    </row>
    <row r="148" spans="1:1" ht="21.95" customHeight="1" x14ac:dyDescent="0.25">
      <c r="A148" s="12"/>
    </row>
    <row r="149" spans="1:1" ht="21.95" customHeight="1" x14ac:dyDescent="0.25">
      <c r="A149" s="12"/>
    </row>
    <row r="150" spans="1:1" ht="21.95" customHeight="1" x14ac:dyDescent="0.25">
      <c r="A150" s="12"/>
    </row>
    <row r="151" spans="1:1" ht="21.95" customHeight="1" x14ac:dyDescent="0.25">
      <c r="A151" s="12"/>
    </row>
    <row r="152" spans="1:1" ht="21.95" customHeight="1" x14ac:dyDescent="0.25">
      <c r="A152" s="12"/>
    </row>
    <row r="153" spans="1:1" ht="21.95" customHeight="1" x14ac:dyDescent="0.25">
      <c r="A153" s="12"/>
    </row>
    <row r="154" spans="1:1" ht="21.95" customHeight="1" x14ac:dyDescent="0.25">
      <c r="A154" s="12"/>
    </row>
    <row r="155" spans="1:1" ht="21.95" customHeight="1" x14ac:dyDescent="0.25">
      <c r="A155" s="12"/>
    </row>
    <row r="156" spans="1:1" ht="21.95" customHeight="1" x14ac:dyDescent="0.25">
      <c r="A156" s="12"/>
    </row>
    <row r="157" spans="1:1" ht="21.95" customHeight="1" x14ac:dyDescent="0.25">
      <c r="A157" s="12"/>
    </row>
    <row r="158" spans="1:1" ht="21.95" customHeight="1" x14ac:dyDescent="0.25">
      <c r="A158" s="12"/>
    </row>
    <row r="159" spans="1:1" ht="21.95" customHeight="1" x14ac:dyDescent="0.25">
      <c r="A159" s="12"/>
    </row>
    <row r="160" spans="1:1" ht="21.95" customHeight="1" x14ac:dyDescent="0.25">
      <c r="A160" s="12"/>
    </row>
    <row r="161" spans="1:1" ht="21.95" customHeight="1" x14ac:dyDescent="0.25">
      <c r="A161" s="12"/>
    </row>
    <row r="162" spans="1:1" ht="21.95" customHeight="1" x14ac:dyDescent="0.25">
      <c r="A162" s="12"/>
    </row>
    <row r="163" spans="1:1" ht="21.95" customHeight="1" x14ac:dyDescent="0.25">
      <c r="A163" s="12"/>
    </row>
    <row r="164" spans="1:1" ht="21.95" customHeight="1" x14ac:dyDescent="0.25">
      <c r="A164" s="12"/>
    </row>
    <row r="165" spans="1:1" ht="21.95" customHeight="1" x14ac:dyDescent="0.25">
      <c r="A165" s="12"/>
    </row>
    <row r="166" spans="1:1" ht="21.95" customHeight="1" x14ac:dyDescent="0.25">
      <c r="A166" s="12"/>
    </row>
    <row r="167" spans="1:1" ht="21.95" customHeight="1" x14ac:dyDescent="0.25">
      <c r="A167" s="12"/>
    </row>
    <row r="168" spans="1:1" ht="21.95" customHeight="1" x14ac:dyDescent="0.25">
      <c r="A168" s="12"/>
    </row>
    <row r="169" spans="1:1" ht="21.95" customHeight="1" x14ac:dyDescent="0.25">
      <c r="A169" s="12"/>
    </row>
    <row r="170" spans="1:1" ht="21.95" customHeight="1" x14ac:dyDescent="0.25">
      <c r="A170" s="12"/>
    </row>
    <row r="171" spans="1:1" ht="21.95" customHeight="1" x14ac:dyDescent="0.25">
      <c r="A171" s="12"/>
    </row>
    <row r="172" spans="1:1" ht="21.95" customHeight="1" x14ac:dyDescent="0.25">
      <c r="A172" s="12"/>
    </row>
    <row r="173" spans="1:1" ht="21.95" customHeight="1" x14ac:dyDescent="0.25">
      <c r="A173" s="12"/>
    </row>
    <row r="174" spans="1:1" ht="21.95" customHeight="1" x14ac:dyDescent="0.25">
      <c r="A174" s="12"/>
    </row>
    <row r="175" spans="1:1" ht="21.95" customHeight="1" x14ac:dyDescent="0.25">
      <c r="A175" s="12"/>
    </row>
    <row r="176" spans="1:1" ht="21.95" customHeight="1" x14ac:dyDescent="0.25">
      <c r="A176" s="12"/>
    </row>
    <row r="177" spans="1:1" ht="21.95" customHeight="1" x14ac:dyDescent="0.25">
      <c r="A177" s="12"/>
    </row>
    <row r="178" spans="1:1" ht="21.95" customHeight="1" x14ac:dyDescent="0.25">
      <c r="A178" s="12"/>
    </row>
    <row r="179" spans="1:1" ht="21.95" customHeight="1" x14ac:dyDescent="0.25">
      <c r="A179" s="12"/>
    </row>
    <row r="180" spans="1:1" ht="21.95" customHeight="1" x14ac:dyDescent="0.25">
      <c r="A180" s="12"/>
    </row>
    <row r="181" spans="1:1" ht="21.95" customHeight="1" x14ac:dyDescent="0.25">
      <c r="A181" s="12"/>
    </row>
    <row r="182" spans="1:1" ht="21.95" customHeight="1" x14ac:dyDescent="0.25">
      <c r="A182" s="12"/>
    </row>
    <row r="183" spans="1:1" ht="21.95" customHeight="1" x14ac:dyDescent="0.25">
      <c r="A183" s="12"/>
    </row>
    <row r="184" spans="1:1" ht="21.95" customHeight="1" x14ac:dyDescent="0.25">
      <c r="A184" s="12"/>
    </row>
    <row r="185" spans="1:1" ht="21.95" customHeight="1" x14ac:dyDescent="0.25">
      <c r="A185" s="12"/>
    </row>
    <row r="186" spans="1:1" ht="21.95" customHeight="1" x14ac:dyDescent="0.25">
      <c r="A186" s="12"/>
    </row>
    <row r="187" spans="1:1" ht="21.95" customHeight="1" x14ac:dyDescent="0.25">
      <c r="A187" s="12"/>
    </row>
    <row r="188" spans="1:1" ht="21.95" customHeight="1" x14ac:dyDescent="0.25">
      <c r="A188" s="12"/>
    </row>
    <row r="189" spans="1:1" ht="21.95" customHeight="1" x14ac:dyDescent="0.25">
      <c r="A189" s="12"/>
    </row>
    <row r="190" spans="1:1" ht="21.95" customHeight="1" x14ac:dyDescent="0.25">
      <c r="A190" s="12"/>
    </row>
    <row r="191" spans="1:1" ht="21.95" customHeight="1" x14ac:dyDescent="0.25">
      <c r="A191" s="12"/>
    </row>
    <row r="192" spans="1:1" ht="21.95" customHeight="1" x14ac:dyDescent="0.25">
      <c r="A192" s="12"/>
    </row>
    <row r="193" spans="1:1" ht="21.95" customHeight="1" x14ac:dyDescent="0.25">
      <c r="A193" s="12"/>
    </row>
    <row r="194" spans="1:1" ht="21.95" customHeight="1" x14ac:dyDescent="0.25">
      <c r="A194" s="12"/>
    </row>
    <row r="195" spans="1:1" ht="21.95" customHeight="1" x14ac:dyDescent="0.25">
      <c r="A195" s="12"/>
    </row>
    <row r="196" spans="1:1" ht="21.95" customHeight="1" x14ac:dyDescent="0.25">
      <c r="A196" s="12"/>
    </row>
    <row r="197" spans="1:1" ht="21.95" customHeight="1" x14ac:dyDescent="0.25">
      <c r="A197" s="12"/>
    </row>
    <row r="198" spans="1:1" ht="21.95" customHeight="1" x14ac:dyDescent="0.25">
      <c r="A198" s="12"/>
    </row>
    <row r="199" spans="1:1" ht="21.95" customHeight="1" x14ac:dyDescent="0.25">
      <c r="A199" s="12"/>
    </row>
    <row r="200" spans="1:1" ht="21.95" customHeight="1" x14ac:dyDescent="0.25">
      <c r="A200" s="12"/>
    </row>
    <row r="201" spans="1:1" ht="21.95" customHeight="1" x14ac:dyDescent="0.25">
      <c r="A201" s="12"/>
    </row>
    <row r="202" spans="1:1" ht="21.95" customHeight="1" x14ac:dyDescent="0.25">
      <c r="A202" s="12"/>
    </row>
    <row r="203" spans="1:1" ht="21.95" customHeight="1" x14ac:dyDescent="0.25">
      <c r="A203" s="12"/>
    </row>
    <row r="204" spans="1:1" ht="21.95" customHeight="1" x14ac:dyDescent="0.25">
      <c r="A204" s="12"/>
    </row>
    <row r="205" spans="1:1" ht="21.95" customHeight="1" x14ac:dyDescent="0.25">
      <c r="A205" s="12"/>
    </row>
    <row r="206" spans="1:1" ht="21.95" customHeight="1" x14ac:dyDescent="0.25">
      <c r="A206" s="12"/>
    </row>
    <row r="207" spans="1:1" ht="21.95" customHeight="1" x14ac:dyDescent="0.25">
      <c r="A207" s="12"/>
    </row>
    <row r="208" spans="1:1" ht="21.95" customHeight="1" x14ac:dyDescent="0.25">
      <c r="A208" s="12"/>
    </row>
    <row r="209" spans="1:1" ht="21.95" customHeight="1" x14ac:dyDescent="0.25">
      <c r="A209" s="12"/>
    </row>
    <row r="210" spans="1:1" ht="21.95" customHeight="1" x14ac:dyDescent="0.25">
      <c r="A210" s="12"/>
    </row>
    <row r="211" spans="1:1" ht="21.95" customHeight="1" x14ac:dyDescent="0.25">
      <c r="A211" s="12"/>
    </row>
    <row r="212" spans="1:1" ht="21.95" customHeight="1" x14ac:dyDescent="0.25">
      <c r="A212" s="12"/>
    </row>
    <row r="213" spans="1:1" ht="21.95" customHeight="1" x14ac:dyDescent="0.25">
      <c r="A213" s="12"/>
    </row>
    <row r="214" spans="1:1" ht="21.95" customHeight="1" x14ac:dyDescent="0.25">
      <c r="A214" s="12"/>
    </row>
    <row r="215" spans="1:1" ht="21.95" customHeight="1" x14ac:dyDescent="0.25">
      <c r="A215" s="12"/>
    </row>
    <row r="216" spans="1:1" ht="21.95" customHeight="1" x14ac:dyDescent="0.25">
      <c r="A216" s="12"/>
    </row>
    <row r="217" spans="1:1" ht="21.95" customHeight="1" x14ac:dyDescent="0.25">
      <c r="A217" s="12"/>
    </row>
    <row r="218" spans="1:1" ht="21.95" customHeight="1" x14ac:dyDescent="0.25">
      <c r="A218" s="12"/>
    </row>
    <row r="219" spans="1:1" ht="21.95" customHeight="1" x14ac:dyDescent="0.25">
      <c r="A219" s="12"/>
    </row>
    <row r="220" spans="1:1" ht="21.95" customHeight="1" x14ac:dyDescent="0.25">
      <c r="A220" s="12"/>
    </row>
    <row r="221" spans="1:1" ht="21.95" customHeight="1" x14ac:dyDescent="0.25">
      <c r="A221" s="12"/>
    </row>
    <row r="222" spans="1:1" ht="21.95" customHeight="1" x14ac:dyDescent="0.25">
      <c r="A222" s="12"/>
    </row>
    <row r="223" spans="1:1" ht="21.95" customHeight="1" x14ac:dyDescent="0.25">
      <c r="A223" s="12"/>
    </row>
    <row r="224" spans="1:1" ht="21.95" customHeight="1" x14ac:dyDescent="0.25">
      <c r="A224" s="12"/>
    </row>
    <row r="225" spans="1:1" ht="21.95" customHeight="1" x14ac:dyDescent="0.25">
      <c r="A225" s="12"/>
    </row>
    <row r="226" spans="1:1" ht="21.95" customHeight="1" x14ac:dyDescent="0.25">
      <c r="A226" s="12"/>
    </row>
    <row r="227" spans="1:1" ht="21.95" customHeight="1" x14ac:dyDescent="0.25">
      <c r="A227" s="12"/>
    </row>
    <row r="228" spans="1:1" ht="21.95" customHeight="1" x14ac:dyDescent="0.25">
      <c r="A228" s="12"/>
    </row>
    <row r="229" spans="1:1" ht="21.95" customHeight="1" x14ac:dyDescent="0.25">
      <c r="A229" s="12"/>
    </row>
    <row r="230" spans="1:1" ht="21.95" customHeight="1" x14ac:dyDescent="0.25">
      <c r="A230" s="12"/>
    </row>
    <row r="231" spans="1:1" ht="21.95" customHeight="1" x14ac:dyDescent="0.25">
      <c r="A231" s="12"/>
    </row>
    <row r="232" spans="1:1" ht="21.95" customHeight="1" x14ac:dyDescent="0.25">
      <c r="A232" s="12"/>
    </row>
    <row r="233" spans="1:1" ht="21.95" customHeight="1" x14ac:dyDescent="0.25">
      <c r="A233" s="12"/>
    </row>
    <row r="234" spans="1:1" ht="21.95" customHeight="1" x14ac:dyDescent="0.25">
      <c r="A234" s="12"/>
    </row>
    <row r="235" spans="1:1" ht="21.95" customHeight="1" x14ac:dyDescent="0.25">
      <c r="A235" s="12"/>
    </row>
    <row r="236" spans="1:1" ht="21.95" customHeight="1" x14ac:dyDescent="0.25">
      <c r="A236" s="12"/>
    </row>
    <row r="237" spans="1:1" ht="21.95" customHeight="1" x14ac:dyDescent="0.25">
      <c r="A237" s="12"/>
    </row>
    <row r="238" spans="1:1" ht="21.95" customHeight="1" x14ac:dyDescent="0.25">
      <c r="A238" s="12"/>
    </row>
    <row r="239" spans="1:1" ht="21.95" customHeight="1" x14ac:dyDescent="0.25">
      <c r="A239" s="12"/>
    </row>
    <row r="240" spans="1:1" ht="21.95" customHeight="1" x14ac:dyDescent="0.25">
      <c r="A240" s="12"/>
    </row>
    <row r="241" spans="1:1" ht="21.95" customHeight="1" x14ac:dyDescent="0.25">
      <c r="A241" s="12"/>
    </row>
    <row r="242" spans="1:1" ht="21.95" customHeight="1" x14ac:dyDescent="0.25">
      <c r="A242" s="12"/>
    </row>
    <row r="243" spans="1:1" ht="21.95" customHeight="1" x14ac:dyDescent="0.25">
      <c r="A243" s="12"/>
    </row>
    <row r="244" spans="1:1" ht="21.95" customHeight="1" x14ac:dyDescent="0.25">
      <c r="A244" s="12"/>
    </row>
    <row r="245" spans="1:1" ht="21.95" customHeight="1" x14ac:dyDescent="0.25">
      <c r="A245" s="12"/>
    </row>
    <row r="246" spans="1:1" ht="21.95" customHeight="1" x14ac:dyDescent="0.25">
      <c r="A246" s="12"/>
    </row>
    <row r="247" spans="1:1" ht="21.95" customHeight="1" x14ac:dyDescent="0.25">
      <c r="A247" s="12"/>
    </row>
    <row r="248" spans="1:1" ht="21.95" customHeight="1" x14ac:dyDescent="0.25">
      <c r="A248" s="12"/>
    </row>
    <row r="249" spans="1:1" ht="21.95" customHeight="1" x14ac:dyDescent="0.25">
      <c r="A249" s="12"/>
    </row>
    <row r="250" spans="1:1" ht="21.95" customHeight="1" x14ac:dyDescent="0.25">
      <c r="A250" s="12"/>
    </row>
    <row r="251" spans="1:1" ht="21.95" customHeight="1" x14ac:dyDescent="0.25">
      <c r="A251" s="12"/>
    </row>
    <row r="252" spans="1:1" ht="21.95" customHeight="1" x14ac:dyDescent="0.25">
      <c r="A252" s="12"/>
    </row>
    <row r="253" spans="1:1" ht="21.95" customHeight="1" x14ac:dyDescent="0.25">
      <c r="A253" s="12"/>
    </row>
    <row r="254" spans="1:1" ht="21.95" customHeight="1" x14ac:dyDescent="0.25">
      <c r="A254" s="12"/>
    </row>
    <row r="255" spans="1:1" ht="21.95" customHeight="1" x14ac:dyDescent="0.25">
      <c r="A255" s="12"/>
    </row>
    <row r="256" spans="1:1" ht="21.95" customHeight="1" x14ac:dyDescent="0.25">
      <c r="A256" s="12"/>
    </row>
    <row r="257" spans="1:1" ht="21.95" customHeight="1" x14ac:dyDescent="0.25">
      <c r="A257" s="12"/>
    </row>
    <row r="258" spans="1:1" ht="21.95" customHeight="1" x14ac:dyDescent="0.25">
      <c r="A258" s="12"/>
    </row>
    <row r="259" spans="1:1" ht="21.95" customHeight="1" x14ac:dyDescent="0.25">
      <c r="A259" s="12"/>
    </row>
    <row r="260" spans="1:1" ht="21.95" customHeight="1" x14ac:dyDescent="0.25">
      <c r="A260" s="12"/>
    </row>
    <row r="261" spans="1:1" ht="21.95" customHeight="1" x14ac:dyDescent="0.25">
      <c r="A261" s="12"/>
    </row>
    <row r="262" spans="1:1" ht="21.95" customHeight="1" x14ac:dyDescent="0.25">
      <c r="A262" s="12"/>
    </row>
    <row r="263" spans="1:1" ht="21.95" customHeight="1" x14ac:dyDescent="0.25">
      <c r="A263" s="12"/>
    </row>
    <row r="264" spans="1:1" ht="21.95" customHeight="1" x14ac:dyDescent="0.25">
      <c r="A264" s="12"/>
    </row>
    <row r="265" spans="1:1" ht="21.95" customHeight="1" x14ac:dyDescent="0.25">
      <c r="A265" s="12"/>
    </row>
    <row r="266" spans="1:1" ht="21.95" customHeight="1" x14ac:dyDescent="0.25">
      <c r="A266" s="12"/>
    </row>
    <row r="267" spans="1:1" ht="21.95" customHeight="1" x14ac:dyDescent="0.25">
      <c r="A267" s="12"/>
    </row>
    <row r="268" spans="1:1" ht="21.95" customHeight="1" x14ac:dyDescent="0.25">
      <c r="A268" s="12"/>
    </row>
    <row r="269" spans="1:1" ht="21.95" customHeight="1" x14ac:dyDescent="0.25">
      <c r="A269" s="12"/>
    </row>
    <row r="270" spans="1:1" ht="21.95" customHeight="1" x14ac:dyDescent="0.25">
      <c r="A270" s="12"/>
    </row>
    <row r="271" spans="1:1" ht="21.95" customHeight="1" x14ac:dyDescent="0.25">
      <c r="A271" s="12"/>
    </row>
    <row r="272" spans="1:1" ht="21.95" customHeight="1" x14ac:dyDescent="0.25">
      <c r="A272" s="12"/>
    </row>
    <row r="273" spans="1:1" ht="21.95" customHeight="1" x14ac:dyDescent="0.25">
      <c r="A273" s="12"/>
    </row>
    <row r="274" spans="1:1" ht="21.95" customHeight="1" x14ac:dyDescent="0.25">
      <c r="A274" s="12"/>
    </row>
    <row r="275" spans="1:1" ht="21.95" customHeight="1" x14ac:dyDescent="0.25">
      <c r="A275" s="12"/>
    </row>
    <row r="276" spans="1:1" ht="21.95" customHeight="1" x14ac:dyDescent="0.25">
      <c r="A276" s="12"/>
    </row>
    <row r="277" spans="1:1" ht="21.95" customHeight="1" x14ac:dyDescent="0.25">
      <c r="A277" s="12"/>
    </row>
    <row r="278" spans="1:1" ht="21.95" customHeight="1" x14ac:dyDescent="0.25">
      <c r="A278" s="12"/>
    </row>
    <row r="279" spans="1:1" ht="21.95" customHeight="1" x14ac:dyDescent="0.25">
      <c r="A279" s="12"/>
    </row>
    <row r="280" spans="1:1" ht="21.95" customHeight="1" x14ac:dyDescent="0.25">
      <c r="A280" s="12"/>
    </row>
    <row r="281" spans="1:1" ht="21.95" customHeight="1" x14ac:dyDescent="0.25">
      <c r="A281" s="12"/>
    </row>
    <row r="282" spans="1:1" ht="21.95" customHeight="1" x14ac:dyDescent="0.25">
      <c r="A282" s="12"/>
    </row>
    <row r="283" spans="1:1" ht="21.95" customHeight="1" x14ac:dyDescent="0.25">
      <c r="A283" s="12"/>
    </row>
    <row r="284" spans="1:1" ht="21.95" customHeight="1" x14ac:dyDescent="0.25">
      <c r="A284" s="12"/>
    </row>
    <row r="285" spans="1:1" ht="21.95" customHeight="1" x14ac:dyDescent="0.25">
      <c r="A285" s="12"/>
    </row>
    <row r="286" spans="1:1" ht="21.95" customHeight="1" x14ac:dyDescent="0.25">
      <c r="A286" s="12"/>
    </row>
    <row r="287" spans="1:1" ht="21.95" customHeight="1" x14ac:dyDescent="0.25">
      <c r="A287" s="12"/>
    </row>
    <row r="288" spans="1:1" ht="21.95" customHeight="1" x14ac:dyDescent="0.25">
      <c r="A288" s="12"/>
    </row>
    <row r="289" spans="1:1" ht="21.95" customHeight="1" x14ac:dyDescent="0.25">
      <c r="A289" s="12"/>
    </row>
    <row r="290" spans="1:1" ht="21.95" customHeight="1" x14ac:dyDescent="0.25">
      <c r="A290" s="12"/>
    </row>
    <row r="291" spans="1:1" ht="21.95" customHeight="1" x14ac:dyDescent="0.25">
      <c r="A291" s="12"/>
    </row>
    <row r="292" spans="1:1" ht="21.95" customHeight="1" x14ac:dyDescent="0.25">
      <c r="A292" s="12"/>
    </row>
    <row r="293" spans="1:1" ht="21.95" customHeight="1" x14ac:dyDescent="0.25">
      <c r="A293" s="12"/>
    </row>
    <row r="294" spans="1:1" ht="21.95" customHeight="1" x14ac:dyDescent="0.25">
      <c r="A294" s="12"/>
    </row>
    <row r="295" spans="1:1" ht="21.95" customHeight="1" x14ac:dyDescent="0.25">
      <c r="A295" s="12"/>
    </row>
    <row r="296" spans="1:1" ht="21.95" customHeight="1" x14ac:dyDescent="0.25">
      <c r="A296" s="12"/>
    </row>
    <row r="297" spans="1:1" ht="21.95" customHeight="1" x14ac:dyDescent="0.25">
      <c r="A297" s="12"/>
    </row>
    <row r="298" spans="1:1" ht="21.95" customHeight="1" x14ac:dyDescent="0.25">
      <c r="A298" s="12"/>
    </row>
    <row r="299" spans="1:1" ht="21.95" customHeight="1" x14ac:dyDescent="0.25">
      <c r="A299" s="12"/>
    </row>
    <row r="300" spans="1:1" ht="21.95" customHeight="1" x14ac:dyDescent="0.25">
      <c r="A300" s="12"/>
    </row>
    <row r="301" spans="1:1" ht="21.95" customHeight="1" x14ac:dyDescent="0.25">
      <c r="A301" s="12"/>
    </row>
    <row r="302" spans="1:1" ht="21.95" customHeight="1" x14ac:dyDescent="0.25">
      <c r="A302" s="12"/>
    </row>
    <row r="303" spans="1:1" ht="21.95" customHeight="1" x14ac:dyDescent="0.25">
      <c r="A303" s="12"/>
    </row>
    <row r="304" spans="1:1" ht="21.95" customHeight="1" x14ac:dyDescent="0.25">
      <c r="A304" s="12"/>
    </row>
    <row r="305" spans="1:1" ht="21.95" customHeight="1" x14ac:dyDescent="0.25">
      <c r="A305" s="12"/>
    </row>
    <row r="306" spans="1:1" ht="21.95" customHeight="1" x14ac:dyDescent="0.25">
      <c r="A306" s="12"/>
    </row>
    <row r="307" spans="1:1" ht="21.95" customHeight="1" x14ac:dyDescent="0.25">
      <c r="A307" s="12"/>
    </row>
    <row r="308" spans="1:1" ht="21.95" customHeight="1" x14ac:dyDescent="0.25">
      <c r="A308" s="12"/>
    </row>
    <row r="309" spans="1:1" ht="21.95" customHeight="1" x14ac:dyDescent="0.25">
      <c r="A309" s="12"/>
    </row>
    <row r="310" spans="1:1" ht="21.95" customHeight="1" x14ac:dyDescent="0.25">
      <c r="A310" s="12"/>
    </row>
    <row r="311" spans="1:1" ht="21.95" customHeight="1" x14ac:dyDescent="0.25">
      <c r="A311" s="12"/>
    </row>
    <row r="312" spans="1:1" ht="21.95" customHeight="1" x14ac:dyDescent="0.25">
      <c r="A312" s="12"/>
    </row>
    <row r="313" spans="1:1" ht="21.95" customHeight="1" x14ac:dyDescent="0.25">
      <c r="A313" s="12"/>
    </row>
    <row r="314" spans="1:1" ht="21.95" customHeight="1" x14ac:dyDescent="0.25">
      <c r="A314" s="12"/>
    </row>
    <row r="315" spans="1:1" ht="21.95" customHeight="1" x14ac:dyDescent="0.25">
      <c r="A315" s="12"/>
    </row>
    <row r="316" spans="1:1" ht="21.95" customHeight="1" x14ac:dyDescent="0.25">
      <c r="A316" s="12"/>
    </row>
    <row r="317" spans="1:1" ht="21.95" customHeight="1" x14ac:dyDescent="0.25">
      <c r="A317" s="12"/>
    </row>
    <row r="318" spans="1:1" ht="21.95" customHeight="1" x14ac:dyDescent="0.25">
      <c r="A318" s="12"/>
    </row>
    <row r="319" spans="1:1" ht="21.95" customHeight="1" x14ac:dyDescent="0.25">
      <c r="A319" s="12"/>
    </row>
    <row r="320" spans="1:1" ht="21.95" customHeight="1" x14ac:dyDescent="0.25">
      <c r="A320" s="12"/>
    </row>
    <row r="321" spans="1:1" ht="21.95" customHeight="1" x14ac:dyDescent="0.25">
      <c r="A321" s="12"/>
    </row>
    <row r="322" spans="1:1" ht="21.95" customHeight="1" x14ac:dyDescent="0.25">
      <c r="A322" s="12"/>
    </row>
    <row r="323" spans="1:1" ht="21.95" customHeight="1" x14ac:dyDescent="0.25">
      <c r="A323" s="12"/>
    </row>
    <row r="324" spans="1:1" ht="21.95" customHeight="1" x14ac:dyDescent="0.25">
      <c r="A324" s="12"/>
    </row>
    <row r="325" spans="1:1" ht="21.95" customHeight="1" x14ac:dyDescent="0.25">
      <c r="A325" s="12"/>
    </row>
    <row r="326" spans="1:1" ht="21.95" customHeight="1" x14ac:dyDescent="0.25">
      <c r="A326" s="12"/>
    </row>
    <row r="327" spans="1:1" ht="21.95" customHeight="1" x14ac:dyDescent="0.25">
      <c r="A327" s="12"/>
    </row>
    <row r="328" spans="1:1" ht="21.95" customHeight="1" x14ac:dyDescent="0.25">
      <c r="A328" s="12"/>
    </row>
    <row r="329" spans="1:1" ht="21.95" customHeight="1" x14ac:dyDescent="0.25">
      <c r="A329" s="12"/>
    </row>
    <row r="330" spans="1:1" ht="21.95" customHeight="1" x14ac:dyDescent="0.25">
      <c r="A330" s="12"/>
    </row>
    <row r="331" spans="1:1" ht="21.95" customHeight="1" x14ac:dyDescent="0.25">
      <c r="A331" s="12"/>
    </row>
    <row r="332" spans="1:1" ht="21.95" customHeight="1" x14ac:dyDescent="0.25">
      <c r="A332" s="12"/>
    </row>
    <row r="333" spans="1:1" ht="21.95" customHeight="1" x14ac:dyDescent="0.25">
      <c r="A333" s="12"/>
    </row>
    <row r="334" spans="1:1" ht="21.95" customHeight="1" x14ac:dyDescent="0.25">
      <c r="A334" s="12"/>
    </row>
    <row r="335" spans="1:1" ht="21.95" customHeight="1" x14ac:dyDescent="0.25">
      <c r="A335" s="12"/>
    </row>
    <row r="336" spans="1:1" ht="21.95" customHeight="1" x14ac:dyDescent="0.25">
      <c r="A336" s="12"/>
    </row>
    <row r="337" spans="1:1" ht="21.95" customHeight="1" x14ac:dyDescent="0.25">
      <c r="A337" s="12"/>
    </row>
    <row r="338" spans="1:1" ht="21.95" customHeight="1" x14ac:dyDescent="0.25">
      <c r="A338" s="12"/>
    </row>
    <row r="339" spans="1:1" ht="21.95" customHeight="1" x14ac:dyDescent="0.25">
      <c r="A339" s="12"/>
    </row>
    <row r="340" spans="1:1" ht="21.95" customHeight="1" x14ac:dyDescent="0.25">
      <c r="A340" s="12"/>
    </row>
    <row r="341" spans="1:1" ht="21.95" customHeight="1" x14ac:dyDescent="0.25">
      <c r="A341" s="12"/>
    </row>
    <row r="342" spans="1:1" ht="21.95" customHeight="1" x14ac:dyDescent="0.25">
      <c r="A342" s="12"/>
    </row>
    <row r="343" spans="1:1" ht="21.95" customHeight="1" x14ac:dyDescent="0.25">
      <c r="A343" s="12"/>
    </row>
    <row r="344" spans="1:1" ht="21.95" customHeight="1" x14ac:dyDescent="0.25">
      <c r="A344" s="12"/>
    </row>
    <row r="345" spans="1:1" ht="21.95" customHeight="1" x14ac:dyDescent="0.25">
      <c r="A345" s="12"/>
    </row>
    <row r="346" spans="1:1" ht="21.95" customHeight="1" x14ac:dyDescent="0.25">
      <c r="A346" s="12"/>
    </row>
    <row r="347" spans="1:1" ht="21.95" customHeight="1" x14ac:dyDescent="0.25">
      <c r="A347" s="12"/>
    </row>
    <row r="348" spans="1:1" ht="21.95" customHeight="1" x14ac:dyDescent="0.25">
      <c r="A348" s="12"/>
    </row>
    <row r="349" spans="1:1" ht="21.95" customHeight="1" x14ac:dyDescent="0.25">
      <c r="A349" s="12"/>
    </row>
    <row r="350" spans="1:1" ht="21.95" customHeight="1" x14ac:dyDescent="0.25">
      <c r="A350" s="12"/>
    </row>
    <row r="351" spans="1:1" ht="21.95" customHeight="1" x14ac:dyDescent="0.25">
      <c r="A351" s="12"/>
    </row>
    <row r="352" spans="1:1" ht="21.95" customHeight="1" x14ac:dyDescent="0.25">
      <c r="A352" s="12"/>
    </row>
    <row r="353" spans="1:1" ht="21.95" customHeight="1" x14ac:dyDescent="0.25">
      <c r="A353" s="12"/>
    </row>
    <row r="354" spans="1:1" ht="21.95" customHeight="1" x14ac:dyDescent="0.25">
      <c r="A354" s="12"/>
    </row>
    <row r="355" spans="1:1" ht="21.95" customHeight="1" x14ac:dyDescent="0.25">
      <c r="A355" s="12"/>
    </row>
    <row r="356" spans="1:1" ht="21.95" customHeight="1" x14ac:dyDescent="0.25">
      <c r="A356" s="12"/>
    </row>
    <row r="357" spans="1:1" ht="21.95" customHeight="1" x14ac:dyDescent="0.25">
      <c r="A357" s="12"/>
    </row>
    <row r="358" spans="1:1" ht="21.95" customHeight="1" x14ac:dyDescent="0.25">
      <c r="A358" s="12"/>
    </row>
    <row r="359" spans="1:1" ht="21.95" customHeight="1" x14ac:dyDescent="0.25">
      <c r="A359" s="12"/>
    </row>
    <row r="360" spans="1:1" ht="21.95" customHeight="1" x14ac:dyDescent="0.25">
      <c r="A360" s="12"/>
    </row>
    <row r="361" spans="1:1" ht="21.95" customHeight="1" x14ac:dyDescent="0.25">
      <c r="A361" s="12"/>
    </row>
    <row r="362" spans="1:1" ht="21.95" customHeight="1" x14ac:dyDescent="0.25">
      <c r="A362" s="12"/>
    </row>
    <row r="363" spans="1:1" ht="21.95" customHeight="1" x14ac:dyDescent="0.25">
      <c r="A363" s="12"/>
    </row>
    <row r="364" spans="1:1" ht="21.95" customHeight="1" x14ac:dyDescent="0.25">
      <c r="A364" s="12"/>
    </row>
    <row r="365" spans="1:1" ht="21.95" customHeight="1" x14ac:dyDescent="0.25">
      <c r="A365" s="12"/>
    </row>
    <row r="366" spans="1:1" ht="21.95" customHeight="1" x14ac:dyDescent="0.25">
      <c r="A366" s="12"/>
    </row>
    <row r="367" spans="1:1" ht="21.95" customHeight="1" x14ac:dyDescent="0.25">
      <c r="A367" s="12"/>
    </row>
    <row r="368" spans="1:1" ht="21.95" customHeight="1" x14ac:dyDescent="0.25">
      <c r="A368" s="12"/>
    </row>
    <row r="369" spans="1:1" ht="21.95" customHeight="1" x14ac:dyDescent="0.25">
      <c r="A369" s="12"/>
    </row>
    <row r="370" spans="1:1" ht="21.95" customHeight="1" x14ac:dyDescent="0.25">
      <c r="A370" s="12"/>
    </row>
    <row r="371" spans="1:1" ht="21.95" customHeight="1" x14ac:dyDescent="0.25">
      <c r="A371" s="12"/>
    </row>
    <row r="372" spans="1:1" ht="21.95" customHeight="1" x14ac:dyDescent="0.25">
      <c r="A372" s="12"/>
    </row>
    <row r="373" spans="1:1" ht="21.95" customHeight="1" x14ac:dyDescent="0.25">
      <c r="A373" s="12"/>
    </row>
    <row r="374" spans="1:1" ht="21.95" customHeight="1" x14ac:dyDescent="0.25">
      <c r="A374" s="12"/>
    </row>
    <row r="375" spans="1:1" ht="21.95" customHeight="1" x14ac:dyDescent="0.25">
      <c r="A375" s="12"/>
    </row>
    <row r="376" spans="1:1" ht="21.95" customHeight="1" x14ac:dyDescent="0.25">
      <c r="A376" s="12"/>
    </row>
    <row r="377" spans="1:1" ht="21.95" customHeight="1" x14ac:dyDescent="0.25">
      <c r="A377" s="12"/>
    </row>
    <row r="378" spans="1:1" ht="21.95" customHeight="1" x14ac:dyDescent="0.25">
      <c r="A378" s="12"/>
    </row>
    <row r="379" spans="1:1" ht="21.95" customHeight="1" x14ac:dyDescent="0.25">
      <c r="A379" s="12"/>
    </row>
    <row r="380" spans="1:1" ht="21.95" customHeight="1" x14ac:dyDescent="0.25">
      <c r="A380" s="12"/>
    </row>
    <row r="381" spans="1:1" ht="21.95" customHeight="1" x14ac:dyDescent="0.25">
      <c r="A381" s="12"/>
    </row>
    <row r="382" spans="1:1" ht="21.95" customHeight="1" x14ac:dyDescent="0.25">
      <c r="A382" s="12"/>
    </row>
    <row r="383" spans="1:1" ht="21.95" customHeight="1" x14ac:dyDescent="0.25">
      <c r="A383" s="12"/>
    </row>
    <row r="384" spans="1:1" ht="21.95" customHeight="1" x14ac:dyDescent="0.25">
      <c r="A384" s="12"/>
    </row>
    <row r="385" spans="1:1" ht="21.95" customHeight="1" x14ac:dyDescent="0.25">
      <c r="A385" s="12"/>
    </row>
    <row r="386" spans="1:1" ht="21.95" customHeight="1" x14ac:dyDescent="0.25">
      <c r="A386" s="12"/>
    </row>
    <row r="387" spans="1:1" ht="21.95" customHeight="1" x14ac:dyDescent="0.25">
      <c r="A387" s="12"/>
    </row>
    <row r="388" spans="1:1" ht="21.95" customHeight="1" x14ac:dyDescent="0.25">
      <c r="A388" s="12"/>
    </row>
    <row r="389" spans="1:1" ht="21.95" customHeight="1" x14ac:dyDescent="0.25">
      <c r="A389" s="12"/>
    </row>
    <row r="390" spans="1:1" ht="21.95" customHeight="1" x14ac:dyDescent="0.25">
      <c r="A390" s="12"/>
    </row>
    <row r="391" spans="1:1" ht="21.95" customHeight="1" x14ac:dyDescent="0.25">
      <c r="A391" s="12"/>
    </row>
    <row r="392" spans="1:1" ht="21.95" customHeight="1" x14ac:dyDescent="0.25">
      <c r="A392" s="12"/>
    </row>
    <row r="393" spans="1:1" ht="21.95" customHeight="1" x14ac:dyDescent="0.25">
      <c r="A393" s="12"/>
    </row>
    <row r="394" spans="1:1" ht="21.95" customHeight="1" x14ac:dyDescent="0.25">
      <c r="A394" s="12"/>
    </row>
    <row r="395" spans="1:1" ht="21.95" customHeight="1" x14ac:dyDescent="0.25">
      <c r="A395" s="12"/>
    </row>
    <row r="396" spans="1:1" ht="21.95" customHeight="1" x14ac:dyDescent="0.25">
      <c r="A396" s="12"/>
    </row>
    <row r="397" spans="1:1" ht="21.95" customHeight="1" x14ac:dyDescent="0.25">
      <c r="A397" s="12"/>
    </row>
    <row r="398" spans="1:1" ht="21.95" customHeight="1" x14ac:dyDescent="0.25">
      <c r="A398" s="12"/>
    </row>
    <row r="399" spans="1:1" ht="21.95" customHeight="1" x14ac:dyDescent="0.25">
      <c r="A399" s="12"/>
    </row>
    <row r="400" spans="1:1" ht="21.95" customHeight="1" x14ac:dyDescent="0.25">
      <c r="A400" s="12"/>
    </row>
    <row r="401" spans="1:1" ht="21.95" customHeight="1" x14ac:dyDescent="0.25">
      <c r="A401" s="12"/>
    </row>
    <row r="402" spans="1:1" ht="21.95" customHeight="1" x14ac:dyDescent="0.25">
      <c r="A402" s="12"/>
    </row>
    <row r="403" spans="1:1" ht="21.95" customHeight="1" x14ac:dyDescent="0.25">
      <c r="A403" s="12"/>
    </row>
    <row r="404" spans="1:1" ht="21.95" customHeight="1" x14ac:dyDescent="0.25">
      <c r="A404" s="12"/>
    </row>
    <row r="405" spans="1:1" ht="21.95" customHeight="1" x14ac:dyDescent="0.25">
      <c r="A405" s="12"/>
    </row>
    <row r="406" spans="1:1" ht="21.95" customHeight="1" x14ac:dyDescent="0.25">
      <c r="A406" s="12"/>
    </row>
    <row r="407" spans="1:1" ht="21.95" customHeight="1" x14ac:dyDescent="0.25">
      <c r="A407" s="12"/>
    </row>
    <row r="408" spans="1:1" ht="21.95" customHeight="1" x14ac:dyDescent="0.25">
      <c r="A408" s="12"/>
    </row>
    <row r="409" spans="1:1" ht="21.95" customHeight="1" x14ac:dyDescent="0.25">
      <c r="A409" s="12"/>
    </row>
    <row r="410" spans="1:1" ht="21.95" customHeight="1" x14ac:dyDescent="0.25">
      <c r="A410" s="12"/>
    </row>
    <row r="411" spans="1:1" ht="21.95" customHeight="1" x14ac:dyDescent="0.25">
      <c r="A411" s="12"/>
    </row>
    <row r="412" spans="1:1" ht="21.95" customHeight="1" x14ac:dyDescent="0.25">
      <c r="A412" s="12"/>
    </row>
    <row r="413" spans="1:1" ht="21.95" customHeight="1" x14ac:dyDescent="0.25">
      <c r="A413" s="12"/>
    </row>
    <row r="414" spans="1:1" ht="21.95" customHeight="1" x14ac:dyDescent="0.25">
      <c r="A414" s="12"/>
    </row>
    <row r="415" spans="1:1" ht="21.95" customHeight="1" x14ac:dyDescent="0.25">
      <c r="A415" s="12"/>
    </row>
    <row r="416" spans="1:1" ht="21.95" customHeight="1" x14ac:dyDescent="0.25">
      <c r="A416" s="12"/>
    </row>
    <row r="417" spans="1:1" ht="21.95" customHeight="1" x14ac:dyDescent="0.25">
      <c r="A417" s="12"/>
    </row>
    <row r="418" spans="1:1" ht="21.95" customHeight="1" x14ac:dyDescent="0.25">
      <c r="A418" s="12"/>
    </row>
    <row r="419" spans="1:1" ht="21.95" customHeight="1" x14ac:dyDescent="0.25">
      <c r="A419" s="12"/>
    </row>
    <row r="420" spans="1:1" ht="21.95" customHeight="1" x14ac:dyDescent="0.25">
      <c r="A420" s="12"/>
    </row>
    <row r="421" spans="1:1" ht="21.95" customHeight="1" x14ac:dyDescent="0.25">
      <c r="A421" s="12"/>
    </row>
    <row r="422" spans="1:1" ht="21.95" customHeight="1" x14ac:dyDescent="0.25">
      <c r="A422" s="12"/>
    </row>
    <row r="423" spans="1:1" ht="21.95" customHeight="1" x14ac:dyDescent="0.25">
      <c r="A423" s="12"/>
    </row>
    <row r="424" spans="1:1" ht="21.95" customHeight="1" x14ac:dyDescent="0.25">
      <c r="A424" s="12"/>
    </row>
    <row r="425" spans="1:1" ht="21.95" customHeight="1" x14ac:dyDescent="0.25">
      <c r="A425" s="12"/>
    </row>
    <row r="426" spans="1:1" ht="21.95" customHeight="1" x14ac:dyDescent="0.25">
      <c r="A426" s="12"/>
    </row>
    <row r="427" spans="1:1" ht="21.95" customHeight="1" x14ac:dyDescent="0.25">
      <c r="A427" s="12"/>
    </row>
    <row r="428" spans="1:1" ht="21.95" customHeight="1" x14ac:dyDescent="0.25">
      <c r="A428" s="12"/>
    </row>
    <row r="429" spans="1:1" ht="21.95" customHeight="1" x14ac:dyDescent="0.25">
      <c r="A429" s="12"/>
    </row>
    <row r="430" spans="1:1" ht="21.95" customHeight="1" x14ac:dyDescent="0.25">
      <c r="A430" s="12"/>
    </row>
    <row r="431" spans="1:1" ht="21.95" customHeight="1" x14ac:dyDescent="0.25">
      <c r="A431" s="12"/>
    </row>
    <row r="432" spans="1:1" ht="21.95" customHeight="1" x14ac:dyDescent="0.25">
      <c r="A432" s="12"/>
    </row>
    <row r="433" spans="1:1" ht="21.95" customHeight="1" x14ac:dyDescent="0.25">
      <c r="A433" s="12"/>
    </row>
    <row r="434" spans="1:1" ht="21.95" customHeight="1" x14ac:dyDescent="0.25">
      <c r="A434" s="12"/>
    </row>
    <row r="435" spans="1:1" ht="21.95" customHeight="1" x14ac:dyDescent="0.25">
      <c r="A435" s="12"/>
    </row>
    <row r="436" spans="1:1" ht="21.95" customHeight="1" x14ac:dyDescent="0.25">
      <c r="A436" s="12"/>
    </row>
    <row r="437" spans="1:1" ht="21.95" customHeight="1" x14ac:dyDescent="0.25">
      <c r="A437" s="12"/>
    </row>
    <row r="438" spans="1:1" ht="21.95" customHeight="1" x14ac:dyDescent="0.25">
      <c r="A438" s="12"/>
    </row>
    <row r="439" spans="1:1" ht="21.95" customHeight="1" x14ac:dyDescent="0.25">
      <c r="A439" s="12"/>
    </row>
    <row r="440" spans="1:1" ht="21.95" customHeight="1" x14ac:dyDescent="0.25">
      <c r="A440" s="12"/>
    </row>
    <row r="441" spans="1:1" ht="21.95" customHeight="1" x14ac:dyDescent="0.25">
      <c r="A441" s="12"/>
    </row>
    <row r="442" spans="1:1" ht="21.95" customHeight="1" x14ac:dyDescent="0.25">
      <c r="A442" s="12"/>
    </row>
    <row r="443" spans="1:1" ht="21.95" customHeight="1" x14ac:dyDescent="0.25">
      <c r="A443" s="12"/>
    </row>
    <row r="444" spans="1:1" ht="21.95" customHeight="1" x14ac:dyDescent="0.25">
      <c r="A444" s="12"/>
    </row>
    <row r="445" spans="1:1" ht="21.95" customHeight="1" x14ac:dyDescent="0.25">
      <c r="A445" s="12"/>
    </row>
    <row r="446" spans="1:1" ht="21.95" customHeight="1" x14ac:dyDescent="0.25">
      <c r="A446" s="12"/>
    </row>
    <row r="447" spans="1:1" ht="21.95" customHeight="1" x14ac:dyDescent="0.25">
      <c r="A447" s="12"/>
    </row>
    <row r="448" spans="1:1" ht="21.95" customHeight="1" x14ac:dyDescent="0.25">
      <c r="A448" s="12"/>
    </row>
    <row r="449" spans="1:1" ht="21.95" customHeight="1" x14ac:dyDescent="0.25">
      <c r="A449" s="12"/>
    </row>
    <row r="450" spans="1:1" ht="21.95" customHeight="1" x14ac:dyDescent="0.25">
      <c r="A450" s="12"/>
    </row>
    <row r="451" spans="1:1" ht="21.95" customHeight="1" x14ac:dyDescent="0.25">
      <c r="A451" s="12"/>
    </row>
    <row r="452" spans="1:1" ht="21.95" customHeight="1" x14ac:dyDescent="0.25">
      <c r="A452" s="12"/>
    </row>
    <row r="453" spans="1:1" ht="21.95" customHeight="1" x14ac:dyDescent="0.25">
      <c r="A453" s="12"/>
    </row>
    <row r="454" spans="1:1" ht="21.95" customHeight="1" x14ac:dyDescent="0.25">
      <c r="A454" s="12"/>
    </row>
    <row r="455" spans="1:1" ht="21.95" customHeight="1" x14ac:dyDescent="0.25">
      <c r="A455" s="12"/>
    </row>
    <row r="456" spans="1:1" ht="21.95" customHeight="1" x14ac:dyDescent="0.25">
      <c r="A456" s="12"/>
    </row>
    <row r="457" spans="1:1" ht="21.95" customHeight="1" x14ac:dyDescent="0.25">
      <c r="A457" s="12"/>
    </row>
    <row r="458" spans="1:1" ht="21.95" customHeight="1" x14ac:dyDescent="0.25">
      <c r="A458" s="12"/>
    </row>
    <row r="459" spans="1:1" ht="21.95" customHeight="1" x14ac:dyDescent="0.25">
      <c r="A459" s="12"/>
    </row>
    <row r="460" spans="1:1" ht="21.95" customHeight="1" x14ac:dyDescent="0.25">
      <c r="A460" s="12"/>
    </row>
    <row r="461" spans="1:1" ht="21.95" customHeight="1" x14ac:dyDescent="0.25">
      <c r="A461" s="12"/>
    </row>
    <row r="462" spans="1:1" ht="21.95" customHeight="1" x14ac:dyDescent="0.25">
      <c r="A462" s="12"/>
    </row>
    <row r="463" spans="1:1" ht="21.95" customHeight="1" x14ac:dyDescent="0.25">
      <c r="A463" s="12"/>
    </row>
    <row r="464" spans="1:1" ht="21.95" customHeight="1" x14ac:dyDescent="0.25">
      <c r="A464" s="12"/>
    </row>
    <row r="465" spans="1:1" ht="21.95" customHeight="1" x14ac:dyDescent="0.25">
      <c r="A465" s="12"/>
    </row>
    <row r="466" spans="1:1" ht="21.95" customHeight="1" x14ac:dyDescent="0.25">
      <c r="A466" s="12"/>
    </row>
    <row r="467" spans="1:1" ht="21.95" customHeight="1" x14ac:dyDescent="0.25">
      <c r="A467" s="12"/>
    </row>
    <row r="468" spans="1:1" ht="21.95" customHeight="1" x14ac:dyDescent="0.25">
      <c r="A468" s="12"/>
    </row>
    <row r="469" spans="1:1" ht="21.95" customHeight="1" x14ac:dyDescent="0.25">
      <c r="A469" s="12"/>
    </row>
    <row r="470" spans="1:1" ht="21.95" customHeight="1" x14ac:dyDescent="0.25">
      <c r="A470" s="12"/>
    </row>
    <row r="471" spans="1:1" ht="21.95" customHeight="1" x14ac:dyDescent="0.25">
      <c r="A471" s="12"/>
    </row>
    <row r="472" spans="1:1" ht="21.95" customHeight="1" x14ac:dyDescent="0.25">
      <c r="A472" s="12"/>
    </row>
    <row r="473" spans="1:1" ht="21.95" customHeight="1" x14ac:dyDescent="0.25">
      <c r="A473" s="12"/>
    </row>
    <row r="474" spans="1:1" ht="21.95" customHeight="1" x14ac:dyDescent="0.25">
      <c r="A474" s="12"/>
    </row>
    <row r="475" spans="1:1" ht="21.95" customHeight="1" x14ac:dyDescent="0.25">
      <c r="A475" s="12"/>
    </row>
    <row r="476" spans="1:1" ht="21.95" customHeight="1" x14ac:dyDescent="0.25">
      <c r="A476" s="12"/>
    </row>
    <row r="477" spans="1:1" ht="21.95" customHeight="1" x14ac:dyDescent="0.25">
      <c r="A477" s="12"/>
    </row>
    <row r="478" spans="1:1" ht="21.95" customHeight="1" x14ac:dyDescent="0.25">
      <c r="A478" s="12"/>
    </row>
    <row r="479" spans="1:1" ht="21.95" customHeight="1" x14ac:dyDescent="0.25">
      <c r="A479" s="12"/>
    </row>
    <row r="480" spans="1:1" ht="21.95" customHeight="1" x14ac:dyDescent="0.25">
      <c r="A480" s="12"/>
    </row>
    <row r="481" spans="1:1" ht="21.95" customHeight="1" x14ac:dyDescent="0.25">
      <c r="A481" s="12"/>
    </row>
    <row r="482" spans="1:1" ht="21.95" customHeight="1" x14ac:dyDescent="0.25">
      <c r="A482" s="12"/>
    </row>
    <row r="483" spans="1:1" ht="21.95" customHeight="1" x14ac:dyDescent="0.25">
      <c r="A483" s="12"/>
    </row>
    <row r="484" spans="1:1" ht="21.95" customHeight="1" x14ac:dyDescent="0.25">
      <c r="A484" s="12"/>
    </row>
    <row r="485" spans="1:1" ht="21.95" customHeight="1" x14ac:dyDescent="0.25">
      <c r="A485" s="12"/>
    </row>
    <row r="486" spans="1:1" ht="21.95" customHeight="1" x14ac:dyDescent="0.25">
      <c r="A486" s="12"/>
    </row>
    <row r="487" spans="1:1" ht="21.95" customHeight="1" x14ac:dyDescent="0.25">
      <c r="A487" s="12"/>
    </row>
    <row r="488" spans="1:1" ht="21.95" customHeight="1" x14ac:dyDescent="0.25">
      <c r="A488" s="12"/>
    </row>
    <row r="489" spans="1:1" ht="21.95" customHeight="1" x14ac:dyDescent="0.25">
      <c r="A489" s="12"/>
    </row>
    <row r="490" spans="1:1" ht="21.95" customHeight="1" x14ac:dyDescent="0.25">
      <c r="A490" s="12"/>
    </row>
    <row r="491" spans="1:1" ht="21.95" customHeight="1" x14ac:dyDescent="0.25">
      <c r="A491" s="12"/>
    </row>
    <row r="492" spans="1:1" ht="21.95" customHeight="1" x14ac:dyDescent="0.25">
      <c r="A492" s="12"/>
    </row>
    <row r="493" spans="1:1" ht="21.95" customHeight="1" x14ac:dyDescent="0.25">
      <c r="A493" s="12"/>
    </row>
    <row r="494" spans="1:1" ht="21.95" customHeight="1" x14ac:dyDescent="0.25">
      <c r="A494" s="12"/>
    </row>
    <row r="495" spans="1:1" ht="21.95" customHeight="1" x14ac:dyDescent="0.25">
      <c r="A495" s="12"/>
    </row>
    <row r="496" spans="1:1" ht="21.95" customHeight="1" x14ac:dyDescent="0.25">
      <c r="A496" s="12"/>
    </row>
    <row r="497" spans="1:1" ht="21.95" customHeight="1" x14ac:dyDescent="0.25">
      <c r="A497" s="12"/>
    </row>
    <row r="498" spans="1:1" ht="21.95" customHeight="1" x14ac:dyDescent="0.25">
      <c r="A498" s="12"/>
    </row>
    <row r="499" spans="1:1" ht="21.95" customHeight="1" x14ac:dyDescent="0.25">
      <c r="A499" s="12"/>
    </row>
    <row r="500" spans="1:1" ht="21.95" customHeight="1" x14ac:dyDescent="0.25">
      <c r="A500" s="12"/>
    </row>
    <row r="501" spans="1:1" ht="21.95" customHeight="1" x14ac:dyDescent="0.25">
      <c r="A501" s="12"/>
    </row>
    <row r="502" spans="1:1" ht="21.95" customHeight="1" x14ac:dyDescent="0.25">
      <c r="A502" s="12"/>
    </row>
    <row r="503" spans="1:1" ht="21.95" customHeight="1" x14ac:dyDescent="0.25">
      <c r="A503" s="12"/>
    </row>
    <row r="504" spans="1:1" ht="21.95" customHeight="1" x14ac:dyDescent="0.25">
      <c r="A504" s="12"/>
    </row>
    <row r="505" spans="1:1" ht="21.95" customHeight="1" x14ac:dyDescent="0.25">
      <c r="A505" s="12"/>
    </row>
    <row r="506" spans="1:1" ht="21.95" customHeight="1" x14ac:dyDescent="0.25">
      <c r="A506" s="12"/>
    </row>
    <row r="507" spans="1:1" ht="21.95" customHeight="1" x14ac:dyDescent="0.25">
      <c r="A507" s="12"/>
    </row>
    <row r="508" spans="1:1" ht="21.95" customHeight="1" x14ac:dyDescent="0.25">
      <c r="A508" s="12"/>
    </row>
    <row r="509" spans="1:1" ht="21.95" customHeight="1" x14ac:dyDescent="0.25">
      <c r="A509" s="12"/>
    </row>
    <row r="510" spans="1:1" ht="21.95" customHeight="1" x14ac:dyDescent="0.25">
      <c r="A510" s="12"/>
    </row>
    <row r="511" spans="1:1" ht="21.95" customHeight="1" x14ac:dyDescent="0.25">
      <c r="A511" s="12"/>
    </row>
    <row r="512" spans="1:1" ht="21.95" customHeight="1" x14ac:dyDescent="0.25">
      <c r="A512" s="12"/>
    </row>
    <row r="513" spans="1:1" ht="21.95" customHeight="1" x14ac:dyDescent="0.25">
      <c r="A513" s="12"/>
    </row>
    <row r="514" spans="1:1" ht="21.95" customHeight="1" x14ac:dyDescent="0.25">
      <c r="A514" s="12"/>
    </row>
    <row r="515" spans="1:1" ht="21.95" customHeight="1" x14ac:dyDescent="0.25">
      <c r="A515" s="12"/>
    </row>
    <row r="516" spans="1:1" ht="21.95" customHeight="1" x14ac:dyDescent="0.25">
      <c r="A516" s="12"/>
    </row>
    <row r="517" spans="1:1" ht="21.95" customHeight="1" x14ac:dyDescent="0.25">
      <c r="A517" s="12"/>
    </row>
    <row r="518" spans="1:1" ht="21.95" customHeight="1" x14ac:dyDescent="0.25">
      <c r="A518" s="12"/>
    </row>
    <row r="519" spans="1:1" ht="21.95" customHeight="1" x14ac:dyDescent="0.25">
      <c r="A519" s="12"/>
    </row>
    <row r="520" spans="1:1" ht="21.95" customHeight="1" x14ac:dyDescent="0.25">
      <c r="A520" s="12"/>
    </row>
    <row r="521" spans="1:1" ht="21.95" customHeight="1" x14ac:dyDescent="0.25">
      <c r="A521" s="12"/>
    </row>
    <row r="522" spans="1:1" ht="21.95" customHeight="1" x14ac:dyDescent="0.25">
      <c r="A522" s="12"/>
    </row>
    <row r="523" spans="1:1" ht="21.95" customHeight="1" x14ac:dyDescent="0.25">
      <c r="A523" s="12"/>
    </row>
    <row r="524" spans="1:1" ht="21.95" customHeight="1" x14ac:dyDescent="0.25">
      <c r="A524" s="12"/>
    </row>
    <row r="525" spans="1:1" ht="21.95" customHeight="1" x14ac:dyDescent="0.25">
      <c r="A525" s="12"/>
    </row>
    <row r="526" spans="1:1" ht="21.95" customHeight="1" x14ac:dyDescent="0.25">
      <c r="A526" s="12"/>
    </row>
    <row r="527" spans="1:1" ht="21.95" customHeight="1" x14ac:dyDescent="0.25">
      <c r="A527" s="12"/>
    </row>
    <row r="528" spans="1:1" ht="21.95" customHeight="1" x14ac:dyDescent="0.25">
      <c r="A528" s="12"/>
    </row>
    <row r="529" spans="1:1" ht="21.95" customHeight="1" x14ac:dyDescent="0.25">
      <c r="A529" s="12"/>
    </row>
    <row r="530" spans="1:1" ht="21.95" customHeight="1" x14ac:dyDescent="0.25">
      <c r="A530" s="12"/>
    </row>
    <row r="531" spans="1:1" ht="21.95" customHeight="1" x14ac:dyDescent="0.25">
      <c r="A531" s="12"/>
    </row>
    <row r="532" spans="1:1" ht="21.95" customHeight="1" x14ac:dyDescent="0.25">
      <c r="A532" s="12"/>
    </row>
    <row r="533" spans="1:1" ht="21.95" customHeight="1" x14ac:dyDescent="0.25">
      <c r="A533" s="12"/>
    </row>
    <row r="534" spans="1:1" ht="21.95" customHeight="1" x14ac:dyDescent="0.25">
      <c r="A534" s="12"/>
    </row>
    <row r="535" spans="1:1" ht="21.95" customHeight="1" x14ac:dyDescent="0.25">
      <c r="A535" s="12"/>
    </row>
    <row r="536" spans="1:1" ht="21.95" customHeight="1" x14ac:dyDescent="0.25">
      <c r="A536" s="12"/>
    </row>
    <row r="537" spans="1:1" ht="21.95" customHeight="1" x14ac:dyDescent="0.25">
      <c r="A537" s="12"/>
    </row>
    <row r="538" spans="1:1" ht="21.95" customHeight="1" x14ac:dyDescent="0.25">
      <c r="A538" s="12"/>
    </row>
    <row r="539" spans="1:1" ht="21.95" customHeight="1" x14ac:dyDescent="0.25">
      <c r="A539" s="12"/>
    </row>
    <row r="540" spans="1:1" ht="21.95" customHeight="1" x14ac:dyDescent="0.25">
      <c r="A540" s="12"/>
    </row>
    <row r="541" spans="1:1" ht="21.95" customHeight="1" x14ac:dyDescent="0.25">
      <c r="A541" s="12"/>
    </row>
    <row r="542" spans="1:1" ht="21.95" customHeight="1" x14ac:dyDescent="0.25">
      <c r="A542" s="12"/>
    </row>
    <row r="543" spans="1:1" ht="21.95" customHeight="1" x14ac:dyDescent="0.25">
      <c r="A543" s="12"/>
    </row>
    <row r="544" spans="1:1" ht="21.95" customHeight="1" x14ac:dyDescent="0.25">
      <c r="A544" s="12"/>
    </row>
    <row r="545" spans="1:1" ht="21.95" customHeight="1" x14ac:dyDescent="0.25">
      <c r="A545" s="12"/>
    </row>
    <row r="546" spans="1:1" ht="21.95" customHeight="1" x14ac:dyDescent="0.25">
      <c r="A546" s="12"/>
    </row>
    <row r="547" spans="1:1" ht="21.95" customHeight="1" x14ac:dyDescent="0.25">
      <c r="A547" s="12"/>
    </row>
    <row r="548" spans="1:1" ht="21.95" customHeight="1" x14ac:dyDescent="0.25">
      <c r="A548" s="12"/>
    </row>
    <row r="549" spans="1:1" ht="21.95" customHeight="1" x14ac:dyDescent="0.25">
      <c r="A549" s="12"/>
    </row>
    <row r="550" spans="1:1" ht="21.95" customHeight="1" x14ac:dyDescent="0.25">
      <c r="A550" s="12"/>
    </row>
    <row r="551" spans="1:1" ht="21.95" customHeight="1" x14ac:dyDescent="0.25">
      <c r="A551" s="12"/>
    </row>
    <row r="552" spans="1:1" ht="21.95" customHeight="1" x14ac:dyDescent="0.25">
      <c r="A552" s="12"/>
    </row>
    <row r="553" spans="1:1" ht="21.95" customHeight="1" x14ac:dyDescent="0.25">
      <c r="A553" s="12"/>
    </row>
    <row r="554" spans="1:1" ht="21.95" customHeight="1" x14ac:dyDescent="0.25">
      <c r="A554" s="12"/>
    </row>
    <row r="555" spans="1:1" ht="21.95" customHeight="1" x14ac:dyDescent="0.25">
      <c r="A555" s="12"/>
    </row>
    <row r="556" spans="1:1" ht="21.95" customHeight="1" x14ac:dyDescent="0.25">
      <c r="A556" s="12"/>
    </row>
    <row r="557" spans="1:1" ht="21.95" customHeight="1" x14ac:dyDescent="0.25">
      <c r="A557" s="12"/>
    </row>
    <row r="558" spans="1:1" ht="21.95" customHeight="1" x14ac:dyDescent="0.25">
      <c r="A558" s="12"/>
    </row>
    <row r="559" spans="1:1" ht="21.95" customHeight="1" x14ac:dyDescent="0.25">
      <c r="A559" s="12"/>
    </row>
    <row r="560" spans="1:1" ht="21.95" customHeight="1" x14ac:dyDescent="0.25">
      <c r="A560" s="12"/>
    </row>
    <row r="561" spans="1:1" ht="21.95" customHeight="1" x14ac:dyDescent="0.25">
      <c r="A561" s="12"/>
    </row>
    <row r="562" spans="1:1" ht="21.95" customHeight="1" x14ac:dyDescent="0.25">
      <c r="A562" s="12"/>
    </row>
    <row r="563" spans="1:1" ht="21.95" customHeight="1" x14ac:dyDescent="0.25">
      <c r="A563" s="12"/>
    </row>
    <row r="564" spans="1:1" ht="21.95" customHeight="1" x14ac:dyDescent="0.25">
      <c r="A564" s="12"/>
    </row>
    <row r="565" spans="1:1" ht="21.95" customHeight="1" x14ac:dyDescent="0.25">
      <c r="A565" s="12"/>
    </row>
    <row r="566" spans="1:1" ht="21.95" customHeight="1" x14ac:dyDescent="0.25">
      <c r="A566" s="12"/>
    </row>
    <row r="567" spans="1:1" ht="21.95" customHeight="1" x14ac:dyDescent="0.25">
      <c r="A567" s="12"/>
    </row>
    <row r="568" spans="1:1" ht="21.95" customHeight="1" x14ac:dyDescent="0.25">
      <c r="A568" s="12"/>
    </row>
    <row r="569" spans="1:1" ht="21.95" customHeight="1" x14ac:dyDescent="0.25">
      <c r="A569" s="12"/>
    </row>
    <row r="570" spans="1:1" ht="21.95" customHeight="1" x14ac:dyDescent="0.25">
      <c r="A570" s="12"/>
    </row>
    <row r="571" spans="1:1" ht="21.95" customHeight="1" x14ac:dyDescent="0.25">
      <c r="A571" s="12"/>
    </row>
    <row r="572" spans="1:1" ht="21.95" customHeight="1" x14ac:dyDescent="0.25">
      <c r="A572" s="12"/>
    </row>
    <row r="573" spans="1:1" ht="21.95" customHeight="1" x14ac:dyDescent="0.25">
      <c r="A573" s="12"/>
    </row>
    <row r="574" spans="1:1" ht="21.95" customHeight="1" x14ac:dyDescent="0.25">
      <c r="A574" s="12"/>
    </row>
    <row r="575" spans="1:1" ht="21.95" customHeight="1" x14ac:dyDescent="0.25">
      <c r="A575" s="12"/>
    </row>
    <row r="576" spans="1:1" ht="21.95" customHeight="1" x14ac:dyDescent="0.25">
      <c r="A576" s="12"/>
    </row>
    <row r="577" spans="1:1" ht="21.95" customHeight="1" x14ac:dyDescent="0.25">
      <c r="A577" s="12"/>
    </row>
    <row r="578" spans="1:1" ht="21.95" customHeight="1" x14ac:dyDescent="0.25">
      <c r="A578" s="12"/>
    </row>
    <row r="579" spans="1:1" ht="21.95" customHeight="1" x14ac:dyDescent="0.25">
      <c r="A579" s="12"/>
    </row>
    <row r="580" spans="1:1" ht="21.95" customHeight="1" x14ac:dyDescent="0.25">
      <c r="A580" s="12"/>
    </row>
    <row r="581" spans="1:1" ht="21.95" customHeight="1" x14ac:dyDescent="0.25">
      <c r="A581" s="12"/>
    </row>
    <row r="582" spans="1:1" ht="21.95" customHeight="1" x14ac:dyDescent="0.25">
      <c r="A582" s="12"/>
    </row>
    <row r="583" spans="1:1" ht="21.95" customHeight="1" x14ac:dyDescent="0.25">
      <c r="A583" s="12"/>
    </row>
    <row r="584" spans="1:1" ht="21.95" customHeight="1" x14ac:dyDescent="0.25">
      <c r="A584" s="12"/>
    </row>
    <row r="585" spans="1:1" ht="21.95" customHeight="1" x14ac:dyDescent="0.25">
      <c r="A585" s="12"/>
    </row>
    <row r="586" spans="1:1" ht="21.95" customHeight="1" x14ac:dyDescent="0.25">
      <c r="A586" s="12"/>
    </row>
    <row r="587" spans="1:1" ht="21.95" customHeight="1" x14ac:dyDescent="0.25">
      <c r="A587" s="12"/>
    </row>
    <row r="588" spans="1:1" ht="21.95" customHeight="1" x14ac:dyDescent="0.25">
      <c r="A588" s="12"/>
    </row>
    <row r="589" spans="1:1" ht="21.95" customHeight="1" x14ac:dyDescent="0.25">
      <c r="A589" s="12"/>
    </row>
    <row r="590" spans="1:1" ht="21.95" customHeight="1" x14ac:dyDescent="0.25">
      <c r="A590" s="12"/>
    </row>
    <row r="591" spans="1:1" ht="21.95" customHeight="1" x14ac:dyDescent="0.25">
      <c r="A591" s="12"/>
    </row>
    <row r="592" spans="1:1" ht="21.95" customHeight="1" x14ac:dyDescent="0.25">
      <c r="A592" s="12"/>
    </row>
    <row r="593" spans="1:1" ht="21.95" customHeight="1" x14ac:dyDescent="0.25">
      <c r="A593" s="12"/>
    </row>
    <row r="594" spans="1:1" ht="21.95" customHeight="1" x14ac:dyDescent="0.25">
      <c r="A594" s="12"/>
    </row>
    <row r="595" spans="1:1" ht="21.95" customHeight="1" x14ac:dyDescent="0.25">
      <c r="A595" s="12"/>
    </row>
    <row r="596" spans="1:1" ht="21.95" customHeight="1" x14ac:dyDescent="0.25">
      <c r="A596" s="12"/>
    </row>
    <row r="597" spans="1:1" ht="21.95" customHeight="1" x14ac:dyDescent="0.25">
      <c r="A597" s="12"/>
    </row>
    <row r="598" spans="1:1" ht="21.95" customHeight="1" x14ac:dyDescent="0.25">
      <c r="A598" s="12"/>
    </row>
    <row r="599" spans="1:1" ht="21.95" customHeight="1" x14ac:dyDescent="0.25">
      <c r="A599" s="12"/>
    </row>
    <row r="600" spans="1:1" ht="21.95" customHeight="1" x14ac:dyDescent="0.25">
      <c r="A600" s="12"/>
    </row>
    <row r="601" spans="1:1" ht="21.95" customHeight="1" x14ac:dyDescent="0.25">
      <c r="A601" s="12"/>
    </row>
    <row r="602" spans="1:1" ht="21.95" customHeight="1" x14ac:dyDescent="0.25">
      <c r="A602" s="12"/>
    </row>
    <row r="603" spans="1:1" ht="21.95" customHeight="1" x14ac:dyDescent="0.25">
      <c r="A603" s="12"/>
    </row>
    <row r="604" spans="1:1" ht="21.95" customHeight="1" x14ac:dyDescent="0.25">
      <c r="A604" s="12"/>
    </row>
    <row r="605" spans="1:1" ht="21.95" customHeight="1" x14ac:dyDescent="0.25">
      <c r="A605" s="12"/>
    </row>
    <row r="606" spans="1:1" ht="21.95" customHeight="1" x14ac:dyDescent="0.25">
      <c r="A606" s="12"/>
    </row>
    <row r="607" spans="1:1" ht="21.95" customHeight="1" x14ac:dyDescent="0.25">
      <c r="A607" s="12"/>
    </row>
    <row r="608" spans="1:1" ht="21.95" customHeight="1" x14ac:dyDescent="0.25">
      <c r="A608" s="12"/>
    </row>
    <row r="609" spans="1:1" ht="21.95" customHeight="1" x14ac:dyDescent="0.25">
      <c r="A609" s="12"/>
    </row>
    <row r="610" spans="1:1" ht="21.95" customHeight="1" x14ac:dyDescent="0.25">
      <c r="A610" s="12"/>
    </row>
    <row r="611" spans="1:1" ht="21.95" customHeight="1" x14ac:dyDescent="0.25">
      <c r="A611" s="12"/>
    </row>
    <row r="612" spans="1:1" ht="21.95" customHeight="1" x14ac:dyDescent="0.25">
      <c r="A612" s="12"/>
    </row>
    <row r="613" spans="1:1" ht="21.95" customHeight="1" x14ac:dyDescent="0.25">
      <c r="A613" s="12"/>
    </row>
    <row r="614" spans="1:1" ht="21.95" customHeight="1" x14ac:dyDescent="0.25">
      <c r="A614" s="12"/>
    </row>
    <row r="615" spans="1:1" ht="21.95" customHeight="1" x14ac:dyDescent="0.25">
      <c r="A615" s="12"/>
    </row>
    <row r="616" spans="1:1" ht="21.95" customHeight="1" x14ac:dyDescent="0.25">
      <c r="A616" s="12"/>
    </row>
    <row r="617" spans="1:1" ht="21.95" customHeight="1" x14ac:dyDescent="0.25">
      <c r="A617" s="12"/>
    </row>
    <row r="618" spans="1:1" ht="21.95" customHeight="1" x14ac:dyDescent="0.25">
      <c r="A618" s="12"/>
    </row>
    <row r="619" spans="1:1" ht="21.95" customHeight="1" x14ac:dyDescent="0.25">
      <c r="A619" s="12"/>
    </row>
    <row r="620" spans="1:1" ht="21.95" customHeight="1" x14ac:dyDescent="0.25">
      <c r="A620" s="12"/>
    </row>
    <row r="621" spans="1:1" ht="21.95" customHeight="1" x14ac:dyDescent="0.25">
      <c r="A621" s="12"/>
    </row>
    <row r="622" spans="1:1" ht="21.95" customHeight="1" x14ac:dyDescent="0.25">
      <c r="A622" s="12"/>
    </row>
    <row r="623" spans="1:1" ht="21.95" customHeight="1" x14ac:dyDescent="0.25">
      <c r="A623" s="12"/>
    </row>
    <row r="624" spans="1:1" ht="21.95" customHeight="1" x14ac:dyDescent="0.25">
      <c r="A624" s="12"/>
    </row>
    <row r="625" spans="1:1" ht="21.95" customHeight="1" x14ac:dyDescent="0.25">
      <c r="A625" s="12"/>
    </row>
    <row r="626" spans="1:1" ht="21.95" customHeight="1" x14ac:dyDescent="0.25">
      <c r="A626" s="12"/>
    </row>
    <row r="627" spans="1:1" ht="21.95" customHeight="1" x14ac:dyDescent="0.25">
      <c r="A627" s="12"/>
    </row>
    <row r="628" spans="1:1" ht="21.95" customHeight="1" x14ac:dyDescent="0.25">
      <c r="A628" s="12"/>
    </row>
    <row r="629" spans="1:1" ht="21.95" customHeight="1" x14ac:dyDescent="0.25">
      <c r="A629" s="12"/>
    </row>
    <row r="630" spans="1:1" ht="21.95" customHeight="1" x14ac:dyDescent="0.25">
      <c r="A630" s="12"/>
    </row>
    <row r="631" spans="1:1" ht="21.95" customHeight="1" x14ac:dyDescent="0.25">
      <c r="A631" s="12"/>
    </row>
    <row r="632" spans="1:1" ht="21.95" customHeight="1" x14ac:dyDescent="0.25">
      <c r="A632" s="12"/>
    </row>
    <row r="633" spans="1:1" ht="21.95" customHeight="1" x14ac:dyDescent="0.25">
      <c r="A633" s="12"/>
    </row>
    <row r="634" spans="1:1" ht="21.95" customHeight="1" x14ac:dyDescent="0.25">
      <c r="A634" s="12"/>
    </row>
    <row r="635" spans="1:1" ht="21.95" customHeight="1" x14ac:dyDescent="0.25">
      <c r="A635" s="12"/>
    </row>
    <row r="636" spans="1:1" ht="21.95" customHeight="1" x14ac:dyDescent="0.25">
      <c r="A636" s="12"/>
    </row>
    <row r="637" spans="1:1" ht="21.95" customHeight="1" x14ac:dyDescent="0.25">
      <c r="A637" s="12"/>
    </row>
    <row r="638" spans="1:1" ht="21.95" customHeight="1" x14ac:dyDescent="0.25">
      <c r="A638" s="12"/>
    </row>
    <row r="639" spans="1:1" ht="21.95" customHeight="1" x14ac:dyDescent="0.25">
      <c r="A639" s="12"/>
    </row>
    <row r="640" spans="1:1" ht="21.95" customHeight="1" x14ac:dyDescent="0.25">
      <c r="A640" s="12"/>
    </row>
    <row r="641" spans="1:1" ht="21.95" customHeight="1" x14ac:dyDescent="0.25">
      <c r="A641" s="12"/>
    </row>
    <row r="642" spans="1:1" ht="21.95" customHeight="1" x14ac:dyDescent="0.25">
      <c r="A642" s="12"/>
    </row>
    <row r="643" spans="1:1" ht="21.95" customHeight="1" x14ac:dyDescent="0.25">
      <c r="A643" s="12"/>
    </row>
    <row r="644" spans="1:1" ht="21.95" customHeight="1" x14ac:dyDescent="0.25">
      <c r="A644" s="12"/>
    </row>
    <row r="645" spans="1:1" ht="21.95" customHeight="1" x14ac:dyDescent="0.25">
      <c r="A645" s="12"/>
    </row>
    <row r="646" spans="1:1" ht="21.95" customHeight="1" x14ac:dyDescent="0.25">
      <c r="A646" s="12"/>
    </row>
    <row r="647" spans="1:1" ht="21.95" customHeight="1" x14ac:dyDescent="0.25">
      <c r="A647" s="12"/>
    </row>
    <row r="648" spans="1:1" ht="21.95" customHeight="1" x14ac:dyDescent="0.25">
      <c r="A648" s="12"/>
    </row>
    <row r="649" spans="1:1" ht="21.95" customHeight="1" x14ac:dyDescent="0.25">
      <c r="A649" s="12"/>
    </row>
    <row r="650" spans="1:1" ht="21.95" customHeight="1" x14ac:dyDescent="0.25">
      <c r="A650" s="12"/>
    </row>
    <row r="651" spans="1:1" ht="21.95" customHeight="1" x14ac:dyDescent="0.25">
      <c r="A651" s="12"/>
    </row>
    <row r="652" spans="1:1" ht="21.95" customHeight="1" x14ac:dyDescent="0.25">
      <c r="A652" s="12"/>
    </row>
    <row r="653" spans="1:1" ht="21.95" customHeight="1" x14ac:dyDescent="0.25">
      <c r="A653" s="12"/>
    </row>
    <row r="654" spans="1:1" ht="21.95" customHeight="1" x14ac:dyDescent="0.25">
      <c r="A654" s="12"/>
    </row>
    <row r="655" spans="1:1" ht="21.95" customHeight="1" x14ac:dyDescent="0.25">
      <c r="A655" s="12"/>
    </row>
    <row r="656" spans="1:1" ht="21.95" customHeight="1" x14ac:dyDescent="0.25">
      <c r="A656" s="12"/>
    </row>
    <row r="657" spans="1:1" ht="21.95" customHeight="1" x14ac:dyDescent="0.25">
      <c r="A657" s="12"/>
    </row>
    <row r="658" spans="1:1" ht="21.95" customHeight="1" x14ac:dyDescent="0.25">
      <c r="A658" s="12"/>
    </row>
    <row r="659" spans="1:1" ht="21.95" customHeight="1" x14ac:dyDescent="0.25">
      <c r="A659" s="12"/>
    </row>
    <row r="660" spans="1:1" ht="21.95" customHeight="1" x14ac:dyDescent="0.25">
      <c r="A660" s="12"/>
    </row>
    <row r="661" spans="1:1" ht="21.95" customHeight="1" x14ac:dyDescent="0.25">
      <c r="A661" s="12"/>
    </row>
    <row r="662" spans="1:1" ht="21.95" customHeight="1" x14ac:dyDescent="0.25">
      <c r="A662" s="12"/>
    </row>
    <row r="663" spans="1:1" ht="21.95" customHeight="1" x14ac:dyDescent="0.25">
      <c r="A663" s="12"/>
    </row>
    <row r="664" spans="1:1" ht="21.95" customHeight="1" x14ac:dyDescent="0.25">
      <c r="A664" s="12"/>
    </row>
    <row r="665" spans="1:1" ht="21.95" customHeight="1" x14ac:dyDescent="0.25">
      <c r="A665" s="12"/>
    </row>
    <row r="666" spans="1:1" ht="21.95" customHeight="1" x14ac:dyDescent="0.25">
      <c r="A666" s="12"/>
    </row>
    <row r="667" spans="1:1" ht="21.95" customHeight="1" x14ac:dyDescent="0.25">
      <c r="A667" s="12"/>
    </row>
    <row r="668" spans="1:1" ht="21.95" customHeight="1" x14ac:dyDescent="0.25">
      <c r="A668" s="12"/>
    </row>
    <row r="669" spans="1:1" ht="21.95" customHeight="1" x14ac:dyDescent="0.25">
      <c r="A669" s="12"/>
    </row>
    <row r="670" spans="1:1" ht="21.95" customHeight="1" x14ac:dyDescent="0.25">
      <c r="A670" s="12"/>
    </row>
    <row r="671" spans="1:1" ht="21.95" customHeight="1" x14ac:dyDescent="0.25">
      <c r="A671" s="12"/>
    </row>
    <row r="672" spans="1:1" ht="21.95" customHeight="1" x14ac:dyDescent="0.25">
      <c r="A672" s="12"/>
    </row>
    <row r="673" spans="1:1" ht="21.95" customHeight="1" x14ac:dyDescent="0.25">
      <c r="A673" s="12"/>
    </row>
    <row r="674" spans="1:1" ht="21.95" customHeight="1" x14ac:dyDescent="0.25">
      <c r="A674" s="12"/>
    </row>
    <row r="675" spans="1:1" ht="21.95" customHeight="1" x14ac:dyDescent="0.25">
      <c r="A675" s="12"/>
    </row>
    <row r="676" spans="1:1" ht="21.95" customHeight="1" x14ac:dyDescent="0.25">
      <c r="A676" s="12"/>
    </row>
    <row r="677" spans="1:1" ht="21.95" customHeight="1" x14ac:dyDescent="0.25">
      <c r="A677" s="12"/>
    </row>
    <row r="678" spans="1:1" ht="21.95" customHeight="1" x14ac:dyDescent="0.25">
      <c r="A678" s="12"/>
    </row>
    <row r="679" spans="1:1" ht="21.95" customHeight="1" x14ac:dyDescent="0.25">
      <c r="A679" s="12"/>
    </row>
    <row r="680" spans="1:1" ht="21.95" customHeight="1" x14ac:dyDescent="0.25">
      <c r="A680" s="12"/>
    </row>
    <row r="681" spans="1:1" ht="21.95" customHeight="1" x14ac:dyDescent="0.25">
      <c r="A681" s="12"/>
    </row>
    <row r="682" spans="1:1" ht="21.95" customHeight="1" x14ac:dyDescent="0.25">
      <c r="A682" s="12"/>
    </row>
    <row r="683" spans="1:1" ht="21.95" customHeight="1" x14ac:dyDescent="0.25">
      <c r="A683" s="12"/>
    </row>
    <row r="684" spans="1:1" ht="21.95" customHeight="1" x14ac:dyDescent="0.25">
      <c r="A684" s="12"/>
    </row>
    <row r="685" spans="1:1" ht="21.95" customHeight="1" x14ac:dyDescent="0.25">
      <c r="A685" s="12"/>
    </row>
    <row r="686" spans="1:1" ht="21.95" customHeight="1" x14ac:dyDescent="0.25">
      <c r="A686" s="12"/>
    </row>
    <row r="687" spans="1:1" ht="21.95" customHeight="1" x14ac:dyDescent="0.25">
      <c r="A687" s="12"/>
    </row>
    <row r="688" spans="1:1" ht="21.95" customHeight="1" x14ac:dyDescent="0.25">
      <c r="A688" s="12"/>
    </row>
    <row r="689" spans="1:1" ht="21.95" customHeight="1" x14ac:dyDescent="0.25">
      <c r="A689" s="12"/>
    </row>
    <row r="690" spans="1:1" ht="21.95" customHeight="1" x14ac:dyDescent="0.25">
      <c r="A690" s="12"/>
    </row>
    <row r="691" spans="1:1" ht="21.95" customHeight="1" x14ac:dyDescent="0.25">
      <c r="A691" s="12"/>
    </row>
    <row r="692" spans="1:1" ht="21.95" customHeight="1" x14ac:dyDescent="0.25">
      <c r="A692" s="12"/>
    </row>
    <row r="693" spans="1:1" ht="21.95" customHeight="1" x14ac:dyDescent="0.25">
      <c r="A693" s="12"/>
    </row>
    <row r="694" spans="1:1" ht="21.95" customHeight="1" x14ac:dyDescent="0.25">
      <c r="A694" s="12"/>
    </row>
    <row r="695" spans="1:1" ht="21.95" customHeight="1" x14ac:dyDescent="0.25">
      <c r="A695" s="12"/>
    </row>
    <row r="696" spans="1:1" ht="21.95" customHeight="1" x14ac:dyDescent="0.25">
      <c r="A696" s="12"/>
    </row>
    <row r="697" spans="1:1" ht="21.95" customHeight="1" x14ac:dyDescent="0.25">
      <c r="A697" s="12"/>
    </row>
    <row r="698" spans="1:1" ht="21.95" customHeight="1" x14ac:dyDescent="0.25">
      <c r="A698" s="12"/>
    </row>
    <row r="699" spans="1:1" ht="21.95" customHeight="1" x14ac:dyDescent="0.25">
      <c r="A699" s="12"/>
    </row>
    <row r="700" spans="1:1" ht="21.95" customHeight="1" x14ac:dyDescent="0.25">
      <c r="A700" s="12"/>
    </row>
    <row r="701" spans="1:1" ht="21.95" customHeight="1" x14ac:dyDescent="0.25">
      <c r="A701" s="12"/>
    </row>
    <row r="702" spans="1:1" ht="21.95" customHeight="1" x14ac:dyDescent="0.25">
      <c r="A702" s="12"/>
    </row>
    <row r="703" spans="1:1" ht="21.95" customHeight="1" x14ac:dyDescent="0.25">
      <c r="A703" s="12"/>
    </row>
    <row r="704" spans="1:1" ht="21.95" customHeight="1" x14ac:dyDescent="0.25">
      <c r="A704" s="12"/>
    </row>
    <row r="705" spans="1:1" ht="21.95" customHeight="1" x14ac:dyDescent="0.25">
      <c r="A705" s="12"/>
    </row>
    <row r="706" spans="1:1" ht="21.95" customHeight="1" x14ac:dyDescent="0.25">
      <c r="A706" s="12"/>
    </row>
    <row r="707" spans="1:1" ht="21.95" customHeight="1" x14ac:dyDescent="0.25">
      <c r="A707" s="12"/>
    </row>
    <row r="708" spans="1:1" ht="21.95" customHeight="1" x14ac:dyDescent="0.25">
      <c r="A708" s="12"/>
    </row>
    <row r="709" spans="1:1" ht="21.95" customHeight="1" x14ac:dyDescent="0.25">
      <c r="A709" s="12"/>
    </row>
    <row r="710" spans="1:1" ht="21.95" customHeight="1" x14ac:dyDescent="0.25">
      <c r="A710" s="12"/>
    </row>
    <row r="711" spans="1:1" ht="21.95" customHeight="1" x14ac:dyDescent="0.25">
      <c r="A711" s="12"/>
    </row>
    <row r="712" spans="1:1" ht="21.95" customHeight="1" x14ac:dyDescent="0.25">
      <c r="A712" s="12"/>
    </row>
    <row r="713" spans="1:1" ht="21.95" customHeight="1" x14ac:dyDescent="0.25">
      <c r="A713" s="12"/>
    </row>
    <row r="714" spans="1:1" ht="21.95" customHeight="1" x14ac:dyDescent="0.25">
      <c r="A714" s="12"/>
    </row>
    <row r="715" spans="1:1" ht="21.95" customHeight="1" x14ac:dyDescent="0.25">
      <c r="A715" s="12"/>
    </row>
    <row r="716" spans="1:1" ht="21.95" customHeight="1" x14ac:dyDescent="0.25">
      <c r="A716" s="12"/>
    </row>
    <row r="717" spans="1:1" ht="21.95" customHeight="1" x14ac:dyDescent="0.25">
      <c r="A717" s="12"/>
    </row>
    <row r="718" spans="1:1" ht="21.95" customHeight="1" x14ac:dyDescent="0.25">
      <c r="A718" s="12"/>
    </row>
    <row r="719" spans="1:1" ht="21.95" customHeight="1" x14ac:dyDescent="0.25">
      <c r="A719" s="12"/>
    </row>
    <row r="720" spans="1:1" ht="21.95" customHeight="1" x14ac:dyDescent="0.25">
      <c r="A720" s="12"/>
    </row>
    <row r="721" spans="1:1" ht="21.95" customHeight="1" x14ac:dyDescent="0.25">
      <c r="A721" s="12"/>
    </row>
    <row r="722" spans="1:1" ht="21.95" customHeight="1" x14ac:dyDescent="0.25">
      <c r="A722" s="12"/>
    </row>
    <row r="723" spans="1:1" ht="21.95" customHeight="1" x14ac:dyDescent="0.25">
      <c r="A723" s="12"/>
    </row>
    <row r="724" spans="1:1" ht="21.95" customHeight="1" x14ac:dyDescent="0.25">
      <c r="A724" s="12"/>
    </row>
    <row r="725" spans="1:1" ht="21.95" customHeight="1" x14ac:dyDescent="0.25">
      <c r="A725" s="12"/>
    </row>
    <row r="726" spans="1:1" ht="21.95" customHeight="1" x14ac:dyDescent="0.25">
      <c r="A726" s="12"/>
    </row>
    <row r="727" spans="1:1" ht="21.95" customHeight="1" x14ac:dyDescent="0.25">
      <c r="A727" s="12"/>
    </row>
    <row r="728" spans="1:1" ht="21.95" customHeight="1" x14ac:dyDescent="0.25">
      <c r="A728" s="12"/>
    </row>
    <row r="729" spans="1:1" ht="21.95" customHeight="1" x14ac:dyDescent="0.25">
      <c r="A729" s="12"/>
    </row>
    <row r="730" spans="1:1" ht="21.95" customHeight="1" x14ac:dyDescent="0.25">
      <c r="A730" s="12"/>
    </row>
    <row r="731" spans="1:1" ht="21.95" customHeight="1" x14ac:dyDescent="0.25">
      <c r="A731" s="12"/>
    </row>
    <row r="732" spans="1:1" ht="21.95" customHeight="1" x14ac:dyDescent="0.25">
      <c r="A732" s="12"/>
    </row>
    <row r="733" spans="1:1" ht="21.95" customHeight="1" x14ac:dyDescent="0.25">
      <c r="A733" s="12"/>
    </row>
    <row r="734" spans="1:1" ht="21.95" customHeight="1" x14ac:dyDescent="0.25">
      <c r="A734" s="12"/>
    </row>
    <row r="735" spans="1:1" ht="21.95" customHeight="1" x14ac:dyDescent="0.25">
      <c r="A735" s="12"/>
    </row>
    <row r="736" spans="1:1" ht="21.95" customHeight="1" x14ac:dyDescent="0.25">
      <c r="A736" s="12"/>
    </row>
    <row r="737" spans="1:1" ht="21.95" customHeight="1" x14ac:dyDescent="0.25">
      <c r="A737" s="12"/>
    </row>
    <row r="738" spans="1:1" ht="21.95" customHeight="1" x14ac:dyDescent="0.25">
      <c r="A738" s="12"/>
    </row>
    <row r="739" spans="1:1" ht="21.95" customHeight="1" x14ac:dyDescent="0.25">
      <c r="A739" s="12"/>
    </row>
    <row r="740" spans="1:1" ht="21.95" customHeight="1" x14ac:dyDescent="0.25">
      <c r="A740" s="12"/>
    </row>
    <row r="741" spans="1:1" ht="21.95" customHeight="1" x14ac:dyDescent="0.25">
      <c r="A741" s="12"/>
    </row>
    <row r="742" spans="1:1" ht="21.95" customHeight="1" x14ac:dyDescent="0.25">
      <c r="A742" s="12"/>
    </row>
    <row r="743" spans="1:1" ht="21.95" customHeight="1" x14ac:dyDescent="0.25">
      <c r="A743" s="12"/>
    </row>
    <row r="744" spans="1:1" ht="21.95" customHeight="1" x14ac:dyDescent="0.25">
      <c r="A744" s="12"/>
    </row>
    <row r="745" spans="1:1" ht="21.95" customHeight="1" x14ac:dyDescent="0.25">
      <c r="A745" s="12"/>
    </row>
    <row r="746" spans="1:1" ht="21.95" customHeight="1" x14ac:dyDescent="0.25">
      <c r="A746" s="12"/>
    </row>
    <row r="747" spans="1:1" ht="21.95" customHeight="1" x14ac:dyDescent="0.25">
      <c r="A747" s="12"/>
    </row>
    <row r="748" spans="1:1" ht="21.95" customHeight="1" x14ac:dyDescent="0.25">
      <c r="A748" s="12"/>
    </row>
    <row r="749" spans="1:1" ht="21.95" customHeight="1" x14ac:dyDescent="0.25">
      <c r="A749" s="12"/>
    </row>
    <row r="750" spans="1:1" ht="21.95" customHeight="1" x14ac:dyDescent="0.25">
      <c r="A750" s="12"/>
    </row>
    <row r="751" spans="1:1" ht="21.95" customHeight="1" x14ac:dyDescent="0.25">
      <c r="A751" s="12"/>
    </row>
    <row r="752" spans="1:1" ht="21.95" customHeight="1" x14ac:dyDescent="0.25">
      <c r="A752" s="12"/>
    </row>
    <row r="753" spans="1:1" ht="21.95" customHeight="1" x14ac:dyDescent="0.25">
      <c r="A753" s="12"/>
    </row>
    <row r="754" spans="1:1" ht="21.95" customHeight="1" x14ac:dyDescent="0.25">
      <c r="A754" s="12"/>
    </row>
    <row r="755" spans="1:1" ht="21.95" customHeight="1" x14ac:dyDescent="0.25">
      <c r="A755" s="12"/>
    </row>
    <row r="756" spans="1:1" ht="21.95" customHeight="1" x14ac:dyDescent="0.25">
      <c r="A756" s="12"/>
    </row>
    <row r="757" spans="1:1" ht="21.95" customHeight="1" x14ac:dyDescent="0.25">
      <c r="A757" s="12"/>
    </row>
    <row r="758" spans="1:1" ht="21.95" customHeight="1" x14ac:dyDescent="0.25">
      <c r="A758" s="12"/>
    </row>
    <row r="759" spans="1:1" ht="21.95" customHeight="1" x14ac:dyDescent="0.25">
      <c r="A759" s="12"/>
    </row>
    <row r="760" spans="1:1" ht="21.95" customHeight="1" x14ac:dyDescent="0.25">
      <c r="A760" s="12"/>
    </row>
    <row r="761" spans="1:1" ht="21.95" customHeight="1" x14ac:dyDescent="0.25">
      <c r="A761" s="12"/>
    </row>
    <row r="762" spans="1:1" ht="21.95" customHeight="1" x14ac:dyDescent="0.25">
      <c r="A762" s="12"/>
    </row>
    <row r="763" spans="1:1" ht="21.95" customHeight="1" x14ac:dyDescent="0.25">
      <c r="A763" s="12"/>
    </row>
    <row r="764" spans="1:1" ht="21.95" customHeight="1" x14ac:dyDescent="0.25">
      <c r="A764" s="12"/>
    </row>
    <row r="765" spans="1:1" ht="21.95" customHeight="1" x14ac:dyDescent="0.25">
      <c r="A765" s="12"/>
    </row>
    <row r="766" spans="1:1" ht="21.95" customHeight="1" x14ac:dyDescent="0.25">
      <c r="A766" s="12"/>
    </row>
    <row r="767" spans="1:1" ht="21.95" customHeight="1" x14ac:dyDescent="0.25">
      <c r="A767" s="12"/>
    </row>
    <row r="768" spans="1:1" ht="21.95" customHeight="1" x14ac:dyDescent="0.25">
      <c r="A768" s="12"/>
    </row>
    <row r="769" spans="1:1" ht="21.95" customHeight="1" x14ac:dyDescent="0.25">
      <c r="A769" s="12"/>
    </row>
    <row r="770" spans="1:1" ht="21.95" customHeight="1" x14ac:dyDescent="0.25">
      <c r="A770" s="12"/>
    </row>
    <row r="771" spans="1:1" ht="21.95" customHeight="1" x14ac:dyDescent="0.25">
      <c r="A771" s="12"/>
    </row>
    <row r="772" spans="1:1" ht="21.95" customHeight="1" x14ac:dyDescent="0.25">
      <c r="A772" s="12"/>
    </row>
    <row r="773" spans="1:1" ht="21.95" customHeight="1" x14ac:dyDescent="0.25">
      <c r="A773" s="12"/>
    </row>
    <row r="774" spans="1:1" ht="21.95" customHeight="1" x14ac:dyDescent="0.25">
      <c r="A774" s="12"/>
    </row>
    <row r="775" spans="1:1" ht="21.95" customHeight="1" x14ac:dyDescent="0.25">
      <c r="A775" s="12"/>
    </row>
    <row r="776" spans="1:1" ht="21.95" customHeight="1" x14ac:dyDescent="0.25">
      <c r="A776" s="12"/>
    </row>
    <row r="777" spans="1:1" ht="21.95" customHeight="1" x14ac:dyDescent="0.25">
      <c r="A777" s="12"/>
    </row>
    <row r="778" spans="1:1" ht="21.95" customHeight="1" x14ac:dyDescent="0.25">
      <c r="A778" s="12"/>
    </row>
    <row r="779" spans="1:1" ht="21.95" customHeight="1" x14ac:dyDescent="0.25">
      <c r="A779" s="12"/>
    </row>
    <row r="780" spans="1:1" ht="21.95" customHeight="1" x14ac:dyDescent="0.25">
      <c r="A780" s="12"/>
    </row>
    <row r="781" spans="1:1" ht="21.95" customHeight="1" x14ac:dyDescent="0.25">
      <c r="A781" s="12"/>
    </row>
    <row r="782" spans="1:1" ht="21.95" customHeight="1" x14ac:dyDescent="0.25">
      <c r="A782" s="12"/>
    </row>
    <row r="783" spans="1:1" ht="21.95" customHeight="1" x14ac:dyDescent="0.25">
      <c r="A783" s="12"/>
    </row>
    <row r="784" spans="1:1" ht="21.95" customHeight="1" x14ac:dyDescent="0.25">
      <c r="A784" s="12"/>
    </row>
    <row r="785" spans="1:1" ht="21.95" customHeight="1" x14ac:dyDescent="0.25">
      <c r="A785" s="12"/>
    </row>
    <row r="786" spans="1:1" ht="21.95" customHeight="1" x14ac:dyDescent="0.25">
      <c r="A786" s="12"/>
    </row>
    <row r="787" spans="1:1" ht="21.95" customHeight="1" x14ac:dyDescent="0.25">
      <c r="A787" s="12"/>
    </row>
    <row r="788" spans="1:1" ht="21.95" customHeight="1" x14ac:dyDescent="0.25">
      <c r="A788" s="12"/>
    </row>
    <row r="789" spans="1:1" ht="21.95" customHeight="1" x14ac:dyDescent="0.25">
      <c r="A789" s="12"/>
    </row>
    <row r="790" spans="1:1" ht="21.95" customHeight="1" x14ac:dyDescent="0.25">
      <c r="A790" s="12"/>
    </row>
    <row r="791" spans="1:1" ht="21.95" customHeight="1" x14ac:dyDescent="0.25">
      <c r="A791" s="12"/>
    </row>
    <row r="792" spans="1:1" ht="21.95" customHeight="1" x14ac:dyDescent="0.25">
      <c r="A792" s="12"/>
    </row>
    <row r="793" spans="1:1" ht="21.95" customHeight="1" x14ac:dyDescent="0.25">
      <c r="A793" s="12"/>
    </row>
    <row r="794" spans="1:1" ht="21.95" customHeight="1" x14ac:dyDescent="0.25">
      <c r="A794" s="12"/>
    </row>
    <row r="795" spans="1:1" ht="21.95" customHeight="1" x14ac:dyDescent="0.25">
      <c r="A795" s="12"/>
    </row>
    <row r="796" spans="1:1" ht="21.95" customHeight="1" x14ac:dyDescent="0.25">
      <c r="A796" s="12"/>
    </row>
    <row r="797" spans="1:1" ht="21.95" customHeight="1" x14ac:dyDescent="0.25">
      <c r="A797" s="12"/>
    </row>
    <row r="798" spans="1:1" ht="21.95" customHeight="1" x14ac:dyDescent="0.25">
      <c r="A798" s="12"/>
    </row>
    <row r="799" spans="1:1" ht="21.95" customHeight="1" x14ac:dyDescent="0.25">
      <c r="A799" s="12"/>
    </row>
    <row r="800" spans="1:1" ht="21.95" customHeight="1" x14ac:dyDescent="0.25">
      <c r="A800" s="12"/>
    </row>
    <row r="801" spans="1:1" ht="21.95" customHeight="1" x14ac:dyDescent="0.25">
      <c r="A801" s="12"/>
    </row>
    <row r="802" spans="1:1" ht="21.95" customHeight="1" x14ac:dyDescent="0.25">
      <c r="A802" s="12"/>
    </row>
    <row r="803" spans="1:1" ht="21.95" customHeight="1" x14ac:dyDescent="0.25">
      <c r="A803" s="12"/>
    </row>
    <row r="804" spans="1:1" ht="21.95" customHeight="1" x14ac:dyDescent="0.25">
      <c r="A804" s="12"/>
    </row>
    <row r="805" spans="1:1" ht="21.95" customHeight="1" x14ac:dyDescent="0.25">
      <c r="A805" s="12"/>
    </row>
    <row r="806" spans="1:1" ht="21.95" customHeight="1" x14ac:dyDescent="0.25">
      <c r="A806" s="12"/>
    </row>
    <row r="807" spans="1:1" ht="21.95" customHeight="1" x14ac:dyDescent="0.25">
      <c r="A807" s="12"/>
    </row>
    <row r="808" spans="1:1" ht="21.95" customHeight="1" x14ac:dyDescent="0.25">
      <c r="A808" s="12"/>
    </row>
    <row r="809" spans="1:1" ht="21.95" customHeight="1" x14ac:dyDescent="0.25">
      <c r="A809" s="12"/>
    </row>
    <row r="810" spans="1:1" ht="21.95" customHeight="1" x14ac:dyDescent="0.25">
      <c r="A810" s="12"/>
    </row>
    <row r="811" spans="1:1" ht="21.95" customHeight="1" x14ac:dyDescent="0.25">
      <c r="A811" s="12"/>
    </row>
    <row r="812" spans="1:1" ht="21.95" customHeight="1" x14ac:dyDescent="0.25">
      <c r="A812" s="12"/>
    </row>
    <row r="813" spans="1:1" ht="21.95" customHeight="1" x14ac:dyDescent="0.25">
      <c r="A813" s="12"/>
    </row>
    <row r="814" spans="1:1" ht="21.95" customHeight="1" x14ac:dyDescent="0.25">
      <c r="A814" s="12"/>
    </row>
    <row r="815" spans="1:1" ht="21.95" customHeight="1" x14ac:dyDescent="0.25">
      <c r="A815" s="12"/>
    </row>
    <row r="816" spans="1:1" ht="21.95" customHeight="1" x14ac:dyDescent="0.25">
      <c r="A816" s="12"/>
    </row>
    <row r="817" spans="1:1" ht="21.95" customHeight="1" x14ac:dyDescent="0.25">
      <c r="A817" s="12"/>
    </row>
    <row r="818" spans="1:1" ht="21.95" customHeight="1" x14ac:dyDescent="0.25">
      <c r="A818" s="12"/>
    </row>
    <row r="819" spans="1:1" ht="21.95" customHeight="1" x14ac:dyDescent="0.25">
      <c r="A819" s="12"/>
    </row>
    <row r="820" spans="1:1" ht="21.95" customHeight="1" x14ac:dyDescent="0.25">
      <c r="A820" s="12"/>
    </row>
    <row r="821" spans="1:1" ht="21.95" customHeight="1" x14ac:dyDescent="0.25">
      <c r="A821" s="12"/>
    </row>
    <row r="822" spans="1:1" ht="21.95" customHeight="1" x14ac:dyDescent="0.25">
      <c r="A822" s="12"/>
    </row>
    <row r="823" spans="1:1" ht="21.95" customHeight="1" x14ac:dyDescent="0.25">
      <c r="A823" s="12"/>
    </row>
    <row r="824" spans="1:1" ht="21.95" customHeight="1" x14ac:dyDescent="0.25">
      <c r="A824" s="12"/>
    </row>
    <row r="825" spans="1:1" ht="21.95" customHeight="1" x14ac:dyDescent="0.25">
      <c r="A825" s="12"/>
    </row>
    <row r="826" spans="1:1" ht="21.95" customHeight="1" x14ac:dyDescent="0.25">
      <c r="A826" s="12"/>
    </row>
    <row r="827" spans="1:1" ht="21.95" customHeight="1" x14ac:dyDescent="0.25">
      <c r="A827" s="12"/>
    </row>
    <row r="828" spans="1:1" ht="21.95" customHeight="1" x14ac:dyDescent="0.25">
      <c r="A828" s="12"/>
    </row>
    <row r="829" spans="1:1" ht="21.95" customHeight="1" x14ac:dyDescent="0.25">
      <c r="A829" s="12"/>
    </row>
    <row r="830" spans="1:1" ht="21.95" customHeight="1" x14ac:dyDescent="0.25">
      <c r="A830" s="12"/>
    </row>
    <row r="831" spans="1:1" ht="21.95" customHeight="1" x14ac:dyDescent="0.25">
      <c r="A831" s="12"/>
    </row>
    <row r="832" spans="1:1" ht="21.95" customHeight="1" x14ac:dyDescent="0.25">
      <c r="A832" s="12"/>
    </row>
    <row r="833" spans="1:1" ht="21.95" customHeight="1" x14ac:dyDescent="0.25">
      <c r="A833" s="12"/>
    </row>
    <row r="834" spans="1:1" ht="21.95" customHeight="1" x14ac:dyDescent="0.25">
      <c r="A834" s="12"/>
    </row>
    <row r="835" spans="1:1" ht="21.95" customHeight="1" x14ac:dyDescent="0.25">
      <c r="A835" s="12"/>
    </row>
    <row r="836" spans="1:1" ht="21.95" customHeight="1" x14ac:dyDescent="0.25">
      <c r="A836" s="12"/>
    </row>
    <row r="837" spans="1:1" ht="21.95" customHeight="1" x14ac:dyDescent="0.25">
      <c r="A837" s="12"/>
    </row>
    <row r="838" spans="1:1" ht="21.95" customHeight="1" x14ac:dyDescent="0.25">
      <c r="A838" s="12"/>
    </row>
    <row r="839" spans="1:1" ht="21.95" customHeight="1" x14ac:dyDescent="0.25">
      <c r="A839" s="12"/>
    </row>
    <row r="840" spans="1:1" ht="21.95" customHeight="1" x14ac:dyDescent="0.25">
      <c r="A840" s="12"/>
    </row>
    <row r="841" spans="1:1" ht="21.95" customHeight="1" x14ac:dyDescent="0.25">
      <c r="A841" s="12"/>
    </row>
    <row r="842" spans="1:1" ht="21.95" customHeight="1" x14ac:dyDescent="0.25">
      <c r="A842" s="12"/>
    </row>
    <row r="843" spans="1:1" ht="21.95" customHeight="1" x14ac:dyDescent="0.25">
      <c r="A843" s="12"/>
    </row>
    <row r="844" spans="1:1" ht="21.95" customHeight="1" x14ac:dyDescent="0.25">
      <c r="A844" s="12"/>
    </row>
    <row r="845" spans="1:1" ht="21.95" customHeight="1" x14ac:dyDescent="0.25">
      <c r="A845" s="12"/>
    </row>
    <row r="846" spans="1:1" ht="21.95" customHeight="1" x14ac:dyDescent="0.25">
      <c r="A846" s="12"/>
    </row>
    <row r="847" spans="1:1" ht="21.95" customHeight="1" x14ac:dyDescent="0.25">
      <c r="A847" s="12"/>
    </row>
    <row r="848" spans="1:1" ht="21.95" customHeight="1" x14ac:dyDescent="0.25">
      <c r="A848" s="12"/>
    </row>
    <row r="849" spans="1:1" ht="21.95" customHeight="1" x14ac:dyDescent="0.25">
      <c r="A849" s="12"/>
    </row>
    <row r="850" spans="1:1" ht="21.95" customHeight="1" x14ac:dyDescent="0.25">
      <c r="A850" s="12"/>
    </row>
    <row r="851" spans="1:1" ht="21.95" customHeight="1" x14ac:dyDescent="0.25">
      <c r="A851" s="12"/>
    </row>
    <row r="852" spans="1:1" ht="21.95" customHeight="1" x14ac:dyDescent="0.25">
      <c r="A852" s="12"/>
    </row>
    <row r="853" spans="1:1" ht="21.95" customHeight="1" x14ac:dyDescent="0.25">
      <c r="A853" s="12"/>
    </row>
    <row r="854" spans="1:1" ht="21.95" customHeight="1" x14ac:dyDescent="0.25">
      <c r="A854" s="12"/>
    </row>
    <row r="855" spans="1:1" ht="21.95" customHeight="1" x14ac:dyDescent="0.25">
      <c r="A855" s="12"/>
    </row>
    <row r="856" spans="1:1" ht="21.95" customHeight="1" x14ac:dyDescent="0.25">
      <c r="A856" s="12"/>
    </row>
    <row r="857" spans="1:1" ht="21.95" customHeight="1" x14ac:dyDescent="0.25">
      <c r="A857" s="12"/>
    </row>
    <row r="858" spans="1:1" ht="21.95" customHeight="1" x14ac:dyDescent="0.25">
      <c r="A858" s="12"/>
    </row>
    <row r="859" spans="1:1" ht="21.95" customHeight="1" x14ac:dyDescent="0.25">
      <c r="A859" s="12"/>
    </row>
    <row r="860" spans="1:1" ht="21.95" customHeight="1" x14ac:dyDescent="0.25">
      <c r="A860" s="12"/>
    </row>
    <row r="861" spans="1:1" ht="21.95" customHeight="1" x14ac:dyDescent="0.25">
      <c r="A861" s="12"/>
    </row>
    <row r="862" spans="1:1" ht="21.95" customHeight="1" x14ac:dyDescent="0.25">
      <c r="A862" s="12"/>
    </row>
    <row r="863" spans="1:1" ht="21.95" customHeight="1" x14ac:dyDescent="0.25">
      <c r="A863" s="12"/>
    </row>
    <row r="864" spans="1:1" ht="21.95" customHeight="1" x14ac:dyDescent="0.25">
      <c r="A864" s="12"/>
    </row>
    <row r="865" spans="1:1" ht="21.95" customHeight="1" x14ac:dyDescent="0.25">
      <c r="A865" s="12"/>
    </row>
    <row r="866" spans="1:1" ht="21.95" customHeight="1" x14ac:dyDescent="0.25">
      <c r="A866" s="12"/>
    </row>
    <row r="867" spans="1:1" ht="21.95" customHeight="1" x14ac:dyDescent="0.25">
      <c r="A867" s="12"/>
    </row>
    <row r="868" spans="1:1" ht="21.95" customHeight="1" x14ac:dyDescent="0.25">
      <c r="A868" s="12"/>
    </row>
    <row r="869" spans="1:1" ht="21.95" customHeight="1" x14ac:dyDescent="0.25">
      <c r="A869" s="12"/>
    </row>
    <row r="870" spans="1:1" ht="21.95" customHeight="1" x14ac:dyDescent="0.25">
      <c r="A870" s="12"/>
    </row>
    <row r="871" spans="1:1" ht="21.95" customHeight="1" x14ac:dyDescent="0.25">
      <c r="A871" s="12"/>
    </row>
    <row r="872" spans="1:1" ht="21.95" customHeight="1" x14ac:dyDescent="0.25">
      <c r="A872" s="12"/>
    </row>
    <row r="873" spans="1:1" ht="21.95" customHeight="1" x14ac:dyDescent="0.25">
      <c r="A873" s="12"/>
    </row>
    <row r="874" spans="1:1" ht="21.95" customHeight="1" x14ac:dyDescent="0.25">
      <c r="A874" s="12"/>
    </row>
    <row r="875" spans="1:1" ht="21.95" customHeight="1" x14ac:dyDescent="0.25">
      <c r="A875" s="12"/>
    </row>
    <row r="876" spans="1:1" ht="21.95" customHeight="1" x14ac:dyDescent="0.25">
      <c r="A876" s="12"/>
    </row>
    <row r="877" spans="1:1" ht="21.95" customHeight="1" x14ac:dyDescent="0.25">
      <c r="A877" s="12"/>
    </row>
    <row r="878" spans="1:1" ht="21.95" customHeight="1" x14ac:dyDescent="0.25">
      <c r="A878" s="12"/>
    </row>
    <row r="879" spans="1:1" ht="21.95" customHeight="1" x14ac:dyDescent="0.25">
      <c r="A879" s="12"/>
    </row>
    <row r="880" spans="1:1" ht="21.95" customHeight="1" x14ac:dyDescent="0.25">
      <c r="A880" s="12"/>
    </row>
    <row r="881" spans="1:1" ht="21.95" customHeight="1" x14ac:dyDescent="0.25">
      <c r="A881" s="12"/>
    </row>
    <row r="882" spans="1:1" ht="21.95" customHeight="1" x14ac:dyDescent="0.25">
      <c r="A882" s="12"/>
    </row>
    <row r="883" spans="1:1" ht="21.95" customHeight="1" x14ac:dyDescent="0.25">
      <c r="A883" s="12"/>
    </row>
    <row r="884" spans="1:1" ht="21.95" customHeight="1" x14ac:dyDescent="0.25">
      <c r="A884" s="12"/>
    </row>
    <row r="885" spans="1:1" ht="21.95" customHeight="1" x14ac:dyDescent="0.25">
      <c r="A885" s="12"/>
    </row>
    <row r="886" spans="1:1" ht="21.95" customHeight="1" x14ac:dyDescent="0.25">
      <c r="A886" s="12"/>
    </row>
    <row r="887" spans="1:1" ht="21.95" customHeight="1" x14ac:dyDescent="0.25">
      <c r="A887" s="12"/>
    </row>
    <row r="888" spans="1:1" ht="21.95" customHeight="1" x14ac:dyDescent="0.25">
      <c r="A888" s="12"/>
    </row>
    <row r="889" spans="1:1" ht="21.95" customHeight="1" x14ac:dyDescent="0.25">
      <c r="A889" s="12"/>
    </row>
    <row r="890" spans="1:1" ht="21.95" customHeight="1" x14ac:dyDescent="0.25">
      <c r="A890" s="12"/>
    </row>
    <row r="891" spans="1:1" ht="21.95" customHeight="1" x14ac:dyDescent="0.25">
      <c r="A891" s="12"/>
    </row>
    <row r="892" spans="1:1" ht="21.95" customHeight="1" x14ac:dyDescent="0.25">
      <c r="A892" s="12"/>
    </row>
    <row r="893" spans="1:1" ht="21.95" customHeight="1" x14ac:dyDescent="0.25">
      <c r="A893" s="12"/>
    </row>
    <row r="894" spans="1:1" ht="21.95" customHeight="1" x14ac:dyDescent="0.25">
      <c r="A894" s="12"/>
    </row>
    <row r="895" spans="1:1" ht="21.95" customHeight="1" x14ac:dyDescent="0.25">
      <c r="A895" s="12"/>
    </row>
    <row r="896" spans="1:1" ht="21.95" customHeight="1" x14ac:dyDescent="0.25">
      <c r="A896" s="12"/>
    </row>
    <row r="897" spans="1:1" ht="21.95" customHeight="1" x14ac:dyDescent="0.25">
      <c r="A897" s="12"/>
    </row>
    <row r="898" spans="1:1" ht="21.95" customHeight="1" x14ac:dyDescent="0.25">
      <c r="A898" s="12"/>
    </row>
    <row r="899" spans="1:1" ht="21.95" customHeight="1" x14ac:dyDescent="0.25">
      <c r="A899" s="12"/>
    </row>
    <row r="900" spans="1:1" ht="21.95" customHeight="1" x14ac:dyDescent="0.25">
      <c r="A900" s="12"/>
    </row>
    <row r="901" spans="1:1" ht="21.95" customHeight="1" x14ac:dyDescent="0.25">
      <c r="A901" s="12"/>
    </row>
    <row r="902" spans="1:1" ht="21.95" customHeight="1" x14ac:dyDescent="0.25">
      <c r="A902" s="12"/>
    </row>
    <row r="903" spans="1:1" ht="21.95" customHeight="1" x14ac:dyDescent="0.25">
      <c r="A903" s="12"/>
    </row>
    <row r="904" spans="1:1" ht="21.95" customHeight="1" x14ac:dyDescent="0.25">
      <c r="A904" s="12"/>
    </row>
    <row r="905" spans="1:1" ht="21.95" customHeight="1" x14ac:dyDescent="0.25">
      <c r="A905" s="12"/>
    </row>
    <row r="906" spans="1:1" ht="21.95" customHeight="1" x14ac:dyDescent="0.25">
      <c r="A906" s="12"/>
    </row>
    <row r="907" spans="1:1" ht="21.95" customHeight="1" x14ac:dyDescent="0.25">
      <c r="A907" s="12"/>
    </row>
    <row r="908" spans="1:1" ht="21.95" customHeight="1" x14ac:dyDescent="0.25">
      <c r="A908" s="12"/>
    </row>
    <row r="909" spans="1:1" ht="21.95" customHeight="1" x14ac:dyDescent="0.25">
      <c r="A909" s="12"/>
    </row>
    <row r="910" spans="1:1" ht="21.95" customHeight="1" x14ac:dyDescent="0.25">
      <c r="A910" s="12"/>
    </row>
    <row r="911" spans="1:1" ht="21.95" customHeight="1" x14ac:dyDescent="0.25">
      <c r="A911" s="12"/>
    </row>
    <row r="912" spans="1:1" ht="21.95" customHeight="1" x14ac:dyDescent="0.25">
      <c r="A912" s="12"/>
    </row>
    <row r="913" spans="1:1" ht="21.95" customHeight="1" x14ac:dyDescent="0.25">
      <c r="A913" s="12"/>
    </row>
    <row r="914" spans="1:1" ht="21.95" customHeight="1" x14ac:dyDescent="0.25">
      <c r="A914" s="12"/>
    </row>
    <row r="915" spans="1:1" ht="21.95" customHeight="1" x14ac:dyDescent="0.25">
      <c r="A915" s="12"/>
    </row>
    <row r="916" spans="1:1" ht="21.95" customHeight="1" x14ac:dyDescent="0.25">
      <c r="A916" s="12"/>
    </row>
    <row r="917" spans="1:1" ht="21.95" customHeight="1" x14ac:dyDescent="0.25">
      <c r="A917" s="12"/>
    </row>
    <row r="918" spans="1:1" ht="21.95" customHeight="1" x14ac:dyDescent="0.25">
      <c r="A918" s="12"/>
    </row>
    <row r="919" spans="1:1" ht="21.95" customHeight="1" x14ac:dyDescent="0.25">
      <c r="A919" s="12"/>
    </row>
    <row r="920" spans="1:1" ht="21.95" customHeight="1" x14ac:dyDescent="0.25">
      <c r="A920" s="12"/>
    </row>
    <row r="921" spans="1:1" ht="21.95" customHeight="1" x14ac:dyDescent="0.25">
      <c r="A921" s="12"/>
    </row>
    <row r="922" spans="1:1" ht="21.95" customHeight="1" x14ac:dyDescent="0.25">
      <c r="A922" s="12"/>
    </row>
    <row r="923" spans="1:1" ht="21.95" customHeight="1" x14ac:dyDescent="0.25">
      <c r="A923" s="12"/>
    </row>
    <row r="924" spans="1:1" ht="21.95" customHeight="1" x14ac:dyDescent="0.25">
      <c r="A924" s="12"/>
    </row>
    <row r="925" spans="1:1" ht="21.95" customHeight="1" x14ac:dyDescent="0.25">
      <c r="A925" s="12"/>
    </row>
    <row r="926" spans="1:1" ht="21.95" customHeight="1" x14ac:dyDescent="0.25">
      <c r="A926" s="12"/>
    </row>
    <row r="927" spans="1:1" ht="21.95" customHeight="1" x14ac:dyDescent="0.25">
      <c r="A927" s="12"/>
    </row>
    <row r="928" spans="1:1" ht="21.95" customHeight="1" x14ac:dyDescent="0.25">
      <c r="A928" s="12"/>
    </row>
    <row r="929" spans="1:1" ht="21.95" customHeight="1" x14ac:dyDescent="0.25">
      <c r="A929" s="12"/>
    </row>
    <row r="930" spans="1:1" ht="21.95" customHeight="1" x14ac:dyDescent="0.25">
      <c r="A930" s="12"/>
    </row>
    <row r="931" spans="1:1" ht="21.95" customHeight="1" x14ac:dyDescent="0.25">
      <c r="A931" s="12"/>
    </row>
    <row r="932" spans="1:1" ht="21.95" customHeight="1" x14ac:dyDescent="0.25">
      <c r="A932" s="12"/>
    </row>
    <row r="933" spans="1:1" ht="21.95" customHeight="1" x14ac:dyDescent="0.25">
      <c r="A933" s="12"/>
    </row>
    <row r="934" spans="1:1" ht="21.95" customHeight="1" x14ac:dyDescent="0.25">
      <c r="A934" s="12"/>
    </row>
    <row r="935" spans="1:1" ht="21.95" customHeight="1" x14ac:dyDescent="0.25">
      <c r="A935" s="12"/>
    </row>
    <row r="936" spans="1:1" ht="21.95" customHeight="1" x14ac:dyDescent="0.25">
      <c r="A936" s="12"/>
    </row>
    <row r="937" spans="1:1" ht="21.95" customHeight="1" x14ac:dyDescent="0.25">
      <c r="A937" s="12"/>
    </row>
    <row r="938" spans="1:1" ht="21.95" customHeight="1" x14ac:dyDescent="0.25">
      <c r="A938" s="12"/>
    </row>
    <row r="939" spans="1:1" ht="21.95" customHeight="1" x14ac:dyDescent="0.25">
      <c r="A939" s="12"/>
    </row>
    <row r="940" spans="1:1" ht="21.95" customHeight="1" x14ac:dyDescent="0.25">
      <c r="A940" s="12"/>
    </row>
    <row r="941" spans="1:1" ht="21.95" customHeight="1" x14ac:dyDescent="0.25">
      <c r="A941" s="12"/>
    </row>
    <row r="942" spans="1:1" ht="21.95" customHeight="1" x14ac:dyDescent="0.25">
      <c r="A942" s="12"/>
    </row>
    <row r="943" spans="1:1" ht="21.95" customHeight="1" x14ac:dyDescent="0.25">
      <c r="A943" s="12"/>
    </row>
    <row r="944" spans="1:1" ht="21.95" customHeight="1" x14ac:dyDescent="0.25">
      <c r="A944" s="12"/>
    </row>
    <row r="945" spans="1:1" ht="21.95" customHeight="1" x14ac:dyDescent="0.25">
      <c r="A945" s="12"/>
    </row>
    <row r="946" spans="1:1" ht="21.95" customHeight="1" x14ac:dyDescent="0.25">
      <c r="A946" s="12"/>
    </row>
    <row r="947" spans="1:1" ht="21.95" customHeight="1" x14ac:dyDescent="0.25">
      <c r="A947" s="12"/>
    </row>
    <row r="948" spans="1:1" ht="21.95" customHeight="1" x14ac:dyDescent="0.25">
      <c r="A948" s="12"/>
    </row>
    <row r="949" spans="1:1" ht="21.95" customHeight="1" x14ac:dyDescent="0.25">
      <c r="A949" s="12"/>
    </row>
    <row r="950" spans="1:1" ht="21.95" customHeight="1" x14ac:dyDescent="0.25">
      <c r="A950" s="12"/>
    </row>
    <row r="951" spans="1:1" ht="21.95" customHeight="1" x14ac:dyDescent="0.25">
      <c r="A951" s="12"/>
    </row>
    <row r="952" spans="1:1" ht="21.95" customHeight="1" x14ac:dyDescent="0.25">
      <c r="A952" s="12"/>
    </row>
    <row r="953" spans="1:1" ht="21.95" customHeight="1" x14ac:dyDescent="0.25">
      <c r="A953" s="12"/>
    </row>
    <row r="954" spans="1:1" ht="21.95" customHeight="1" x14ac:dyDescent="0.25">
      <c r="A954" s="12"/>
    </row>
    <row r="955" spans="1:1" ht="21.95" customHeight="1" x14ac:dyDescent="0.25">
      <c r="A955" s="12"/>
    </row>
    <row r="956" spans="1:1" ht="21.95" customHeight="1" x14ac:dyDescent="0.25">
      <c r="A956" s="12"/>
    </row>
    <row r="957" spans="1:1" ht="21.95" customHeight="1" x14ac:dyDescent="0.25">
      <c r="A957" s="12"/>
    </row>
    <row r="958" spans="1:1" ht="21.95" customHeight="1" x14ac:dyDescent="0.25">
      <c r="A958" s="12"/>
    </row>
    <row r="959" spans="1:1" ht="21.95" customHeight="1" x14ac:dyDescent="0.25">
      <c r="A959" s="12"/>
    </row>
    <row r="960" spans="1:1" ht="21.95" customHeight="1" x14ac:dyDescent="0.25">
      <c r="A960" s="12"/>
    </row>
    <row r="961" spans="1:1" ht="21.95" customHeight="1" x14ac:dyDescent="0.25">
      <c r="A961" s="12"/>
    </row>
    <row r="962" spans="1:1" ht="21.95" customHeight="1" x14ac:dyDescent="0.25">
      <c r="A962" s="12"/>
    </row>
    <row r="963" spans="1:1" ht="21.95" customHeight="1" x14ac:dyDescent="0.25">
      <c r="A963" s="12"/>
    </row>
    <row r="964" spans="1:1" ht="21.95" customHeight="1" x14ac:dyDescent="0.25">
      <c r="A964" s="12"/>
    </row>
    <row r="965" spans="1:1" ht="21.95" customHeight="1" x14ac:dyDescent="0.25">
      <c r="A965" s="12"/>
    </row>
    <row r="966" spans="1:1" ht="21.95" customHeight="1" x14ac:dyDescent="0.25">
      <c r="A966" s="12"/>
    </row>
    <row r="967" spans="1:1" ht="21.95" customHeight="1" x14ac:dyDescent="0.25">
      <c r="A967" s="12"/>
    </row>
    <row r="968" spans="1:1" ht="21.95" customHeight="1" x14ac:dyDescent="0.25">
      <c r="A968" s="12"/>
    </row>
    <row r="969" spans="1:1" ht="21.95" customHeight="1" x14ac:dyDescent="0.25">
      <c r="A969" s="12"/>
    </row>
    <row r="970" spans="1:1" ht="21.95" customHeight="1" x14ac:dyDescent="0.25">
      <c r="A970" s="12"/>
    </row>
    <row r="971" spans="1:1" ht="21.95" customHeight="1" x14ac:dyDescent="0.25">
      <c r="A971" s="12"/>
    </row>
    <row r="972" spans="1:1" ht="21.95" customHeight="1" x14ac:dyDescent="0.25">
      <c r="A972" s="12"/>
    </row>
    <row r="973" spans="1:1" ht="21.95" customHeight="1" x14ac:dyDescent="0.25">
      <c r="A973" s="12"/>
    </row>
    <row r="974" spans="1:1" ht="21.95" customHeight="1" x14ac:dyDescent="0.25">
      <c r="A974" s="12"/>
    </row>
    <row r="975" spans="1:1" ht="21.95" customHeight="1" x14ac:dyDescent="0.25">
      <c r="A975" s="12"/>
    </row>
    <row r="976" spans="1:1" ht="21.95" customHeight="1" x14ac:dyDescent="0.25">
      <c r="A976" s="12"/>
    </row>
    <row r="977" spans="1:1" ht="21.95" customHeight="1" x14ac:dyDescent="0.25">
      <c r="A977" s="12"/>
    </row>
    <row r="978" spans="1:1" ht="21.95" customHeight="1" x14ac:dyDescent="0.25">
      <c r="A978" s="12"/>
    </row>
    <row r="979" spans="1:1" ht="21.95" customHeight="1" x14ac:dyDescent="0.25">
      <c r="A979" s="12"/>
    </row>
    <row r="980" spans="1:1" ht="21.95" customHeight="1" x14ac:dyDescent="0.25">
      <c r="A980" s="12"/>
    </row>
    <row r="981" spans="1:1" ht="21.95" customHeight="1" x14ac:dyDescent="0.25">
      <c r="A981" s="12"/>
    </row>
    <row r="982" spans="1:1" ht="21.95" customHeight="1" x14ac:dyDescent="0.25">
      <c r="A982" s="12"/>
    </row>
    <row r="983" spans="1:1" ht="21.95" customHeight="1" x14ac:dyDescent="0.25">
      <c r="A983" s="12"/>
    </row>
    <row r="984" spans="1:1" ht="21.95" customHeight="1" x14ac:dyDescent="0.25">
      <c r="A984" s="12"/>
    </row>
    <row r="985" spans="1:1" ht="21.95" customHeight="1" x14ac:dyDescent="0.25">
      <c r="A985" s="12"/>
    </row>
    <row r="986" spans="1:1" ht="21.95" customHeight="1" x14ac:dyDescent="0.25">
      <c r="A986" s="12"/>
    </row>
    <row r="987" spans="1:1" ht="21.95" customHeight="1" x14ac:dyDescent="0.25">
      <c r="A987" s="12"/>
    </row>
    <row r="988" spans="1:1" ht="21.95" customHeight="1" x14ac:dyDescent="0.25">
      <c r="A988" s="12"/>
    </row>
    <row r="989" spans="1:1" ht="21.95" customHeight="1" x14ac:dyDescent="0.25">
      <c r="A989" s="12"/>
    </row>
    <row r="990" spans="1:1" ht="21.95" customHeight="1" x14ac:dyDescent="0.25">
      <c r="A990" s="12"/>
    </row>
    <row r="991" spans="1:1" ht="21.95" customHeight="1" x14ac:dyDescent="0.25">
      <c r="A991" s="12"/>
    </row>
    <row r="992" spans="1:1" ht="21.95" customHeight="1" x14ac:dyDescent="0.25">
      <c r="A992" s="12"/>
    </row>
    <row r="993" spans="1:1" ht="21.95" customHeight="1" x14ac:dyDescent="0.25">
      <c r="A993" s="12"/>
    </row>
    <row r="994" spans="1:1" ht="21.95" customHeight="1" x14ac:dyDescent="0.25">
      <c r="A994" s="12"/>
    </row>
    <row r="995" spans="1:1" ht="21.95" customHeight="1" x14ac:dyDescent="0.25">
      <c r="A995" s="12"/>
    </row>
    <row r="996" spans="1:1" ht="21.95" customHeight="1" x14ac:dyDescent="0.25">
      <c r="A996" s="12"/>
    </row>
    <row r="997" spans="1:1" ht="21.95" customHeight="1" x14ac:dyDescent="0.25">
      <c r="A997" s="12"/>
    </row>
    <row r="998" spans="1:1" ht="21.95" customHeight="1" x14ac:dyDescent="0.25">
      <c r="A998" s="12"/>
    </row>
    <row r="999" spans="1:1" ht="21.95" customHeight="1" x14ac:dyDescent="0.25">
      <c r="A999" s="12"/>
    </row>
    <row r="1000" spans="1:1" ht="21.95" customHeight="1" x14ac:dyDescent="0.25">
      <c r="A1000" s="12"/>
    </row>
    <row r="1001" spans="1:1" ht="21.95" customHeight="1" x14ac:dyDescent="0.25">
      <c r="A1001" s="12"/>
    </row>
    <row r="1002" spans="1:1" ht="21.95" customHeight="1" x14ac:dyDescent="0.25">
      <c r="A1002" s="12"/>
    </row>
    <row r="1003" spans="1:1" ht="21.95" customHeight="1" x14ac:dyDescent="0.25">
      <c r="A1003" s="12"/>
    </row>
    <row r="1004" spans="1:1" ht="21.95" customHeight="1" x14ac:dyDescent="0.25">
      <c r="A1004" s="12"/>
    </row>
    <row r="1005" spans="1:1" ht="21.95" customHeight="1" x14ac:dyDescent="0.25">
      <c r="A1005" s="12"/>
    </row>
    <row r="1006" spans="1:1" ht="21.95" customHeight="1" x14ac:dyDescent="0.25">
      <c r="A1006" s="12"/>
    </row>
    <row r="1007" spans="1:1" ht="21.95" customHeight="1" x14ac:dyDescent="0.25">
      <c r="A1007" s="12"/>
    </row>
    <row r="1008" spans="1:1" ht="21.95" customHeight="1" x14ac:dyDescent="0.25">
      <c r="A1008" s="12"/>
    </row>
    <row r="1009" spans="1:1" ht="21.95" customHeight="1" x14ac:dyDescent="0.25">
      <c r="A1009" s="12"/>
    </row>
    <row r="1010" spans="1:1" ht="21.95" customHeight="1" x14ac:dyDescent="0.25">
      <c r="A1010" s="12"/>
    </row>
    <row r="1011" spans="1:1" ht="21.95" customHeight="1" x14ac:dyDescent="0.25">
      <c r="A1011" s="12"/>
    </row>
    <row r="1012" spans="1:1" ht="21.95" customHeight="1" x14ac:dyDescent="0.25">
      <c r="A1012" s="12"/>
    </row>
    <row r="1013" spans="1:1" ht="21.95" customHeight="1" x14ac:dyDescent="0.25">
      <c r="A1013" s="12"/>
    </row>
    <row r="1014" spans="1:1" ht="21.95" customHeight="1" x14ac:dyDescent="0.25">
      <c r="A1014" s="12"/>
    </row>
    <row r="1015" spans="1:1" ht="21.95" customHeight="1" x14ac:dyDescent="0.25">
      <c r="A1015" s="12"/>
    </row>
    <row r="1016" spans="1:1" ht="21.95" customHeight="1" x14ac:dyDescent="0.25">
      <c r="A1016" s="12"/>
    </row>
    <row r="1017" spans="1:1" ht="21.95" customHeight="1" x14ac:dyDescent="0.25">
      <c r="A1017" s="12"/>
    </row>
    <row r="1018" spans="1:1" ht="21.95" customHeight="1" x14ac:dyDescent="0.25">
      <c r="A1018" s="12"/>
    </row>
    <row r="1019" spans="1:1" ht="21.95" customHeight="1" x14ac:dyDescent="0.25">
      <c r="A1019" s="12"/>
    </row>
    <row r="1020" spans="1:1" ht="21.95" customHeight="1" x14ac:dyDescent="0.25">
      <c r="A1020" s="12"/>
    </row>
    <row r="1021" spans="1:1" ht="21.95" customHeight="1" x14ac:dyDescent="0.25">
      <c r="A1021" s="12"/>
    </row>
    <row r="1022" spans="1:1" ht="21.95" customHeight="1" x14ac:dyDescent="0.25">
      <c r="A1022" s="12"/>
    </row>
    <row r="1023" spans="1:1" ht="21.95" customHeight="1" x14ac:dyDescent="0.25">
      <c r="A1023" s="12"/>
    </row>
    <row r="1024" spans="1:1" ht="21.95" customHeight="1" x14ac:dyDescent="0.25">
      <c r="A1024" s="12"/>
    </row>
    <row r="1025" spans="1:1" ht="21.95" customHeight="1" x14ac:dyDescent="0.25">
      <c r="A1025" s="12"/>
    </row>
    <row r="1026" spans="1:1" ht="21.95" customHeight="1" x14ac:dyDescent="0.25">
      <c r="A1026" s="12"/>
    </row>
    <row r="1027" spans="1:1" ht="21.95" customHeight="1" x14ac:dyDescent="0.25">
      <c r="A1027" s="12"/>
    </row>
    <row r="1028" spans="1:1" ht="21.95" customHeight="1" x14ac:dyDescent="0.25">
      <c r="A1028" s="12"/>
    </row>
    <row r="1029" spans="1:1" ht="21.95" customHeight="1" x14ac:dyDescent="0.25">
      <c r="A1029" s="12"/>
    </row>
    <row r="1030" spans="1:1" ht="21.95" customHeight="1" x14ac:dyDescent="0.25">
      <c r="A1030" s="12"/>
    </row>
    <row r="1031" spans="1:1" ht="21.95" customHeight="1" x14ac:dyDescent="0.25">
      <c r="A1031" s="12"/>
    </row>
    <row r="1032" spans="1:1" ht="21.95" customHeight="1" x14ac:dyDescent="0.25">
      <c r="A1032" s="12"/>
    </row>
    <row r="1033" spans="1:1" ht="21.95" customHeight="1" x14ac:dyDescent="0.25">
      <c r="A1033" s="12"/>
    </row>
    <row r="1034" spans="1:1" ht="21.95" customHeight="1" x14ac:dyDescent="0.25">
      <c r="A1034" s="12"/>
    </row>
    <row r="1035" spans="1:1" ht="21.95" customHeight="1" x14ac:dyDescent="0.25">
      <c r="A1035" s="12"/>
    </row>
    <row r="1036" spans="1:1" ht="21.95" customHeight="1" x14ac:dyDescent="0.25">
      <c r="A1036" s="12"/>
    </row>
    <row r="1037" spans="1:1" ht="21.95" customHeight="1" x14ac:dyDescent="0.25">
      <c r="A1037" s="12"/>
    </row>
    <row r="1038" spans="1:1" ht="21.95" customHeight="1" x14ac:dyDescent="0.25">
      <c r="A1038" s="12"/>
    </row>
    <row r="1039" spans="1:1" ht="21.95" customHeight="1" x14ac:dyDescent="0.25">
      <c r="A1039" s="12"/>
    </row>
    <row r="1040" spans="1:1" ht="21.95" customHeight="1" x14ac:dyDescent="0.25">
      <c r="A1040" s="12"/>
    </row>
    <row r="1041" spans="1:1" ht="21.95" customHeight="1" x14ac:dyDescent="0.25">
      <c r="A1041" s="12"/>
    </row>
    <row r="1042" spans="1:1" ht="21.95" customHeight="1" x14ac:dyDescent="0.25">
      <c r="A1042" s="12"/>
    </row>
    <row r="1043" spans="1:1" ht="21.95" customHeight="1" x14ac:dyDescent="0.25">
      <c r="A1043" s="12"/>
    </row>
    <row r="1044" spans="1:1" ht="21.95" customHeight="1" x14ac:dyDescent="0.25">
      <c r="A1044" s="12"/>
    </row>
    <row r="1045" spans="1:1" ht="21.95" customHeight="1" x14ac:dyDescent="0.25">
      <c r="A1045" s="12"/>
    </row>
    <row r="1046" spans="1:1" ht="21.95" customHeight="1" x14ac:dyDescent="0.25">
      <c r="A1046" s="12"/>
    </row>
    <row r="1047" spans="1:1" ht="21.95" customHeight="1" x14ac:dyDescent="0.25">
      <c r="A1047" s="12"/>
    </row>
    <row r="1048" spans="1:1" ht="21.95" customHeight="1" x14ac:dyDescent="0.25">
      <c r="A1048" s="12"/>
    </row>
    <row r="1049" spans="1:1" ht="21.95" customHeight="1" x14ac:dyDescent="0.25">
      <c r="A1049" s="12"/>
    </row>
    <row r="1050" spans="1:1" ht="21.95" customHeight="1" x14ac:dyDescent="0.25">
      <c r="A1050" s="12"/>
    </row>
    <row r="1051" spans="1:1" ht="21.95" customHeight="1" x14ac:dyDescent="0.25">
      <c r="A1051" s="12"/>
    </row>
    <row r="1052" spans="1:1" ht="21.95" customHeight="1" x14ac:dyDescent="0.25">
      <c r="A1052" s="12"/>
    </row>
    <row r="1053" spans="1:1" ht="21.95" customHeight="1" x14ac:dyDescent="0.25">
      <c r="A1053" s="12"/>
    </row>
    <row r="1054" spans="1:1" ht="21.95" customHeight="1" x14ac:dyDescent="0.25">
      <c r="A1054" s="12"/>
    </row>
    <row r="1055" spans="1:1" ht="21.95" customHeight="1" x14ac:dyDescent="0.25">
      <c r="A1055" s="12"/>
    </row>
    <row r="1056" spans="1:1" ht="21.95" customHeight="1" x14ac:dyDescent="0.25">
      <c r="A1056" s="12"/>
    </row>
    <row r="1057" spans="1:1" ht="21.95" customHeight="1" x14ac:dyDescent="0.25">
      <c r="A1057" s="12"/>
    </row>
    <row r="1058" spans="1:1" ht="21.95" customHeight="1" x14ac:dyDescent="0.25">
      <c r="A1058" s="12"/>
    </row>
    <row r="1059" spans="1:1" ht="21.95" customHeight="1" x14ac:dyDescent="0.25">
      <c r="A1059" s="12"/>
    </row>
    <row r="1060" spans="1:1" ht="21.95" customHeight="1" x14ac:dyDescent="0.25">
      <c r="A1060" s="12"/>
    </row>
    <row r="1061" spans="1:1" ht="21.95" customHeight="1" x14ac:dyDescent="0.25">
      <c r="A1061" s="12"/>
    </row>
    <row r="1062" spans="1:1" ht="21.95" customHeight="1" x14ac:dyDescent="0.25">
      <c r="A1062" s="12"/>
    </row>
    <row r="1063" spans="1:1" ht="21.95" customHeight="1" x14ac:dyDescent="0.25">
      <c r="A1063" s="12"/>
    </row>
    <row r="1064" spans="1:1" ht="21.95" customHeight="1" x14ac:dyDescent="0.25">
      <c r="A1064" s="12"/>
    </row>
    <row r="1065" spans="1:1" ht="21.95" customHeight="1" x14ac:dyDescent="0.25">
      <c r="A1065" s="12"/>
    </row>
    <row r="1066" spans="1:1" ht="21.95" customHeight="1" x14ac:dyDescent="0.25">
      <c r="A1066" s="12"/>
    </row>
    <row r="1067" spans="1:1" ht="21.95" customHeight="1" x14ac:dyDescent="0.25">
      <c r="A1067" s="12"/>
    </row>
    <row r="1068" spans="1:1" ht="21.95" customHeight="1" x14ac:dyDescent="0.25">
      <c r="A1068" s="12"/>
    </row>
    <row r="1069" spans="1:1" ht="21.95" customHeight="1" x14ac:dyDescent="0.25">
      <c r="A1069" s="12"/>
    </row>
    <row r="1070" spans="1:1" ht="21.95" customHeight="1" x14ac:dyDescent="0.25">
      <c r="A1070" s="12"/>
    </row>
    <row r="1071" spans="1:1" ht="21.95" customHeight="1" x14ac:dyDescent="0.25">
      <c r="A1071" s="12"/>
    </row>
    <row r="1072" spans="1:1" ht="21.95" customHeight="1" x14ac:dyDescent="0.25">
      <c r="A1072" s="12"/>
    </row>
    <row r="1073" spans="1:1" ht="21.95" customHeight="1" x14ac:dyDescent="0.25">
      <c r="A1073" s="12"/>
    </row>
    <row r="1074" spans="1:1" ht="21.95" customHeight="1" x14ac:dyDescent="0.25">
      <c r="A1074" s="12"/>
    </row>
    <row r="1075" spans="1:1" ht="21.95" customHeight="1" x14ac:dyDescent="0.25">
      <c r="A1075" s="12"/>
    </row>
    <row r="1076" spans="1:1" ht="21.95" customHeight="1" x14ac:dyDescent="0.25">
      <c r="A1076" s="12"/>
    </row>
    <row r="1077" spans="1:1" ht="21.95" customHeight="1" x14ac:dyDescent="0.25">
      <c r="A1077" s="12"/>
    </row>
    <row r="1078" spans="1:1" ht="21.95" customHeight="1" x14ac:dyDescent="0.25">
      <c r="A1078" s="12"/>
    </row>
    <row r="1079" spans="1:1" ht="21.95" customHeight="1" x14ac:dyDescent="0.25">
      <c r="A1079" s="12"/>
    </row>
    <row r="1080" spans="1:1" ht="21.95" customHeight="1" x14ac:dyDescent="0.25">
      <c r="A1080" s="12"/>
    </row>
    <row r="1081" spans="1:1" ht="21.95" customHeight="1" x14ac:dyDescent="0.25">
      <c r="A1081" s="12"/>
    </row>
    <row r="1082" spans="1:1" ht="21.95" customHeight="1" x14ac:dyDescent="0.25">
      <c r="A1082" s="12"/>
    </row>
    <row r="1083" spans="1:1" ht="21.95" customHeight="1" x14ac:dyDescent="0.25">
      <c r="A1083" s="12"/>
    </row>
    <row r="1084" spans="1:1" ht="21.95" customHeight="1" x14ac:dyDescent="0.25">
      <c r="A1084" s="12"/>
    </row>
    <row r="1085" spans="1:1" ht="21.95" customHeight="1" x14ac:dyDescent="0.25">
      <c r="A1085" s="12"/>
    </row>
    <row r="1086" spans="1:1" ht="21.95" customHeight="1" x14ac:dyDescent="0.25">
      <c r="A1086" s="12"/>
    </row>
    <row r="1087" spans="1:1" ht="21.95" customHeight="1" x14ac:dyDescent="0.25">
      <c r="A1087" s="12"/>
    </row>
    <row r="1088" spans="1:1" ht="21.95" customHeight="1" x14ac:dyDescent="0.25">
      <c r="A1088" s="12"/>
    </row>
    <row r="1089" spans="1:1" ht="21.95" customHeight="1" x14ac:dyDescent="0.25">
      <c r="A1089" s="12"/>
    </row>
    <row r="1090" spans="1:1" ht="21.95" customHeight="1" x14ac:dyDescent="0.25">
      <c r="A1090" s="12"/>
    </row>
    <row r="1091" spans="1:1" ht="21.95" customHeight="1" x14ac:dyDescent="0.25">
      <c r="A1091" s="12"/>
    </row>
    <row r="1092" spans="1:1" ht="21.95" customHeight="1" x14ac:dyDescent="0.25">
      <c r="A1092" s="12"/>
    </row>
    <row r="1093" spans="1:1" ht="21.95" customHeight="1" x14ac:dyDescent="0.25">
      <c r="A1093" s="12"/>
    </row>
    <row r="1094" spans="1:1" ht="21.95" customHeight="1" x14ac:dyDescent="0.25">
      <c r="A1094" s="12"/>
    </row>
    <row r="1095" spans="1:1" ht="21.95" customHeight="1" x14ac:dyDescent="0.25">
      <c r="A1095" s="12"/>
    </row>
    <row r="1096" spans="1:1" ht="21.95" customHeight="1" x14ac:dyDescent="0.25">
      <c r="A1096" s="12"/>
    </row>
    <row r="1097" spans="1:1" ht="21.95" customHeight="1" x14ac:dyDescent="0.25">
      <c r="A1097" s="12"/>
    </row>
    <row r="1098" spans="1:1" ht="21.95" customHeight="1" x14ac:dyDescent="0.25">
      <c r="A1098" s="12"/>
    </row>
  </sheetData>
  <mergeCells count="24">
    <mergeCell ref="A5:A6"/>
    <mergeCell ref="O6:Q9"/>
    <mergeCell ref="B1:O1"/>
    <mergeCell ref="O13:S16"/>
    <mergeCell ref="K4:M4"/>
    <mergeCell ref="B4:D4"/>
    <mergeCell ref="H8:J8"/>
    <mergeCell ref="E9:G10"/>
    <mergeCell ref="O12:S12"/>
    <mergeCell ref="E8:G8"/>
    <mergeCell ref="H4:J4"/>
    <mergeCell ref="E4:G4"/>
    <mergeCell ref="B9:D10"/>
    <mergeCell ref="B2:O2"/>
    <mergeCell ref="K5:M6"/>
    <mergeCell ref="E5:G6"/>
    <mergeCell ref="E28:F28"/>
    <mergeCell ref="H9:J10"/>
    <mergeCell ref="B28:C28"/>
    <mergeCell ref="B5:D6"/>
    <mergeCell ref="B8:D8"/>
    <mergeCell ref="H5:J6"/>
    <mergeCell ref="K9:M10"/>
    <mergeCell ref="K8:M8"/>
  </mergeCells>
  <dataValidations count="1">
    <dataValidation type="list" sqref="B5" xr:uid="{00000000-0002-0000-0300-000000000000}">
      <formula1>"Enero,Febrero,Marzo,Abril,Mayo,Junio,Julio,Agosto,Septiembre,Octubre,Noviembre,Diciembre"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4AF37"/>
  </sheetPr>
  <dimension ref="A1:V1099"/>
  <sheetViews>
    <sheetView tabSelected="1" workbookViewId="0">
      <selection activeCell="N20" sqref="N20"/>
    </sheetView>
  </sheetViews>
  <sheetFormatPr baseColWidth="10" defaultColWidth="9.140625" defaultRowHeight="15" x14ac:dyDescent="0.25"/>
  <cols>
    <col min="1" max="1" width="9.140625" style="17" customWidth="1"/>
    <col min="2" max="2" width="24" style="7" customWidth="1"/>
    <col min="3" max="14" width="15" style="7" customWidth="1"/>
    <col min="15" max="15" width="16" style="7" customWidth="1"/>
    <col min="16" max="16" width="15" style="7" customWidth="1"/>
    <col min="17" max="22" width="9.140625" style="12" customWidth="1"/>
  </cols>
  <sheetData>
    <row r="1" spans="1:16" ht="21.95" customHeight="1" x14ac:dyDescent="0.25">
      <c r="A1" s="12"/>
      <c r="B1" s="56" t="s">
        <v>122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</row>
    <row r="2" spans="1:16" ht="21.95" customHeight="1" x14ac:dyDescent="0.25">
      <c r="A2" s="12"/>
      <c r="B2" s="60" t="s">
        <v>123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</row>
    <row r="3" spans="1:16" ht="21.95" customHeight="1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4" spans="1:16" ht="21.95" customHeight="1" x14ac:dyDescent="0.25">
      <c r="A4" s="12"/>
      <c r="B4" s="1" t="s">
        <v>124</v>
      </c>
      <c r="C4" s="6" t="s">
        <v>97</v>
      </c>
      <c r="D4" s="6" t="s">
        <v>106</v>
      </c>
      <c r="E4" s="6" t="s">
        <v>107</v>
      </c>
      <c r="F4" s="6" t="s">
        <v>108</v>
      </c>
      <c r="G4" s="6" t="s">
        <v>109</v>
      </c>
      <c r="H4" s="6" t="s">
        <v>110</v>
      </c>
      <c r="I4" s="6" t="s">
        <v>111</v>
      </c>
      <c r="J4" s="6" t="s">
        <v>112</v>
      </c>
      <c r="K4" s="6" t="s">
        <v>113</v>
      </c>
      <c r="L4" s="6" t="s">
        <v>114</v>
      </c>
      <c r="M4" s="6" t="s">
        <v>115</v>
      </c>
      <c r="N4" s="6" t="s">
        <v>116</v>
      </c>
      <c r="O4" s="6" t="s">
        <v>125</v>
      </c>
      <c r="P4" s="6" t="s">
        <v>126</v>
      </c>
    </row>
    <row r="5" spans="1:16" ht="21.95" customHeight="1" x14ac:dyDescent="0.25">
      <c r="A5" s="12"/>
      <c r="B5" s="25" t="s">
        <v>103</v>
      </c>
      <c r="C5" s="37">
        <f>SUMIFS('Registro Mensual'!$H$9:$H$1008,'Registro Mensual'!$C$9:$C$1008,C$4)</f>
        <v>1450000</v>
      </c>
      <c r="D5" s="37">
        <f>SUMIFS('Registro Mensual'!$H$9:$H$1008,'Registro Mensual'!$C$9:$C$1008,D$4)</f>
        <v>0</v>
      </c>
      <c r="E5" s="37">
        <f>SUMIFS('Registro Mensual'!$H$9:$H$1008,'Registro Mensual'!$C$9:$C$1008,E$4)</f>
        <v>0</v>
      </c>
      <c r="F5" s="37">
        <f>SUMIFS('Registro Mensual'!$H$9:$H$1008,'Registro Mensual'!$C$9:$C$1008,F$4)</f>
        <v>0</v>
      </c>
      <c r="G5" s="37">
        <f>SUMIFS('Registro Mensual'!$H$9:$H$1008,'Registro Mensual'!$C$9:$C$1008,G$4)</f>
        <v>0</v>
      </c>
      <c r="H5" s="37">
        <f>SUMIFS('Registro Mensual'!$H$9:$H$1008,'Registro Mensual'!$C$9:$C$1008,H$4)</f>
        <v>0</v>
      </c>
      <c r="I5" s="37">
        <f>SUMIFS('Registro Mensual'!$H$9:$H$1008,'Registro Mensual'!$C$9:$C$1008,I$4)</f>
        <v>0</v>
      </c>
      <c r="J5" s="37">
        <f>SUMIFS('Registro Mensual'!$H$9:$H$1008,'Registro Mensual'!$C$9:$C$1008,J$4)</f>
        <v>0</v>
      </c>
      <c r="K5" s="37">
        <f>SUMIFS('Registro Mensual'!$H$9:$H$1008,'Registro Mensual'!$C$9:$C$1008,K$4)</f>
        <v>0</v>
      </c>
      <c r="L5" s="37">
        <f>SUMIFS('Registro Mensual'!$H$9:$H$1008,'Registro Mensual'!$C$9:$C$1008,L$4)</f>
        <v>0</v>
      </c>
      <c r="M5" s="37">
        <f>SUMIFS('Registro Mensual'!$H$9:$H$1008,'Registro Mensual'!$C$9:$C$1008,M$4)</f>
        <v>0</v>
      </c>
      <c r="N5" s="37">
        <f>SUMIFS('Registro Mensual'!$H$9:$H$1008,'Registro Mensual'!$C$9:$C$1008,N$4)</f>
        <v>0</v>
      </c>
      <c r="O5" s="38">
        <f>SUM(C5:N5)</f>
        <v>1450000</v>
      </c>
      <c r="P5" s="38">
        <f>AVERAGE(C5:N5)</f>
        <v>120833.33333333333</v>
      </c>
    </row>
    <row r="6" spans="1:16" ht="21.95" customHeight="1" x14ac:dyDescent="0.25">
      <c r="A6" s="12"/>
      <c r="B6" s="25" t="s">
        <v>104</v>
      </c>
      <c r="C6" s="37">
        <f>SUMIFS('Registro Mensual'!$I$9:$I$1008,'Registro Mensual'!$C$9:$C$1008,C$4)</f>
        <v>2330000</v>
      </c>
      <c r="D6" s="37">
        <f>SUMIFS('Registro Mensual'!$I$9:$I$1008,'Registro Mensual'!$C$9:$C$1008,D$4)</f>
        <v>0</v>
      </c>
      <c r="E6" s="37">
        <f>SUMIFS('Registro Mensual'!$I$9:$I$1008,'Registro Mensual'!$C$9:$C$1008,E$4)</f>
        <v>0</v>
      </c>
      <c r="F6" s="37">
        <f>SUMIFS('Registro Mensual'!$I$9:$I$1008,'Registro Mensual'!$C$9:$C$1008,F$4)</f>
        <v>0</v>
      </c>
      <c r="G6" s="37">
        <f>SUMIFS('Registro Mensual'!$I$9:$I$1008,'Registro Mensual'!$C$9:$C$1008,G$4)</f>
        <v>0</v>
      </c>
      <c r="H6" s="37">
        <f>SUMIFS('Registro Mensual'!$I$9:$I$1008,'Registro Mensual'!$C$9:$C$1008,H$4)</f>
        <v>0</v>
      </c>
      <c r="I6" s="37">
        <f>SUMIFS('Registro Mensual'!$I$9:$I$1008,'Registro Mensual'!$C$9:$C$1008,I$4)</f>
        <v>0</v>
      </c>
      <c r="J6" s="37">
        <f>SUMIFS('Registro Mensual'!$I$9:$I$1008,'Registro Mensual'!$C$9:$C$1008,J$4)</f>
        <v>0</v>
      </c>
      <c r="K6" s="37">
        <f>SUMIFS('Registro Mensual'!$I$9:$I$1008,'Registro Mensual'!$C$9:$C$1008,K$4)</f>
        <v>0</v>
      </c>
      <c r="L6" s="37">
        <f>SUMIFS('Registro Mensual'!$I$9:$I$1008,'Registro Mensual'!$C$9:$C$1008,L$4)</f>
        <v>0</v>
      </c>
      <c r="M6" s="37">
        <f>SUMIFS('Registro Mensual'!$I$9:$I$1008,'Registro Mensual'!$C$9:$C$1008,M$4)</f>
        <v>0</v>
      </c>
      <c r="N6" s="37">
        <f>SUMIFS('Registro Mensual'!$I$9:$I$1008,'Registro Mensual'!$C$9:$C$1008,N$4)</f>
        <v>0</v>
      </c>
      <c r="O6" s="38">
        <f>SUM(C6:N6)</f>
        <v>2330000</v>
      </c>
      <c r="P6" s="38">
        <f>AVERAGE(C6:N6)</f>
        <v>194166.66666666666</v>
      </c>
    </row>
    <row r="7" spans="1:16" ht="21.95" customHeight="1" x14ac:dyDescent="0.25">
      <c r="A7" s="12"/>
      <c r="B7" s="25" t="s">
        <v>127</v>
      </c>
      <c r="C7" s="29">
        <f t="shared" ref="C7:N7" si="0">C5-C6</f>
        <v>-880000</v>
      </c>
      <c r="D7" s="29">
        <f t="shared" si="0"/>
        <v>0</v>
      </c>
      <c r="E7" s="29">
        <f t="shared" si="0"/>
        <v>0</v>
      </c>
      <c r="F7" s="29">
        <f t="shared" si="0"/>
        <v>0</v>
      </c>
      <c r="G7" s="29">
        <f t="shared" si="0"/>
        <v>0</v>
      </c>
      <c r="H7" s="29">
        <f t="shared" si="0"/>
        <v>0</v>
      </c>
      <c r="I7" s="29">
        <f t="shared" si="0"/>
        <v>0</v>
      </c>
      <c r="J7" s="29">
        <f t="shared" si="0"/>
        <v>0</v>
      </c>
      <c r="K7" s="29">
        <f t="shared" si="0"/>
        <v>0</v>
      </c>
      <c r="L7" s="29">
        <f t="shared" si="0"/>
        <v>0</v>
      </c>
      <c r="M7" s="29">
        <f t="shared" si="0"/>
        <v>0</v>
      </c>
      <c r="N7" s="29">
        <f t="shared" si="0"/>
        <v>0</v>
      </c>
      <c r="O7" s="38">
        <f>SUM(C7:N7)</f>
        <v>-880000</v>
      </c>
      <c r="P7" s="38">
        <f>AVERAGE(C7:N7)</f>
        <v>-73333.333333333328</v>
      </c>
    </row>
    <row r="8" spans="1:16" ht="21.95" customHeight="1" x14ac:dyDescent="0.25">
      <c r="A8" s="12"/>
      <c r="B8" s="25" t="s">
        <v>128</v>
      </c>
      <c r="C8" s="37">
        <f>SUMIFS('Registro Mensual'!$J$9:$J$1008,'Registro Mensual'!$C$9:$C$1008,C$4)</f>
        <v>0</v>
      </c>
      <c r="D8" s="37">
        <f>SUMIFS('Registro Mensual'!$J$9:$J$1008,'Registro Mensual'!$C$9:$C$1008,D$4)</f>
        <v>0</v>
      </c>
      <c r="E8" s="37">
        <f>SUMIFS('Registro Mensual'!$J$9:$J$1008,'Registro Mensual'!$C$9:$C$1008,E$4)</f>
        <v>0</v>
      </c>
      <c r="F8" s="37">
        <f>SUMIFS('Registro Mensual'!$J$9:$J$1008,'Registro Mensual'!$C$9:$C$1008,F$4)</f>
        <v>0</v>
      </c>
      <c r="G8" s="37">
        <f>SUMIFS('Registro Mensual'!$J$9:$J$1008,'Registro Mensual'!$C$9:$C$1008,G$4)</f>
        <v>0</v>
      </c>
      <c r="H8" s="37">
        <f>SUMIFS('Registro Mensual'!$J$9:$J$1008,'Registro Mensual'!$C$9:$C$1008,H$4)</f>
        <v>0</v>
      </c>
      <c r="I8" s="37">
        <f>SUMIFS('Registro Mensual'!$J$9:$J$1008,'Registro Mensual'!$C$9:$C$1008,I$4)</f>
        <v>0</v>
      </c>
      <c r="J8" s="37">
        <f>SUMIFS('Registro Mensual'!$J$9:$J$1008,'Registro Mensual'!$C$9:$C$1008,J$4)</f>
        <v>0</v>
      </c>
      <c r="K8" s="37">
        <f>SUMIFS('Registro Mensual'!$J$9:$J$1008,'Registro Mensual'!$C$9:$C$1008,K$4)</f>
        <v>0</v>
      </c>
      <c r="L8" s="37">
        <f>SUMIFS('Registro Mensual'!$J$9:$J$1008,'Registro Mensual'!$C$9:$C$1008,L$4)</f>
        <v>0</v>
      </c>
      <c r="M8" s="37">
        <f>SUMIFS('Registro Mensual'!$J$9:$J$1008,'Registro Mensual'!$C$9:$C$1008,M$4)</f>
        <v>0</v>
      </c>
      <c r="N8" s="37">
        <f>SUMIFS('Registro Mensual'!$J$9:$J$1008,'Registro Mensual'!$C$9:$C$1008,N$4)</f>
        <v>0</v>
      </c>
      <c r="O8" s="38">
        <f>SUM(C8:N8)</f>
        <v>0</v>
      </c>
      <c r="P8" s="38">
        <f>AVERAGE(C8:N8)</f>
        <v>0</v>
      </c>
    </row>
    <row r="9" spans="1:16" ht="21.95" customHeight="1" x14ac:dyDescent="0.25">
      <c r="A9" s="12"/>
      <c r="B9" s="25" t="s">
        <v>39</v>
      </c>
      <c r="C9" s="29">
        <f t="shared" ref="C9:N9" si="1">C7-C8</f>
        <v>-880000</v>
      </c>
      <c r="D9" s="29">
        <f t="shared" si="1"/>
        <v>0</v>
      </c>
      <c r="E9" s="29">
        <f t="shared" si="1"/>
        <v>0</v>
      </c>
      <c r="F9" s="29">
        <f t="shared" si="1"/>
        <v>0</v>
      </c>
      <c r="G9" s="29">
        <f t="shared" si="1"/>
        <v>0</v>
      </c>
      <c r="H9" s="29">
        <f t="shared" si="1"/>
        <v>0</v>
      </c>
      <c r="I9" s="29">
        <f t="shared" si="1"/>
        <v>0</v>
      </c>
      <c r="J9" s="29">
        <f t="shared" si="1"/>
        <v>0</v>
      </c>
      <c r="K9" s="29">
        <f t="shared" si="1"/>
        <v>0</v>
      </c>
      <c r="L9" s="29">
        <f t="shared" si="1"/>
        <v>0</v>
      </c>
      <c r="M9" s="29">
        <f t="shared" si="1"/>
        <v>0</v>
      </c>
      <c r="N9" s="29">
        <f t="shared" si="1"/>
        <v>0</v>
      </c>
      <c r="O9" s="38">
        <f>SUM(C9:N9)</f>
        <v>-880000</v>
      </c>
      <c r="P9" s="38">
        <f>AVERAGE(C9:N9)</f>
        <v>-73333.333333333328</v>
      </c>
    </row>
    <row r="10" spans="1:16" ht="21.95" customHeight="1" x14ac:dyDescent="0.25">
      <c r="A10" s="12"/>
      <c r="B10" s="25" t="s">
        <v>129</v>
      </c>
      <c r="C10" s="39">
        <f t="shared" ref="C10:O10" si="2">IFERROR(C9/C5,0)</f>
        <v>-0.60689655172413792</v>
      </c>
      <c r="D10" s="39">
        <f t="shared" si="2"/>
        <v>0</v>
      </c>
      <c r="E10" s="39">
        <f t="shared" si="2"/>
        <v>0</v>
      </c>
      <c r="F10" s="39">
        <f t="shared" si="2"/>
        <v>0</v>
      </c>
      <c r="G10" s="39">
        <f t="shared" si="2"/>
        <v>0</v>
      </c>
      <c r="H10" s="39">
        <f t="shared" si="2"/>
        <v>0</v>
      </c>
      <c r="I10" s="39">
        <f t="shared" si="2"/>
        <v>0</v>
      </c>
      <c r="J10" s="39">
        <f t="shared" si="2"/>
        <v>0</v>
      </c>
      <c r="K10" s="39">
        <f t="shared" si="2"/>
        <v>0</v>
      </c>
      <c r="L10" s="39">
        <f t="shared" si="2"/>
        <v>0</v>
      </c>
      <c r="M10" s="39">
        <f t="shared" si="2"/>
        <v>0</v>
      </c>
      <c r="N10" s="39">
        <f t="shared" si="2"/>
        <v>0</v>
      </c>
      <c r="O10" s="40">
        <f t="shared" si="2"/>
        <v>-0.60689655172413792</v>
      </c>
      <c r="P10" s="40">
        <f>IFERROR(AVERAGE(C10:N10),0)</f>
        <v>-5.057471264367816E-2</v>
      </c>
    </row>
    <row r="11" spans="1:16" ht="30" customHeight="1" x14ac:dyDescent="0.25">
      <c r="A11" s="12"/>
      <c r="B11" s="25" t="s">
        <v>130</v>
      </c>
      <c r="C11" s="26" t="str">
        <f t="shared" ref="C11:N11" si="3">IF(C9&lt;0,"Pérdida","OK")</f>
        <v>Pérdida</v>
      </c>
      <c r="D11" s="26" t="str">
        <f t="shared" si="3"/>
        <v>OK</v>
      </c>
      <c r="E11" s="26" t="str">
        <f t="shared" si="3"/>
        <v>OK</v>
      </c>
      <c r="F11" s="26" t="str">
        <f t="shared" si="3"/>
        <v>OK</v>
      </c>
      <c r="G11" s="26" t="str">
        <f t="shared" si="3"/>
        <v>OK</v>
      </c>
      <c r="H11" s="26" t="str">
        <f t="shared" si="3"/>
        <v>OK</v>
      </c>
      <c r="I11" s="26" t="str">
        <f t="shared" si="3"/>
        <v>OK</v>
      </c>
      <c r="J11" s="26" t="str">
        <f t="shared" si="3"/>
        <v>OK</v>
      </c>
      <c r="K11" s="26" t="str">
        <f t="shared" si="3"/>
        <v>OK</v>
      </c>
      <c r="L11" s="26" t="str">
        <f t="shared" si="3"/>
        <v>OK</v>
      </c>
      <c r="M11" s="26" t="str">
        <f t="shared" si="3"/>
        <v>OK</v>
      </c>
      <c r="N11" s="26" t="str">
        <f t="shared" si="3"/>
        <v>OK</v>
      </c>
      <c r="O11" s="5" t="str">
        <f>"Meses pérdida: "&amp;COUNTIF(C11:N11,"Pérdida")</f>
        <v>Meses pérdida: 1</v>
      </c>
      <c r="P11" s="5" t="str">
        <f>"Meses OK: "&amp;COUNTIF(C11:N11,"OK")</f>
        <v>Meses OK: 11</v>
      </c>
    </row>
    <row r="12" spans="1:16" ht="21.95" customHeight="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 spans="1:16" ht="21.95" customHeight="1" x14ac:dyDescent="0.25">
      <c r="A13" s="12"/>
      <c r="B13" s="12"/>
      <c r="C13" s="12"/>
      <c r="D13" s="12"/>
      <c r="E13" s="12"/>
      <c r="F13" s="52" t="s">
        <v>40</v>
      </c>
      <c r="G13" s="42"/>
      <c r="H13" s="42"/>
      <c r="I13" s="42"/>
      <c r="J13" s="43"/>
      <c r="K13" s="12"/>
      <c r="L13" s="12"/>
      <c r="M13" s="12"/>
      <c r="N13" s="12"/>
      <c r="O13" s="12"/>
      <c r="P13" s="12"/>
    </row>
    <row r="14" spans="1:16" ht="21.95" customHeight="1" x14ac:dyDescent="0.25">
      <c r="A14" s="12"/>
      <c r="B14" s="12"/>
      <c r="C14" s="12"/>
      <c r="D14" s="12"/>
      <c r="E14" s="12"/>
      <c r="F14" s="84" t="s">
        <v>131</v>
      </c>
      <c r="G14" s="65"/>
      <c r="H14" s="65"/>
      <c r="I14" s="65"/>
      <c r="J14" s="46"/>
      <c r="K14" s="12"/>
      <c r="L14" s="12"/>
      <c r="M14" s="12"/>
      <c r="N14" s="12"/>
      <c r="O14" s="12"/>
      <c r="P14" s="12"/>
    </row>
    <row r="15" spans="1:16" ht="21.95" customHeight="1" x14ac:dyDescent="0.25">
      <c r="A15" s="12"/>
      <c r="B15" s="12"/>
      <c r="C15" s="12"/>
      <c r="D15" s="12"/>
      <c r="E15" s="12"/>
      <c r="F15" s="49"/>
      <c r="G15" s="66"/>
      <c r="H15" s="66"/>
      <c r="I15" s="66"/>
      <c r="J15" s="50"/>
      <c r="K15" s="12"/>
      <c r="L15" s="12"/>
      <c r="M15" s="12"/>
      <c r="N15" s="12"/>
      <c r="O15" s="12"/>
      <c r="P15" s="12"/>
    </row>
    <row r="16" spans="1:16" s="12" customFormat="1" ht="21.95" customHeight="1" x14ac:dyDescent="0.25"/>
    <row r="17" s="12" customFormat="1" ht="21.95" customHeight="1" x14ac:dyDescent="0.25"/>
    <row r="18" s="12" customFormat="1" ht="21.95" customHeight="1" x14ac:dyDescent="0.25"/>
    <row r="19" s="12" customFormat="1" ht="21.95" customHeight="1" x14ac:dyDescent="0.25"/>
    <row r="20" s="12" customFormat="1" ht="21.95" customHeight="1" x14ac:dyDescent="0.25"/>
    <row r="21" s="12" customFormat="1" ht="21.95" customHeight="1" x14ac:dyDescent="0.25"/>
    <row r="22" s="12" customFormat="1" ht="21.95" customHeight="1" x14ac:dyDescent="0.25"/>
    <row r="23" s="12" customFormat="1" ht="21.95" customHeight="1" x14ac:dyDescent="0.25"/>
    <row r="24" s="12" customFormat="1" ht="21.95" customHeight="1" x14ac:dyDescent="0.25"/>
    <row r="25" s="12" customFormat="1" ht="21.95" customHeight="1" x14ac:dyDescent="0.25"/>
    <row r="26" s="12" customFormat="1" ht="21.95" customHeight="1" x14ac:dyDescent="0.25"/>
    <row r="27" s="12" customFormat="1" ht="21.95" customHeight="1" x14ac:dyDescent="0.25"/>
    <row r="28" s="12" customFormat="1" ht="21.95" customHeight="1" x14ac:dyDescent="0.25"/>
    <row r="29" s="12" customFormat="1" ht="21.95" customHeight="1" x14ac:dyDescent="0.25"/>
    <row r="30" s="12" customFormat="1" ht="21.95" customHeight="1" x14ac:dyDescent="0.25"/>
    <row r="31" s="12" customFormat="1" ht="21.95" customHeight="1" x14ac:dyDescent="0.25"/>
    <row r="32" s="12" customFormat="1" ht="21.95" customHeight="1" x14ac:dyDescent="0.25"/>
    <row r="33" spans="1:1" s="12" customFormat="1" ht="21.95" customHeight="1" x14ac:dyDescent="0.25"/>
    <row r="34" spans="1:1" s="12" customFormat="1" ht="21.95" customHeight="1" x14ac:dyDescent="0.25"/>
    <row r="35" spans="1:1" s="12" customFormat="1" ht="21.95" customHeight="1" x14ac:dyDescent="0.25"/>
    <row r="36" spans="1:1" s="12" customFormat="1" ht="21.95" customHeight="1" x14ac:dyDescent="0.25"/>
    <row r="37" spans="1:1" s="12" customFormat="1" ht="21.95" customHeight="1" x14ac:dyDescent="0.25"/>
    <row r="38" spans="1:1" s="12" customFormat="1" ht="21.95" customHeight="1" x14ac:dyDescent="0.25"/>
    <row r="39" spans="1:1" s="12" customFormat="1" ht="21.95" customHeight="1" x14ac:dyDescent="0.25"/>
    <row r="40" spans="1:1" s="12" customFormat="1" ht="21.95" customHeight="1" x14ac:dyDescent="0.25"/>
    <row r="41" spans="1:1" ht="21.95" customHeight="1" x14ac:dyDescent="0.25">
      <c r="A41" s="12"/>
    </row>
    <row r="42" spans="1:1" ht="21.95" customHeight="1" x14ac:dyDescent="0.25">
      <c r="A42" s="12"/>
    </row>
    <row r="43" spans="1:1" ht="21.95" customHeight="1" x14ac:dyDescent="0.25">
      <c r="A43" s="12"/>
    </row>
    <row r="44" spans="1:1" ht="21.95" customHeight="1" x14ac:dyDescent="0.25">
      <c r="A44" s="12"/>
    </row>
    <row r="45" spans="1:1" ht="21.95" customHeight="1" x14ac:dyDescent="0.25">
      <c r="A45" s="12"/>
    </row>
    <row r="46" spans="1:1" ht="21.95" customHeight="1" x14ac:dyDescent="0.25">
      <c r="A46" s="12"/>
    </row>
    <row r="47" spans="1:1" ht="21.95" customHeight="1" x14ac:dyDescent="0.25">
      <c r="A47" s="12"/>
    </row>
    <row r="48" spans="1:1" ht="21.95" customHeight="1" x14ac:dyDescent="0.25">
      <c r="A48" s="12"/>
    </row>
    <row r="49" spans="1:1" ht="21.95" customHeight="1" x14ac:dyDescent="0.25">
      <c r="A49" s="12"/>
    </row>
    <row r="50" spans="1:1" ht="21.95" customHeight="1" x14ac:dyDescent="0.25">
      <c r="A50" s="12"/>
    </row>
    <row r="51" spans="1:1" ht="21.95" customHeight="1" x14ac:dyDescent="0.25">
      <c r="A51" s="12"/>
    </row>
    <row r="52" spans="1:1" ht="21.95" customHeight="1" x14ac:dyDescent="0.25">
      <c r="A52" s="12"/>
    </row>
    <row r="53" spans="1:1" ht="21.95" customHeight="1" x14ac:dyDescent="0.25">
      <c r="A53" s="12"/>
    </row>
    <row r="54" spans="1:1" ht="21.95" customHeight="1" x14ac:dyDescent="0.25">
      <c r="A54" s="12"/>
    </row>
    <row r="55" spans="1:1" ht="21.95" customHeight="1" x14ac:dyDescent="0.25">
      <c r="A55" s="12"/>
    </row>
    <row r="56" spans="1:1" ht="21.95" customHeight="1" x14ac:dyDescent="0.25">
      <c r="A56" s="12"/>
    </row>
    <row r="57" spans="1:1" ht="21.95" customHeight="1" x14ac:dyDescent="0.25">
      <c r="A57" s="12"/>
    </row>
    <row r="58" spans="1:1" ht="21.95" customHeight="1" x14ac:dyDescent="0.25">
      <c r="A58" s="12"/>
    </row>
    <row r="59" spans="1:1" ht="21.95" customHeight="1" x14ac:dyDescent="0.25">
      <c r="A59" s="12"/>
    </row>
    <row r="60" spans="1:1" ht="21.95" customHeight="1" x14ac:dyDescent="0.25">
      <c r="A60" s="12"/>
    </row>
    <row r="61" spans="1:1" ht="21.95" customHeight="1" x14ac:dyDescent="0.25">
      <c r="A61" s="12"/>
    </row>
    <row r="62" spans="1:1" ht="21.95" customHeight="1" x14ac:dyDescent="0.25">
      <c r="A62" s="12"/>
    </row>
    <row r="63" spans="1:1" ht="21.95" customHeight="1" x14ac:dyDescent="0.25">
      <c r="A63" s="12"/>
    </row>
    <row r="64" spans="1:1" ht="21.95" customHeight="1" x14ac:dyDescent="0.25">
      <c r="A64" s="12"/>
    </row>
    <row r="65" spans="1:1" ht="21.95" customHeight="1" x14ac:dyDescent="0.25">
      <c r="A65" s="12"/>
    </row>
    <row r="66" spans="1:1" ht="21.95" customHeight="1" x14ac:dyDescent="0.25">
      <c r="A66" s="12"/>
    </row>
    <row r="67" spans="1:1" ht="21.95" customHeight="1" x14ac:dyDescent="0.25">
      <c r="A67" s="12"/>
    </row>
    <row r="68" spans="1:1" ht="21.95" customHeight="1" x14ac:dyDescent="0.25">
      <c r="A68" s="12"/>
    </row>
    <row r="69" spans="1:1" ht="21.95" customHeight="1" x14ac:dyDescent="0.25">
      <c r="A69" s="12"/>
    </row>
    <row r="70" spans="1:1" ht="21.95" customHeight="1" x14ac:dyDescent="0.25">
      <c r="A70" s="12"/>
    </row>
    <row r="71" spans="1:1" ht="21.95" customHeight="1" x14ac:dyDescent="0.25">
      <c r="A71" s="12"/>
    </row>
    <row r="72" spans="1:1" ht="21.95" customHeight="1" x14ac:dyDescent="0.25">
      <c r="A72" s="12"/>
    </row>
    <row r="73" spans="1:1" ht="21.95" customHeight="1" x14ac:dyDescent="0.25">
      <c r="A73" s="12"/>
    </row>
    <row r="74" spans="1:1" ht="21.95" customHeight="1" x14ac:dyDescent="0.25">
      <c r="A74" s="12"/>
    </row>
    <row r="75" spans="1:1" ht="21.95" customHeight="1" x14ac:dyDescent="0.25">
      <c r="A75" s="12"/>
    </row>
    <row r="76" spans="1:1" ht="21.95" customHeight="1" x14ac:dyDescent="0.25">
      <c r="A76" s="12"/>
    </row>
    <row r="77" spans="1:1" ht="21.95" customHeight="1" x14ac:dyDescent="0.25">
      <c r="A77" s="12"/>
    </row>
    <row r="78" spans="1:1" ht="21.95" customHeight="1" x14ac:dyDescent="0.25">
      <c r="A78" s="12"/>
    </row>
    <row r="79" spans="1:1" ht="21.95" customHeight="1" x14ac:dyDescent="0.25">
      <c r="A79" s="12"/>
    </row>
    <row r="80" spans="1:1" ht="21.95" customHeight="1" x14ac:dyDescent="0.25">
      <c r="A80" s="12"/>
    </row>
    <row r="81" spans="1:1" ht="21.95" customHeight="1" x14ac:dyDescent="0.25">
      <c r="A81" s="12"/>
    </row>
    <row r="82" spans="1:1" ht="21.95" customHeight="1" x14ac:dyDescent="0.25">
      <c r="A82" s="12"/>
    </row>
    <row r="83" spans="1:1" ht="21.95" customHeight="1" x14ac:dyDescent="0.25">
      <c r="A83" s="12"/>
    </row>
    <row r="84" spans="1:1" ht="21.95" customHeight="1" x14ac:dyDescent="0.25">
      <c r="A84" s="12"/>
    </row>
    <row r="85" spans="1:1" ht="21.95" customHeight="1" x14ac:dyDescent="0.25">
      <c r="A85" s="12"/>
    </row>
    <row r="86" spans="1:1" ht="21.95" customHeight="1" x14ac:dyDescent="0.25">
      <c r="A86" s="12"/>
    </row>
    <row r="87" spans="1:1" ht="21.95" customHeight="1" x14ac:dyDescent="0.25">
      <c r="A87" s="12"/>
    </row>
    <row r="88" spans="1:1" ht="21.95" customHeight="1" x14ac:dyDescent="0.25">
      <c r="A88" s="12"/>
    </row>
    <row r="89" spans="1:1" ht="21.95" customHeight="1" x14ac:dyDescent="0.25">
      <c r="A89" s="12"/>
    </row>
    <row r="90" spans="1:1" ht="21.95" customHeight="1" x14ac:dyDescent="0.25">
      <c r="A90" s="12"/>
    </row>
    <row r="91" spans="1:1" ht="21.95" customHeight="1" x14ac:dyDescent="0.25">
      <c r="A91" s="12"/>
    </row>
    <row r="92" spans="1:1" ht="21.95" customHeight="1" x14ac:dyDescent="0.25">
      <c r="A92" s="12"/>
    </row>
    <row r="93" spans="1:1" ht="21.95" customHeight="1" x14ac:dyDescent="0.25">
      <c r="A93" s="12"/>
    </row>
    <row r="94" spans="1:1" ht="21.95" customHeight="1" x14ac:dyDescent="0.25">
      <c r="A94" s="12"/>
    </row>
    <row r="95" spans="1:1" ht="21.95" customHeight="1" x14ac:dyDescent="0.25">
      <c r="A95" s="12"/>
    </row>
    <row r="96" spans="1:1" ht="21.95" customHeight="1" x14ac:dyDescent="0.25">
      <c r="A96" s="12"/>
    </row>
    <row r="97" spans="1:1" ht="21.95" customHeight="1" x14ac:dyDescent="0.25">
      <c r="A97" s="12"/>
    </row>
    <row r="98" spans="1:1" ht="21.95" customHeight="1" x14ac:dyDescent="0.25">
      <c r="A98" s="12"/>
    </row>
    <row r="99" spans="1:1" ht="21.95" customHeight="1" x14ac:dyDescent="0.25">
      <c r="A99" s="12"/>
    </row>
    <row r="100" spans="1:1" ht="21.95" customHeight="1" x14ac:dyDescent="0.25">
      <c r="A100" s="12"/>
    </row>
    <row r="101" spans="1:1" ht="21.95" customHeight="1" x14ac:dyDescent="0.25">
      <c r="A101" s="12"/>
    </row>
    <row r="102" spans="1:1" ht="21.95" customHeight="1" x14ac:dyDescent="0.25">
      <c r="A102" s="12"/>
    </row>
    <row r="103" spans="1:1" ht="21.95" customHeight="1" x14ac:dyDescent="0.25">
      <c r="A103" s="12"/>
    </row>
    <row r="104" spans="1:1" ht="21.95" customHeight="1" x14ac:dyDescent="0.25">
      <c r="A104" s="12"/>
    </row>
    <row r="105" spans="1:1" ht="21.95" customHeight="1" x14ac:dyDescent="0.25">
      <c r="A105" s="12"/>
    </row>
    <row r="106" spans="1:1" ht="21.95" customHeight="1" x14ac:dyDescent="0.25">
      <c r="A106" s="12"/>
    </row>
    <row r="107" spans="1:1" ht="21.95" customHeight="1" x14ac:dyDescent="0.25">
      <c r="A107" s="12"/>
    </row>
    <row r="108" spans="1:1" ht="21.95" customHeight="1" x14ac:dyDescent="0.25">
      <c r="A108" s="12"/>
    </row>
    <row r="109" spans="1:1" ht="21.95" customHeight="1" x14ac:dyDescent="0.25">
      <c r="A109" s="12"/>
    </row>
    <row r="110" spans="1:1" ht="21.95" customHeight="1" x14ac:dyDescent="0.25">
      <c r="A110" s="12"/>
    </row>
    <row r="111" spans="1:1" ht="21.95" customHeight="1" x14ac:dyDescent="0.25">
      <c r="A111" s="12"/>
    </row>
    <row r="112" spans="1:1" ht="21.95" customHeight="1" x14ac:dyDescent="0.25">
      <c r="A112" s="12"/>
    </row>
    <row r="113" spans="1:1" ht="21.95" customHeight="1" x14ac:dyDescent="0.25">
      <c r="A113" s="12"/>
    </row>
    <row r="114" spans="1:1" ht="21.95" customHeight="1" x14ac:dyDescent="0.25">
      <c r="A114" s="12"/>
    </row>
    <row r="115" spans="1:1" ht="21.95" customHeight="1" x14ac:dyDescent="0.25">
      <c r="A115" s="12"/>
    </row>
    <row r="116" spans="1:1" ht="21.95" customHeight="1" x14ac:dyDescent="0.25">
      <c r="A116" s="12"/>
    </row>
    <row r="117" spans="1:1" ht="21.95" customHeight="1" x14ac:dyDescent="0.25">
      <c r="A117" s="12"/>
    </row>
    <row r="118" spans="1:1" ht="21.95" customHeight="1" x14ac:dyDescent="0.25">
      <c r="A118" s="12"/>
    </row>
    <row r="119" spans="1:1" ht="21.95" customHeight="1" x14ac:dyDescent="0.25">
      <c r="A119" s="12"/>
    </row>
    <row r="120" spans="1:1" ht="21.95" customHeight="1" x14ac:dyDescent="0.25">
      <c r="A120" s="12"/>
    </row>
    <row r="121" spans="1:1" ht="21.95" customHeight="1" x14ac:dyDescent="0.25">
      <c r="A121" s="12"/>
    </row>
    <row r="122" spans="1:1" ht="21.95" customHeight="1" x14ac:dyDescent="0.25">
      <c r="A122" s="12"/>
    </row>
    <row r="123" spans="1:1" ht="21.95" customHeight="1" x14ac:dyDescent="0.25">
      <c r="A123" s="12"/>
    </row>
    <row r="124" spans="1:1" ht="21.95" customHeight="1" x14ac:dyDescent="0.25">
      <c r="A124" s="12"/>
    </row>
    <row r="125" spans="1:1" ht="21.95" customHeight="1" x14ac:dyDescent="0.25">
      <c r="A125" s="12"/>
    </row>
    <row r="126" spans="1:1" ht="21.95" customHeight="1" x14ac:dyDescent="0.25">
      <c r="A126" s="12"/>
    </row>
    <row r="127" spans="1:1" ht="21.95" customHeight="1" x14ac:dyDescent="0.25">
      <c r="A127" s="12"/>
    </row>
    <row r="128" spans="1:1" ht="21.95" customHeight="1" x14ac:dyDescent="0.25">
      <c r="A128" s="12"/>
    </row>
    <row r="129" spans="1:1" ht="21.95" customHeight="1" x14ac:dyDescent="0.25">
      <c r="A129" s="12"/>
    </row>
    <row r="130" spans="1:1" ht="21.95" customHeight="1" x14ac:dyDescent="0.25">
      <c r="A130" s="12"/>
    </row>
    <row r="131" spans="1:1" ht="21.95" customHeight="1" x14ac:dyDescent="0.25">
      <c r="A131" s="12"/>
    </row>
    <row r="132" spans="1:1" ht="21.95" customHeight="1" x14ac:dyDescent="0.25">
      <c r="A132" s="12"/>
    </row>
    <row r="133" spans="1:1" ht="21.95" customHeight="1" x14ac:dyDescent="0.25">
      <c r="A133" s="12"/>
    </row>
    <row r="134" spans="1:1" ht="21.95" customHeight="1" x14ac:dyDescent="0.25">
      <c r="A134" s="12"/>
    </row>
    <row r="135" spans="1:1" ht="21.95" customHeight="1" x14ac:dyDescent="0.25">
      <c r="A135" s="12"/>
    </row>
    <row r="136" spans="1:1" ht="21.95" customHeight="1" x14ac:dyDescent="0.25">
      <c r="A136" s="12"/>
    </row>
    <row r="137" spans="1:1" ht="21.95" customHeight="1" x14ac:dyDescent="0.25">
      <c r="A137" s="12"/>
    </row>
    <row r="138" spans="1:1" ht="21.95" customHeight="1" x14ac:dyDescent="0.25">
      <c r="A138" s="12"/>
    </row>
    <row r="139" spans="1:1" ht="21.95" customHeight="1" x14ac:dyDescent="0.25">
      <c r="A139" s="12"/>
    </row>
    <row r="140" spans="1:1" ht="21.95" customHeight="1" x14ac:dyDescent="0.25">
      <c r="A140" s="12"/>
    </row>
    <row r="141" spans="1:1" ht="21.95" customHeight="1" x14ac:dyDescent="0.25">
      <c r="A141" s="12"/>
    </row>
    <row r="142" spans="1:1" ht="21.95" customHeight="1" x14ac:dyDescent="0.25">
      <c r="A142" s="12"/>
    </row>
    <row r="143" spans="1:1" ht="21.95" customHeight="1" x14ac:dyDescent="0.25">
      <c r="A143" s="12"/>
    </row>
    <row r="144" spans="1:1" ht="21.95" customHeight="1" x14ac:dyDescent="0.25">
      <c r="A144" s="12"/>
    </row>
    <row r="145" spans="1:1" ht="21.95" customHeight="1" x14ac:dyDescent="0.25">
      <c r="A145" s="12"/>
    </row>
    <row r="146" spans="1:1" ht="21.95" customHeight="1" x14ac:dyDescent="0.25">
      <c r="A146" s="12"/>
    </row>
    <row r="147" spans="1:1" ht="21.95" customHeight="1" x14ac:dyDescent="0.25">
      <c r="A147" s="12"/>
    </row>
    <row r="148" spans="1:1" ht="21.95" customHeight="1" x14ac:dyDescent="0.25">
      <c r="A148" s="12"/>
    </row>
    <row r="149" spans="1:1" ht="21.95" customHeight="1" x14ac:dyDescent="0.25">
      <c r="A149" s="12"/>
    </row>
    <row r="150" spans="1:1" ht="21.95" customHeight="1" x14ac:dyDescent="0.25">
      <c r="A150" s="12"/>
    </row>
    <row r="151" spans="1:1" ht="21.95" customHeight="1" x14ac:dyDescent="0.25">
      <c r="A151" s="12"/>
    </row>
    <row r="152" spans="1:1" ht="21.95" customHeight="1" x14ac:dyDescent="0.25">
      <c r="A152" s="12"/>
    </row>
    <row r="153" spans="1:1" ht="21.95" customHeight="1" x14ac:dyDescent="0.25">
      <c r="A153" s="12"/>
    </row>
    <row r="154" spans="1:1" ht="21.95" customHeight="1" x14ac:dyDescent="0.25">
      <c r="A154" s="12"/>
    </row>
    <row r="155" spans="1:1" ht="21.95" customHeight="1" x14ac:dyDescent="0.25">
      <c r="A155" s="12"/>
    </row>
    <row r="156" spans="1:1" ht="21.95" customHeight="1" x14ac:dyDescent="0.25">
      <c r="A156" s="12"/>
    </row>
    <row r="157" spans="1:1" ht="21.95" customHeight="1" x14ac:dyDescent="0.25">
      <c r="A157" s="12"/>
    </row>
    <row r="158" spans="1:1" ht="21.95" customHeight="1" x14ac:dyDescent="0.25">
      <c r="A158" s="12"/>
    </row>
    <row r="159" spans="1:1" ht="21.95" customHeight="1" x14ac:dyDescent="0.25">
      <c r="A159" s="12"/>
    </row>
    <row r="160" spans="1:1" ht="21.95" customHeight="1" x14ac:dyDescent="0.25">
      <c r="A160" s="12"/>
    </row>
    <row r="161" spans="1:1" ht="21.95" customHeight="1" x14ac:dyDescent="0.25">
      <c r="A161" s="12"/>
    </row>
    <row r="162" spans="1:1" ht="21.95" customHeight="1" x14ac:dyDescent="0.25">
      <c r="A162" s="12"/>
    </row>
    <row r="163" spans="1:1" ht="21.95" customHeight="1" x14ac:dyDescent="0.25">
      <c r="A163" s="12"/>
    </row>
    <row r="164" spans="1:1" ht="21.95" customHeight="1" x14ac:dyDescent="0.25">
      <c r="A164" s="12"/>
    </row>
    <row r="165" spans="1:1" ht="21.95" customHeight="1" x14ac:dyDescent="0.25">
      <c r="A165" s="12"/>
    </row>
    <row r="166" spans="1:1" ht="21.95" customHeight="1" x14ac:dyDescent="0.25">
      <c r="A166" s="12"/>
    </row>
    <row r="167" spans="1:1" ht="21.95" customHeight="1" x14ac:dyDescent="0.25">
      <c r="A167" s="12"/>
    </row>
    <row r="168" spans="1:1" ht="21.95" customHeight="1" x14ac:dyDescent="0.25">
      <c r="A168" s="12"/>
    </row>
    <row r="169" spans="1:1" ht="21.95" customHeight="1" x14ac:dyDescent="0.25">
      <c r="A169" s="12"/>
    </row>
    <row r="170" spans="1:1" ht="21.95" customHeight="1" x14ac:dyDescent="0.25">
      <c r="A170" s="12"/>
    </row>
    <row r="171" spans="1:1" ht="21.95" customHeight="1" x14ac:dyDescent="0.25">
      <c r="A171" s="12"/>
    </row>
    <row r="172" spans="1:1" ht="21.95" customHeight="1" x14ac:dyDescent="0.25">
      <c r="A172" s="12"/>
    </row>
    <row r="173" spans="1:1" ht="21.95" customHeight="1" x14ac:dyDescent="0.25">
      <c r="A173" s="12"/>
    </row>
    <row r="174" spans="1:1" ht="21.95" customHeight="1" x14ac:dyDescent="0.25">
      <c r="A174" s="12"/>
    </row>
    <row r="175" spans="1:1" ht="21.95" customHeight="1" x14ac:dyDescent="0.25">
      <c r="A175" s="12"/>
    </row>
    <row r="176" spans="1:1" ht="21.95" customHeight="1" x14ac:dyDescent="0.25">
      <c r="A176" s="12"/>
    </row>
    <row r="177" spans="1:1" ht="21.95" customHeight="1" x14ac:dyDescent="0.25">
      <c r="A177" s="12"/>
    </row>
    <row r="178" spans="1:1" ht="21.95" customHeight="1" x14ac:dyDescent="0.25">
      <c r="A178" s="12"/>
    </row>
    <row r="179" spans="1:1" ht="21.95" customHeight="1" x14ac:dyDescent="0.25">
      <c r="A179" s="12"/>
    </row>
    <row r="180" spans="1:1" ht="21.95" customHeight="1" x14ac:dyDescent="0.25">
      <c r="A180" s="12"/>
    </row>
    <row r="181" spans="1:1" ht="21.95" customHeight="1" x14ac:dyDescent="0.25">
      <c r="A181" s="12"/>
    </row>
    <row r="182" spans="1:1" ht="21.95" customHeight="1" x14ac:dyDescent="0.25">
      <c r="A182" s="12"/>
    </row>
    <row r="183" spans="1:1" ht="21.95" customHeight="1" x14ac:dyDescent="0.25">
      <c r="A183" s="12"/>
    </row>
    <row r="184" spans="1:1" ht="21.95" customHeight="1" x14ac:dyDescent="0.25">
      <c r="A184" s="12"/>
    </row>
    <row r="185" spans="1:1" ht="21.95" customHeight="1" x14ac:dyDescent="0.25">
      <c r="A185" s="12"/>
    </row>
    <row r="186" spans="1:1" ht="21.95" customHeight="1" x14ac:dyDescent="0.25">
      <c r="A186" s="12"/>
    </row>
    <row r="187" spans="1:1" ht="21.95" customHeight="1" x14ac:dyDescent="0.25">
      <c r="A187" s="12"/>
    </row>
    <row r="188" spans="1:1" ht="21.95" customHeight="1" x14ac:dyDescent="0.25">
      <c r="A188" s="12"/>
    </row>
    <row r="189" spans="1:1" ht="21.95" customHeight="1" x14ac:dyDescent="0.25">
      <c r="A189" s="12"/>
    </row>
    <row r="190" spans="1:1" ht="21.95" customHeight="1" x14ac:dyDescent="0.25">
      <c r="A190" s="12"/>
    </row>
    <row r="191" spans="1:1" ht="21.95" customHeight="1" x14ac:dyDescent="0.25">
      <c r="A191" s="12"/>
    </row>
    <row r="192" spans="1:1" ht="21.95" customHeight="1" x14ac:dyDescent="0.25">
      <c r="A192" s="12"/>
    </row>
    <row r="193" spans="1:1" ht="21.95" customHeight="1" x14ac:dyDescent="0.25">
      <c r="A193" s="12"/>
    </row>
    <row r="194" spans="1:1" ht="21.95" customHeight="1" x14ac:dyDescent="0.25">
      <c r="A194" s="12"/>
    </row>
    <row r="195" spans="1:1" ht="21.95" customHeight="1" x14ac:dyDescent="0.25">
      <c r="A195" s="12"/>
    </row>
    <row r="196" spans="1:1" ht="21.95" customHeight="1" x14ac:dyDescent="0.25">
      <c r="A196" s="12"/>
    </row>
    <row r="197" spans="1:1" ht="21.95" customHeight="1" x14ac:dyDescent="0.25">
      <c r="A197" s="12"/>
    </row>
    <row r="198" spans="1:1" ht="21.95" customHeight="1" x14ac:dyDescent="0.25">
      <c r="A198" s="12"/>
    </row>
    <row r="199" spans="1:1" ht="21.95" customHeight="1" x14ac:dyDescent="0.25">
      <c r="A199" s="12"/>
    </row>
    <row r="200" spans="1:1" ht="21.95" customHeight="1" x14ac:dyDescent="0.25">
      <c r="A200" s="12"/>
    </row>
    <row r="201" spans="1:1" ht="21.95" customHeight="1" x14ac:dyDescent="0.25">
      <c r="A201" s="12"/>
    </row>
    <row r="202" spans="1:1" ht="21.95" customHeight="1" x14ac:dyDescent="0.25">
      <c r="A202" s="12"/>
    </row>
    <row r="203" spans="1:1" ht="21.95" customHeight="1" x14ac:dyDescent="0.25">
      <c r="A203" s="12"/>
    </row>
    <row r="204" spans="1:1" ht="21.95" customHeight="1" x14ac:dyDescent="0.25">
      <c r="A204" s="12"/>
    </row>
    <row r="205" spans="1:1" ht="21.95" customHeight="1" x14ac:dyDescent="0.25">
      <c r="A205" s="12"/>
    </row>
    <row r="206" spans="1:1" ht="21.95" customHeight="1" x14ac:dyDescent="0.25">
      <c r="A206" s="12"/>
    </row>
    <row r="207" spans="1:1" ht="21.95" customHeight="1" x14ac:dyDescent="0.25">
      <c r="A207" s="12"/>
    </row>
    <row r="208" spans="1:1" ht="21.95" customHeight="1" x14ac:dyDescent="0.25">
      <c r="A208" s="12"/>
    </row>
    <row r="209" spans="1:1" ht="21.95" customHeight="1" x14ac:dyDescent="0.25">
      <c r="A209" s="12"/>
    </row>
    <row r="210" spans="1:1" ht="21.95" customHeight="1" x14ac:dyDescent="0.25">
      <c r="A210" s="12"/>
    </row>
    <row r="211" spans="1:1" ht="21.95" customHeight="1" x14ac:dyDescent="0.25">
      <c r="A211" s="12"/>
    </row>
    <row r="212" spans="1:1" ht="21.95" customHeight="1" x14ac:dyDescent="0.25">
      <c r="A212" s="12"/>
    </row>
    <row r="213" spans="1:1" ht="21.95" customHeight="1" x14ac:dyDescent="0.25">
      <c r="A213" s="12"/>
    </row>
    <row r="214" spans="1:1" ht="21.95" customHeight="1" x14ac:dyDescent="0.25">
      <c r="A214" s="12"/>
    </row>
    <row r="215" spans="1:1" ht="21.95" customHeight="1" x14ac:dyDescent="0.25">
      <c r="A215" s="12"/>
    </row>
    <row r="216" spans="1:1" ht="21.95" customHeight="1" x14ac:dyDescent="0.25">
      <c r="A216" s="12"/>
    </row>
    <row r="217" spans="1:1" ht="21.95" customHeight="1" x14ac:dyDescent="0.25">
      <c r="A217" s="12"/>
    </row>
    <row r="218" spans="1:1" ht="21.95" customHeight="1" x14ac:dyDescent="0.25">
      <c r="A218" s="12"/>
    </row>
    <row r="219" spans="1:1" ht="21.95" customHeight="1" x14ac:dyDescent="0.25">
      <c r="A219" s="12"/>
    </row>
    <row r="220" spans="1:1" ht="21.95" customHeight="1" x14ac:dyDescent="0.25">
      <c r="A220" s="12"/>
    </row>
    <row r="221" spans="1:1" ht="21.95" customHeight="1" x14ac:dyDescent="0.25">
      <c r="A221" s="12"/>
    </row>
    <row r="222" spans="1:1" ht="21.95" customHeight="1" x14ac:dyDescent="0.25">
      <c r="A222" s="12"/>
    </row>
    <row r="223" spans="1:1" ht="21.95" customHeight="1" x14ac:dyDescent="0.25">
      <c r="A223" s="12"/>
    </row>
    <row r="224" spans="1:1" ht="21.95" customHeight="1" x14ac:dyDescent="0.25">
      <c r="A224" s="12"/>
    </row>
    <row r="225" spans="1:1" ht="21.95" customHeight="1" x14ac:dyDescent="0.25">
      <c r="A225" s="12"/>
    </row>
    <row r="226" spans="1:1" ht="21.95" customHeight="1" x14ac:dyDescent="0.25">
      <c r="A226" s="12"/>
    </row>
    <row r="227" spans="1:1" ht="21.95" customHeight="1" x14ac:dyDescent="0.25">
      <c r="A227" s="12"/>
    </row>
    <row r="228" spans="1:1" ht="21.95" customHeight="1" x14ac:dyDescent="0.25">
      <c r="A228" s="12"/>
    </row>
    <row r="229" spans="1:1" ht="21.95" customHeight="1" x14ac:dyDescent="0.25">
      <c r="A229" s="12"/>
    </row>
    <row r="230" spans="1:1" ht="21.95" customHeight="1" x14ac:dyDescent="0.25">
      <c r="A230" s="12"/>
    </row>
    <row r="231" spans="1:1" ht="21.95" customHeight="1" x14ac:dyDescent="0.25">
      <c r="A231" s="12"/>
    </row>
    <row r="232" spans="1:1" ht="21.95" customHeight="1" x14ac:dyDescent="0.25">
      <c r="A232" s="12"/>
    </row>
    <row r="233" spans="1:1" ht="21.95" customHeight="1" x14ac:dyDescent="0.25">
      <c r="A233" s="12"/>
    </row>
    <row r="234" spans="1:1" ht="21.95" customHeight="1" x14ac:dyDescent="0.25">
      <c r="A234" s="12"/>
    </row>
    <row r="235" spans="1:1" ht="21.95" customHeight="1" x14ac:dyDescent="0.25">
      <c r="A235" s="12"/>
    </row>
    <row r="236" spans="1:1" ht="21.95" customHeight="1" x14ac:dyDescent="0.25">
      <c r="A236" s="12"/>
    </row>
    <row r="237" spans="1:1" ht="21.95" customHeight="1" x14ac:dyDescent="0.25">
      <c r="A237" s="12"/>
    </row>
    <row r="238" spans="1:1" ht="21.95" customHeight="1" x14ac:dyDescent="0.25">
      <c r="A238" s="12"/>
    </row>
    <row r="239" spans="1:1" ht="21.95" customHeight="1" x14ac:dyDescent="0.25">
      <c r="A239" s="12"/>
    </row>
    <row r="240" spans="1:1" ht="21.95" customHeight="1" x14ac:dyDescent="0.25">
      <c r="A240" s="12"/>
    </row>
    <row r="241" spans="1:1" ht="21.95" customHeight="1" x14ac:dyDescent="0.25">
      <c r="A241" s="12"/>
    </row>
    <row r="242" spans="1:1" ht="21.95" customHeight="1" x14ac:dyDescent="0.25">
      <c r="A242" s="12"/>
    </row>
    <row r="243" spans="1:1" ht="21.95" customHeight="1" x14ac:dyDescent="0.25">
      <c r="A243" s="12"/>
    </row>
    <row r="244" spans="1:1" ht="21.95" customHeight="1" x14ac:dyDescent="0.25">
      <c r="A244" s="12"/>
    </row>
    <row r="245" spans="1:1" ht="21.95" customHeight="1" x14ac:dyDescent="0.25">
      <c r="A245" s="12"/>
    </row>
    <row r="246" spans="1:1" ht="21.95" customHeight="1" x14ac:dyDescent="0.25">
      <c r="A246" s="12"/>
    </row>
    <row r="247" spans="1:1" ht="21.95" customHeight="1" x14ac:dyDescent="0.25">
      <c r="A247" s="12"/>
    </row>
    <row r="248" spans="1:1" ht="21.95" customHeight="1" x14ac:dyDescent="0.25">
      <c r="A248" s="12"/>
    </row>
    <row r="249" spans="1:1" ht="21.95" customHeight="1" x14ac:dyDescent="0.25">
      <c r="A249" s="12"/>
    </row>
    <row r="250" spans="1:1" ht="21.95" customHeight="1" x14ac:dyDescent="0.25">
      <c r="A250" s="12"/>
    </row>
    <row r="251" spans="1:1" ht="21.95" customHeight="1" x14ac:dyDescent="0.25">
      <c r="A251" s="12"/>
    </row>
    <row r="252" spans="1:1" ht="21.95" customHeight="1" x14ac:dyDescent="0.25">
      <c r="A252" s="12"/>
    </row>
    <row r="253" spans="1:1" ht="21.95" customHeight="1" x14ac:dyDescent="0.25">
      <c r="A253" s="12"/>
    </row>
    <row r="254" spans="1:1" ht="21.95" customHeight="1" x14ac:dyDescent="0.25">
      <c r="A254" s="12"/>
    </row>
    <row r="255" spans="1:1" ht="21.95" customHeight="1" x14ac:dyDescent="0.25">
      <c r="A255" s="12"/>
    </row>
    <row r="256" spans="1:1" ht="21.95" customHeight="1" x14ac:dyDescent="0.25">
      <c r="A256" s="12"/>
    </row>
    <row r="257" spans="1:1" ht="21.95" customHeight="1" x14ac:dyDescent="0.25">
      <c r="A257" s="12"/>
    </row>
    <row r="258" spans="1:1" ht="21.95" customHeight="1" x14ac:dyDescent="0.25">
      <c r="A258" s="12"/>
    </row>
    <row r="259" spans="1:1" ht="21.95" customHeight="1" x14ac:dyDescent="0.25">
      <c r="A259" s="12"/>
    </row>
    <row r="260" spans="1:1" ht="21.95" customHeight="1" x14ac:dyDescent="0.25">
      <c r="A260" s="12"/>
    </row>
    <row r="261" spans="1:1" ht="21.95" customHeight="1" x14ac:dyDescent="0.25">
      <c r="A261" s="12"/>
    </row>
    <row r="262" spans="1:1" ht="21.95" customHeight="1" x14ac:dyDescent="0.25">
      <c r="A262" s="12"/>
    </row>
    <row r="263" spans="1:1" ht="21.95" customHeight="1" x14ac:dyDescent="0.25">
      <c r="A263" s="12"/>
    </row>
    <row r="264" spans="1:1" ht="21.95" customHeight="1" x14ac:dyDescent="0.25">
      <c r="A264" s="12"/>
    </row>
    <row r="265" spans="1:1" ht="21.95" customHeight="1" x14ac:dyDescent="0.25">
      <c r="A265" s="12"/>
    </row>
    <row r="266" spans="1:1" ht="21.95" customHeight="1" x14ac:dyDescent="0.25">
      <c r="A266" s="12"/>
    </row>
    <row r="267" spans="1:1" ht="21.95" customHeight="1" x14ac:dyDescent="0.25">
      <c r="A267" s="12"/>
    </row>
    <row r="268" spans="1:1" ht="21.95" customHeight="1" x14ac:dyDescent="0.25">
      <c r="A268" s="12"/>
    </row>
    <row r="269" spans="1:1" ht="21.95" customHeight="1" x14ac:dyDescent="0.25">
      <c r="A269" s="12"/>
    </row>
    <row r="270" spans="1:1" ht="21.95" customHeight="1" x14ac:dyDescent="0.25">
      <c r="A270" s="12"/>
    </row>
    <row r="271" spans="1:1" ht="21.95" customHeight="1" x14ac:dyDescent="0.25">
      <c r="A271" s="12"/>
    </row>
    <row r="272" spans="1:1" ht="21.95" customHeight="1" x14ac:dyDescent="0.25">
      <c r="A272" s="12"/>
    </row>
    <row r="273" spans="1:1" ht="21.95" customHeight="1" x14ac:dyDescent="0.25">
      <c r="A273" s="12"/>
    </row>
    <row r="274" spans="1:1" ht="21.95" customHeight="1" x14ac:dyDescent="0.25">
      <c r="A274" s="12"/>
    </row>
    <row r="275" spans="1:1" ht="21.95" customHeight="1" x14ac:dyDescent="0.25">
      <c r="A275" s="12"/>
    </row>
    <row r="276" spans="1:1" ht="21.95" customHeight="1" x14ac:dyDescent="0.25">
      <c r="A276" s="12"/>
    </row>
    <row r="277" spans="1:1" ht="21.95" customHeight="1" x14ac:dyDescent="0.25">
      <c r="A277" s="12"/>
    </row>
    <row r="278" spans="1:1" ht="21.95" customHeight="1" x14ac:dyDescent="0.25">
      <c r="A278" s="12"/>
    </row>
    <row r="279" spans="1:1" ht="21.95" customHeight="1" x14ac:dyDescent="0.25">
      <c r="A279" s="12"/>
    </row>
    <row r="280" spans="1:1" ht="21.95" customHeight="1" x14ac:dyDescent="0.25">
      <c r="A280" s="12"/>
    </row>
    <row r="281" spans="1:1" ht="21.95" customHeight="1" x14ac:dyDescent="0.25">
      <c r="A281" s="12"/>
    </row>
    <row r="282" spans="1:1" ht="21.95" customHeight="1" x14ac:dyDescent="0.25">
      <c r="A282" s="12"/>
    </row>
    <row r="283" spans="1:1" ht="21.95" customHeight="1" x14ac:dyDescent="0.25">
      <c r="A283" s="12"/>
    </row>
    <row r="284" spans="1:1" ht="21.95" customHeight="1" x14ac:dyDescent="0.25">
      <c r="A284" s="12"/>
    </row>
    <row r="285" spans="1:1" ht="21.95" customHeight="1" x14ac:dyDescent="0.25">
      <c r="A285" s="12"/>
    </row>
    <row r="286" spans="1:1" ht="21.95" customHeight="1" x14ac:dyDescent="0.25">
      <c r="A286" s="12"/>
    </row>
    <row r="287" spans="1:1" ht="21.95" customHeight="1" x14ac:dyDescent="0.25">
      <c r="A287" s="12"/>
    </row>
    <row r="288" spans="1:1" ht="21.95" customHeight="1" x14ac:dyDescent="0.25">
      <c r="A288" s="12"/>
    </row>
    <row r="289" spans="1:1" ht="21.95" customHeight="1" x14ac:dyDescent="0.25">
      <c r="A289" s="12"/>
    </row>
    <row r="290" spans="1:1" ht="21.95" customHeight="1" x14ac:dyDescent="0.25">
      <c r="A290" s="12"/>
    </row>
    <row r="291" spans="1:1" ht="21.95" customHeight="1" x14ac:dyDescent="0.25">
      <c r="A291" s="12"/>
    </row>
    <row r="292" spans="1:1" ht="21.95" customHeight="1" x14ac:dyDescent="0.25">
      <c r="A292" s="12"/>
    </row>
    <row r="293" spans="1:1" ht="21.95" customHeight="1" x14ac:dyDescent="0.25">
      <c r="A293" s="12"/>
    </row>
    <row r="294" spans="1:1" ht="21.95" customHeight="1" x14ac:dyDescent="0.25">
      <c r="A294" s="12"/>
    </row>
    <row r="295" spans="1:1" ht="21.95" customHeight="1" x14ac:dyDescent="0.25">
      <c r="A295" s="12"/>
    </row>
    <row r="296" spans="1:1" ht="21.95" customHeight="1" x14ac:dyDescent="0.25">
      <c r="A296" s="12"/>
    </row>
    <row r="297" spans="1:1" ht="21.95" customHeight="1" x14ac:dyDescent="0.25">
      <c r="A297" s="12"/>
    </row>
    <row r="298" spans="1:1" ht="21.95" customHeight="1" x14ac:dyDescent="0.25">
      <c r="A298" s="12"/>
    </row>
    <row r="299" spans="1:1" ht="21.95" customHeight="1" x14ac:dyDescent="0.25">
      <c r="A299" s="12"/>
    </row>
    <row r="300" spans="1:1" ht="21.95" customHeight="1" x14ac:dyDescent="0.25">
      <c r="A300" s="12"/>
    </row>
    <row r="301" spans="1:1" ht="21.95" customHeight="1" x14ac:dyDescent="0.25">
      <c r="A301" s="12"/>
    </row>
    <row r="302" spans="1:1" ht="21.95" customHeight="1" x14ac:dyDescent="0.25">
      <c r="A302" s="12"/>
    </row>
    <row r="303" spans="1:1" ht="21.95" customHeight="1" x14ac:dyDescent="0.25">
      <c r="A303" s="12"/>
    </row>
    <row r="304" spans="1:1" ht="21.95" customHeight="1" x14ac:dyDescent="0.25">
      <c r="A304" s="12"/>
    </row>
    <row r="305" spans="1:1" ht="21.95" customHeight="1" x14ac:dyDescent="0.25">
      <c r="A305" s="12"/>
    </row>
    <row r="306" spans="1:1" ht="21.95" customHeight="1" x14ac:dyDescent="0.25">
      <c r="A306" s="12"/>
    </row>
    <row r="307" spans="1:1" ht="21.95" customHeight="1" x14ac:dyDescent="0.25">
      <c r="A307" s="12"/>
    </row>
    <row r="308" spans="1:1" ht="21.95" customHeight="1" x14ac:dyDescent="0.25">
      <c r="A308" s="12"/>
    </row>
    <row r="309" spans="1:1" ht="21.95" customHeight="1" x14ac:dyDescent="0.25">
      <c r="A309" s="12"/>
    </row>
    <row r="310" spans="1:1" ht="21.95" customHeight="1" x14ac:dyDescent="0.25">
      <c r="A310" s="12"/>
    </row>
    <row r="311" spans="1:1" ht="21.95" customHeight="1" x14ac:dyDescent="0.25">
      <c r="A311" s="12"/>
    </row>
    <row r="312" spans="1:1" ht="21.95" customHeight="1" x14ac:dyDescent="0.25">
      <c r="A312" s="12"/>
    </row>
    <row r="313" spans="1:1" ht="21.95" customHeight="1" x14ac:dyDescent="0.25">
      <c r="A313" s="12"/>
    </row>
    <row r="314" spans="1:1" ht="21.95" customHeight="1" x14ac:dyDescent="0.25">
      <c r="A314" s="12"/>
    </row>
    <row r="315" spans="1:1" ht="21.95" customHeight="1" x14ac:dyDescent="0.25">
      <c r="A315" s="12"/>
    </row>
    <row r="316" spans="1:1" ht="21.95" customHeight="1" x14ac:dyDescent="0.25">
      <c r="A316" s="12"/>
    </row>
    <row r="317" spans="1:1" ht="21.95" customHeight="1" x14ac:dyDescent="0.25">
      <c r="A317" s="12"/>
    </row>
    <row r="318" spans="1:1" ht="21.95" customHeight="1" x14ac:dyDescent="0.25">
      <c r="A318" s="12"/>
    </row>
    <row r="319" spans="1:1" ht="21.95" customHeight="1" x14ac:dyDescent="0.25">
      <c r="A319" s="12"/>
    </row>
    <row r="320" spans="1:1" ht="21.95" customHeight="1" x14ac:dyDescent="0.25">
      <c r="A320" s="12"/>
    </row>
    <row r="321" spans="1:1" ht="21.95" customHeight="1" x14ac:dyDescent="0.25">
      <c r="A321" s="12"/>
    </row>
    <row r="322" spans="1:1" ht="21.95" customHeight="1" x14ac:dyDescent="0.25">
      <c r="A322" s="12"/>
    </row>
    <row r="323" spans="1:1" ht="21.95" customHeight="1" x14ac:dyDescent="0.25">
      <c r="A323" s="12"/>
    </row>
    <row r="324" spans="1:1" ht="21.95" customHeight="1" x14ac:dyDescent="0.25">
      <c r="A324" s="12"/>
    </row>
    <row r="325" spans="1:1" ht="21.95" customHeight="1" x14ac:dyDescent="0.25">
      <c r="A325" s="12"/>
    </row>
    <row r="326" spans="1:1" ht="21.95" customHeight="1" x14ac:dyDescent="0.25">
      <c r="A326" s="12"/>
    </row>
    <row r="327" spans="1:1" ht="21.95" customHeight="1" x14ac:dyDescent="0.25">
      <c r="A327" s="12"/>
    </row>
    <row r="328" spans="1:1" ht="21.95" customHeight="1" x14ac:dyDescent="0.25">
      <c r="A328" s="12"/>
    </row>
    <row r="329" spans="1:1" ht="21.95" customHeight="1" x14ac:dyDescent="0.25">
      <c r="A329" s="12"/>
    </row>
    <row r="330" spans="1:1" ht="21.95" customHeight="1" x14ac:dyDescent="0.25">
      <c r="A330" s="12"/>
    </row>
    <row r="331" spans="1:1" ht="21.95" customHeight="1" x14ac:dyDescent="0.25">
      <c r="A331" s="12"/>
    </row>
    <row r="332" spans="1:1" ht="21.95" customHeight="1" x14ac:dyDescent="0.25">
      <c r="A332" s="12"/>
    </row>
    <row r="333" spans="1:1" ht="21.95" customHeight="1" x14ac:dyDescent="0.25">
      <c r="A333" s="12"/>
    </row>
    <row r="334" spans="1:1" ht="21.95" customHeight="1" x14ac:dyDescent="0.25">
      <c r="A334" s="12"/>
    </row>
    <row r="335" spans="1:1" ht="21.95" customHeight="1" x14ac:dyDescent="0.25">
      <c r="A335" s="12"/>
    </row>
    <row r="336" spans="1:1" ht="21.95" customHeight="1" x14ac:dyDescent="0.25">
      <c r="A336" s="12"/>
    </row>
    <row r="337" spans="1:1" ht="21.95" customHeight="1" x14ac:dyDescent="0.25">
      <c r="A337" s="12"/>
    </row>
    <row r="338" spans="1:1" ht="21.95" customHeight="1" x14ac:dyDescent="0.25">
      <c r="A338" s="12"/>
    </row>
    <row r="339" spans="1:1" ht="21.95" customHeight="1" x14ac:dyDescent="0.25">
      <c r="A339" s="12"/>
    </row>
    <row r="340" spans="1:1" ht="21.95" customHeight="1" x14ac:dyDescent="0.25">
      <c r="A340" s="12"/>
    </row>
    <row r="341" spans="1:1" ht="21.95" customHeight="1" x14ac:dyDescent="0.25">
      <c r="A341" s="12"/>
    </row>
    <row r="342" spans="1:1" ht="21.95" customHeight="1" x14ac:dyDescent="0.25">
      <c r="A342" s="12"/>
    </row>
    <row r="343" spans="1:1" ht="21.95" customHeight="1" x14ac:dyDescent="0.25">
      <c r="A343" s="12"/>
    </row>
    <row r="344" spans="1:1" ht="21.95" customHeight="1" x14ac:dyDescent="0.25">
      <c r="A344" s="12"/>
    </row>
    <row r="345" spans="1:1" ht="21.95" customHeight="1" x14ac:dyDescent="0.25">
      <c r="A345" s="12"/>
    </row>
    <row r="346" spans="1:1" ht="21.95" customHeight="1" x14ac:dyDescent="0.25">
      <c r="A346" s="12"/>
    </row>
    <row r="347" spans="1:1" ht="21.95" customHeight="1" x14ac:dyDescent="0.25">
      <c r="A347" s="12"/>
    </row>
    <row r="348" spans="1:1" ht="21.95" customHeight="1" x14ac:dyDescent="0.25">
      <c r="A348" s="12"/>
    </row>
    <row r="349" spans="1:1" ht="21.95" customHeight="1" x14ac:dyDescent="0.25">
      <c r="A349" s="12"/>
    </row>
    <row r="350" spans="1:1" ht="21.95" customHeight="1" x14ac:dyDescent="0.25">
      <c r="A350" s="12"/>
    </row>
    <row r="351" spans="1:1" ht="21.95" customHeight="1" x14ac:dyDescent="0.25">
      <c r="A351" s="12"/>
    </row>
    <row r="352" spans="1:1" ht="21.95" customHeight="1" x14ac:dyDescent="0.25">
      <c r="A352" s="12"/>
    </row>
    <row r="353" spans="1:1" ht="21.95" customHeight="1" x14ac:dyDescent="0.25">
      <c r="A353" s="12"/>
    </row>
    <row r="354" spans="1:1" ht="21.95" customHeight="1" x14ac:dyDescent="0.25">
      <c r="A354" s="12"/>
    </row>
    <row r="355" spans="1:1" ht="21.95" customHeight="1" x14ac:dyDescent="0.25">
      <c r="A355" s="12"/>
    </row>
    <row r="356" spans="1:1" ht="21.95" customHeight="1" x14ac:dyDescent="0.25">
      <c r="A356" s="12"/>
    </row>
    <row r="357" spans="1:1" ht="21.95" customHeight="1" x14ac:dyDescent="0.25">
      <c r="A357" s="12"/>
    </row>
    <row r="358" spans="1:1" ht="21.95" customHeight="1" x14ac:dyDescent="0.25">
      <c r="A358" s="12"/>
    </row>
    <row r="359" spans="1:1" ht="21.95" customHeight="1" x14ac:dyDescent="0.25">
      <c r="A359" s="12"/>
    </row>
    <row r="360" spans="1:1" ht="21.95" customHeight="1" x14ac:dyDescent="0.25">
      <c r="A360" s="12"/>
    </row>
    <row r="361" spans="1:1" ht="21.95" customHeight="1" x14ac:dyDescent="0.25">
      <c r="A361" s="12"/>
    </row>
    <row r="362" spans="1:1" ht="21.95" customHeight="1" x14ac:dyDescent="0.25">
      <c r="A362" s="12"/>
    </row>
    <row r="363" spans="1:1" ht="21.95" customHeight="1" x14ac:dyDescent="0.25">
      <c r="A363" s="12"/>
    </row>
    <row r="364" spans="1:1" ht="21.95" customHeight="1" x14ac:dyDescent="0.25">
      <c r="A364" s="12"/>
    </row>
    <row r="365" spans="1:1" ht="21.95" customHeight="1" x14ac:dyDescent="0.25">
      <c r="A365" s="12"/>
    </row>
    <row r="366" spans="1:1" ht="21.95" customHeight="1" x14ac:dyDescent="0.25">
      <c r="A366" s="12"/>
    </row>
    <row r="367" spans="1:1" ht="21.95" customHeight="1" x14ac:dyDescent="0.25">
      <c r="A367" s="12"/>
    </row>
    <row r="368" spans="1:1" ht="21.95" customHeight="1" x14ac:dyDescent="0.25">
      <c r="A368" s="12"/>
    </row>
    <row r="369" spans="1:1" ht="21.95" customHeight="1" x14ac:dyDescent="0.25">
      <c r="A369" s="12"/>
    </row>
    <row r="370" spans="1:1" ht="21.95" customHeight="1" x14ac:dyDescent="0.25">
      <c r="A370" s="12"/>
    </row>
    <row r="371" spans="1:1" ht="21.95" customHeight="1" x14ac:dyDescent="0.25">
      <c r="A371" s="12"/>
    </row>
    <row r="372" spans="1:1" ht="21.95" customHeight="1" x14ac:dyDescent="0.25">
      <c r="A372" s="12"/>
    </row>
    <row r="373" spans="1:1" ht="21.95" customHeight="1" x14ac:dyDescent="0.25">
      <c r="A373" s="12"/>
    </row>
    <row r="374" spans="1:1" ht="21.95" customHeight="1" x14ac:dyDescent="0.25">
      <c r="A374" s="12"/>
    </row>
    <row r="375" spans="1:1" ht="21.95" customHeight="1" x14ac:dyDescent="0.25">
      <c r="A375" s="12"/>
    </row>
    <row r="376" spans="1:1" ht="21.95" customHeight="1" x14ac:dyDescent="0.25">
      <c r="A376" s="12"/>
    </row>
    <row r="377" spans="1:1" ht="21.95" customHeight="1" x14ac:dyDescent="0.25">
      <c r="A377" s="12"/>
    </row>
    <row r="378" spans="1:1" ht="21.95" customHeight="1" x14ac:dyDescent="0.25">
      <c r="A378" s="12"/>
    </row>
    <row r="379" spans="1:1" ht="21.95" customHeight="1" x14ac:dyDescent="0.25">
      <c r="A379" s="12"/>
    </row>
    <row r="380" spans="1:1" ht="21.95" customHeight="1" x14ac:dyDescent="0.25">
      <c r="A380" s="12"/>
    </row>
    <row r="381" spans="1:1" ht="21.95" customHeight="1" x14ac:dyDescent="0.25">
      <c r="A381" s="12"/>
    </row>
    <row r="382" spans="1:1" ht="21.95" customHeight="1" x14ac:dyDescent="0.25">
      <c r="A382" s="12"/>
    </row>
    <row r="383" spans="1:1" ht="21.95" customHeight="1" x14ac:dyDescent="0.25">
      <c r="A383" s="12"/>
    </row>
    <row r="384" spans="1:1" ht="21.95" customHeight="1" x14ac:dyDescent="0.25">
      <c r="A384" s="12"/>
    </row>
    <row r="385" spans="1:1" ht="21.95" customHeight="1" x14ac:dyDescent="0.25">
      <c r="A385" s="12"/>
    </row>
    <row r="386" spans="1:1" ht="21.95" customHeight="1" x14ac:dyDescent="0.25">
      <c r="A386" s="12"/>
    </row>
    <row r="387" spans="1:1" ht="21.95" customHeight="1" x14ac:dyDescent="0.25">
      <c r="A387" s="12"/>
    </row>
    <row r="388" spans="1:1" ht="21.95" customHeight="1" x14ac:dyDescent="0.25">
      <c r="A388" s="12"/>
    </row>
    <row r="389" spans="1:1" ht="21.95" customHeight="1" x14ac:dyDescent="0.25">
      <c r="A389" s="12"/>
    </row>
    <row r="390" spans="1:1" ht="21.95" customHeight="1" x14ac:dyDescent="0.25">
      <c r="A390" s="12"/>
    </row>
    <row r="391" spans="1:1" ht="21.95" customHeight="1" x14ac:dyDescent="0.25">
      <c r="A391" s="12"/>
    </row>
    <row r="392" spans="1:1" ht="21.95" customHeight="1" x14ac:dyDescent="0.25">
      <c r="A392" s="12"/>
    </row>
    <row r="393" spans="1:1" ht="21.95" customHeight="1" x14ac:dyDescent="0.25">
      <c r="A393" s="12"/>
    </row>
    <row r="394" spans="1:1" ht="21.95" customHeight="1" x14ac:dyDescent="0.25">
      <c r="A394" s="12"/>
    </row>
    <row r="395" spans="1:1" ht="21.95" customHeight="1" x14ac:dyDescent="0.25">
      <c r="A395" s="12"/>
    </row>
    <row r="396" spans="1:1" ht="21.95" customHeight="1" x14ac:dyDescent="0.25">
      <c r="A396" s="12"/>
    </row>
    <row r="397" spans="1:1" ht="21.95" customHeight="1" x14ac:dyDescent="0.25">
      <c r="A397" s="12"/>
    </row>
    <row r="398" spans="1:1" ht="21.95" customHeight="1" x14ac:dyDescent="0.25">
      <c r="A398" s="12"/>
    </row>
    <row r="399" spans="1:1" ht="21.95" customHeight="1" x14ac:dyDescent="0.25">
      <c r="A399" s="12"/>
    </row>
    <row r="400" spans="1:1" ht="21.95" customHeight="1" x14ac:dyDescent="0.25">
      <c r="A400" s="12"/>
    </row>
    <row r="401" spans="1:1" ht="21.95" customHeight="1" x14ac:dyDescent="0.25">
      <c r="A401" s="12"/>
    </row>
    <row r="402" spans="1:1" ht="21.95" customHeight="1" x14ac:dyDescent="0.25">
      <c r="A402" s="12"/>
    </row>
    <row r="403" spans="1:1" ht="21.95" customHeight="1" x14ac:dyDescent="0.25">
      <c r="A403" s="12"/>
    </row>
    <row r="404" spans="1:1" ht="21.95" customHeight="1" x14ac:dyDescent="0.25">
      <c r="A404" s="12"/>
    </row>
    <row r="405" spans="1:1" ht="21.95" customHeight="1" x14ac:dyDescent="0.25">
      <c r="A405" s="12"/>
    </row>
    <row r="406" spans="1:1" ht="21.95" customHeight="1" x14ac:dyDescent="0.25">
      <c r="A406" s="12"/>
    </row>
    <row r="407" spans="1:1" ht="21.95" customHeight="1" x14ac:dyDescent="0.25">
      <c r="A407" s="12"/>
    </row>
    <row r="408" spans="1:1" ht="21.95" customHeight="1" x14ac:dyDescent="0.25">
      <c r="A408" s="12"/>
    </row>
    <row r="409" spans="1:1" ht="21.95" customHeight="1" x14ac:dyDescent="0.25">
      <c r="A409" s="12"/>
    </row>
    <row r="410" spans="1:1" ht="21.95" customHeight="1" x14ac:dyDescent="0.25">
      <c r="A410" s="12"/>
    </row>
    <row r="411" spans="1:1" ht="21.95" customHeight="1" x14ac:dyDescent="0.25">
      <c r="A411" s="12"/>
    </row>
    <row r="412" spans="1:1" ht="21.95" customHeight="1" x14ac:dyDescent="0.25">
      <c r="A412" s="12"/>
    </row>
    <row r="413" spans="1:1" ht="21.95" customHeight="1" x14ac:dyDescent="0.25">
      <c r="A413" s="12"/>
    </row>
    <row r="414" spans="1:1" ht="21.95" customHeight="1" x14ac:dyDescent="0.25">
      <c r="A414" s="12"/>
    </row>
    <row r="415" spans="1:1" ht="21.95" customHeight="1" x14ac:dyDescent="0.25">
      <c r="A415" s="12"/>
    </row>
    <row r="416" spans="1:1" ht="21.95" customHeight="1" x14ac:dyDescent="0.25">
      <c r="A416" s="12"/>
    </row>
    <row r="417" spans="1:1" ht="21.95" customHeight="1" x14ac:dyDescent="0.25">
      <c r="A417" s="12"/>
    </row>
    <row r="418" spans="1:1" ht="21.95" customHeight="1" x14ac:dyDescent="0.25">
      <c r="A418" s="12"/>
    </row>
    <row r="419" spans="1:1" ht="21.95" customHeight="1" x14ac:dyDescent="0.25">
      <c r="A419" s="12"/>
    </row>
    <row r="420" spans="1:1" ht="21.95" customHeight="1" x14ac:dyDescent="0.25">
      <c r="A420" s="12"/>
    </row>
    <row r="421" spans="1:1" ht="21.95" customHeight="1" x14ac:dyDescent="0.25">
      <c r="A421" s="12"/>
    </row>
    <row r="422" spans="1:1" ht="21.95" customHeight="1" x14ac:dyDescent="0.25">
      <c r="A422" s="12"/>
    </row>
    <row r="423" spans="1:1" ht="21.95" customHeight="1" x14ac:dyDescent="0.25">
      <c r="A423" s="12"/>
    </row>
    <row r="424" spans="1:1" ht="21.95" customHeight="1" x14ac:dyDescent="0.25">
      <c r="A424" s="12"/>
    </row>
    <row r="425" spans="1:1" ht="21.95" customHeight="1" x14ac:dyDescent="0.25">
      <c r="A425" s="12"/>
    </row>
    <row r="426" spans="1:1" ht="21.95" customHeight="1" x14ac:dyDescent="0.25">
      <c r="A426" s="12"/>
    </row>
    <row r="427" spans="1:1" ht="21.95" customHeight="1" x14ac:dyDescent="0.25">
      <c r="A427" s="12"/>
    </row>
    <row r="428" spans="1:1" ht="21.95" customHeight="1" x14ac:dyDescent="0.25">
      <c r="A428" s="12"/>
    </row>
    <row r="429" spans="1:1" ht="21.95" customHeight="1" x14ac:dyDescent="0.25">
      <c r="A429" s="12"/>
    </row>
    <row r="430" spans="1:1" ht="21.95" customHeight="1" x14ac:dyDescent="0.25">
      <c r="A430" s="12"/>
    </row>
    <row r="431" spans="1:1" ht="21.95" customHeight="1" x14ac:dyDescent="0.25">
      <c r="A431" s="12"/>
    </row>
    <row r="432" spans="1:1" ht="21.95" customHeight="1" x14ac:dyDescent="0.25">
      <c r="A432" s="12"/>
    </row>
    <row r="433" spans="1:1" ht="21.95" customHeight="1" x14ac:dyDescent="0.25">
      <c r="A433" s="12"/>
    </row>
    <row r="434" spans="1:1" ht="21.95" customHeight="1" x14ac:dyDescent="0.25">
      <c r="A434" s="12"/>
    </row>
    <row r="435" spans="1:1" ht="21.95" customHeight="1" x14ac:dyDescent="0.25">
      <c r="A435" s="12"/>
    </row>
    <row r="436" spans="1:1" ht="21.95" customHeight="1" x14ac:dyDescent="0.25">
      <c r="A436" s="12"/>
    </row>
    <row r="437" spans="1:1" ht="21.95" customHeight="1" x14ac:dyDescent="0.25">
      <c r="A437" s="12"/>
    </row>
    <row r="438" spans="1:1" ht="21.95" customHeight="1" x14ac:dyDescent="0.25">
      <c r="A438" s="12"/>
    </row>
    <row r="439" spans="1:1" ht="21.95" customHeight="1" x14ac:dyDescent="0.25">
      <c r="A439" s="12"/>
    </row>
    <row r="440" spans="1:1" ht="21.95" customHeight="1" x14ac:dyDescent="0.25">
      <c r="A440" s="12"/>
    </row>
    <row r="441" spans="1:1" ht="21.95" customHeight="1" x14ac:dyDescent="0.25">
      <c r="A441" s="12"/>
    </row>
    <row r="442" spans="1:1" ht="21.95" customHeight="1" x14ac:dyDescent="0.25">
      <c r="A442" s="12"/>
    </row>
    <row r="443" spans="1:1" ht="21.95" customHeight="1" x14ac:dyDescent="0.25">
      <c r="A443" s="12"/>
    </row>
    <row r="444" spans="1:1" ht="21.95" customHeight="1" x14ac:dyDescent="0.25">
      <c r="A444" s="12"/>
    </row>
    <row r="445" spans="1:1" ht="21.95" customHeight="1" x14ac:dyDescent="0.25">
      <c r="A445" s="12"/>
    </row>
    <row r="446" spans="1:1" ht="21.95" customHeight="1" x14ac:dyDescent="0.25">
      <c r="A446" s="12"/>
    </row>
    <row r="447" spans="1:1" ht="21.95" customHeight="1" x14ac:dyDescent="0.25">
      <c r="A447" s="12"/>
    </row>
    <row r="448" spans="1:1" ht="21.95" customHeight="1" x14ac:dyDescent="0.25">
      <c r="A448" s="12"/>
    </row>
    <row r="449" spans="1:1" ht="21.95" customHeight="1" x14ac:dyDescent="0.25">
      <c r="A449" s="12"/>
    </row>
    <row r="450" spans="1:1" ht="21.95" customHeight="1" x14ac:dyDescent="0.25">
      <c r="A450" s="12"/>
    </row>
    <row r="451" spans="1:1" ht="21.95" customHeight="1" x14ac:dyDescent="0.25">
      <c r="A451" s="12"/>
    </row>
    <row r="452" spans="1:1" ht="21.95" customHeight="1" x14ac:dyDescent="0.25">
      <c r="A452" s="12"/>
    </row>
    <row r="453" spans="1:1" ht="21.95" customHeight="1" x14ac:dyDescent="0.25">
      <c r="A453" s="12"/>
    </row>
    <row r="454" spans="1:1" ht="21.95" customHeight="1" x14ac:dyDescent="0.25">
      <c r="A454" s="12"/>
    </row>
    <row r="455" spans="1:1" ht="21.95" customHeight="1" x14ac:dyDescent="0.25">
      <c r="A455" s="12"/>
    </row>
    <row r="456" spans="1:1" ht="21.95" customHeight="1" x14ac:dyDescent="0.25">
      <c r="A456" s="12"/>
    </row>
    <row r="457" spans="1:1" ht="21.95" customHeight="1" x14ac:dyDescent="0.25">
      <c r="A457" s="12"/>
    </row>
    <row r="458" spans="1:1" ht="21.95" customHeight="1" x14ac:dyDescent="0.25">
      <c r="A458" s="12"/>
    </row>
    <row r="459" spans="1:1" ht="21.95" customHeight="1" x14ac:dyDescent="0.25">
      <c r="A459" s="12"/>
    </row>
    <row r="460" spans="1:1" ht="21.95" customHeight="1" x14ac:dyDescent="0.25">
      <c r="A460" s="12"/>
    </row>
    <row r="461" spans="1:1" ht="21.95" customHeight="1" x14ac:dyDescent="0.25">
      <c r="A461" s="12"/>
    </row>
    <row r="462" spans="1:1" ht="21.95" customHeight="1" x14ac:dyDescent="0.25">
      <c r="A462" s="12"/>
    </row>
    <row r="463" spans="1:1" ht="21.95" customHeight="1" x14ac:dyDescent="0.25">
      <c r="A463" s="12"/>
    </row>
    <row r="464" spans="1:1" ht="21.95" customHeight="1" x14ac:dyDescent="0.25">
      <c r="A464" s="12"/>
    </row>
    <row r="465" spans="1:1" ht="21.95" customHeight="1" x14ac:dyDescent="0.25">
      <c r="A465" s="12"/>
    </row>
    <row r="466" spans="1:1" ht="21.95" customHeight="1" x14ac:dyDescent="0.25">
      <c r="A466" s="12"/>
    </row>
    <row r="467" spans="1:1" ht="21.95" customHeight="1" x14ac:dyDescent="0.25">
      <c r="A467" s="12"/>
    </row>
    <row r="468" spans="1:1" ht="21.95" customHeight="1" x14ac:dyDescent="0.25">
      <c r="A468" s="12"/>
    </row>
    <row r="469" spans="1:1" ht="21.95" customHeight="1" x14ac:dyDescent="0.25">
      <c r="A469" s="12"/>
    </row>
    <row r="470" spans="1:1" ht="21.95" customHeight="1" x14ac:dyDescent="0.25">
      <c r="A470" s="12"/>
    </row>
    <row r="471" spans="1:1" ht="21.95" customHeight="1" x14ac:dyDescent="0.25">
      <c r="A471" s="12"/>
    </row>
    <row r="472" spans="1:1" ht="21.95" customHeight="1" x14ac:dyDescent="0.25">
      <c r="A472" s="12"/>
    </row>
    <row r="473" spans="1:1" ht="21.95" customHeight="1" x14ac:dyDescent="0.25">
      <c r="A473" s="12"/>
    </row>
    <row r="474" spans="1:1" ht="21.95" customHeight="1" x14ac:dyDescent="0.25">
      <c r="A474" s="12"/>
    </row>
    <row r="475" spans="1:1" ht="21.95" customHeight="1" x14ac:dyDescent="0.25">
      <c r="A475" s="12"/>
    </row>
    <row r="476" spans="1:1" ht="21.95" customHeight="1" x14ac:dyDescent="0.25">
      <c r="A476" s="12"/>
    </row>
    <row r="477" spans="1:1" ht="21.95" customHeight="1" x14ac:dyDescent="0.25">
      <c r="A477" s="12"/>
    </row>
    <row r="478" spans="1:1" ht="21.95" customHeight="1" x14ac:dyDescent="0.25">
      <c r="A478" s="12"/>
    </row>
    <row r="479" spans="1:1" ht="21.95" customHeight="1" x14ac:dyDescent="0.25">
      <c r="A479" s="12"/>
    </row>
    <row r="480" spans="1:1" ht="21.95" customHeight="1" x14ac:dyDescent="0.25">
      <c r="A480" s="12"/>
    </row>
    <row r="481" spans="1:1" ht="21.95" customHeight="1" x14ac:dyDescent="0.25">
      <c r="A481" s="12"/>
    </row>
    <row r="482" spans="1:1" ht="21.95" customHeight="1" x14ac:dyDescent="0.25">
      <c r="A482" s="12"/>
    </row>
    <row r="483" spans="1:1" ht="21.95" customHeight="1" x14ac:dyDescent="0.25">
      <c r="A483" s="12"/>
    </row>
    <row r="484" spans="1:1" ht="21.95" customHeight="1" x14ac:dyDescent="0.25">
      <c r="A484" s="12"/>
    </row>
    <row r="485" spans="1:1" ht="21.95" customHeight="1" x14ac:dyDescent="0.25">
      <c r="A485" s="12"/>
    </row>
    <row r="486" spans="1:1" ht="21.95" customHeight="1" x14ac:dyDescent="0.25">
      <c r="A486" s="12"/>
    </row>
    <row r="487" spans="1:1" ht="21.95" customHeight="1" x14ac:dyDescent="0.25">
      <c r="A487" s="12"/>
    </row>
    <row r="488" spans="1:1" ht="21.95" customHeight="1" x14ac:dyDescent="0.25">
      <c r="A488" s="12"/>
    </row>
    <row r="489" spans="1:1" ht="21.95" customHeight="1" x14ac:dyDescent="0.25">
      <c r="A489" s="12"/>
    </row>
    <row r="490" spans="1:1" ht="21.95" customHeight="1" x14ac:dyDescent="0.25">
      <c r="A490" s="12"/>
    </row>
    <row r="491" spans="1:1" ht="21.95" customHeight="1" x14ac:dyDescent="0.25">
      <c r="A491" s="12"/>
    </row>
    <row r="492" spans="1:1" ht="21.95" customHeight="1" x14ac:dyDescent="0.25">
      <c r="A492" s="12"/>
    </row>
    <row r="493" spans="1:1" ht="21.95" customHeight="1" x14ac:dyDescent="0.25">
      <c r="A493" s="12"/>
    </row>
    <row r="494" spans="1:1" ht="21.95" customHeight="1" x14ac:dyDescent="0.25">
      <c r="A494" s="12"/>
    </row>
    <row r="495" spans="1:1" ht="21.95" customHeight="1" x14ac:dyDescent="0.25">
      <c r="A495" s="12"/>
    </row>
    <row r="496" spans="1:1" ht="21.95" customHeight="1" x14ac:dyDescent="0.25">
      <c r="A496" s="12"/>
    </row>
    <row r="497" spans="1:1" ht="21.95" customHeight="1" x14ac:dyDescent="0.25">
      <c r="A497" s="12"/>
    </row>
    <row r="498" spans="1:1" ht="21.95" customHeight="1" x14ac:dyDescent="0.25">
      <c r="A498" s="12"/>
    </row>
    <row r="499" spans="1:1" ht="21.95" customHeight="1" x14ac:dyDescent="0.25">
      <c r="A499" s="12"/>
    </row>
    <row r="500" spans="1:1" ht="21.95" customHeight="1" x14ac:dyDescent="0.25">
      <c r="A500" s="12"/>
    </row>
    <row r="501" spans="1:1" ht="21.95" customHeight="1" x14ac:dyDescent="0.25">
      <c r="A501" s="12"/>
    </row>
    <row r="502" spans="1:1" ht="21.95" customHeight="1" x14ac:dyDescent="0.25">
      <c r="A502" s="12"/>
    </row>
    <row r="503" spans="1:1" ht="21.95" customHeight="1" x14ac:dyDescent="0.25">
      <c r="A503" s="12"/>
    </row>
    <row r="504" spans="1:1" ht="21.95" customHeight="1" x14ac:dyDescent="0.25">
      <c r="A504" s="12"/>
    </row>
    <row r="505" spans="1:1" ht="21.95" customHeight="1" x14ac:dyDescent="0.25">
      <c r="A505" s="12"/>
    </row>
    <row r="506" spans="1:1" ht="21.95" customHeight="1" x14ac:dyDescent="0.25">
      <c r="A506" s="12"/>
    </row>
    <row r="507" spans="1:1" ht="21.95" customHeight="1" x14ac:dyDescent="0.25">
      <c r="A507" s="12"/>
    </row>
    <row r="508" spans="1:1" ht="21.95" customHeight="1" x14ac:dyDescent="0.25">
      <c r="A508" s="12"/>
    </row>
    <row r="509" spans="1:1" ht="21.95" customHeight="1" x14ac:dyDescent="0.25">
      <c r="A509" s="12"/>
    </row>
    <row r="510" spans="1:1" ht="21.95" customHeight="1" x14ac:dyDescent="0.25">
      <c r="A510" s="12"/>
    </row>
    <row r="511" spans="1:1" ht="21.95" customHeight="1" x14ac:dyDescent="0.25">
      <c r="A511" s="12"/>
    </row>
    <row r="512" spans="1:1" ht="21.95" customHeight="1" x14ac:dyDescent="0.25">
      <c r="A512" s="12"/>
    </row>
    <row r="513" spans="1:1" ht="21.95" customHeight="1" x14ac:dyDescent="0.25">
      <c r="A513" s="12"/>
    </row>
    <row r="514" spans="1:1" ht="21.95" customHeight="1" x14ac:dyDescent="0.25">
      <c r="A514" s="12"/>
    </row>
    <row r="515" spans="1:1" ht="21.95" customHeight="1" x14ac:dyDescent="0.25">
      <c r="A515" s="12"/>
    </row>
    <row r="516" spans="1:1" ht="21.95" customHeight="1" x14ac:dyDescent="0.25">
      <c r="A516" s="12"/>
    </row>
    <row r="517" spans="1:1" ht="21.95" customHeight="1" x14ac:dyDescent="0.25">
      <c r="A517" s="12"/>
    </row>
    <row r="518" spans="1:1" ht="21.95" customHeight="1" x14ac:dyDescent="0.25">
      <c r="A518" s="12"/>
    </row>
    <row r="519" spans="1:1" ht="21.95" customHeight="1" x14ac:dyDescent="0.25">
      <c r="A519" s="12"/>
    </row>
    <row r="520" spans="1:1" ht="21.95" customHeight="1" x14ac:dyDescent="0.25">
      <c r="A520" s="12"/>
    </row>
    <row r="521" spans="1:1" ht="21.95" customHeight="1" x14ac:dyDescent="0.25">
      <c r="A521" s="12"/>
    </row>
    <row r="522" spans="1:1" ht="21.95" customHeight="1" x14ac:dyDescent="0.25">
      <c r="A522" s="12"/>
    </row>
    <row r="523" spans="1:1" ht="21.95" customHeight="1" x14ac:dyDescent="0.25">
      <c r="A523" s="12"/>
    </row>
    <row r="524" spans="1:1" ht="21.95" customHeight="1" x14ac:dyDescent="0.25">
      <c r="A524" s="12"/>
    </row>
    <row r="525" spans="1:1" ht="21.95" customHeight="1" x14ac:dyDescent="0.25">
      <c r="A525" s="12"/>
    </row>
    <row r="526" spans="1:1" ht="21.95" customHeight="1" x14ac:dyDescent="0.25">
      <c r="A526" s="12"/>
    </row>
    <row r="527" spans="1:1" ht="21.95" customHeight="1" x14ac:dyDescent="0.25">
      <c r="A527" s="12"/>
    </row>
    <row r="528" spans="1:1" ht="21.95" customHeight="1" x14ac:dyDescent="0.25">
      <c r="A528" s="12"/>
    </row>
    <row r="529" spans="1:1" ht="21.95" customHeight="1" x14ac:dyDescent="0.25">
      <c r="A529" s="12"/>
    </row>
    <row r="530" spans="1:1" ht="21.95" customHeight="1" x14ac:dyDescent="0.25">
      <c r="A530" s="12"/>
    </row>
    <row r="531" spans="1:1" ht="21.95" customHeight="1" x14ac:dyDescent="0.25">
      <c r="A531" s="12"/>
    </row>
    <row r="532" spans="1:1" ht="21.95" customHeight="1" x14ac:dyDescent="0.25">
      <c r="A532" s="12"/>
    </row>
    <row r="533" spans="1:1" ht="21.95" customHeight="1" x14ac:dyDescent="0.25">
      <c r="A533" s="12"/>
    </row>
    <row r="534" spans="1:1" ht="21.95" customHeight="1" x14ac:dyDescent="0.25">
      <c r="A534" s="12"/>
    </row>
    <row r="535" spans="1:1" ht="21.95" customHeight="1" x14ac:dyDescent="0.25">
      <c r="A535" s="12"/>
    </row>
    <row r="536" spans="1:1" ht="21.95" customHeight="1" x14ac:dyDescent="0.25">
      <c r="A536" s="12"/>
    </row>
    <row r="537" spans="1:1" ht="21.95" customHeight="1" x14ac:dyDescent="0.25">
      <c r="A537" s="12"/>
    </row>
    <row r="538" spans="1:1" ht="21.95" customHeight="1" x14ac:dyDescent="0.25">
      <c r="A538" s="12"/>
    </row>
    <row r="539" spans="1:1" ht="21.95" customHeight="1" x14ac:dyDescent="0.25">
      <c r="A539" s="12"/>
    </row>
    <row r="540" spans="1:1" ht="21.95" customHeight="1" x14ac:dyDescent="0.25">
      <c r="A540" s="12"/>
    </row>
    <row r="541" spans="1:1" ht="21.95" customHeight="1" x14ac:dyDescent="0.25">
      <c r="A541" s="12"/>
    </row>
    <row r="542" spans="1:1" ht="21.95" customHeight="1" x14ac:dyDescent="0.25">
      <c r="A542" s="12"/>
    </row>
    <row r="543" spans="1:1" ht="21.95" customHeight="1" x14ac:dyDescent="0.25">
      <c r="A543" s="12"/>
    </row>
    <row r="544" spans="1:1" ht="21.95" customHeight="1" x14ac:dyDescent="0.25">
      <c r="A544" s="12"/>
    </row>
    <row r="545" spans="1:1" ht="21.95" customHeight="1" x14ac:dyDescent="0.25">
      <c r="A545" s="12"/>
    </row>
    <row r="546" spans="1:1" ht="21.95" customHeight="1" x14ac:dyDescent="0.25">
      <c r="A546" s="12"/>
    </row>
    <row r="547" spans="1:1" ht="21.95" customHeight="1" x14ac:dyDescent="0.25">
      <c r="A547" s="12"/>
    </row>
    <row r="548" spans="1:1" ht="21.95" customHeight="1" x14ac:dyDescent="0.25">
      <c r="A548" s="12"/>
    </row>
    <row r="549" spans="1:1" ht="21.95" customHeight="1" x14ac:dyDescent="0.25">
      <c r="A549" s="12"/>
    </row>
    <row r="550" spans="1:1" ht="21.95" customHeight="1" x14ac:dyDescent="0.25">
      <c r="A550" s="12"/>
    </row>
    <row r="551" spans="1:1" ht="21.95" customHeight="1" x14ac:dyDescent="0.25">
      <c r="A551" s="12"/>
    </row>
    <row r="552" spans="1:1" ht="21.95" customHeight="1" x14ac:dyDescent="0.25">
      <c r="A552" s="12"/>
    </row>
    <row r="553" spans="1:1" ht="21.95" customHeight="1" x14ac:dyDescent="0.25">
      <c r="A553" s="12"/>
    </row>
    <row r="554" spans="1:1" ht="21.95" customHeight="1" x14ac:dyDescent="0.25">
      <c r="A554" s="12"/>
    </row>
    <row r="555" spans="1:1" ht="21.95" customHeight="1" x14ac:dyDescent="0.25">
      <c r="A555" s="12"/>
    </row>
    <row r="556" spans="1:1" ht="21.95" customHeight="1" x14ac:dyDescent="0.25">
      <c r="A556" s="12"/>
    </row>
    <row r="557" spans="1:1" ht="21.95" customHeight="1" x14ac:dyDescent="0.25">
      <c r="A557" s="12"/>
    </row>
    <row r="558" spans="1:1" ht="21.95" customHeight="1" x14ac:dyDescent="0.25">
      <c r="A558" s="12"/>
    </row>
    <row r="559" spans="1:1" ht="21.95" customHeight="1" x14ac:dyDescent="0.25">
      <c r="A559" s="12"/>
    </row>
    <row r="560" spans="1:1" ht="21.95" customHeight="1" x14ac:dyDescent="0.25">
      <c r="A560" s="12"/>
    </row>
    <row r="561" spans="1:1" ht="21.95" customHeight="1" x14ac:dyDescent="0.25">
      <c r="A561" s="12"/>
    </row>
    <row r="562" spans="1:1" ht="21.95" customHeight="1" x14ac:dyDescent="0.25">
      <c r="A562" s="12"/>
    </row>
    <row r="563" spans="1:1" ht="21.95" customHeight="1" x14ac:dyDescent="0.25">
      <c r="A563" s="12"/>
    </row>
    <row r="564" spans="1:1" ht="21.95" customHeight="1" x14ac:dyDescent="0.25">
      <c r="A564" s="12"/>
    </row>
    <row r="565" spans="1:1" ht="21.95" customHeight="1" x14ac:dyDescent="0.25">
      <c r="A565" s="12"/>
    </row>
    <row r="566" spans="1:1" ht="21.95" customHeight="1" x14ac:dyDescent="0.25">
      <c r="A566" s="12"/>
    </row>
    <row r="567" spans="1:1" ht="21.95" customHeight="1" x14ac:dyDescent="0.25">
      <c r="A567" s="12"/>
    </row>
    <row r="568" spans="1:1" ht="21.95" customHeight="1" x14ac:dyDescent="0.25">
      <c r="A568" s="12"/>
    </row>
    <row r="569" spans="1:1" ht="21.95" customHeight="1" x14ac:dyDescent="0.25">
      <c r="A569" s="12"/>
    </row>
    <row r="570" spans="1:1" ht="21.95" customHeight="1" x14ac:dyDescent="0.25">
      <c r="A570" s="12"/>
    </row>
    <row r="571" spans="1:1" ht="21.95" customHeight="1" x14ac:dyDescent="0.25">
      <c r="A571" s="12"/>
    </row>
    <row r="572" spans="1:1" ht="21.95" customHeight="1" x14ac:dyDescent="0.25">
      <c r="A572" s="12"/>
    </row>
    <row r="573" spans="1:1" ht="21.95" customHeight="1" x14ac:dyDescent="0.25">
      <c r="A573" s="12"/>
    </row>
    <row r="574" spans="1:1" ht="21.95" customHeight="1" x14ac:dyDescent="0.25">
      <c r="A574" s="12"/>
    </row>
    <row r="575" spans="1:1" ht="21.95" customHeight="1" x14ac:dyDescent="0.25">
      <c r="A575" s="12"/>
    </row>
    <row r="576" spans="1:1" ht="21.95" customHeight="1" x14ac:dyDescent="0.25">
      <c r="A576" s="12"/>
    </row>
    <row r="577" spans="1:1" ht="21.95" customHeight="1" x14ac:dyDescent="0.25">
      <c r="A577" s="12"/>
    </row>
    <row r="578" spans="1:1" ht="21.95" customHeight="1" x14ac:dyDescent="0.25">
      <c r="A578" s="12"/>
    </row>
    <row r="579" spans="1:1" ht="21.95" customHeight="1" x14ac:dyDescent="0.25">
      <c r="A579" s="12"/>
    </row>
    <row r="580" spans="1:1" ht="21.95" customHeight="1" x14ac:dyDescent="0.25">
      <c r="A580" s="12"/>
    </row>
    <row r="581" spans="1:1" ht="21.95" customHeight="1" x14ac:dyDescent="0.25">
      <c r="A581" s="12"/>
    </row>
    <row r="582" spans="1:1" ht="21.95" customHeight="1" x14ac:dyDescent="0.25">
      <c r="A582" s="12"/>
    </row>
    <row r="583" spans="1:1" ht="21.95" customHeight="1" x14ac:dyDescent="0.25">
      <c r="A583" s="12"/>
    </row>
    <row r="584" spans="1:1" ht="21.95" customHeight="1" x14ac:dyDescent="0.25">
      <c r="A584" s="12"/>
    </row>
    <row r="585" spans="1:1" ht="21.95" customHeight="1" x14ac:dyDescent="0.25">
      <c r="A585" s="12"/>
    </row>
    <row r="586" spans="1:1" ht="21.95" customHeight="1" x14ac:dyDescent="0.25">
      <c r="A586" s="12"/>
    </row>
    <row r="587" spans="1:1" ht="21.95" customHeight="1" x14ac:dyDescent="0.25">
      <c r="A587" s="12"/>
    </row>
    <row r="588" spans="1:1" ht="21.95" customHeight="1" x14ac:dyDescent="0.25">
      <c r="A588" s="12"/>
    </row>
    <row r="589" spans="1:1" ht="21.95" customHeight="1" x14ac:dyDescent="0.25">
      <c r="A589" s="12"/>
    </row>
    <row r="590" spans="1:1" ht="21.95" customHeight="1" x14ac:dyDescent="0.25">
      <c r="A590" s="12"/>
    </row>
    <row r="591" spans="1:1" ht="21.95" customHeight="1" x14ac:dyDescent="0.25">
      <c r="A591" s="12"/>
    </row>
    <row r="592" spans="1:1" ht="21.95" customHeight="1" x14ac:dyDescent="0.25">
      <c r="A592" s="12"/>
    </row>
    <row r="593" spans="1:1" ht="21.95" customHeight="1" x14ac:dyDescent="0.25">
      <c r="A593" s="12"/>
    </row>
    <row r="594" spans="1:1" ht="21.95" customHeight="1" x14ac:dyDescent="0.25">
      <c r="A594" s="12"/>
    </row>
    <row r="595" spans="1:1" ht="21.95" customHeight="1" x14ac:dyDescent="0.25">
      <c r="A595" s="12"/>
    </row>
    <row r="596" spans="1:1" ht="21.95" customHeight="1" x14ac:dyDescent="0.25">
      <c r="A596" s="12"/>
    </row>
    <row r="597" spans="1:1" ht="21.95" customHeight="1" x14ac:dyDescent="0.25">
      <c r="A597" s="12"/>
    </row>
    <row r="598" spans="1:1" ht="21.95" customHeight="1" x14ac:dyDescent="0.25">
      <c r="A598" s="12"/>
    </row>
    <row r="599" spans="1:1" ht="21.95" customHeight="1" x14ac:dyDescent="0.25">
      <c r="A599" s="12"/>
    </row>
    <row r="600" spans="1:1" ht="21.95" customHeight="1" x14ac:dyDescent="0.25">
      <c r="A600" s="12"/>
    </row>
    <row r="601" spans="1:1" ht="21.95" customHeight="1" x14ac:dyDescent="0.25">
      <c r="A601" s="12"/>
    </row>
    <row r="602" spans="1:1" ht="21.95" customHeight="1" x14ac:dyDescent="0.25">
      <c r="A602" s="12"/>
    </row>
    <row r="603" spans="1:1" ht="21.95" customHeight="1" x14ac:dyDescent="0.25">
      <c r="A603" s="12"/>
    </row>
    <row r="604" spans="1:1" ht="21.95" customHeight="1" x14ac:dyDescent="0.25">
      <c r="A604" s="12"/>
    </row>
    <row r="605" spans="1:1" ht="21.95" customHeight="1" x14ac:dyDescent="0.25">
      <c r="A605" s="12"/>
    </row>
    <row r="606" spans="1:1" ht="21.95" customHeight="1" x14ac:dyDescent="0.25">
      <c r="A606" s="12"/>
    </row>
    <row r="607" spans="1:1" ht="21.95" customHeight="1" x14ac:dyDescent="0.25">
      <c r="A607" s="12"/>
    </row>
    <row r="608" spans="1:1" ht="21.95" customHeight="1" x14ac:dyDescent="0.25">
      <c r="A608" s="12"/>
    </row>
    <row r="609" spans="1:1" ht="21.95" customHeight="1" x14ac:dyDescent="0.25">
      <c r="A609" s="12"/>
    </row>
    <row r="610" spans="1:1" ht="21.95" customHeight="1" x14ac:dyDescent="0.25">
      <c r="A610" s="12"/>
    </row>
    <row r="611" spans="1:1" ht="21.95" customHeight="1" x14ac:dyDescent="0.25">
      <c r="A611" s="12"/>
    </row>
    <row r="612" spans="1:1" ht="21.95" customHeight="1" x14ac:dyDescent="0.25">
      <c r="A612" s="12"/>
    </row>
    <row r="613" spans="1:1" ht="21.95" customHeight="1" x14ac:dyDescent="0.25">
      <c r="A613" s="12"/>
    </row>
    <row r="614" spans="1:1" ht="21.95" customHeight="1" x14ac:dyDescent="0.25">
      <c r="A614" s="12"/>
    </row>
    <row r="615" spans="1:1" ht="21.95" customHeight="1" x14ac:dyDescent="0.25">
      <c r="A615" s="12"/>
    </row>
    <row r="616" spans="1:1" ht="21.95" customHeight="1" x14ac:dyDescent="0.25">
      <c r="A616" s="12"/>
    </row>
    <row r="617" spans="1:1" ht="21.95" customHeight="1" x14ac:dyDescent="0.25">
      <c r="A617" s="12"/>
    </row>
    <row r="618" spans="1:1" ht="21.95" customHeight="1" x14ac:dyDescent="0.25">
      <c r="A618" s="12"/>
    </row>
    <row r="619" spans="1:1" ht="21.95" customHeight="1" x14ac:dyDescent="0.25">
      <c r="A619" s="12"/>
    </row>
    <row r="620" spans="1:1" ht="21.95" customHeight="1" x14ac:dyDescent="0.25">
      <c r="A620" s="12"/>
    </row>
    <row r="621" spans="1:1" ht="21.95" customHeight="1" x14ac:dyDescent="0.25">
      <c r="A621" s="12"/>
    </row>
    <row r="622" spans="1:1" ht="21.95" customHeight="1" x14ac:dyDescent="0.25">
      <c r="A622" s="12"/>
    </row>
    <row r="623" spans="1:1" ht="21.95" customHeight="1" x14ac:dyDescent="0.25">
      <c r="A623" s="12"/>
    </row>
    <row r="624" spans="1:1" ht="21.95" customHeight="1" x14ac:dyDescent="0.25">
      <c r="A624" s="12"/>
    </row>
    <row r="625" spans="1:1" ht="21.95" customHeight="1" x14ac:dyDescent="0.25">
      <c r="A625" s="12"/>
    </row>
    <row r="626" spans="1:1" ht="21.95" customHeight="1" x14ac:dyDescent="0.25">
      <c r="A626" s="12"/>
    </row>
    <row r="627" spans="1:1" ht="21.95" customHeight="1" x14ac:dyDescent="0.25">
      <c r="A627" s="12"/>
    </row>
    <row r="628" spans="1:1" ht="21.95" customHeight="1" x14ac:dyDescent="0.25">
      <c r="A628" s="12"/>
    </row>
    <row r="629" spans="1:1" ht="21.95" customHeight="1" x14ac:dyDescent="0.25">
      <c r="A629" s="12"/>
    </row>
    <row r="630" spans="1:1" ht="21.95" customHeight="1" x14ac:dyDescent="0.25">
      <c r="A630" s="12"/>
    </row>
    <row r="631" spans="1:1" ht="21.95" customHeight="1" x14ac:dyDescent="0.25">
      <c r="A631" s="12"/>
    </row>
    <row r="632" spans="1:1" ht="21.95" customHeight="1" x14ac:dyDescent="0.25">
      <c r="A632" s="12"/>
    </row>
    <row r="633" spans="1:1" ht="21.95" customHeight="1" x14ac:dyDescent="0.25">
      <c r="A633" s="12"/>
    </row>
    <row r="634" spans="1:1" ht="21.95" customHeight="1" x14ac:dyDescent="0.25">
      <c r="A634" s="12"/>
    </row>
    <row r="635" spans="1:1" ht="21.95" customHeight="1" x14ac:dyDescent="0.25">
      <c r="A635" s="12"/>
    </row>
    <row r="636" spans="1:1" ht="21.95" customHeight="1" x14ac:dyDescent="0.25">
      <c r="A636" s="12"/>
    </row>
    <row r="637" spans="1:1" ht="21.95" customHeight="1" x14ac:dyDescent="0.25">
      <c r="A637" s="12"/>
    </row>
    <row r="638" spans="1:1" ht="21.95" customHeight="1" x14ac:dyDescent="0.25">
      <c r="A638" s="12"/>
    </row>
    <row r="639" spans="1:1" ht="21.95" customHeight="1" x14ac:dyDescent="0.25">
      <c r="A639" s="12"/>
    </row>
    <row r="640" spans="1:1" ht="21.95" customHeight="1" x14ac:dyDescent="0.25">
      <c r="A640" s="12"/>
    </row>
    <row r="641" spans="1:1" ht="21.95" customHeight="1" x14ac:dyDescent="0.25">
      <c r="A641" s="12"/>
    </row>
    <row r="642" spans="1:1" ht="21.95" customHeight="1" x14ac:dyDescent="0.25">
      <c r="A642" s="12"/>
    </row>
    <row r="643" spans="1:1" ht="21.95" customHeight="1" x14ac:dyDescent="0.25">
      <c r="A643" s="12"/>
    </row>
    <row r="644" spans="1:1" ht="21.95" customHeight="1" x14ac:dyDescent="0.25">
      <c r="A644" s="12"/>
    </row>
    <row r="645" spans="1:1" ht="21.95" customHeight="1" x14ac:dyDescent="0.25">
      <c r="A645" s="12"/>
    </row>
    <row r="646" spans="1:1" ht="21.95" customHeight="1" x14ac:dyDescent="0.25">
      <c r="A646" s="12"/>
    </row>
    <row r="647" spans="1:1" ht="21.95" customHeight="1" x14ac:dyDescent="0.25">
      <c r="A647" s="12"/>
    </row>
    <row r="648" spans="1:1" ht="21.95" customHeight="1" x14ac:dyDescent="0.25">
      <c r="A648" s="12"/>
    </row>
    <row r="649" spans="1:1" ht="21.95" customHeight="1" x14ac:dyDescent="0.25">
      <c r="A649" s="12"/>
    </row>
    <row r="650" spans="1:1" ht="21.95" customHeight="1" x14ac:dyDescent="0.25">
      <c r="A650" s="12"/>
    </row>
    <row r="651" spans="1:1" ht="21.95" customHeight="1" x14ac:dyDescent="0.25">
      <c r="A651" s="12"/>
    </row>
    <row r="652" spans="1:1" ht="21.95" customHeight="1" x14ac:dyDescent="0.25">
      <c r="A652" s="12"/>
    </row>
    <row r="653" spans="1:1" ht="21.95" customHeight="1" x14ac:dyDescent="0.25">
      <c r="A653" s="12"/>
    </row>
    <row r="654" spans="1:1" ht="21.95" customHeight="1" x14ac:dyDescent="0.25">
      <c r="A654" s="12"/>
    </row>
    <row r="655" spans="1:1" ht="21.95" customHeight="1" x14ac:dyDescent="0.25">
      <c r="A655" s="12"/>
    </row>
    <row r="656" spans="1:1" ht="21.95" customHeight="1" x14ac:dyDescent="0.25">
      <c r="A656" s="12"/>
    </row>
    <row r="657" spans="1:1" ht="21.95" customHeight="1" x14ac:dyDescent="0.25">
      <c r="A657" s="12"/>
    </row>
    <row r="658" spans="1:1" ht="21.95" customHeight="1" x14ac:dyDescent="0.25">
      <c r="A658" s="12"/>
    </row>
    <row r="659" spans="1:1" ht="21.95" customHeight="1" x14ac:dyDescent="0.25">
      <c r="A659" s="12"/>
    </row>
    <row r="660" spans="1:1" ht="21.95" customHeight="1" x14ac:dyDescent="0.25">
      <c r="A660" s="12"/>
    </row>
    <row r="661" spans="1:1" ht="21.95" customHeight="1" x14ac:dyDescent="0.25">
      <c r="A661" s="12"/>
    </row>
    <row r="662" spans="1:1" ht="21.95" customHeight="1" x14ac:dyDescent="0.25">
      <c r="A662" s="12"/>
    </row>
    <row r="663" spans="1:1" ht="21.95" customHeight="1" x14ac:dyDescent="0.25">
      <c r="A663" s="12"/>
    </row>
    <row r="664" spans="1:1" ht="21.95" customHeight="1" x14ac:dyDescent="0.25">
      <c r="A664" s="12"/>
    </row>
    <row r="665" spans="1:1" ht="21.95" customHeight="1" x14ac:dyDescent="0.25">
      <c r="A665" s="12"/>
    </row>
    <row r="666" spans="1:1" ht="21.95" customHeight="1" x14ac:dyDescent="0.25">
      <c r="A666" s="12"/>
    </row>
    <row r="667" spans="1:1" ht="21.95" customHeight="1" x14ac:dyDescent="0.25">
      <c r="A667" s="12"/>
    </row>
    <row r="668" spans="1:1" ht="21.95" customHeight="1" x14ac:dyDescent="0.25">
      <c r="A668" s="12"/>
    </row>
    <row r="669" spans="1:1" ht="21.95" customHeight="1" x14ac:dyDescent="0.25">
      <c r="A669" s="12"/>
    </row>
    <row r="670" spans="1:1" ht="21.95" customHeight="1" x14ac:dyDescent="0.25">
      <c r="A670" s="12"/>
    </row>
    <row r="671" spans="1:1" ht="21.95" customHeight="1" x14ac:dyDescent="0.25">
      <c r="A671" s="12"/>
    </row>
    <row r="672" spans="1:1" ht="21.95" customHeight="1" x14ac:dyDescent="0.25">
      <c r="A672" s="12"/>
    </row>
    <row r="673" spans="1:1" ht="21.95" customHeight="1" x14ac:dyDescent="0.25">
      <c r="A673" s="12"/>
    </row>
    <row r="674" spans="1:1" ht="21.95" customHeight="1" x14ac:dyDescent="0.25">
      <c r="A674" s="12"/>
    </row>
    <row r="675" spans="1:1" ht="21.95" customHeight="1" x14ac:dyDescent="0.25">
      <c r="A675" s="12"/>
    </row>
    <row r="676" spans="1:1" ht="21.95" customHeight="1" x14ac:dyDescent="0.25">
      <c r="A676" s="12"/>
    </row>
    <row r="677" spans="1:1" ht="21.95" customHeight="1" x14ac:dyDescent="0.25">
      <c r="A677" s="12"/>
    </row>
    <row r="678" spans="1:1" ht="21.95" customHeight="1" x14ac:dyDescent="0.25">
      <c r="A678" s="12"/>
    </row>
    <row r="679" spans="1:1" ht="21.95" customHeight="1" x14ac:dyDescent="0.25">
      <c r="A679" s="12"/>
    </row>
    <row r="680" spans="1:1" ht="21.95" customHeight="1" x14ac:dyDescent="0.25">
      <c r="A680" s="12"/>
    </row>
    <row r="681" spans="1:1" ht="21.95" customHeight="1" x14ac:dyDescent="0.25">
      <c r="A681" s="12"/>
    </row>
    <row r="682" spans="1:1" ht="21.95" customHeight="1" x14ac:dyDescent="0.25">
      <c r="A682" s="12"/>
    </row>
    <row r="683" spans="1:1" ht="21.95" customHeight="1" x14ac:dyDescent="0.25">
      <c r="A683" s="12"/>
    </row>
    <row r="684" spans="1:1" ht="21.95" customHeight="1" x14ac:dyDescent="0.25">
      <c r="A684" s="12"/>
    </row>
    <row r="685" spans="1:1" ht="21.95" customHeight="1" x14ac:dyDescent="0.25">
      <c r="A685" s="12"/>
    </row>
    <row r="686" spans="1:1" ht="21.95" customHeight="1" x14ac:dyDescent="0.25">
      <c r="A686" s="12"/>
    </row>
    <row r="687" spans="1:1" ht="21.95" customHeight="1" x14ac:dyDescent="0.25">
      <c r="A687" s="12"/>
    </row>
    <row r="688" spans="1:1" ht="21.95" customHeight="1" x14ac:dyDescent="0.25">
      <c r="A688" s="12"/>
    </row>
    <row r="689" spans="1:1" ht="21.95" customHeight="1" x14ac:dyDescent="0.25">
      <c r="A689" s="12"/>
    </row>
    <row r="690" spans="1:1" ht="21.95" customHeight="1" x14ac:dyDescent="0.25">
      <c r="A690" s="12"/>
    </row>
    <row r="691" spans="1:1" ht="21.95" customHeight="1" x14ac:dyDescent="0.25">
      <c r="A691" s="12"/>
    </row>
    <row r="692" spans="1:1" ht="21.95" customHeight="1" x14ac:dyDescent="0.25">
      <c r="A692" s="12"/>
    </row>
    <row r="693" spans="1:1" ht="21.95" customHeight="1" x14ac:dyDescent="0.25">
      <c r="A693" s="12"/>
    </row>
    <row r="694" spans="1:1" ht="21.95" customHeight="1" x14ac:dyDescent="0.25">
      <c r="A694" s="12"/>
    </row>
    <row r="695" spans="1:1" ht="21.95" customHeight="1" x14ac:dyDescent="0.25">
      <c r="A695" s="12"/>
    </row>
    <row r="696" spans="1:1" ht="21.95" customHeight="1" x14ac:dyDescent="0.25">
      <c r="A696" s="12"/>
    </row>
    <row r="697" spans="1:1" ht="21.95" customHeight="1" x14ac:dyDescent="0.25">
      <c r="A697" s="12"/>
    </row>
    <row r="698" spans="1:1" ht="21.95" customHeight="1" x14ac:dyDescent="0.25">
      <c r="A698" s="12"/>
    </row>
    <row r="699" spans="1:1" ht="21.95" customHeight="1" x14ac:dyDescent="0.25">
      <c r="A699" s="12"/>
    </row>
    <row r="700" spans="1:1" ht="21.95" customHeight="1" x14ac:dyDescent="0.25">
      <c r="A700" s="12"/>
    </row>
    <row r="701" spans="1:1" ht="21.95" customHeight="1" x14ac:dyDescent="0.25">
      <c r="A701" s="12"/>
    </row>
    <row r="702" spans="1:1" ht="21.95" customHeight="1" x14ac:dyDescent="0.25">
      <c r="A702" s="12"/>
    </row>
    <row r="703" spans="1:1" ht="21.95" customHeight="1" x14ac:dyDescent="0.25">
      <c r="A703" s="12"/>
    </row>
    <row r="704" spans="1:1" ht="21.95" customHeight="1" x14ac:dyDescent="0.25">
      <c r="A704" s="12"/>
    </row>
    <row r="705" spans="1:1" ht="21.95" customHeight="1" x14ac:dyDescent="0.25">
      <c r="A705" s="12"/>
    </row>
    <row r="706" spans="1:1" ht="21.95" customHeight="1" x14ac:dyDescent="0.25">
      <c r="A706" s="12"/>
    </row>
    <row r="707" spans="1:1" ht="21.95" customHeight="1" x14ac:dyDescent="0.25">
      <c r="A707" s="12"/>
    </row>
    <row r="708" spans="1:1" ht="21.95" customHeight="1" x14ac:dyDescent="0.25">
      <c r="A708" s="12"/>
    </row>
    <row r="709" spans="1:1" ht="21.95" customHeight="1" x14ac:dyDescent="0.25">
      <c r="A709" s="12"/>
    </row>
    <row r="710" spans="1:1" ht="21.95" customHeight="1" x14ac:dyDescent="0.25">
      <c r="A710" s="12"/>
    </row>
    <row r="711" spans="1:1" ht="21.95" customHeight="1" x14ac:dyDescent="0.25">
      <c r="A711" s="12"/>
    </row>
    <row r="712" spans="1:1" ht="21.95" customHeight="1" x14ac:dyDescent="0.25">
      <c r="A712" s="12"/>
    </row>
    <row r="713" spans="1:1" ht="21.95" customHeight="1" x14ac:dyDescent="0.25">
      <c r="A713" s="12"/>
    </row>
    <row r="714" spans="1:1" ht="21.95" customHeight="1" x14ac:dyDescent="0.25">
      <c r="A714" s="12"/>
    </row>
    <row r="715" spans="1:1" ht="21.95" customHeight="1" x14ac:dyDescent="0.25">
      <c r="A715" s="12"/>
    </row>
    <row r="716" spans="1:1" ht="21.95" customHeight="1" x14ac:dyDescent="0.25">
      <c r="A716" s="12"/>
    </row>
    <row r="717" spans="1:1" ht="21.95" customHeight="1" x14ac:dyDescent="0.25">
      <c r="A717" s="12"/>
    </row>
    <row r="718" spans="1:1" ht="21.95" customHeight="1" x14ac:dyDescent="0.25">
      <c r="A718" s="12"/>
    </row>
    <row r="719" spans="1:1" ht="21.95" customHeight="1" x14ac:dyDescent="0.25">
      <c r="A719" s="12"/>
    </row>
    <row r="720" spans="1:1" ht="21.95" customHeight="1" x14ac:dyDescent="0.25">
      <c r="A720" s="12"/>
    </row>
    <row r="721" spans="1:1" ht="21.95" customHeight="1" x14ac:dyDescent="0.25">
      <c r="A721" s="12"/>
    </row>
    <row r="722" spans="1:1" ht="21.95" customHeight="1" x14ac:dyDescent="0.25">
      <c r="A722" s="12"/>
    </row>
    <row r="723" spans="1:1" ht="21.95" customHeight="1" x14ac:dyDescent="0.25">
      <c r="A723" s="12"/>
    </row>
    <row r="724" spans="1:1" ht="21.95" customHeight="1" x14ac:dyDescent="0.25">
      <c r="A724" s="12"/>
    </row>
    <row r="725" spans="1:1" ht="21.95" customHeight="1" x14ac:dyDescent="0.25">
      <c r="A725" s="12"/>
    </row>
    <row r="726" spans="1:1" ht="21.95" customHeight="1" x14ac:dyDescent="0.25">
      <c r="A726" s="12"/>
    </row>
    <row r="727" spans="1:1" ht="21.95" customHeight="1" x14ac:dyDescent="0.25">
      <c r="A727" s="12"/>
    </row>
    <row r="728" spans="1:1" ht="21.95" customHeight="1" x14ac:dyDescent="0.25">
      <c r="A728" s="12"/>
    </row>
    <row r="729" spans="1:1" ht="21.95" customHeight="1" x14ac:dyDescent="0.25">
      <c r="A729" s="12"/>
    </row>
    <row r="730" spans="1:1" ht="21.95" customHeight="1" x14ac:dyDescent="0.25">
      <c r="A730" s="12"/>
    </row>
    <row r="731" spans="1:1" ht="21.95" customHeight="1" x14ac:dyDescent="0.25">
      <c r="A731" s="12"/>
    </row>
    <row r="732" spans="1:1" ht="21.95" customHeight="1" x14ac:dyDescent="0.25">
      <c r="A732" s="12"/>
    </row>
    <row r="733" spans="1:1" ht="21.95" customHeight="1" x14ac:dyDescent="0.25">
      <c r="A733" s="12"/>
    </row>
    <row r="734" spans="1:1" ht="21.95" customHeight="1" x14ac:dyDescent="0.25">
      <c r="A734" s="12"/>
    </row>
    <row r="735" spans="1:1" ht="21.95" customHeight="1" x14ac:dyDescent="0.25">
      <c r="A735" s="12"/>
    </row>
    <row r="736" spans="1:1" ht="21.95" customHeight="1" x14ac:dyDescent="0.25">
      <c r="A736" s="12"/>
    </row>
    <row r="737" spans="1:1" ht="21.95" customHeight="1" x14ac:dyDescent="0.25">
      <c r="A737" s="12"/>
    </row>
    <row r="738" spans="1:1" ht="21.95" customHeight="1" x14ac:dyDescent="0.25">
      <c r="A738" s="12"/>
    </row>
    <row r="739" spans="1:1" ht="21.95" customHeight="1" x14ac:dyDescent="0.25">
      <c r="A739" s="12"/>
    </row>
    <row r="740" spans="1:1" ht="21.95" customHeight="1" x14ac:dyDescent="0.25">
      <c r="A740" s="12"/>
    </row>
    <row r="741" spans="1:1" ht="21.95" customHeight="1" x14ac:dyDescent="0.25">
      <c r="A741" s="12"/>
    </row>
    <row r="742" spans="1:1" ht="21.95" customHeight="1" x14ac:dyDescent="0.25">
      <c r="A742" s="12"/>
    </row>
    <row r="743" spans="1:1" ht="21.95" customHeight="1" x14ac:dyDescent="0.25">
      <c r="A743" s="12"/>
    </row>
    <row r="744" spans="1:1" ht="21.95" customHeight="1" x14ac:dyDescent="0.25">
      <c r="A744" s="12"/>
    </row>
    <row r="745" spans="1:1" ht="21.95" customHeight="1" x14ac:dyDescent="0.25">
      <c r="A745" s="12"/>
    </row>
    <row r="746" spans="1:1" ht="21.95" customHeight="1" x14ac:dyDescent="0.25">
      <c r="A746" s="12"/>
    </row>
    <row r="747" spans="1:1" ht="21.95" customHeight="1" x14ac:dyDescent="0.25">
      <c r="A747" s="12"/>
    </row>
    <row r="748" spans="1:1" ht="21.95" customHeight="1" x14ac:dyDescent="0.25">
      <c r="A748" s="12"/>
    </row>
    <row r="749" spans="1:1" ht="21.95" customHeight="1" x14ac:dyDescent="0.25">
      <c r="A749" s="12"/>
    </row>
    <row r="750" spans="1:1" ht="21.95" customHeight="1" x14ac:dyDescent="0.25">
      <c r="A750" s="12"/>
    </row>
    <row r="751" spans="1:1" ht="21.95" customHeight="1" x14ac:dyDescent="0.25">
      <c r="A751" s="12"/>
    </row>
    <row r="752" spans="1:1" ht="21.95" customHeight="1" x14ac:dyDescent="0.25">
      <c r="A752" s="12"/>
    </row>
    <row r="753" spans="1:1" ht="21.95" customHeight="1" x14ac:dyDescent="0.25">
      <c r="A753" s="12"/>
    </row>
    <row r="754" spans="1:1" ht="21.95" customHeight="1" x14ac:dyDescent="0.25">
      <c r="A754" s="12"/>
    </row>
    <row r="755" spans="1:1" ht="21.95" customHeight="1" x14ac:dyDescent="0.25">
      <c r="A755" s="12"/>
    </row>
    <row r="756" spans="1:1" ht="21.95" customHeight="1" x14ac:dyDescent="0.25">
      <c r="A756" s="12"/>
    </row>
    <row r="757" spans="1:1" ht="21.95" customHeight="1" x14ac:dyDescent="0.25">
      <c r="A757" s="12"/>
    </row>
    <row r="758" spans="1:1" ht="21.95" customHeight="1" x14ac:dyDescent="0.25">
      <c r="A758" s="12"/>
    </row>
    <row r="759" spans="1:1" ht="21.95" customHeight="1" x14ac:dyDescent="0.25">
      <c r="A759" s="12"/>
    </row>
    <row r="760" spans="1:1" ht="21.95" customHeight="1" x14ac:dyDescent="0.25">
      <c r="A760" s="12"/>
    </row>
    <row r="761" spans="1:1" ht="21.95" customHeight="1" x14ac:dyDescent="0.25">
      <c r="A761" s="12"/>
    </row>
    <row r="762" spans="1:1" ht="21.95" customHeight="1" x14ac:dyDescent="0.25">
      <c r="A762" s="12"/>
    </row>
    <row r="763" spans="1:1" ht="21.95" customHeight="1" x14ac:dyDescent="0.25">
      <c r="A763" s="12"/>
    </row>
    <row r="764" spans="1:1" ht="21.95" customHeight="1" x14ac:dyDescent="0.25">
      <c r="A764" s="12"/>
    </row>
    <row r="765" spans="1:1" ht="21.95" customHeight="1" x14ac:dyDescent="0.25">
      <c r="A765" s="12"/>
    </row>
    <row r="766" spans="1:1" ht="21.95" customHeight="1" x14ac:dyDescent="0.25">
      <c r="A766" s="12"/>
    </row>
    <row r="767" spans="1:1" ht="21.95" customHeight="1" x14ac:dyDescent="0.25">
      <c r="A767" s="12"/>
    </row>
    <row r="768" spans="1:1" ht="21.95" customHeight="1" x14ac:dyDescent="0.25">
      <c r="A768" s="12"/>
    </row>
    <row r="769" spans="1:1" ht="21.95" customHeight="1" x14ac:dyDescent="0.25">
      <c r="A769" s="12"/>
    </row>
    <row r="770" spans="1:1" ht="21.95" customHeight="1" x14ac:dyDescent="0.25">
      <c r="A770" s="12"/>
    </row>
    <row r="771" spans="1:1" ht="21.95" customHeight="1" x14ac:dyDescent="0.25">
      <c r="A771" s="12"/>
    </row>
    <row r="772" spans="1:1" ht="21.95" customHeight="1" x14ac:dyDescent="0.25">
      <c r="A772" s="12"/>
    </row>
    <row r="773" spans="1:1" ht="21.95" customHeight="1" x14ac:dyDescent="0.25">
      <c r="A773" s="12"/>
    </row>
    <row r="774" spans="1:1" ht="21.95" customHeight="1" x14ac:dyDescent="0.25">
      <c r="A774" s="12"/>
    </row>
    <row r="775" spans="1:1" ht="21.95" customHeight="1" x14ac:dyDescent="0.25">
      <c r="A775" s="12"/>
    </row>
    <row r="776" spans="1:1" ht="21.95" customHeight="1" x14ac:dyDescent="0.25">
      <c r="A776" s="12"/>
    </row>
    <row r="777" spans="1:1" ht="21.95" customHeight="1" x14ac:dyDescent="0.25">
      <c r="A777" s="12"/>
    </row>
    <row r="778" spans="1:1" ht="21.95" customHeight="1" x14ac:dyDescent="0.25">
      <c r="A778" s="12"/>
    </row>
    <row r="779" spans="1:1" ht="21.95" customHeight="1" x14ac:dyDescent="0.25">
      <c r="A779" s="12"/>
    </row>
    <row r="780" spans="1:1" ht="21.95" customHeight="1" x14ac:dyDescent="0.25">
      <c r="A780" s="12"/>
    </row>
    <row r="781" spans="1:1" ht="21.95" customHeight="1" x14ac:dyDescent="0.25">
      <c r="A781" s="12"/>
    </row>
    <row r="782" spans="1:1" ht="21.95" customHeight="1" x14ac:dyDescent="0.25">
      <c r="A782" s="12"/>
    </row>
    <row r="783" spans="1:1" ht="21.95" customHeight="1" x14ac:dyDescent="0.25">
      <c r="A783" s="12"/>
    </row>
    <row r="784" spans="1:1" ht="21.95" customHeight="1" x14ac:dyDescent="0.25">
      <c r="A784" s="12"/>
    </row>
    <row r="785" spans="1:1" ht="21.95" customHeight="1" x14ac:dyDescent="0.25">
      <c r="A785" s="12"/>
    </row>
    <row r="786" spans="1:1" ht="21.95" customHeight="1" x14ac:dyDescent="0.25">
      <c r="A786" s="12"/>
    </row>
    <row r="787" spans="1:1" ht="21.95" customHeight="1" x14ac:dyDescent="0.25">
      <c r="A787" s="12"/>
    </row>
    <row r="788" spans="1:1" ht="21.95" customHeight="1" x14ac:dyDescent="0.25">
      <c r="A788" s="12"/>
    </row>
    <row r="789" spans="1:1" ht="21.95" customHeight="1" x14ac:dyDescent="0.25">
      <c r="A789" s="12"/>
    </row>
    <row r="790" spans="1:1" ht="21.95" customHeight="1" x14ac:dyDescent="0.25">
      <c r="A790" s="12"/>
    </row>
    <row r="791" spans="1:1" ht="21.95" customHeight="1" x14ac:dyDescent="0.25">
      <c r="A791" s="12"/>
    </row>
    <row r="792" spans="1:1" ht="21.95" customHeight="1" x14ac:dyDescent="0.25">
      <c r="A792" s="12"/>
    </row>
    <row r="793" spans="1:1" ht="21.95" customHeight="1" x14ac:dyDescent="0.25">
      <c r="A793" s="12"/>
    </row>
    <row r="794" spans="1:1" ht="21.95" customHeight="1" x14ac:dyDescent="0.25">
      <c r="A794" s="12"/>
    </row>
    <row r="795" spans="1:1" ht="21.95" customHeight="1" x14ac:dyDescent="0.25">
      <c r="A795" s="12"/>
    </row>
    <row r="796" spans="1:1" ht="21.95" customHeight="1" x14ac:dyDescent="0.25">
      <c r="A796" s="12"/>
    </row>
    <row r="797" spans="1:1" ht="21.95" customHeight="1" x14ac:dyDescent="0.25">
      <c r="A797" s="12"/>
    </row>
    <row r="798" spans="1:1" ht="21.95" customHeight="1" x14ac:dyDescent="0.25">
      <c r="A798" s="12"/>
    </row>
    <row r="799" spans="1:1" ht="21.95" customHeight="1" x14ac:dyDescent="0.25">
      <c r="A799" s="12"/>
    </row>
    <row r="800" spans="1:1" ht="21.95" customHeight="1" x14ac:dyDescent="0.25">
      <c r="A800" s="12"/>
    </row>
    <row r="801" spans="1:1" ht="21.95" customHeight="1" x14ac:dyDescent="0.25">
      <c r="A801" s="12"/>
    </row>
    <row r="802" spans="1:1" ht="21.95" customHeight="1" x14ac:dyDescent="0.25">
      <c r="A802" s="12"/>
    </row>
    <row r="803" spans="1:1" ht="21.95" customHeight="1" x14ac:dyDescent="0.25">
      <c r="A803" s="12"/>
    </row>
    <row r="804" spans="1:1" ht="21.95" customHeight="1" x14ac:dyDescent="0.25">
      <c r="A804" s="12"/>
    </row>
    <row r="805" spans="1:1" ht="21.95" customHeight="1" x14ac:dyDescent="0.25">
      <c r="A805" s="12"/>
    </row>
    <row r="806" spans="1:1" ht="21.95" customHeight="1" x14ac:dyDescent="0.25">
      <c r="A806" s="12"/>
    </row>
    <row r="807" spans="1:1" ht="21.95" customHeight="1" x14ac:dyDescent="0.25">
      <c r="A807" s="12"/>
    </row>
    <row r="808" spans="1:1" ht="21.95" customHeight="1" x14ac:dyDescent="0.25">
      <c r="A808" s="12"/>
    </row>
    <row r="809" spans="1:1" ht="21.95" customHeight="1" x14ac:dyDescent="0.25">
      <c r="A809" s="12"/>
    </row>
    <row r="810" spans="1:1" ht="21.95" customHeight="1" x14ac:dyDescent="0.25">
      <c r="A810" s="12"/>
    </row>
    <row r="811" spans="1:1" ht="21.95" customHeight="1" x14ac:dyDescent="0.25">
      <c r="A811" s="12"/>
    </row>
    <row r="812" spans="1:1" ht="21.95" customHeight="1" x14ac:dyDescent="0.25">
      <c r="A812" s="12"/>
    </row>
    <row r="813" spans="1:1" ht="21.95" customHeight="1" x14ac:dyDescent="0.25">
      <c r="A813" s="12"/>
    </row>
    <row r="814" spans="1:1" ht="21.95" customHeight="1" x14ac:dyDescent="0.25">
      <c r="A814" s="12"/>
    </row>
    <row r="815" spans="1:1" ht="21.95" customHeight="1" x14ac:dyDescent="0.25">
      <c r="A815" s="12"/>
    </row>
    <row r="816" spans="1:1" ht="21.95" customHeight="1" x14ac:dyDescent="0.25">
      <c r="A816" s="12"/>
    </row>
    <row r="817" spans="1:1" ht="21.95" customHeight="1" x14ac:dyDescent="0.25">
      <c r="A817" s="12"/>
    </row>
    <row r="818" spans="1:1" ht="21.95" customHeight="1" x14ac:dyDescent="0.25">
      <c r="A818" s="12"/>
    </row>
    <row r="819" spans="1:1" ht="21.95" customHeight="1" x14ac:dyDescent="0.25">
      <c r="A819" s="12"/>
    </row>
    <row r="820" spans="1:1" ht="21.95" customHeight="1" x14ac:dyDescent="0.25">
      <c r="A820" s="12"/>
    </row>
    <row r="821" spans="1:1" ht="21.95" customHeight="1" x14ac:dyDescent="0.25">
      <c r="A821" s="12"/>
    </row>
    <row r="822" spans="1:1" ht="21.95" customHeight="1" x14ac:dyDescent="0.25">
      <c r="A822" s="12"/>
    </row>
    <row r="823" spans="1:1" ht="21.95" customHeight="1" x14ac:dyDescent="0.25">
      <c r="A823" s="12"/>
    </row>
    <row r="824" spans="1:1" ht="21.95" customHeight="1" x14ac:dyDescent="0.25">
      <c r="A824" s="12"/>
    </row>
    <row r="825" spans="1:1" ht="21.95" customHeight="1" x14ac:dyDescent="0.25">
      <c r="A825" s="12"/>
    </row>
    <row r="826" spans="1:1" ht="21.95" customHeight="1" x14ac:dyDescent="0.25">
      <c r="A826" s="12"/>
    </row>
    <row r="827" spans="1:1" ht="21.95" customHeight="1" x14ac:dyDescent="0.25">
      <c r="A827" s="12"/>
    </row>
    <row r="828" spans="1:1" ht="21.95" customHeight="1" x14ac:dyDescent="0.25">
      <c r="A828" s="12"/>
    </row>
    <row r="829" spans="1:1" ht="21.95" customHeight="1" x14ac:dyDescent="0.25">
      <c r="A829" s="12"/>
    </row>
    <row r="830" spans="1:1" ht="21.95" customHeight="1" x14ac:dyDescent="0.25">
      <c r="A830" s="12"/>
    </row>
    <row r="831" spans="1:1" ht="21.95" customHeight="1" x14ac:dyDescent="0.25">
      <c r="A831" s="12"/>
    </row>
    <row r="832" spans="1:1" ht="21.95" customHeight="1" x14ac:dyDescent="0.25">
      <c r="A832" s="12"/>
    </row>
    <row r="833" spans="1:1" ht="21.95" customHeight="1" x14ac:dyDescent="0.25">
      <c r="A833" s="12"/>
    </row>
    <row r="834" spans="1:1" ht="21.95" customHeight="1" x14ac:dyDescent="0.25">
      <c r="A834" s="12"/>
    </row>
    <row r="835" spans="1:1" ht="21.95" customHeight="1" x14ac:dyDescent="0.25">
      <c r="A835" s="12"/>
    </row>
    <row r="836" spans="1:1" ht="21.95" customHeight="1" x14ac:dyDescent="0.25">
      <c r="A836" s="12"/>
    </row>
    <row r="837" spans="1:1" ht="21.95" customHeight="1" x14ac:dyDescent="0.25">
      <c r="A837" s="12"/>
    </row>
    <row r="838" spans="1:1" ht="21.95" customHeight="1" x14ac:dyDescent="0.25">
      <c r="A838" s="12"/>
    </row>
    <row r="839" spans="1:1" ht="21.95" customHeight="1" x14ac:dyDescent="0.25">
      <c r="A839" s="12"/>
    </row>
    <row r="840" spans="1:1" ht="21.95" customHeight="1" x14ac:dyDescent="0.25">
      <c r="A840" s="12"/>
    </row>
    <row r="841" spans="1:1" ht="21.95" customHeight="1" x14ac:dyDescent="0.25">
      <c r="A841" s="12"/>
    </row>
    <row r="842" spans="1:1" ht="21.95" customHeight="1" x14ac:dyDescent="0.25">
      <c r="A842" s="12"/>
    </row>
    <row r="843" spans="1:1" ht="21.95" customHeight="1" x14ac:dyDescent="0.25">
      <c r="A843" s="12"/>
    </row>
    <row r="844" spans="1:1" ht="21.95" customHeight="1" x14ac:dyDescent="0.25">
      <c r="A844" s="12"/>
    </row>
    <row r="845" spans="1:1" ht="21.95" customHeight="1" x14ac:dyDescent="0.25">
      <c r="A845" s="12"/>
    </row>
    <row r="846" spans="1:1" ht="21.95" customHeight="1" x14ac:dyDescent="0.25">
      <c r="A846" s="12"/>
    </row>
    <row r="847" spans="1:1" ht="21.95" customHeight="1" x14ac:dyDescent="0.25">
      <c r="A847" s="12"/>
    </row>
    <row r="848" spans="1:1" ht="21.95" customHeight="1" x14ac:dyDescent="0.25">
      <c r="A848" s="12"/>
    </row>
    <row r="849" spans="1:1" ht="21.95" customHeight="1" x14ac:dyDescent="0.25">
      <c r="A849" s="12"/>
    </row>
    <row r="850" spans="1:1" ht="21.95" customHeight="1" x14ac:dyDescent="0.25">
      <c r="A850" s="12"/>
    </row>
    <row r="851" spans="1:1" ht="21.95" customHeight="1" x14ac:dyDescent="0.25">
      <c r="A851" s="12"/>
    </row>
    <row r="852" spans="1:1" ht="21.95" customHeight="1" x14ac:dyDescent="0.25">
      <c r="A852" s="12"/>
    </row>
    <row r="853" spans="1:1" ht="21.95" customHeight="1" x14ac:dyDescent="0.25">
      <c r="A853" s="12"/>
    </row>
    <row r="854" spans="1:1" ht="21.95" customHeight="1" x14ac:dyDescent="0.25">
      <c r="A854" s="12"/>
    </row>
    <row r="855" spans="1:1" ht="21.95" customHeight="1" x14ac:dyDescent="0.25">
      <c r="A855" s="12"/>
    </row>
    <row r="856" spans="1:1" ht="21.95" customHeight="1" x14ac:dyDescent="0.25">
      <c r="A856" s="12"/>
    </row>
    <row r="857" spans="1:1" ht="21.95" customHeight="1" x14ac:dyDescent="0.25">
      <c r="A857" s="12"/>
    </row>
    <row r="858" spans="1:1" ht="21.95" customHeight="1" x14ac:dyDescent="0.25">
      <c r="A858" s="12"/>
    </row>
    <row r="859" spans="1:1" ht="21.95" customHeight="1" x14ac:dyDescent="0.25">
      <c r="A859" s="12"/>
    </row>
    <row r="860" spans="1:1" ht="21.95" customHeight="1" x14ac:dyDescent="0.25">
      <c r="A860" s="12"/>
    </row>
    <row r="861" spans="1:1" ht="21.95" customHeight="1" x14ac:dyDescent="0.25">
      <c r="A861" s="12"/>
    </row>
    <row r="862" spans="1:1" ht="21.95" customHeight="1" x14ac:dyDescent="0.25">
      <c r="A862" s="12"/>
    </row>
    <row r="863" spans="1:1" ht="21.95" customHeight="1" x14ac:dyDescent="0.25">
      <c r="A863" s="12"/>
    </row>
    <row r="864" spans="1:1" ht="21.95" customHeight="1" x14ac:dyDescent="0.25">
      <c r="A864" s="12"/>
    </row>
    <row r="865" spans="1:1" ht="21.95" customHeight="1" x14ac:dyDescent="0.25">
      <c r="A865" s="12"/>
    </row>
    <row r="866" spans="1:1" ht="21.95" customHeight="1" x14ac:dyDescent="0.25">
      <c r="A866" s="12"/>
    </row>
    <row r="867" spans="1:1" ht="21.95" customHeight="1" x14ac:dyDescent="0.25">
      <c r="A867" s="12"/>
    </row>
    <row r="868" spans="1:1" ht="21.95" customHeight="1" x14ac:dyDescent="0.25">
      <c r="A868" s="12"/>
    </row>
    <row r="869" spans="1:1" ht="21.95" customHeight="1" x14ac:dyDescent="0.25">
      <c r="A869" s="12"/>
    </row>
    <row r="870" spans="1:1" ht="21.95" customHeight="1" x14ac:dyDescent="0.25">
      <c r="A870" s="12"/>
    </row>
    <row r="871" spans="1:1" ht="21.95" customHeight="1" x14ac:dyDescent="0.25">
      <c r="A871" s="12"/>
    </row>
    <row r="872" spans="1:1" ht="21.95" customHeight="1" x14ac:dyDescent="0.25">
      <c r="A872" s="12"/>
    </row>
    <row r="873" spans="1:1" ht="21.95" customHeight="1" x14ac:dyDescent="0.25">
      <c r="A873" s="12"/>
    </row>
    <row r="874" spans="1:1" ht="21.95" customHeight="1" x14ac:dyDescent="0.25">
      <c r="A874" s="12"/>
    </row>
    <row r="875" spans="1:1" ht="21.95" customHeight="1" x14ac:dyDescent="0.25">
      <c r="A875" s="12"/>
    </row>
    <row r="876" spans="1:1" ht="21.95" customHeight="1" x14ac:dyDescent="0.25">
      <c r="A876" s="12"/>
    </row>
    <row r="877" spans="1:1" ht="21.95" customHeight="1" x14ac:dyDescent="0.25">
      <c r="A877" s="12"/>
    </row>
    <row r="878" spans="1:1" ht="21.95" customHeight="1" x14ac:dyDescent="0.25">
      <c r="A878" s="12"/>
    </row>
    <row r="879" spans="1:1" ht="21.95" customHeight="1" x14ac:dyDescent="0.25">
      <c r="A879" s="12"/>
    </row>
    <row r="880" spans="1:1" ht="21.95" customHeight="1" x14ac:dyDescent="0.25">
      <c r="A880" s="12"/>
    </row>
    <row r="881" spans="1:1" ht="21.95" customHeight="1" x14ac:dyDescent="0.25">
      <c r="A881" s="12"/>
    </row>
    <row r="882" spans="1:1" ht="21.95" customHeight="1" x14ac:dyDescent="0.25">
      <c r="A882" s="12"/>
    </row>
    <row r="883" spans="1:1" ht="21.95" customHeight="1" x14ac:dyDescent="0.25">
      <c r="A883" s="12"/>
    </row>
    <row r="884" spans="1:1" ht="21.95" customHeight="1" x14ac:dyDescent="0.25">
      <c r="A884" s="12"/>
    </row>
    <row r="885" spans="1:1" ht="21.95" customHeight="1" x14ac:dyDescent="0.25">
      <c r="A885" s="12"/>
    </row>
    <row r="886" spans="1:1" ht="21.95" customHeight="1" x14ac:dyDescent="0.25">
      <c r="A886" s="12"/>
    </row>
    <row r="887" spans="1:1" ht="21.95" customHeight="1" x14ac:dyDescent="0.25">
      <c r="A887" s="12"/>
    </row>
    <row r="888" spans="1:1" ht="21.95" customHeight="1" x14ac:dyDescent="0.25">
      <c r="A888" s="12"/>
    </row>
    <row r="889" spans="1:1" ht="21.95" customHeight="1" x14ac:dyDescent="0.25">
      <c r="A889" s="12"/>
    </row>
    <row r="890" spans="1:1" ht="21.95" customHeight="1" x14ac:dyDescent="0.25">
      <c r="A890" s="12"/>
    </row>
    <row r="891" spans="1:1" ht="21.95" customHeight="1" x14ac:dyDescent="0.25">
      <c r="A891" s="12"/>
    </row>
    <row r="892" spans="1:1" ht="21.95" customHeight="1" x14ac:dyDescent="0.25">
      <c r="A892" s="12"/>
    </row>
    <row r="893" spans="1:1" ht="21.95" customHeight="1" x14ac:dyDescent="0.25">
      <c r="A893" s="12"/>
    </row>
    <row r="894" spans="1:1" ht="21.95" customHeight="1" x14ac:dyDescent="0.25">
      <c r="A894" s="12"/>
    </row>
    <row r="895" spans="1:1" ht="21.95" customHeight="1" x14ac:dyDescent="0.25">
      <c r="A895" s="12"/>
    </row>
    <row r="896" spans="1:1" ht="21.95" customHeight="1" x14ac:dyDescent="0.25">
      <c r="A896" s="12"/>
    </row>
    <row r="897" spans="1:1" ht="21.95" customHeight="1" x14ac:dyDescent="0.25">
      <c r="A897" s="12"/>
    </row>
    <row r="898" spans="1:1" ht="21.95" customHeight="1" x14ac:dyDescent="0.25">
      <c r="A898" s="12"/>
    </row>
    <row r="899" spans="1:1" ht="21.95" customHeight="1" x14ac:dyDescent="0.25">
      <c r="A899" s="12"/>
    </row>
    <row r="900" spans="1:1" ht="21.95" customHeight="1" x14ac:dyDescent="0.25">
      <c r="A900" s="12"/>
    </row>
    <row r="901" spans="1:1" ht="21.95" customHeight="1" x14ac:dyDescent="0.25">
      <c r="A901" s="12"/>
    </row>
    <row r="902" spans="1:1" ht="21.95" customHeight="1" x14ac:dyDescent="0.25">
      <c r="A902" s="12"/>
    </row>
    <row r="903" spans="1:1" ht="21.95" customHeight="1" x14ac:dyDescent="0.25">
      <c r="A903" s="12"/>
    </row>
    <row r="904" spans="1:1" ht="21.95" customHeight="1" x14ac:dyDescent="0.25">
      <c r="A904" s="12"/>
    </row>
    <row r="905" spans="1:1" ht="21.95" customHeight="1" x14ac:dyDescent="0.25">
      <c r="A905" s="12"/>
    </row>
    <row r="906" spans="1:1" ht="21.95" customHeight="1" x14ac:dyDescent="0.25">
      <c r="A906" s="12"/>
    </row>
    <row r="907" spans="1:1" ht="21.95" customHeight="1" x14ac:dyDescent="0.25">
      <c r="A907" s="12"/>
    </row>
    <row r="908" spans="1:1" ht="21.95" customHeight="1" x14ac:dyDescent="0.25">
      <c r="A908" s="12"/>
    </row>
    <row r="909" spans="1:1" ht="21.95" customHeight="1" x14ac:dyDescent="0.25">
      <c r="A909" s="12"/>
    </row>
    <row r="910" spans="1:1" ht="21.95" customHeight="1" x14ac:dyDescent="0.25">
      <c r="A910" s="12"/>
    </row>
    <row r="911" spans="1:1" ht="21.95" customHeight="1" x14ac:dyDescent="0.25">
      <c r="A911" s="12"/>
    </row>
    <row r="912" spans="1:1" ht="21.95" customHeight="1" x14ac:dyDescent="0.25">
      <c r="A912" s="12"/>
    </row>
    <row r="913" spans="1:1" ht="21.95" customHeight="1" x14ac:dyDescent="0.25">
      <c r="A913" s="12"/>
    </row>
    <row r="914" spans="1:1" ht="21.95" customHeight="1" x14ac:dyDescent="0.25">
      <c r="A914" s="12"/>
    </row>
    <row r="915" spans="1:1" ht="21.95" customHeight="1" x14ac:dyDescent="0.25">
      <c r="A915" s="12"/>
    </row>
    <row r="916" spans="1:1" ht="21.95" customHeight="1" x14ac:dyDescent="0.25">
      <c r="A916" s="12"/>
    </row>
    <row r="917" spans="1:1" ht="21.95" customHeight="1" x14ac:dyDescent="0.25">
      <c r="A917" s="12"/>
    </row>
    <row r="918" spans="1:1" ht="21.95" customHeight="1" x14ac:dyDescent="0.25">
      <c r="A918" s="12"/>
    </row>
    <row r="919" spans="1:1" ht="21.95" customHeight="1" x14ac:dyDescent="0.25">
      <c r="A919" s="12"/>
    </row>
    <row r="920" spans="1:1" ht="21.95" customHeight="1" x14ac:dyDescent="0.25">
      <c r="A920" s="12"/>
    </row>
    <row r="921" spans="1:1" ht="21.95" customHeight="1" x14ac:dyDescent="0.25">
      <c r="A921" s="12"/>
    </row>
    <row r="922" spans="1:1" ht="21.95" customHeight="1" x14ac:dyDescent="0.25">
      <c r="A922" s="12"/>
    </row>
    <row r="923" spans="1:1" ht="21.95" customHeight="1" x14ac:dyDescent="0.25">
      <c r="A923" s="12"/>
    </row>
    <row r="924" spans="1:1" ht="21.95" customHeight="1" x14ac:dyDescent="0.25">
      <c r="A924" s="12"/>
    </row>
    <row r="925" spans="1:1" ht="21.95" customHeight="1" x14ac:dyDescent="0.25">
      <c r="A925" s="12"/>
    </row>
    <row r="926" spans="1:1" ht="21.95" customHeight="1" x14ac:dyDescent="0.25">
      <c r="A926" s="12"/>
    </row>
    <row r="927" spans="1:1" ht="21.95" customHeight="1" x14ac:dyDescent="0.25">
      <c r="A927" s="12"/>
    </row>
    <row r="928" spans="1:1" ht="21.95" customHeight="1" x14ac:dyDescent="0.25">
      <c r="A928" s="12"/>
    </row>
    <row r="929" spans="1:1" ht="21.95" customHeight="1" x14ac:dyDescent="0.25">
      <c r="A929" s="12"/>
    </row>
    <row r="930" spans="1:1" ht="21.95" customHeight="1" x14ac:dyDescent="0.25">
      <c r="A930" s="12"/>
    </row>
    <row r="931" spans="1:1" ht="21.95" customHeight="1" x14ac:dyDescent="0.25">
      <c r="A931" s="12"/>
    </row>
    <row r="932" spans="1:1" ht="21.95" customHeight="1" x14ac:dyDescent="0.25">
      <c r="A932" s="12"/>
    </row>
    <row r="933" spans="1:1" ht="21.95" customHeight="1" x14ac:dyDescent="0.25">
      <c r="A933" s="12"/>
    </row>
    <row r="934" spans="1:1" ht="21.95" customHeight="1" x14ac:dyDescent="0.25">
      <c r="A934" s="12"/>
    </row>
    <row r="935" spans="1:1" ht="21.95" customHeight="1" x14ac:dyDescent="0.25">
      <c r="A935" s="12"/>
    </row>
    <row r="936" spans="1:1" ht="21.95" customHeight="1" x14ac:dyDescent="0.25">
      <c r="A936" s="12"/>
    </row>
    <row r="937" spans="1:1" ht="21.95" customHeight="1" x14ac:dyDescent="0.25">
      <c r="A937" s="12"/>
    </row>
    <row r="938" spans="1:1" ht="21.95" customHeight="1" x14ac:dyDescent="0.25">
      <c r="A938" s="12"/>
    </row>
    <row r="939" spans="1:1" ht="21.95" customHeight="1" x14ac:dyDescent="0.25">
      <c r="A939" s="12"/>
    </row>
    <row r="940" spans="1:1" ht="21.95" customHeight="1" x14ac:dyDescent="0.25">
      <c r="A940" s="12"/>
    </row>
    <row r="941" spans="1:1" ht="21.95" customHeight="1" x14ac:dyDescent="0.25">
      <c r="A941" s="12"/>
    </row>
    <row r="942" spans="1:1" ht="21.95" customHeight="1" x14ac:dyDescent="0.25">
      <c r="A942" s="12"/>
    </row>
    <row r="943" spans="1:1" ht="21.95" customHeight="1" x14ac:dyDescent="0.25">
      <c r="A943" s="12"/>
    </row>
    <row r="944" spans="1:1" ht="21.95" customHeight="1" x14ac:dyDescent="0.25">
      <c r="A944" s="12"/>
    </row>
    <row r="945" spans="1:1" ht="21.95" customHeight="1" x14ac:dyDescent="0.25">
      <c r="A945" s="12"/>
    </row>
    <row r="946" spans="1:1" ht="21.95" customHeight="1" x14ac:dyDescent="0.25">
      <c r="A946" s="12"/>
    </row>
    <row r="947" spans="1:1" ht="21.95" customHeight="1" x14ac:dyDescent="0.25">
      <c r="A947" s="12"/>
    </row>
    <row r="948" spans="1:1" ht="21.95" customHeight="1" x14ac:dyDescent="0.25">
      <c r="A948" s="12"/>
    </row>
    <row r="949" spans="1:1" ht="21.95" customHeight="1" x14ac:dyDescent="0.25">
      <c r="A949" s="12"/>
    </row>
    <row r="950" spans="1:1" ht="21.95" customHeight="1" x14ac:dyDescent="0.25">
      <c r="A950" s="12"/>
    </row>
    <row r="951" spans="1:1" ht="21.95" customHeight="1" x14ac:dyDescent="0.25">
      <c r="A951" s="12"/>
    </row>
    <row r="952" spans="1:1" ht="21.95" customHeight="1" x14ac:dyDescent="0.25">
      <c r="A952" s="12"/>
    </row>
    <row r="953" spans="1:1" ht="21.95" customHeight="1" x14ac:dyDescent="0.25">
      <c r="A953" s="12"/>
    </row>
    <row r="954" spans="1:1" ht="21.95" customHeight="1" x14ac:dyDescent="0.25">
      <c r="A954" s="12"/>
    </row>
    <row r="955" spans="1:1" ht="21.95" customHeight="1" x14ac:dyDescent="0.25">
      <c r="A955" s="12"/>
    </row>
    <row r="956" spans="1:1" ht="21.95" customHeight="1" x14ac:dyDescent="0.25">
      <c r="A956" s="12"/>
    </row>
    <row r="957" spans="1:1" ht="21.95" customHeight="1" x14ac:dyDescent="0.25">
      <c r="A957" s="12"/>
    </row>
    <row r="958" spans="1:1" ht="21.95" customHeight="1" x14ac:dyDescent="0.25">
      <c r="A958" s="12"/>
    </row>
    <row r="959" spans="1:1" ht="21.95" customHeight="1" x14ac:dyDescent="0.25">
      <c r="A959" s="12"/>
    </row>
    <row r="960" spans="1:1" ht="21.95" customHeight="1" x14ac:dyDescent="0.25">
      <c r="A960" s="12"/>
    </row>
    <row r="961" spans="1:1" ht="21.95" customHeight="1" x14ac:dyDescent="0.25">
      <c r="A961" s="12"/>
    </row>
    <row r="962" spans="1:1" ht="21.95" customHeight="1" x14ac:dyDescent="0.25">
      <c r="A962" s="12"/>
    </row>
    <row r="963" spans="1:1" ht="21.95" customHeight="1" x14ac:dyDescent="0.25">
      <c r="A963" s="12"/>
    </row>
    <row r="964" spans="1:1" ht="21.95" customHeight="1" x14ac:dyDescent="0.25">
      <c r="A964" s="12"/>
    </row>
    <row r="965" spans="1:1" ht="21.95" customHeight="1" x14ac:dyDescent="0.25">
      <c r="A965" s="12"/>
    </row>
    <row r="966" spans="1:1" ht="21.95" customHeight="1" x14ac:dyDescent="0.25">
      <c r="A966" s="12"/>
    </row>
    <row r="967" spans="1:1" ht="21.95" customHeight="1" x14ac:dyDescent="0.25">
      <c r="A967" s="12"/>
    </row>
    <row r="968" spans="1:1" ht="21.95" customHeight="1" x14ac:dyDescent="0.25">
      <c r="A968" s="12"/>
    </row>
    <row r="969" spans="1:1" ht="21.95" customHeight="1" x14ac:dyDescent="0.25">
      <c r="A969" s="12"/>
    </row>
    <row r="970" spans="1:1" ht="21.95" customHeight="1" x14ac:dyDescent="0.25">
      <c r="A970" s="12"/>
    </row>
    <row r="971" spans="1:1" ht="21.95" customHeight="1" x14ac:dyDescent="0.25">
      <c r="A971" s="12"/>
    </row>
    <row r="972" spans="1:1" ht="21.95" customHeight="1" x14ac:dyDescent="0.25">
      <c r="A972" s="12"/>
    </row>
    <row r="973" spans="1:1" ht="21.95" customHeight="1" x14ac:dyDescent="0.25">
      <c r="A973" s="12"/>
    </row>
    <row r="974" spans="1:1" ht="21.95" customHeight="1" x14ac:dyDescent="0.25">
      <c r="A974" s="12"/>
    </row>
    <row r="975" spans="1:1" ht="21.95" customHeight="1" x14ac:dyDescent="0.25">
      <c r="A975" s="12"/>
    </row>
    <row r="976" spans="1:1" ht="21.95" customHeight="1" x14ac:dyDescent="0.25">
      <c r="A976" s="12"/>
    </row>
    <row r="977" spans="1:1" ht="21.95" customHeight="1" x14ac:dyDescent="0.25">
      <c r="A977" s="12"/>
    </row>
    <row r="978" spans="1:1" ht="21.95" customHeight="1" x14ac:dyDescent="0.25">
      <c r="A978" s="12"/>
    </row>
    <row r="979" spans="1:1" ht="21.95" customHeight="1" x14ac:dyDescent="0.25">
      <c r="A979" s="12"/>
    </row>
    <row r="980" spans="1:1" ht="21.95" customHeight="1" x14ac:dyDescent="0.25">
      <c r="A980" s="12"/>
    </row>
    <row r="981" spans="1:1" ht="21.95" customHeight="1" x14ac:dyDescent="0.25">
      <c r="A981" s="12"/>
    </row>
    <row r="982" spans="1:1" ht="21.95" customHeight="1" x14ac:dyDescent="0.25">
      <c r="A982" s="12"/>
    </row>
    <row r="983" spans="1:1" ht="21.95" customHeight="1" x14ac:dyDescent="0.25">
      <c r="A983" s="12"/>
    </row>
    <row r="984" spans="1:1" ht="21.95" customHeight="1" x14ac:dyDescent="0.25">
      <c r="A984" s="12"/>
    </row>
    <row r="985" spans="1:1" ht="21.95" customHeight="1" x14ac:dyDescent="0.25">
      <c r="A985" s="12"/>
    </row>
    <row r="986" spans="1:1" ht="21.95" customHeight="1" x14ac:dyDescent="0.25">
      <c r="A986" s="12"/>
    </row>
    <row r="987" spans="1:1" ht="21.95" customHeight="1" x14ac:dyDescent="0.25">
      <c r="A987" s="12"/>
    </row>
    <row r="988" spans="1:1" ht="21.95" customHeight="1" x14ac:dyDescent="0.25">
      <c r="A988" s="12"/>
    </row>
    <row r="989" spans="1:1" ht="21.95" customHeight="1" x14ac:dyDescent="0.25">
      <c r="A989" s="12"/>
    </row>
    <row r="990" spans="1:1" ht="21.95" customHeight="1" x14ac:dyDescent="0.25">
      <c r="A990" s="12"/>
    </row>
    <row r="991" spans="1:1" ht="21.95" customHeight="1" x14ac:dyDescent="0.25">
      <c r="A991" s="12"/>
    </row>
    <row r="992" spans="1:1" ht="21.95" customHeight="1" x14ac:dyDescent="0.25">
      <c r="A992" s="12"/>
    </row>
    <row r="993" spans="1:1" ht="21.95" customHeight="1" x14ac:dyDescent="0.25">
      <c r="A993" s="12"/>
    </row>
    <row r="994" spans="1:1" ht="21.95" customHeight="1" x14ac:dyDescent="0.25">
      <c r="A994" s="12"/>
    </row>
    <row r="995" spans="1:1" ht="21.95" customHeight="1" x14ac:dyDescent="0.25">
      <c r="A995" s="12"/>
    </row>
    <row r="996" spans="1:1" ht="21.95" customHeight="1" x14ac:dyDescent="0.25">
      <c r="A996" s="12"/>
    </row>
    <row r="997" spans="1:1" ht="21.95" customHeight="1" x14ac:dyDescent="0.25">
      <c r="A997" s="12"/>
    </row>
    <row r="998" spans="1:1" ht="21.95" customHeight="1" x14ac:dyDescent="0.25">
      <c r="A998" s="12"/>
    </row>
    <row r="999" spans="1:1" ht="21.95" customHeight="1" x14ac:dyDescent="0.25">
      <c r="A999" s="12"/>
    </row>
    <row r="1000" spans="1:1" ht="21.95" customHeight="1" x14ac:dyDescent="0.25">
      <c r="A1000" s="12"/>
    </row>
    <row r="1001" spans="1:1" ht="21.95" customHeight="1" x14ac:dyDescent="0.25">
      <c r="A1001" s="12"/>
    </row>
    <row r="1002" spans="1:1" ht="21.95" customHeight="1" x14ac:dyDescent="0.25">
      <c r="A1002" s="12"/>
    </row>
    <row r="1003" spans="1:1" ht="21.95" customHeight="1" x14ac:dyDescent="0.25">
      <c r="A1003" s="12"/>
    </row>
    <row r="1004" spans="1:1" ht="21.95" customHeight="1" x14ac:dyDescent="0.25">
      <c r="A1004" s="12"/>
    </row>
    <row r="1005" spans="1:1" ht="21.95" customHeight="1" x14ac:dyDescent="0.25">
      <c r="A1005" s="12"/>
    </row>
    <row r="1006" spans="1:1" ht="21.95" customHeight="1" x14ac:dyDescent="0.25">
      <c r="A1006" s="12"/>
    </row>
    <row r="1007" spans="1:1" ht="21.95" customHeight="1" x14ac:dyDescent="0.25">
      <c r="A1007" s="12"/>
    </row>
    <row r="1008" spans="1:1" ht="21.95" customHeight="1" x14ac:dyDescent="0.25">
      <c r="A1008" s="12"/>
    </row>
    <row r="1009" spans="1:1" ht="21.95" customHeight="1" x14ac:dyDescent="0.25">
      <c r="A1009" s="12"/>
    </row>
    <row r="1010" spans="1:1" ht="21.95" customHeight="1" x14ac:dyDescent="0.25">
      <c r="A1010" s="12"/>
    </row>
    <row r="1011" spans="1:1" ht="21.95" customHeight="1" x14ac:dyDescent="0.25">
      <c r="A1011" s="12"/>
    </row>
    <row r="1012" spans="1:1" ht="21.95" customHeight="1" x14ac:dyDescent="0.25">
      <c r="A1012" s="12"/>
    </row>
    <row r="1013" spans="1:1" ht="21.95" customHeight="1" x14ac:dyDescent="0.25">
      <c r="A1013" s="12"/>
    </row>
    <row r="1014" spans="1:1" ht="21.95" customHeight="1" x14ac:dyDescent="0.25">
      <c r="A1014" s="12"/>
    </row>
    <row r="1015" spans="1:1" ht="21.95" customHeight="1" x14ac:dyDescent="0.25">
      <c r="A1015" s="12"/>
    </row>
    <row r="1016" spans="1:1" ht="21.95" customHeight="1" x14ac:dyDescent="0.25">
      <c r="A1016" s="12"/>
    </row>
    <row r="1017" spans="1:1" ht="21.95" customHeight="1" x14ac:dyDescent="0.25">
      <c r="A1017" s="12"/>
    </row>
    <row r="1018" spans="1:1" ht="21.95" customHeight="1" x14ac:dyDescent="0.25">
      <c r="A1018" s="12"/>
    </row>
    <row r="1019" spans="1:1" ht="21.95" customHeight="1" x14ac:dyDescent="0.25">
      <c r="A1019" s="12"/>
    </row>
    <row r="1020" spans="1:1" ht="21.95" customHeight="1" x14ac:dyDescent="0.25">
      <c r="A1020" s="12"/>
    </row>
    <row r="1021" spans="1:1" ht="21.95" customHeight="1" x14ac:dyDescent="0.25">
      <c r="A1021" s="12"/>
    </row>
    <row r="1022" spans="1:1" ht="21.95" customHeight="1" x14ac:dyDescent="0.25">
      <c r="A1022" s="12"/>
    </row>
    <row r="1023" spans="1:1" ht="21.95" customHeight="1" x14ac:dyDescent="0.25">
      <c r="A1023" s="12"/>
    </row>
    <row r="1024" spans="1:1" ht="21.95" customHeight="1" x14ac:dyDescent="0.25">
      <c r="A1024" s="12"/>
    </row>
    <row r="1025" spans="1:1" ht="21.95" customHeight="1" x14ac:dyDescent="0.25">
      <c r="A1025" s="12"/>
    </row>
    <row r="1026" spans="1:1" ht="21.95" customHeight="1" x14ac:dyDescent="0.25">
      <c r="A1026" s="12"/>
    </row>
    <row r="1027" spans="1:1" ht="21.95" customHeight="1" x14ac:dyDescent="0.25">
      <c r="A1027" s="12"/>
    </row>
    <row r="1028" spans="1:1" ht="21.95" customHeight="1" x14ac:dyDescent="0.25">
      <c r="A1028" s="12"/>
    </row>
    <row r="1029" spans="1:1" ht="21.95" customHeight="1" x14ac:dyDescent="0.25">
      <c r="A1029" s="12"/>
    </row>
    <row r="1030" spans="1:1" ht="21.95" customHeight="1" x14ac:dyDescent="0.25">
      <c r="A1030" s="12"/>
    </row>
    <row r="1031" spans="1:1" ht="21.95" customHeight="1" x14ac:dyDescent="0.25">
      <c r="A1031" s="12"/>
    </row>
    <row r="1032" spans="1:1" ht="21.95" customHeight="1" x14ac:dyDescent="0.25">
      <c r="A1032" s="12"/>
    </row>
    <row r="1033" spans="1:1" ht="21.95" customHeight="1" x14ac:dyDescent="0.25">
      <c r="A1033" s="12"/>
    </row>
    <row r="1034" spans="1:1" ht="21.95" customHeight="1" x14ac:dyDescent="0.25">
      <c r="A1034" s="12"/>
    </row>
    <row r="1035" spans="1:1" ht="21.95" customHeight="1" x14ac:dyDescent="0.25">
      <c r="A1035" s="12"/>
    </row>
    <row r="1036" spans="1:1" ht="21.95" customHeight="1" x14ac:dyDescent="0.25">
      <c r="A1036" s="12"/>
    </row>
    <row r="1037" spans="1:1" ht="21.95" customHeight="1" x14ac:dyDescent="0.25">
      <c r="A1037" s="12"/>
    </row>
    <row r="1038" spans="1:1" ht="21.95" customHeight="1" x14ac:dyDescent="0.25">
      <c r="A1038" s="12"/>
    </row>
    <row r="1039" spans="1:1" ht="21.95" customHeight="1" x14ac:dyDescent="0.25">
      <c r="A1039" s="12"/>
    </row>
    <row r="1040" spans="1:1" ht="21.95" customHeight="1" x14ac:dyDescent="0.25">
      <c r="A1040" s="12"/>
    </row>
    <row r="1041" spans="1:1" ht="21.95" customHeight="1" x14ac:dyDescent="0.25">
      <c r="A1041" s="12"/>
    </row>
    <row r="1042" spans="1:1" ht="21.95" customHeight="1" x14ac:dyDescent="0.25">
      <c r="A1042" s="12"/>
    </row>
    <row r="1043" spans="1:1" ht="21.95" customHeight="1" x14ac:dyDescent="0.25">
      <c r="A1043" s="12"/>
    </row>
    <row r="1044" spans="1:1" ht="21.95" customHeight="1" x14ac:dyDescent="0.25">
      <c r="A1044" s="12"/>
    </row>
    <row r="1045" spans="1:1" ht="21.95" customHeight="1" x14ac:dyDescent="0.25">
      <c r="A1045" s="12"/>
    </row>
    <row r="1046" spans="1:1" ht="21.95" customHeight="1" x14ac:dyDescent="0.25">
      <c r="A1046" s="12"/>
    </row>
    <row r="1047" spans="1:1" ht="21.95" customHeight="1" x14ac:dyDescent="0.25">
      <c r="A1047" s="12"/>
    </row>
    <row r="1048" spans="1:1" ht="21.95" customHeight="1" x14ac:dyDescent="0.25">
      <c r="A1048" s="12"/>
    </row>
    <row r="1049" spans="1:1" ht="21.95" customHeight="1" x14ac:dyDescent="0.25">
      <c r="A1049" s="12"/>
    </row>
    <row r="1050" spans="1:1" ht="21.95" customHeight="1" x14ac:dyDescent="0.25">
      <c r="A1050" s="12"/>
    </row>
    <row r="1051" spans="1:1" ht="21.95" customHeight="1" x14ac:dyDescent="0.25">
      <c r="A1051" s="12"/>
    </row>
    <row r="1052" spans="1:1" ht="21.95" customHeight="1" x14ac:dyDescent="0.25">
      <c r="A1052" s="12"/>
    </row>
    <row r="1053" spans="1:1" ht="21.95" customHeight="1" x14ac:dyDescent="0.25">
      <c r="A1053" s="12"/>
    </row>
    <row r="1054" spans="1:1" ht="21.95" customHeight="1" x14ac:dyDescent="0.25">
      <c r="A1054" s="12"/>
    </row>
    <row r="1055" spans="1:1" ht="21.95" customHeight="1" x14ac:dyDescent="0.25">
      <c r="A1055" s="12"/>
    </row>
    <row r="1056" spans="1:1" ht="21.95" customHeight="1" x14ac:dyDescent="0.25">
      <c r="A1056" s="12"/>
    </row>
    <row r="1057" spans="1:1" ht="21.95" customHeight="1" x14ac:dyDescent="0.25">
      <c r="A1057" s="12"/>
    </row>
    <row r="1058" spans="1:1" ht="21.95" customHeight="1" x14ac:dyDescent="0.25">
      <c r="A1058" s="12"/>
    </row>
    <row r="1059" spans="1:1" ht="21.95" customHeight="1" x14ac:dyDescent="0.25">
      <c r="A1059" s="12"/>
    </row>
    <row r="1060" spans="1:1" ht="21.95" customHeight="1" x14ac:dyDescent="0.25">
      <c r="A1060" s="12"/>
    </row>
    <row r="1061" spans="1:1" ht="21.95" customHeight="1" x14ac:dyDescent="0.25">
      <c r="A1061" s="12"/>
    </row>
    <row r="1062" spans="1:1" ht="21.95" customHeight="1" x14ac:dyDescent="0.25">
      <c r="A1062" s="12"/>
    </row>
    <row r="1063" spans="1:1" ht="21.95" customHeight="1" x14ac:dyDescent="0.25">
      <c r="A1063" s="12"/>
    </row>
    <row r="1064" spans="1:1" ht="21.95" customHeight="1" x14ac:dyDescent="0.25">
      <c r="A1064" s="12"/>
    </row>
    <row r="1065" spans="1:1" ht="21.95" customHeight="1" x14ac:dyDescent="0.25">
      <c r="A1065" s="12"/>
    </row>
    <row r="1066" spans="1:1" ht="21.95" customHeight="1" x14ac:dyDescent="0.25">
      <c r="A1066" s="12"/>
    </row>
    <row r="1067" spans="1:1" ht="21.95" customHeight="1" x14ac:dyDescent="0.25">
      <c r="A1067" s="12"/>
    </row>
    <row r="1068" spans="1:1" ht="21.95" customHeight="1" x14ac:dyDescent="0.25">
      <c r="A1068" s="12"/>
    </row>
    <row r="1069" spans="1:1" ht="21.95" customHeight="1" x14ac:dyDescent="0.25">
      <c r="A1069" s="12"/>
    </row>
    <row r="1070" spans="1:1" ht="21.95" customHeight="1" x14ac:dyDescent="0.25">
      <c r="A1070" s="12"/>
    </row>
    <row r="1071" spans="1:1" ht="21.95" customHeight="1" x14ac:dyDescent="0.25">
      <c r="A1071" s="12"/>
    </row>
    <row r="1072" spans="1:1" ht="21.95" customHeight="1" x14ac:dyDescent="0.25">
      <c r="A1072" s="12"/>
    </row>
    <row r="1073" spans="1:1" ht="21.95" customHeight="1" x14ac:dyDescent="0.25">
      <c r="A1073" s="12"/>
    </row>
    <row r="1074" spans="1:1" ht="21.95" customHeight="1" x14ac:dyDescent="0.25">
      <c r="A1074" s="12"/>
    </row>
    <row r="1075" spans="1:1" ht="21.95" customHeight="1" x14ac:dyDescent="0.25">
      <c r="A1075" s="12"/>
    </row>
    <row r="1076" spans="1:1" ht="21.95" customHeight="1" x14ac:dyDescent="0.25">
      <c r="A1076" s="12"/>
    </row>
    <row r="1077" spans="1:1" ht="21.95" customHeight="1" x14ac:dyDescent="0.25">
      <c r="A1077" s="12"/>
    </row>
    <row r="1078" spans="1:1" ht="21.95" customHeight="1" x14ac:dyDescent="0.25">
      <c r="A1078" s="12"/>
    </row>
    <row r="1079" spans="1:1" ht="21.95" customHeight="1" x14ac:dyDescent="0.25">
      <c r="A1079" s="12"/>
    </row>
    <row r="1080" spans="1:1" ht="21.95" customHeight="1" x14ac:dyDescent="0.25">
      <c r="A1080" s="12"/>
    </row>
    <row r="1081" spans="1:1" ht="21.95" customHeight="1" x14ac:dyDescent="0.25">
      <c r="A1081" s="12"/>
    </row>
    <row r="1082" spans="1:1" ht="21.95" customHeight="1" x14ac:dyDescent="0.25">
      <c r="A1082" s="12"/>
    </row>
    <row r="1083" spans="1:1" ht="21.95" customHeight="1" x14ac:dyDescent="0.25">
      <c r="A1083" s="12"/>
    </row>
    <row r="1084" spans="1:1" ht="21.95" customHeight="1" x14ac:dyDescent="0.25">
      <c r="A1084" s="12"/>
    </row>
    <row r="1085" spans="1:1" ht="21.95" customHeight="1" x14ac:dyDescent="0.25">
      <c r="A1085" s="12"/>
    </row>
    <row r="1086" spans="1:1" ht="21.95" customHeight="1" x14ac:dyDescent="0.25">
      <c r="A1086" s="12"/>
    </row>
    <row r="1087" spans="1:1" ht="21.95" customHeight="1" x14ac:dyDescent="0.25">
      <c r="A1087" s="12"/>
    </row>
    <row r="1088" spans="1:1" ht="21.95" customHeight="1" x14ac:dyDescent="0.25">
      <c r="A1088" s="12"/>
    </row>
    <row r="1089" spans="1:1" ht="21.95" customHeight="1" x14ac:dyDescent="0.25">
      <c r="A1089" s="12"/>
    </row>
    <row r="1090" spans="1:1" ht="21.95" customHeight="1" x14ac:dyDescent="0.25">
      <c r="A1090" s="12"/>
    </row>
    <row r="1091" spans="1:1" ht="21.95" customHeight="1" x14ac:dyDescent="0.25">
      <c r="A1091" s="12"/>
    </row>
    <row r="1092" spans="1:1" ht="21.95" customHeight="1" x14ac:dyDescent="0.25">
      <c r="A1092" s="12"/>
    </row>
    <row r="1093" spans="1:1" ht="21.95" customHeight="1" x14ac:dyDescent="0.25">
      <c r="A1093" s="12"/>
    </row>
    <row r="1094" spans="1:1" ht="21.95" customHeight="1" x14ac:dyDescent="0.25">
      <c r="A1094" s="12"/>
    </row>
    <row r="1095" spans="1:1" ht="21.95" customHeight="1" x14ac:dyDescent="0.25">
      <c r="A1095" s="12"/>
    </row>
    <row r="1096" spans="1:1" ht="21.95" customHeight="1" x14ac:dyDescent="0.25">
      <c r="A1096" s="12"/>
    </row>
    <row r="1097" spans="1:1" ht="21.95" customHeight="1" x14ac:dyDescent="0.25">
      <c r="A1097" s="12"/>
    </row>
    <row r="1098" spans="1:1" ht="21.95" customHeight="1" x14ac:dyDescent="0.25">
      <c r="A1098" s="12"/>
    </row>
    <row r="1099" spans="1:1" ht="21.95" customHeight="1" x14ac:dyDescent="0.25">
      <c r="A1099" s="12"/>
    </row>
  </sheetData>
  <mergeCells count="4">
    <mergeCell ref="F13:J13"/>
    <mergeCell ref="B1:P1"/>
    <mergeCell ref="F14:J15"/>
    <mergeCell ref="B2:P2"/>
  </mergeCells>
  <conditionalFormatting sqref="C9:N9">
    <cfRule type="cellIs" dxfId="1" priority="1" operator="lessThan">
      <formula>0</formula>
    </cfRule>
    <cfRule type="cellIs" dxfId="0" priority="2" operator="greaterThanOr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Inicio</vt:lpstr>
      <vt:lpstr>Registro Mensual</vt:lpstr>
      <vt:lpstr>Categorias</vt:lpstr>
      <vt:lpstr>Dashboard</vt:lpstr>
      <vt:lpstr>Resumen Mensual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UsuarioCompuElite</cp:lastModifiedBy>
  <dcterms:created xsi:type="dcterms:W3CDTF">2026-07-12T04:02:34Z</dcterms:created>
  <dcterms:modified xsi:type="dcterms:W3CDTF">2026-07-12T04:06:03Z</dcterms:modified>
</cp:coreProperties>
</file>