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CompuElite\Downloads\"/>
    </mc:Choice>
  </mc:AlternateContent>
  <xr:revisionPtr revIDLastSave="0" documentId="13_ncr:1_{AA78147E-0880-45E1-948A-93A729C65A59}" xr6:coauthVersionLast="36" xr6:coauthVersionMax="47" xr10:uidLastSave="{00000000-0000-0000-0000-000000000000}"/>
  <bookViews>
    <workbookView xWindow="0" yWindow="0" windowWidth="28800" windowHeight="12105" tabRatio="500" firstSheet="2" activeTab="2" xr2:uid="{00000000-000D-0000-FFFF-FFFF00000000}"/>
  </bookViews>
  <sheets>
    <sheet name="Inicio" sheetId="1" r:id="rId1"/>
    <sheet name="Teoría" sheetId="2" r:id="rId2"/>
    <sheet name="Activos" sheetId="3" r:id="rId3"/>
    <sheet name="Pasivos" sheetId="4" r:id="rId4"/>
    <sheet name="Patrimonio" sheetId="5" r:id="rId5"/>
    <sheet name="Estado de Resultados" sheetId="6" r:id="rId6"/>
    <sheet name="Estados Financieros" sheetId="7" r:id="rId7"/>
    <sheet name="Ratios" sheetId="8" r:id="rId8"/>
    <sheet name="Dashboard" sheetId="9" r:id="rId9"/>
    <sheet name="Planes de Acción" sheetId="10" r:id="rId10"/>
    <sheet name="BD" sheetId="12" state="hidden" r:id="rId11"/>
  </sheets>
  <functionGroups builtInGroupCount="19"/>
  <definedNames>
    <definedName name="bd_ACTC">BD!$B$10</definedName>
    <definedName name="bd_ACTN">BD!$B$23</definedName>
    <definedName name="bd_ERS">BD!$B$70</definedName>
    <definedName name="bd_PASC">BD!$B$35</definedName>
    <definedName name="bd_PASN">BD!$B$48</definedName>
    <definedName name="bd_PAT">BD!$B$59</definedName>
    <definedName name="ed_ACTC">Activos!$C$7:$N$17</definedName>
    <definedName name="ed_ACTN">Activos!$C$22:$N$31</definedName>
    <definedName name="ed_ERS">'Estado de Resultados'!$D$7:$O$19</definedName>
    <definedName name="ed_PASC">Pasivos!$C$7:$N$17</definedName>
    <definedName name="ed_PASN">Pasivos!$C$22:$N$30</definedName>
    <definedName name="ed_PAT">Patrimonio!$C$7:$N$15</definedName>
    <definedName name="mk_ACTC">BD!$A$1</definedName>
    <definedName name="mk_ACTN">BD!$A$2</definedName>
    <definedName name="mk_ERS">BD!$A$6</definedName>
    <definedName name="mk_PASC">BD!$A$3</definedName>
    <definedName name="mk_PASN">BD!$A$4</definedName>
    <definedName name="mk_PAT">BD!$A$5</definedName>
    <definedName name="yr_ACTC">Activos!$C$2</definedName>
    <definedName name="yr_ACTN">Activos!$C$2</definedName>
    <definedName name="yr_ERS">'Estado de Resultados'!$D$2</definedName>
    <definedName name="yr_PASC">Pasivos!$C$2</definedName>
    <definedName name="yr_PASN">Pasivos!$C$2</definedName>
    <definedName name="yr_PAT">Patrimonio!$C$2</definedName>
  </definedNames>
  <calcPr calcId="191029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B82" i="12" l="1"/>
  <c r="DA82" i="12"/>
  <c r="CZ82" i="12"/>
  <c r="CY82" i="12"/>
  <c r="CX82" i="12"/>
  <c r="CW82" i="12"/>
  <c r="CV82" i="12"/>
  <c r="CU82" i="12"/>
  <c r="DB81" i="12"/>
  <c r="DA81" i="12"/>
  <c r="CZ81" i="12"/>
  <c r="CY81" i="12"/>
  <c r="CX81" i="12"/>
  <c r="CW81" i="12"/>
  <c r="CV81" i="12"/>
  <c r="CU81" i="12"/>
  <c r="DB80" i="12"/>
  <c r="DA80" i="12"/>
  <c r="CZ80" i="12"/>
  <c r="CY80" i="12"/>
  <c r="CX80" i="12"/>
  <c r="CW80" i="12"/>
  <c r="CV80" i="12"/>
  <c r="CU80" i="12"/>
  <c r="DB79" i="12"/>
  <c r="DA79" i="12"/>
  <c r="CZ79" i="12"/>
  <c r="CY79" i="12"/>
  <c r="CX79" i="12"/>
  <c r="CW79" i="12"/>
  <c r="CV79" i="12"/>
  <c r="CU79" i="12"/>
  <c r="DB78" i="12"/>
  <c r="DA78" i="12"/>
  <c r="CZ78" i="12"/>
  <c r="CY78" i="12"/>
  <c r="CX78" i="12"/>
  <c r="CW78" i="12"/>
  <c r="CV78" i="12"/>
  <c r="CU78" i="12"/>
  <c r="DB77" i="12"/>
  <c r="J219" i="12" s="1"/>
  <c r="DA77" i="12"/>
  <c r="I219" i="12" s="1"/>
  <c r="CZ77" i="12"/>
  <c r="H219" i="12" s="1"/>
  <c r="CY77" i="12"/>
  <c r="G219" i="12" s="1"/>
  <c r="CX77" i="12"/>
  <c r="F219" i="12" s="1"/>
  <c r="CW77" i="12"/>
  <c r="E219" i="12" s="1"/>
  <c r="CV77" i="12"/>
  <c r="D219" i="12" s="1"/>
  <c r="CU77" i="12"/>
  <c r="C219" i="12" s="1"/>
  <c r="DB76" i="12"/>
  <c r="DA76" i="12"/>
  <c r="CZ76" i="12"/>
  <c r="CY76" i="12"/>
  <c r="CX76" i="12"/>
  <c r="CW76" i="12"/>
  <c r="CV76" i="12"/>
  <c r="CU76" i="12"/>
  <c r="DB75" i="12"/>
  <c r="DA75" i="12"/>
  <c r="CZ75" i="12"/>
  <c r="CY75" i="12"/>
  <c r="CX75" i="12"/>
  <c r="CW75" i="12"/>
  <c r="CV75" i="12"/>
  <c r="CU75" i="12"/>
  <c r="DB74" i="12"/>
  <c r="DA74" i="12"/>
  <c r="CZ74" i="12"/>
  <c r="CY74" i="12"/>
  <c r="CX74" i="12"/>
  <c r="CW74" i="12"/>
  <c r="CV74" i="12"/>
  <c r="CU74" i="12"/>
  <c r="DB73" i="12"/>
  <c r="DA73" i="12"/>
  <c r="CZ73" i="12"/>
  <c r="CY73" i="12"/>
  <c r="CX73" i="12"/>
  <c r="CW73" i="12"/>
  <c r="CV73" i="12"/>
  <c r="CU73" i="12"/>
  <c r="DB72" i="12"/>
  <c r="DA72" i="12"/>
  <c r="CZ72" i="12"/>
  <c r="CY72" i="12"/>
  <c r="CX72" i="12"/>
  <c r="CW72" i="12"/>
  <c r="CV72" i="12"/>
  <c r="CU72" i="12"/>
  <c r="DB71" i="12"/>
  <c r="J216" i="12" s="1"/>
  <c r="DA71" i="12"/>
  <c r="I216" i="12" s="1"/>
  <c r="CZ71" i="12"/>
  <c r="H216" i="12" s="1"/>
  <c r="CY71" i="12"/>
  <c r="G216" i="12" s="1"/>
  <c r="CX71" i="12"/>
  <c r="F216" i="12" s="1"/>
  <c r="CW71" i="12"/>
  <c r="E216" i="12" s="1"/>
  <c r="CV71" i="12"/>
  <c r="D216" i="12" s="1"/>
  <c r="CU71" i="12"/>
  <c r="C216" i="12" s="1"/>
  <c r="DB70" i="12"/>
  <c r="J220" i="12" s="1"/>
  <c r="DA70" i="12"/>
  <c r="I220" i="12" s="1"/>
  <c r="CZ70" i="12"/>
  <c r="H220" i="12" s="1"/>
  <c r="CY70" i="12"/>
  <c r="G220" i="12" s="1"/>
  <c r="CX70" i="12"/>
  <c r="CW70" i="12"/>
  <c r="CV70" i="12"/>
  <c r="CU70" i="12"/>
  <c r="DB67" i="12"/>
  <c r="DA67" i="12"/>
  <c r="CZ67" i="12"/>
  <c r="CY67" i="12"/>
  <c r="CX67" i="12"/>
  <c r="CW67" i="12"/>
  <c r="CV67" i="12"/>
  <c r="CU67" i="12"/>
  <c r="DB66" i="12"/>
  <c r="DA66" i="12"/>
  <c r="CZ66" i="12"/>
  <c r="CY66" i="12"/>
  <c r="CX66" i="12"/>
  <c r="CW66" i="12"/>
  <c r="CV66" i="12"/>
  <c r="CU66" i="12"/>
  <c r="DB65" i="12"/>
  <c r="DA65" i="12"/>
  <c r="CZ65" i="12"/>
  <c r="CY65" i="12"/>
  <c r="CX65" i="12"/>
  <c r="CW65" i="12"/>
  <c r="CV65" i="12"/>
  <c r="CU65" i="12"/>
  <c r="DB64" i="12"/>
  <c r="DA64" i="12"/>
  <c r="CZ64" i="12"/>
  <c r="CY64" i="12"/>
  <c r="CX64" i="12"/>
  <c r="CW64" i="12"/>
  <c r="CV64" i="12"/>
  <c r="CU64" i="12"/>
  <c r="DB63" i="12"/>
  <c r="DA63" i="12"/>
  <c r="CZ63" i="12"/>
  <c r="CY63" i="12"/>
  <c r="CX63" i="12"/>
  <c r="CW63" i="12"/>
  <c r="CV63" i="12"/>
  <c r="CU63" i="12"/>
  <c r="DB62" i="12"/>
  <c r="DA62" i="12"/>
  <c r="CZ62" i="12"/>
  <c r="CY62" i="12"/>
  <c r="CX62" i="12"/>
  <c r="CW62" i="12"/>
  <c r="CV62" i="12"/>
  <c r="CU62" i="12"/>
  <c r="DB61" i="12"/>
  <c r="DA61" i="12"/>
  <c r="CZ61" i="12"/>
  <c r="CY61" i="12"/>
  <c r="CX61" i="12"/>
  <c r="CW61" i="12"/>
  <c r="CV61" i="12"/>
  <c r="CU61" i="12"/>
  <c r="DB60" i="12"/>
  <c r="DA60" i="12"/>
  <c r="CZ60" i="12"/>
  <c r="CY60" i="12"/>
  <c r="CX60" i="12"/>
  <c r="CW60" i="12"/>
  <c r="CV60" i="12"/>
  <c r="CU60" i="12"/>
  <c r="DB59" i="12"/>
  <c r="J214" i="12" s="1"/>
  <c r="DA59" i="12"/>
  <c r="I214" i="12" s="1"/>
  <c r="CZ59" i="12"/>
  <c r="H214" i="12" s="1"/>
  <c r="CY59" i="12"/>
  <c r="G214" i="12" s="1"/>
  <c r="CX59" i="12"/>
  <c r="CW59" i="12"/>
  <c r="CV59" i="12"/>
  <c r="CU59" i="12"/>
  <c r="DB56" i="12"/>
  <c r="DA56" i="12"/>
  <c r="CZ56" i="12"/>
  <c r="CY56" i="12"/>
  <c r="CX56" i="12"/>
  <c r="CW56" i="12"/>
  <c r="CV56" i="12"/>
  <c r="CU56" i="12"/>
  <c r="DB55" i="12"/>
  <c r="DA55" i="12"/>
  <c r="CZ55" i="12"/>
  <c r="CY55" i="12"/>
  <c r="CX55" i="12"/>
  <c r="CW55" i="12"/>
  <c r="CV55" i="12"/>
  <c r="CU55" i="12"/>
  <c r="DB54" i="12"/>
  <c r="DA54" i="12"/>
  <c r="CZ54" i="12"/>
  <c r="CY54" i="12"/>
  <c r="CX54" i="12"/>
  <c r="CW54" i="12"/>
  <c r="CV54" i="12"/>
  <c r="CU54" i="12"/>
  <c r="DB53" i="12"/>
  <c r="DA53" i="12"/>
  <c r="CZ53" i="12"/>
  <c r="CY53" i="12"/>
  <c r="CX53" i="12"/>
  <c r="CW53" i="12"/>
  <c r="CV53" i="12"/>
  <c r="CU53" i="12"/>
  <c r="DB52" i="12"/>
  <c r="DA52" i="12"/>
  <c r="CZ52" i="12"/>
  <c r="CY52" i="12"/>
  <c r="CX52" i="12"/>
  <c r="CW52" i="12"/>
  <c r="CV52" i="12"/>
  <c r="CU52" i="12"/>
  <c r="DB51" i="12"/>
  <c r="DA51" i="12"/>
  <c r="CZ51" i="12"/>
  <c r="CY51" i="12"/>
  <c r="CX51" i="12"/>
  <c r="CW51" i="12"/>
  <c r="CV51" i="12"/>
  <c r="CU51" i="12"/>
  <c r="DB50" i="12"/>
  <c r="DA50" i="12"/>
  <c r="CZ50" i="12"/>
  <c r="CY50" i="12"/>
  <c r="CX50" i="12"/>
  <c r="CW50" i="12"/>
  <c r="CV50" i="12"/>
  <c r="CU50" i="12"/>
  <c r="DB49" i="12"/>
  <c r="DA49" i="12"/>
  <c r="CZ49" i="12"/>
  <c r="CY49" i="12"/>
  <c r="CX49" i="12"/>
  <c r="CW49" i="12"/>
  <c r="CV49" i="12"/>
  <c r="CU49" i="12"/>
  <c r="DB48" i="12"/>
  <c r="J212" i="12" s="1"/>
  <c r="DA48" i="12"/>
  <c r="I212" i="12" s="1"/>
  <c r="CZ48" i="12"/>
  <c r="H212" i="12" s="1"/>
  <c r="CY48" i="12"/>
  <c r="G212" i="12" s="1"/>
  <c r="CX48" i="12"/>
  <c r="CW48" i="12"/>
  <c r="CV48" i="12"/>
  <c r="CU48" i="12"/>
  <c r="DB45" i="12"/>
  <c r="DA45" i="12"/>
  <c r="CZ45" i="12"/>
  <c r="CY45" i="12"/>
  <c r="CX45" i="12"/>
  <c r="CW45" i="12"/>
  <c r="CV45" i="12"/>
  <c r="CU45" i="12"/>
  <c r="DB44" i="12"/>
  <c r="DA44" i="12"/>
  <c r="CZ44" i="12"/>
  <c r="CY44" i="12"/>
  <c r="CX44" i="12"/>
  <c r="CW44" i="12"/>
  <c r="CV44" i="12"/>
  <c r="CU44" i="12"/>
  <c r="DB43" i="12"/>
  <c r="DA43" i="12"/>
  <c r="CZ43" i="12"/>
  <c r="CY43" i="12"/>
  <c r="CX43" i="12"/>
  <c r="CW43" i="12"/>
  <c r="CV43" i="12"/>
  <c r="CU43" i="12"/>
  <c r="DB42" i="12"/>
  <c r="DA42" i="12"/>
  <c r="CZ42" i="12"/>
  <c r="CY42" i="12"/>
  <c r="CX42" i="12"/>
  <c r="CW42" i="12"/>
  <c r="CV42" i="12"/>
  <c r="CU42" i="12"/>
  <c r="DB41" i="12"/>
  <c r="DA41" i="12"/>
  <c r="CZ41" i="12"/>
  <c r="CY41" i="12"/>
  <c r="CX41" i="12"/>
  <c r="CW41" i="12"/>
  <c r="CV41" i="12"/>
  <c r="CU41" i="12"/>
  <c r="DB40" i="12"/>
  <c r="DA40" i="12"/>
  <c r="CZ40" i="12"/>
  <c r="CY40" i="12"/>
  <c r="CX40" i="12"/>
  <c r="CW40" i="12"/>
  <c r="CV40" i="12"/>
  <c r="CU40" i="12"/>
  <c r="DB39" i="12"/>
  <c r="DA39" i="12"/>
  <c r="CZ39" i="12"/>
  <c r="CY39" i="12"/>
  <c r="CX39" i="12"/>
  <c r="CW39" i="12"/>
  <c r="CV39" i="12"/>
  <c r="CU39" i="12"/>
  <c r="DB38" i="12"/>
  <c r="DA38" i="12"/>
  <c r="CZ38" i="12"/>
  <c r="CY38" i="12"/>
  <c r="CX38" i="12"/>
  <c r="CW38" i="12"/>
  <c r="CV38" i="12"/>
  <c r="CU38" i="12"/>
  <c r="DB37" i="12"/>
  <c r="DA37" i="12"/>
  <c r="CZ37" i="12"/>
  <c r="CY37" i="12"/>
  <c r="CX37" i="12"/>
  <c r="CW37" i="12"/>
  <c r="CV37" i="12"/>
  <c r="CU37" i="12"/>
  <c r="DB36" i="12"/>
  <c r="DA36" i="12"/>
  <c r="CZ36" i="12"/>
  <c r="CY36" i="12"/>
  <c r="CX36" i="12"/>
  <c r="CW36" i="12"/>
  <c r="CV36" i="12"/>
  <c r="CU36" i="12"/>
  <c r="DB35" i="12"/>
  <c r="J211" i="12" s="1"/>
  <c r="J213" i="12" s="1"/>
  <c r="DA35" i="12"/>
  <c r="I211" i="12" s="1"/>
  <c r="I213" i="12" s="1"/>
  <c r="CZ35" i="12"/>
  <c r="H211" i="12" s="1"/>
  <c r="H213" i="12" s="1"/>
  <c r="CY35" i="12"/>
  <c r="G211" i="12" s="1"/>
  <c r="G213" i="12" s="1"/>
  <c r="CX35" i="12"/>
  <c r="F211" i="12" s="1"/>
  <c r="CW35" i="12"/>
  <c r="E211" i="12" s="1"/>
  <c r="CV35" i="12"/>
  <c r="D211" i="12" s="1"/>
  <c r="CU35" i="12"/>
  <c r="DB32" i="12"/>
  <c r="DA32" i="12"/>
  <c r="CZ32" i="12"/>
  <c r="CY32" i="12"/>
  <c r="CX32" i="12"/>
  <c r="CW32" i="12"/>
  <c r="CV32" i="12"/>
  <c r="CU32" i="12"/>
  <c r="DB31" i="12"/>
  <c r="DA31" i="12"/>
  <c r="CZ31" i="12"/>
  <c r="CY31" i="12"/>
  <c r="CX31" i="12"/>
  <c r="CW31" i="12"/>
  <c r="CV31" i="12"/>
  <c r="CU31" i="12"/>
  <c r="DB30" i="12"/>
  <c r="DA30" i="12"/>
  <c r="CZ30" i="12"/>
  <c r="CY30" i="12"/>
  <c r="CX30" i="12"/>
  <c r="CW30" i="12"/>
  <c r="CV30" i="12"/>
  <c r="CU30" i="12"/>
  <c r="DB29" i="12"/>
  <c r="DA29" i="12"/>
  <c r="CZ29" i="12"/>
  <c r="CY29" i="12"/>
  <c r="CX29" i="12"/>
  <c r="CW29" i="12"/>
  <c r="CV29" i="12"/>
  <c r="CU29" i="12"/>
  <c r="DB28" i="12"/>
  <c r="DA28" i="12"/>
  <c r="CZ28" i="12"/>
  <c r="CY28" i="12"/>
  <c r="CX28" i="12"/>
  <c r="CW28" i="12"/>
  <c r="CV28" i="12"/>
  <c r="CU28" i="12"/>
  <c r="DB27" i="12"/>
  <c r="DA27" i="12"/>
  <c r="CZ27" i="12"/>
  <c r="CY27" i="12"/>
  <c r="CX27" i="12"/>
  <c r="CW27" i="12"/>
  <c r="CV27" i="12"/>
  <c r="CU27" i="12"/>
  <c r="DB26" i="12"/>
  <c r="DA26" i="12"/>
  <c r="CZ26" i="12"/>
  <c r="CY26" i="12"/>
  <c r="CX26" i="12"/>
  <c r="CW26" i="12"/>
  <c r="CV26" i="12"/>
  <c r="CU26" i="12"/>
  <c r="DB25" i="12"/>
  <c r="DA25" i="12"/>
  <c r="CZ25" i="12"/>
  <c r="CY25" i="12"/>
  <c r="CX25" i="12"/>
  <c r="CW25" i="12"/>
  <c r="CV25" i="12"/>
  <c r="CU25" i="12"/>
  <c r="DB24" i="12"/>
  <c r="DA24" i="12"/>
  <c r="CZ24" i="12"/>
  <c r="CY24" i="12"/>
  <c r="CX24" i="12"/>
  <c r="CW24" i="12"/>
  <c r="CV24" i="12"/>
  <c r="CU24" i="12"/>
  <c r="DB23" i="12"/>
  <c r="J209" i="12" s="1"/>
  <c r="DA23" i="12"/>
  <c r="I209" i="12" s="1"/>
  <c r="CZ23" i="12"/>
  <c r="H209" i="12" s="1"/>
  <c r="CY23" i="12"/>
  <c r="G209" i="12" s="1"/>
  <c r="CX23" i="12"/>
  <c r="CW23" i="12"/>
  <c r="CV23" i="12"/>
  <c r="CU23" i="12"/>
  <c r="DB20" i="12"/>
  <c r="DA20" i="12"/>
  <c r="CZ20" i="12"/>
  <c r="CY20" i="12"/>
  <c r="CX20" i="12"/>
  <c r="CW20" i="12"/>
  <c r="CV20" i="12"/>
  <c r="CU20" i="12"/>
  <c r="DB19" i="12"/>
  <c r="DA19" i="12"/>
  <c r="CZ19" i="12"/>
  <c r="CY19" i="12"/>
  <c r="CX19" i="12"/>
  <c r="CW19" i="12"/>
  <c r="CV19" i="12"/>
  <c r="CU19" i="12"/>
  <c r="DB18" i="12"/>
  <c r="DA18" i="12"/>
  <c r="CZ18" i="12"/>
  <c r="CY18" i="12"/>
  <c r="CX18" i="12"/>
  <c r="CW18" i="12"/>
  <c r="CV18" i="12"/>
  <c r="CU18" i="12"/>
  <c r="DB17" i="12"/>
  <c r="DA17" i="12"/>
  <c r="CZ17" i="12"/>
  <c r="CY17" i="12"/>
  <c r="CX17" i="12"/>
  <c r="CW17" i="12"/>
  <c r="CV17" i="12"/>
  <c r="CU17" i="12"/>
  <c r="DB16" i="12"/>
  <c r="DA16" i="12"/>
  <c r="CZ16" i="12"/>
  <c r="CY16" i="12"/>
  <c r="CX16" i="12"/>
  <c r="CW16" i="12"/>
  <c r="CV16" i="12"/>
  <c r="CU16" i="12"/>
  <c r="DB15" i="12"/>
  <c r="DA15" i="12"/>
  <c r="CZ15" i="12"/>
  <c r="CY15" i="12"/>
  <c r="CX15" i="12"/>
  <c r="CW15" i="12"/>
  <c r="CV15" i="12"/>
  <c r="CU15" i="12"/>
  <c r="DB14" i="12"/>
  <c r="DA14" i="12"/>
  <c r="CZ14" i="12"/>
  <c r="CY14" i="12"/>
  <c r="CX14" i="12"/>
  <c r="CW14" i="12"/>
  <c r="CV14" i="12"/>
  <c r="CU14" i="12"/>
  <c r="DB13" i="12"/>
  <c r="DA13" i="12"/>
  <c r="CZ13" i="12"/>
  <c r="CY13" i="12"/>
  <c r="CX13" i="12"/>
  <c r="CW13" i="12"/>
  <c r="CV13" i="12"/>
  <c r="CU13" i="12"/>
  <c r="DB12" i="12"/>
  <c r="J207" i="12" s="1"/>
  <c r="DA12" i="12"/>
  <c r="I207" i="12" s="1"/>
  <c r="CZ12" i="12"/>
  <c r="H207" i="12" s="1"/>
  <c r="CY12" i="12"/>
  <c r="G207" i="12" s="1"/>
  <c r="CX12" i="12"/>
  <c r="F207" i="12" s="1"/>
  <c r="CW12" i="12"/>
  <c r="E207" i="12" s="1"/>
  <c r="CV12" i="12"/>
  <c r="D207" i="12" s="1"/>
  <c r="CU12" i="12"/>
  <c r="C207" i="12" s="1"/>
  <c r="DB11" i="12"/>
  <c r="DA11" i="12"/>
  <c r="CZ11" i="12"/>
  <c r="CY11" i="12"/>
  <c r="CX11" i="12"/>
  <c r="CW11" i="12"/>
  <c r="CV11" i="12"/>
  <c r="CU11" i="12"/>
  <c r="DB10" i="12"/>
  <c r="J208" i="12" s="1"/>
  <c r="J210" i="12" s="1"/>
  <c r="DA10" i="12"/>
  <c r="I208" i="12" s="1"/>
  <c r="I210" i="12" s="1"/>
  <c r="CZ10" i="12"/>
  <c r="H208" i="12" s="1"/>
  <c r="H210" i="12" s="1"/>
  <c r="CY10" i="12"/>
  <c r="G208" i="12" s="1"/>
  <c r="G210" i="12" s="1"/>
  <c r="CX10" i="12"/>
  <c r="CW10" i="12"/>
  <c r="CV10" i="12"/>
  <c r="D208" i="12" s="1"/>
  <c r="CU10" i="12"/>
  <c r="C208" i="12" s="1"/>
  <c r="K3" i="9"/>
  <c r="B2" i="9"/>
  <c r="B2" i="8"/>
  <c r="O20" i="6"/>
  <c r="N20" i="6"/>
  <c r="M20" i="6"/>
  <c r="L20" i="6"/>
  <c r="K20" i="6"/>
  <c r="J20" i="6"/>
  <c r="I20" i="6"/>
  <c r="H20" i="6"/>
  <c r="G20" i="6"/>
  <c r="F20" i="6"/>
  <c r="E20" i="6"/>
  <c r="D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N16" i="5"/>
  <c r="M16" i="5"/>
  <c r="L16" i="5"/>
  <c r="K16" i="5"/>
  <c r="J16" i="5"/>
  <c r="I16" i="5"/>
  <c r="H16" i="5"/>
  <c r="G16" i="5"/>
  <c r="F16" i="5"/>
  <c r="E16" i="5"/>
  <c r="D16" i="5"/>
  <c r="C16" i="5"/>
  <c r="O15" i="5"/>
  <c r="O14" i="5"/>
  <c r="O13" i="5"/>
  <c r="O12" i="5"/>
  <c r="O11" i="5"/>
  <c r="O10" i="5"/>
  <c r="O9" i="5"/>
  <c r="O8" i="5"/>
  <c r="O7" i="5"/>
  <c r="N31" i="4"/>
  <c r="M31" i="4"/>
  <c r="L31" i="4"/>
  <c r="K31" i="4"/>
  <c r="J31" i="4"/>
  <c r="I31" i="4"/>
  <c r="H31" i="4"/>
  <c r="G31" i="4"/>
  <c r="F31" i="4"/>
  <c r="E31" i="4"/>
  <c r="D31" i="4"/>
  <c r="C31" i="4"/>
  <c r="O30" i="4"/>
  <c r="O29" i="4"/>
  <c r="O28" i="4"/>
  <c r="O27" i="4"/>
  <c r="O26" i="4"/>
  <c r="O25" i="4"/>
  <c r="O24" i="4"/>
  <c r="O23" i="4"/>
  <c r="O22" i="4"/>
  <c r="N18" i="4"/>
  <c r="M18" i="4"/>
  <c r="L18" i="4"/>
  <c r="K18" i="4"/>
  <c r="J18" i="4"/>
  <c r="I18" i="4"/>
  <c r="H18" i="4"/>
  <c r="G18" i="4"/>
  <c r="F18" i="4"/>
  <c r="E18" i="4"/>
  <c r="D18" i="4"/>
  <c r="C18" i="4"/>
  <c r="O17" i="4"/>
  <c r="O16" i="4"/>
  <c r="O15" i="4"/>
  <c r="O14" i="4"/>
  <c r="O13" i="4"/>
  <c r="O12" i="4"/>
  <c r="O11" i="4"/>
  <c r="O10" i="4"/>
  <c r="O9" i="4"/>
  <c r="O8" i="4"/>
  <c r="O7" i="4"/>
  <c r="N32" i="3"/>
  <c r="M32" i="3"/>
  <c r="L32" i="3"/>
  <c r="K32" i="3"/>
  <c r="J32" i="3"/>
  <c r="I32" i="3"/>
  <c r="H32" i="3"/>
  <c r="G32" i="3"/>
  <c r="F32" i="3"/>
  <c r="E32" i="3"/>
  <c r="D32" i="3"/>
  <c r="C32" i="3"/>
  <c r="O31" i="3"/>
  <c r="O30" i="3"/>
  <c r="O29" i="3"/>
  <c r="O28" i="3"/>
  <c r="O27" i="3"/>
  <c r="O26" i="3"/>
  <c r="O25" i="3"/>
  <c r="O24" i="3"/>
  <c r="O23" i="3"/>
  <c r="O22" i="3"/>
  <c r="N18" i="3"/>
  <c r="M18" i="3"/>
  <c r="L18" i="3"/>
  <c r="K18" i="3"/>
  <c r="J18" i="3"/>
  <c r="I18" i="3"/>
  <c r="H18" i="3"/>
  <c r="G18" i="3"/>
  <c r="F18" i="3"/>
  <c r="E18" i="3"/>
  <c r="D18" i="3"/>
  <c r="C18" i="3"/>
  <c r="O17" i="3"/>
  <c r="O16" i="3"/>
  <c r="O15" i="3"/>
  <c r="O14" i="3"/>
  <c r="O13" i="3"/>
  <c r="O12" i="3"/>
  <c r="O11" i="3"/>
  <c r="O10" i="3"/>
  <c r="O9" i="3"/>
  <c r="O8" i="3"/>
  <c r="O7" i="3"/>
  <c r="C211" i="12" l="1"/>
  <c r="F220" i="12"/>
  <c r="F214" i="12"/>
  <c r="F212" i="12"/>
  <c r="F213" i="12" s="1"/>
  <c r="F209" i="12"/>
  <c r="F208" i="12"/>
  <c r="F210" i="12" s="1"/>
  <c r="C220" i="12"/>
  <c r="C32" i="7" s="1"/>
  <c r="C214" i="12"/>
  <c r="C212" i="12"/>
  <c r="C17" i="7" s="1"/>
  <c r="C209" i="12"/>
  <c r="C11" i="7" s="1"/>
  <c r="D220" i="12"/>
  <c r="E16" i="8" s="1"/>
  <c r="G22" i="9" s="1"/>
  <c r="D214" i="12"/>
  <c r="D212" i="12"/>
  <c r="D209" i="12"/>
  <c r="P20" i="6"/>
  <c r="E220" i="12"/>
  <c r="F16" i="8" s="1"/>
  <c r="G23" i="9" s="1"/>
  <c r="E214" i="12"/>
  <c r="E212" i="12"/>
  <c r="E209" i="12"/>
  <c r="E208" i="12"/>
  <c r="E210" i="12" s="1"/>
  <c r="C31" i="7"/>
  <c r="C21" i="7"/>
  <c r="G27" i="9" s="1"/>
  <c r="O32" i="3"/>
  <c r="C8" i="7"/>
  <c r="O16" i="5"/>
  <c r="O31" i="4"/>
  <c r="O18" i="4"/>
  <c r="O18" i="3"/>
  <c r="D7" i="8"/>
  <c r="D22" i="9" s="1"/>
  <c r="D6" i="8"/>
  <c r="C22" i="9" s="1"/>
  <c r="D10" i="8"/>
  <c r="C213" i="12"/>
  <c r="D18" i="8"/>
  <c r="E6" i="8"/>
  <c r="C23" i="9" s="1"/>
  <c r="D210" i="12"/>
  <c r="E7" i="8"/>
  <c r="D23" i="9" s="1"/>
  <c r="E11" i="8"/>
  <c r="E10" i="8"/>
  <c r="D213" i="12"/>
  <c r="E18" i="8"/>
  <c r="D16" i="8"/>
  <c r="G21" i="9" s="1"/>
  <c r="D14" i="8"/>
  <c r="H21" i="9" s="1"/>
  <c r="E213" i="12"/>
  <c r="C15" i="7"/>
  <c r="F11" i="8"/>
  <c r="F18" i="8"/>
  <c r="C28" i="7"/>
  <c r="C206" i="12"/>
  <c r="D8" i="8" s="1"/>
  <c r="G206" i="12"/>
  <c r="C215" i="12"/>
  <c r="D19" i="8" s="1"/>
  <c r="G215" i="12"/>
  <c r="C217" i="12"/>
  <c r="D13" i="8" s="1"/>
  <c r="G217" i="12"/>
  <c r="C218" i="12"/>
  <c r="D20" i="8" s="1"/>
  <c r="G218" i="12"/>
  <c r="D206" i="12"/>
  <c r="E8" i="8" s="1"/>
  <c r="H206" i="12"/>
  <c r="D215" i="12"/>
  <c r="E19" i="8" s="1"/>
  <c r="H215" i="12"/>
  <c r="D217" i="12"/>
  <c r="E13" i="8" s="1"/>
  <c r="H217" i="12"/>
  <c r="D218" i="12"/>
  <c r="E20" i="8" s="1"/>
  <c r="H218" i="12"/>
  <c r="E206" i="12"/>
  <c r="I206" i="12"/>
  <c r="E215" i="12"/>
  <c r="I215" i="12"/>
  <c r="E217" i="12"/>
  <c r="I217" i="12"/>
  <c r="E218" i="12"/>
  <c r="I218" i="12"/>
  <c r="F206" i="12"/>
  <c r="J206" i="12"/>
  <c r="F215" i="12"/>
  <c r="J215" i="12"/>
  <c r="F217" i="12"/>
  <c r="J217" i="12"/>
  <c r="F218" i="12"/>
  <c r="J218" i="12"/>
  <c r="E14" i="8" l="1"/>
  <c r="H22" i="9" s="1"/>
  <c r="E15" i="8"/>
  <c r="F14" i="8"/>
  <c r="H23" i="9" s="1"/>
  <c r="D11" i="8"/>
  <c r="C210" i="12"/>
  <c r="D15" i="8"/>
  <c r="F15" i="8"/>
  <c r="F10" i="8"/>
  <c r="F6" i="8"/>
  <c r="C24" i="9" s="1"/>
  <c r="F7" i="8"/>
  <c r="D24" i="9" s="1"/>
  <c r="C9" i="7"/>
  <c r="D15" i="9"/>
  <c r="D17" i="9"/>
  <c r="C18" i="7"/>
  <c r="F20" i="8"/>
  <c r="C30" i="7"/>
  <c r="F19" i="8"/>
  <c r="C27" i="7"/>
  <c r="G14" i="8" s="1"/>
  <c r="G16" i="9"/>
  <c r="G16" i="8"/>
  <c r="D16" i="9"/>
  <c r="G7" i="8"/>
  <c r="G6" i="8"/>
  <c r="C12" i="7"/>
  <c r="G15" i="8" s="1"/>
  <c r="I15" i="8" s="1"/>
  <c r="G18" i="8"/>
  <c r="G17" i="9"/>
  <c r="F13" i="8"/>
  <c r="C29" i="7"/>
  <c r="F8" i="8"/>
  <c r="C7" i="7"/>
  <c r="G8" i="8" s="1"/>
  <c r="I8" i="8" s="1"/>
  <c r="G14" i="9" l="1"/>
  <c r="G13" i="8"/>
  <c r="K9" i="9"/>
  <c r="I18" i="8"/>
  <c r="H6" i="9"/>
  <c r="I14" i="8"/>
  <c r="G15" i="9"/>
  <c r="G20" i="8"/>
  <c r="I20" i="8" s="1"/>
  <c r="D13" i="9"/>
  <c r="D25" i="8"/>
  <c r="I6" i="8"/>
  <c r="B6" i="9"/>
  <c r="K6" i="9"/>
  <c r="I16" i="8"/>
  <c r="D24" i="8"/>
  <c r="G19" i="8"/>
  <c r="I19" i="8" s="1"/>
  <c r="G13" i="9"/>
  <c r="G26" i="9"/>
  <c r="D14" i="9"/>
  <c r="C23" i="7"/>
  <c r="C24" i="7" s="1"/>
  <c r="G11" i="8"/>
  <c r="G10" i="8"/>
  <c r="I7" i="8"/>
  <c r="B9" i="9"/>
  <c r="D23" i="8"/>
  <c r="E6" i="9" l="1"/>
  <c r="I10" i="8"/>
  <c r="D26" i="8"/>
  <c r="I11" i="8"/>
  <c r="E9" i="9"/>
  <c r="I13" i="8"/>
  <c r="H9" i="9"/>
</calcChain>
</file>

<file path=xl/sharedStrings.xml><?xml version="1.0" encoding="utf-8"?>
<sst xmlns="http://schemas.openxmlformats.org/spreadsheetml/2006/main" count="389" uniqueCount="219">
  <si>
    <t>ANÁLISIS DE RATIOS FINANCIEROS PYME</t>
  </si>
  <si>
    <t>Datos por mes · Botonera de años (2023–2030) · Ratios · Dashboard</t>
  </si>
  <si>
    <t>¿Cómo usar esta plantilla?</t>
  </si>
  <si>
    <t>1.  Ingrese sus datos por mes</t>
  </si>
  <si>
    <t>En «Activos», «Pasivos», «Patrimonio» y «Estado de Resultados» escriba los importes de cada mes (Ene–Dic) en las celdas AZULES. Cada hoja tiene tablas separadas (p.ej. corriente y no corriente) y filas en blanco para sus propias cuentas.</t>
  </si>
  <si>
    <t>2.  Cambie el año con la botonera</t>
  </si>
  <si>
    <t>Pulse el botón del año (2023…2030). El cuadro se pone en 0 para llenar ese periodo y todo lo del año anterior queda guardado; al volver a ese año reaparece. El año es global: cambia en todas las hojas a la vez.</t>
  </si>
  <si>
    <t>3.  Vea el consolidado</t>
  </si>
  <si>
    <t>«Estados Financieros», «Ratios» y «Dashboard» se actualizan solos para el año elegido.</t>
  </si>
  <si>
    <t>La botonera y el guardado por año funcionan con una macro. Vea la hoja «Macro»: hay que pegar dos bloques de código y guardar como «*.xlsm». Sin la macro, el libro igual consolida cada año cambiando el «Año» de Estados Financieros.</t>
  </si>
  <si>
    <t>Leyenda:</t>
  </si>
  <si>
    <t>Celda azul</t>
  </si>
  <si>
    <t>Dato que usted ingresa (por mes)</t>
  </si>
  <si>
    <t>Botón dorado</t>
  </si>
  <si>
    <t>Año seleccionado en la botonera</t>
  </si>
  <si>
    <t>BASE TEÓRICA — RATIOS FINANCIEROS</t>
  </si>
  <si>
    <t>Definición, fórmula e interpretación de cada indicador</t>
  </si>
  <si>
    <t>Indicador</t>
  </si>
  <si>
    <t>Definición</t>
  </si>
  <si>
    <t>Fórmula</t>
  </si>
  <si>
    <t>Interpretación de referencia</t>
  </si>
  <si>
    <t>LIQUIDEZ</t>
  </si>
  <si>
    <t>Liquidez general</t>
  </si>
  <si>
    <t>Cumplir obligaciones a corto plazo.</t>
  </si>
  <si>
    <t>Activo Corriente / Pasivo Corriente</t>
  </si>
  <si>
    <t>&lt;1.5 insuficiente · 1.5–2 adecuada · &gt;2 exceso.</t>
  </si>
  <si>
    <t>Prueba ácida</t>
  </si>
  <si>
    <t>Pago a corto plazo sin inventarios.</t>
  </si>
  <si>
    <t>(Act. Corriente − Inventarios) / Pasivo Corriente</t>
  </si>
  <si>
    <t>Ideal ≥ 1.</t>
  </si>
  <si>
    <t>Liquidez absoluta</t>
  </si>
  <si>
    <t>Pago inmediato solo con efectivo.</t>
  </si>
  <si>
    <t>Efectivo / Pasivo Corriente</t>
  </si>
  <si>
    <t>Referencia 0.2–0.3.</t>
  </si>
  <si>
    <t>ENDEUDAMIENTO</t>
  </si>
  <si>
    <t>Ratio de deuda</t>
  </si>
  <si>
    <t>Activo financiado con deuda.</t>
  </si>
  <si>
    <t>Pasivo Total / Activo Total</t>
  </si>
  <si>
    <t>Meta ≤ 0.5.</t>
  </si>
  <si>
    <t>Endeudamiento patrimonial</t>
  </si>
  <si>
    <t>Deuda frente a recursos propios.</t>
  </si>
  <si>
    <t>Pasivo Total / Patrimonio</t>
  </si>
  <si>
    <t>≤ 2 aceptable.</t>
  </si>
  <si>
    <t>RENTABILIDAD</t>
  </si>
  <si>
    <t>Margen bruto</t>
  </si>
  <si>
    <t>Eficiencia productiva/comercial.</t>
  </si>
  <si>
    <t>Utilidad Bruta / Ingresos</t>
  </si>
  <si>
    <t>Mayor es mejor.</t>
  </si>
  <si>
    <t>Margen neto</t>
  </si>
  <si>
    <t>Rentabilidad final sobre ventas.</t>
  </si>
  <si>
    <t>Utilidad Neta / Ingresos</t>
  </si>
  <si>
    <t>Óptimo &gt; 0.</t>
  </si>
  <si>
    <t>ROA</t>
  </si>
  <si>
    <t>Utilidad que generan los activos.</t>
  </si>
  <si>
    <t>Utilidad Neta / Activo Total</t>
  </si>
  <si>
    <t>Mayor = mejor.</t>
  </si>
  <si>
    <t>ROE</t>
  </si>
  <si>
    <t>Retorno sobre el capital propio.</t>
  </si>
  <si>
    <t>Utilidad Neta / Patrimonio</t>
  </si>
  <si>
    <t>GESTIÓN / EFICIENCIA</t>
  </si>
  <si>
    <t>Rotación de inventarios</t>
  </si>
  <si>
    <t>Veces que rota el stock al año.</t>
  </si>
  <si>
    <t>Costo de Ventas / Inventario Promedio</t>
  </si>
  <si>
    <t>Alto es óptimo.</t>
  </si>
  <si>
    <t>Rotación de activos</t>
  </si>
  <si>
    <t>Ingresos por activos.</t>
  </si>
  <si>
    <t>Ingresos / Activo Total</t>
  </si>
  <si>
    <t>Cobertura de intereses</t>
  </si>
  <si>
    <t>Cubrir intereses con el EBIT.</t>
  </si>
  <si>
    <t>EBIT / Gastos Financieros</t>
  </si>
  <si>
    <t>ACTIVOS</t>
  </si>
  <si>
    <t>Año:</t>
  </si>
  <si>
    <t>Importes por MES (celdas azules). Use la BOTONERA de años para cambiar de periodo: con la macro activa el cuadro se guarda y vuelve en 0, y todas las hojas se actualizan.</t>
  </si>
  <si>
    <t>ACTIVO CORRIENTE</t>
  </si>
  <si>
    <t>Cuenta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</si>
  <si>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</si>
  <si>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</si>
  <si>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</si>
  <si>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</si>
  <si>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</si>
  <si>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</si>
  <si>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</si>
  <si>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</si>
  <si>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</si>
  <si>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</si>
  <si>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</si>
  <si>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</si>
  <si>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Total año</t>
  </si>
  <si>
    <t>Efectivo y equivalentes</t>
  </si>
  <si>
    <t>Cuentas por cobrar</t>
  </si>
  <si>
    <t>Inventarios</t>
  </si>
  <si>
    <t>Inversiones a corto plazo</t>
  </si>
  <si>
    <t>Otros activos corrientes</t>
  </si>
  <si>
    <t>Total Activo Corriente</t>
  </si>
  <si>
    <t>ACTIVO NO CORRIENTE</t>
  </si>
  <si>
    <t>Propiedad, planta y equipo</t>
  </si>
  <si>
    <t>Intangibles</t>
  </si>
  <si>
    <t>Inversiones a largo plazo</t>
  </si>
  <si>
    <t>Otros activos no corrientes</t>
  </si>
  <si>
    <t>Total Activo No Corriente</t>
  </si>
  <si>
    <t>PASIVOS</t>
  </si>
  <si>
    <t>PASIVO CORRIENTE</t>
  </si>
  <si>
    <t>Cuentas por pagar (proveedores)</t>
  </si>
  <si>
    <t>Préstamos bancarios corto plazo</t>
  </si>
  <si>
    <t>Impuestos por pagar</t>
  </si>
  <si>
    <t>Remuneraciones por pagar</t>
  </si>
  <si>
    <t>Otros pasivos corrientes</t>
  </si>
  <si>
    <t>Total Pasivo Corriente</t>
  </si>
  <si>
    <t>PASIVO NO CORRIENTE</t>
  </si>
  <si>
    <t>Préstamos bancarios largo plazo</t>
  </si>
  <si>
    <t>Provisiones</t>
  </si>
  <si>
    <t>Otros pasivos no corrientes</t>
  </si>
  <si>
    <t>Total Pasivo No Corriente</t>
  </si>
  <si>
    <t>PATRIMONIO</t>
  </si>
  <si>
    <t>Capital social</t>
  </si>
  <si>
    <t>Reservas</t>
  </si>
  <si>
    <t>Resultados acumulados</t>
  </si>
  <si>
    <t>Resultado del ejercicio</t>
  </si>
  <si>
    <t>Total Patrimonio</t>
  </si>
  <si>
    <t>ESTADO DE RESULTADOS</t>
  </si>
  <si>
    <t>RESULTADOS DEL EJERCICIO</t>
  </si>
  <si>
    <t>Tipo</t>
  </si>
  <si>
    <t>ING</t>
  </si>
  <si>
    <t>Ingresos (Ventas)</t>
  </si>
  <si>
    <t>COGS</t>
  </si>
  <si>
    <t>Costo de ventas</t>
  </si>
  <si>
    <t>OPEX</t>
  </si>
  <si>
    <t>Gastos de ventas y distribución</t>
  </si>
  <si>
    <t>Gastos administrativos</t>
  </si>
  <si>
    <t>Otros gastos operativos</t>
  </si>
  <si>
    <t>OIO</t>
  </si>
  <si>
    <t>Otros ingresos operacionales</t>
  </si>
  <si>
    <t>IFIN</t>
  </si>
  <si>
    <t>Ingresos financieros</t>
  </si>
  <si>
    <t>GFIN</t>
  </si>
  <si>
    <t>Gastos financieros</t>
  </si>
  <si>
    <t>TAX</t>
  </si>
  <si>
    <t>Impuesto a la renta</t>
  </si>
  <si>
    <t>Suma de la columna (informativo)</t>
  </si>
  <si>
    <t>ESTADOS FINANCIEROS</t>
  </si>
  <si>
    <t>Año seleccionado:</t>
  </si>
  <si>
    <t>Consolida lo ingresado por mes en las hojas de datos, para el año elegido. Use la botonera de años para cambiar de periodo.</t>
  </si>
  <si>
    <t>BALANCE GENERAL (año seleccionado)</t>
  </si>
  <si>
    <t>TOTAL ACTIVO</t>
  </si>
  <si>
    <t>TOTAL PASIVO</t>
  </si>
  <si>
    <t>TOTAL PATRIMONIO</t>
  </si>
  <si>
    <t>TOTAL PASIVO + PATRIMONIO</t>
  </si>
  <si>
    <t>Verificación (Activo − Pasivo − Patrimonio)</t>
  </si>
  <si>
    <t>ESTADO DE RESULTADOS (año seleccionado)</t>
  </si>
  <si>
    <t>Utilidad Bruta</t>
  </si>
  <si>
    <t>Utilidad Operativa (EBIT)</t>
  </si>
  <si>
    <t>Utilidad Neta</t>
  </si>
  <si>
    <t>CÁLCULO AUTOMÁTICO DE RATIOS</t>
  </si>
  <si>
    <t>2023</t>
  </si>
  <si>
    <t>2024</t>
  </si>
  <si>
    <t>2025</t>
  </si>
  <si>
    <t>Año sel.</t>
  </si>
  <si>
    <t>Meta</t>
  </si>
  <si>
    <t>Interpretación (año sel.)</t>
  </si>
  <si>
    <t>(Act. Corriente - Inventarios) / Pasivo Corriente</t>
  </si>
  <si>
    <t>ANÁLISIS DUPONT — ROE (año seleccionado)</t>
  </si>
  <si>
    <t>(×) Rotación de activos</t>
  </si>
  <si>
    <t>(×) Apalancamiento financiero</t>
  </si>
  <si>
    <t>Activo Total / Patrimonio</t>
  </si>
  <si>
    <t>(=) ROE</t>
  </si>
  <si>
    <t>Producto de los tres factores</t>
  </si>
  <si>
    <t>DASHBOARD FINANCIERO PYME</t>
  </si>
  <si>
    <t>Liquidez General</t>
  </si>
  <si>
    <t>Ratio de Deuda</t>
  </si>
  <si>
    <t>Margen Neto</t>
  </si>
  <si>
    <t>Pulse la botonera de años (arriba) para cambiar el periodo: KPIs, ratios y planes se actualizan al instante. Los importes se ingresan por mes en las hojas de datos.</t>
  </si>
  <si>
    <t>Prueba Ácida</t>
  </si>
  <si>
    <t>Endeud. Patrimonial</t>
  </si>
  <si>
    <t>Margen Bruto</t>
  </si>
  <si>
    <t>Rotación Inventarios</t>
  </si>
  <si>
    <t>Resumen Balance (año sel.)</t>
  </si>
  <si>
    <t>Resumen Resultados (año sel.)</t>
  </si>
  <si>
    <t>Concepto</t>
  </si>
  <si>
    <t>Monto</t>
  </si>
  <si>
    <t>Activo Total</t>
  </si>
  <si>
    <t>Ingresos</t>
  </si>
  <si>
    <t>Pasivo Total</t>
  </si>
  <si>
    <t>Patrimonio</t>
  </si>
  <si>
    <t>Utilidad Operativa</t>
  </si>
  <si>
    <t>Activo Corriente</t>
  </si>
  <si>
    <t>Pasivo Corriente</t>
  </si>
  <si>
    <t>Costo de Ventas</t>
  </si>
  <si>
    <t>Datos de gráficos (no eliminar)</t>
  </si>
  <si>
    <t>Año</t>
  </si>
  <si>
    <t>Liquidez Gral</t>
  </si>
  <si>
    <t>Componente</t>
  </si>
  <si>
    <t>PLANES DE ACCIÓN POR TIPO DE RATIO</t>
  </si>
  <si>
    <t>Medidas sugeridas según el resultado de cada categoría</t>
  </si>
  <si>
    <t>LIQUIDEZ baja</t>
  </si>
  <si>
    <t>•</t>
  </si>
  <si>
    <t>Vender activos no corrientes ociosos para generar caja.</t>
  </si>
  <si>
    <t>Renegociar y ampliar plazos de las deudas a corto plazo.</t>
  </si>
  <si>
    <t>Tomar deuda a largo plazo para cancelar deuda de corto plazo.</t>
  </si>
  <si>
    <t>Reducir inventarios sin afectar la operación.</t>
  </si>
  <si>
    <t>Negociar mejores plazos con proveedores.</t>
  </si>
  <si>
    <t>ENDEUDAMIENTO alto</t>
  </si>
  <si>
    <t>Amortizar deuda con excedentes de efectivo.</t>
  </si>
  <si>
    <t>Diversificar fuentes de ingreso.</t>
  </si>
  <si>
    <t>Negociar mejores tasas.</t>
  </si>
  <si>
    <t>Reinvertir utilidades para aumentar patrimonio.</t>
  </si>
  <si>
    <t>RENTABILIDAD baja</t>
  </si>
  <si>
    <t>Reducir costos y gastos.</t>
  </si>
  <si>
    <t>Elevar la rotación de activos.</t>
  </si>
  <si>
    <t>Analizar el ROE con Dupont.</t>
  </si>
  <si>
    <t>Mejorar el margen vía precios, mezcla o eficiencia.</t>
  </si>
  <si>
    <t>GESTIÓN / INVENTARIOS deficiente</t>
  </si>
  <si>
    <t>Digitalizar la logística e inventarios.</t>
  </si>
  <si>
    <t>Homologar proveedores.</t>
  </si>
  <si>
    <t>Aplicar control just-in-time.</t>
  </si>
  <si>
    <t>Descuentos para productos de baja rotación.</t>
  </si>
  <si>
    <t>Efectivo</t>
  </si>
  <si>
    <t>EBIT</t>
  </si>
  <si>
    <t>4.  Active la macro (una sola vez)</t>
  </si>
  <si>
    <t>Para que la plantillafincione correctamente active macros en barra superior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</si>
</sst>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$#,##0;&quot;($&quot;#,##0\);\-"/>
    <numFmt numFmtId="165" formatCode="0.0%"/>
    <numFmt numFmtId="166" formatCode="0.0&quot; veces&quot;"/>
  </numFmts>
  <fonts count="38" x14ac:knownFonts="1">
    <font>
      <sz val="11"/>
      <color theme="1"/>
      <name val="Calibri"/>
      <family val="2"/>
      <charset val="1"/>
    </font>
    <font>
      <b/>
      <sz val="16"/>
      <color rgb="FFFFFFFF"/>
      <name val="Arial"/>
      <charset val="1"/>
    </font>
    <font>
      <sz val="9"/>
      <color rgb="FFFFFFFF"/>
      <name val="Arial"/>
      <charset val="1"/>
    </font>
    <font>
      <b/>
      <sz val="11"/>
      <color rgb="FF1A1A1A"/>
      <name val="Arial"/>
      <charset val="1"/>
    </font>
    <font>
      <sz val="10"/>
      <color rgb="FF404040"/>
      <name val="Arial"/>
      <charset val="1"/>
    </font>
    <font>
      <b/>
      <sz val="11"/>
      <color rgb="FF9B3030"/>
      <name val="Arial"/>
      <charset val="1"/>
    </font>
    <font>
      <b/>
      <sz val="10"/>
      <color rgb="FF0000FF"/>
      <name val="Arial"/>
      <charset val="1"/>
    </font>
    <font>
      <sz val="10"/>
      <color rgb="FF1A1A1A"/>
      <name val="Arial"/>
      <charset val="1"/>
    </font>
    <font>
      <b/>
      <sz val="10"/>
      <color rgb="FF7F6000"/>
      <name val="Arial"/>
      <charset val="1"/>
    </font>
    <font>
      <b/>
      <sz val="15"/>
      <color rgb="FFFFFFFF"/>
      <name val="Arial"/>
      <charset val="1"/>
    </font>
    <font>
      <b/>
      <sz val="10"/>
      <color rgb="FFFFFFFF"/>
      <name val="Arial"/>
      <charset val="1"/>
    </font>
    <font>
      <b/>
      <sz val="11"/>
      <color rgb="FFFFFFFF"/>
      <name val="Arial"/>
      <charset val="1"/>
    </font>
    <font>
      <b/>
      <sz val="9"/>
      <color rgb="FF1A1A1A"/>
      <name val="Arial"/>
      <charset val="1"/>
    </font>
    <font>
      <sz val="9"/>
      <color rgb="FF1A1A1A"/>
      <name val="Arial"/>
      <charset val="1"/>
    </font>
    <font>
      <b/>
      <sz val="14"/>
      <color rgb="FFFFFFFF"/>
      <name val="Arial"/>
      <charset val="1"/>
    </font>
    <font>
      <b/>
      <sz val="12"/>
      <color rgb="FF7F6000"/>
      <name val="Arial"/>
      <charset val="1"/>
    </font>
    <font>
      <sz val="8"/>
      <color rgb="FFFFFFFF"/>
      <name val="Arial"/>
      <charset val="1"/>
    </font>
    <font>
      <b/>
      <sz val="9"/>
      <color rgb="FFFFFFFF"/>
      <name val="Arial"/>
      <charset val="1"/>
    </font>
    <font>
      <sz val="9"/>
      <color rgb="FF0000FF"/>
      <name val="Arial"/>
      <charset val="1"/>
    </font>
    <font>
      <sz val="8"/>
      <color rgb="FF808080"/>
      <name val="Arial"/>
      <charset val="1"/>
    </font>
    <font>
      <sz val="8"/>
      <color rgb="FF0000FF"/>
      <name val="Arial"/>
      <charset val="1"/>
    </font>
    <font>
      <b/>
      <sz val="10"/>
      <color rgb="FF9B3030"/>
      <name val="Arial"/>
      <charset val="1"/>
    </font>
    <font>
      <b/>
      <sz val="10"/>
      <color rgb="FF1A1A1A"/>
      <name val="Arial"/>
      <charset val="1"/>
    </font>
    <font>
      <b/>
      <sz val="9"/>
      <color rgb="FF595959"/>
      <name val="Arial"/>
      <charset val="1"/>
    </font>
    <font>
      <b/>
      <sz val="13"/>
      <color rgb="FF1A1A1A"/>
      <name val="Arial"/>
      <charset val="1"/>
    </font>
    <font>
      <sz val="9"/>
      <color rgb="FF404040"/>
      <name val="Arial"/>
      <charset val="1"/>
    </font>
    <font>
      <b/>
      <sz val="20"/>
      <color rgb="FF1A1A1A"/>
      <name val="Arial"/>
      <charset val="1"/>
    </font>
    <font>
      <b/>
      <sz val="10"/>
      <color rgb="FFD4A82A"/>
      <name val="Arial"/>
      <charset val="1"/>
    </font>
    <font>
      <b/>
      <sz val="9"/>
      <color theme="5" tint="-0.249977111117893"/>
      <name val="Arial"/>
      <family val="2"/>
    </font>
    <font>
      <b/>
      <sz val="8"/>
      <color theme="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1"/>
      <name val="Calibri"/>
      <family val="2"/>
      <charset val="1"/>
    </font>
    <font>
      <b/>
      <sz val="9"/>
      <name val="Arial"/>
      <family val="2"/>
    </font>
    <font>
      <b/>
      <sz val="12"/>
      <color theme="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111111"/>
        <bgColor rgb="FF1A1A1A"/>
      </patternFill>
    </fill>
    <fill>
      <patternFill patternType="solid">
        <fgColor rgb="FF9B3030"/>
        <bgColor rgb="FF993366"/>
      </patternFill>
    </fill>
    <fill>
      <patternFill patternType="solid">
        <fgColor rgb="FFF2F2F2"/>
        <bgColor rgb="FFF9F9F9"/>
      </patternFill>
    </fill>
    <fill>
      <patternFill patternType="solid">
        <fgColor rgb="FFFFF2CC"/>
        <bgColor rgb="FFF2F2F2"/>
      </patternFill>
    </fill>
    <fill>
      <patternFill patternType="solid">
        <fgColor rgb="FF3F3F3F"/>
        <bgColor rgb="FF404040"/>
      </patternFill>
    </fill>
    <fill>
      <patternFill patternType="solid">
        <fgColor rgb="FFE8E8E8"/>
        <bgColor rgb="FFF2F2F2"/>
      </patternFill>
    </fill>
    <fill>
      <patternFill patternType="solid">
        <fgColor rgb="FFD9D9D9"/>
        <bgColor rgb="FFE8E8E8"/>
      </patternFill>
    </fill>
    <fill>
      <patternFill patternType="solid">
        <fgColor rgb="FFD4A82A"/>
        <bgColor rgb="FFFFCC00"/>
      </patternFill>
    </fill>
    <fill>
      <patternFill patternType="solid">
        <fgColor rgb="FFFFF6D8"/>
        <bgColor rgb="FFF9F9F9"/>
      </patternFill>
    </fill>
    <fill>
      <patternFill patternType="solid">
        <fgColor rgb="FFFFF6D8"/>
        <bgColor indexed="64"/>
      </patternFill>
    </fill>
    <fill>
      <patternFill patternType="solid">
        <fgColor theme="1"/>
        <bgColor rgb="FF404040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hair">
        <color rgb="FFBFBFB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3" fillId="0" borderId="0" xfId="0" applyFont="1" applyAlignment="1">
      <alignment horizontal="right" vertical="center"/>
    </xf>
    <xf numFmtId="1" fontId="15" fillId="5" borderId="1" xfId="0" applyNumberFormat="1" applyFont="1" applyFill="1" applyBorder="1" applyAlignment="1">
      <alignment horizontal="center" vertical="center"/>
    </xf>
    <xf numFmtId="0" fontId="19" fillId="0" borderId="0" xfId="0" applyFont="1"/>
    <xf numFmtId="1" fontId="0" fillId="0" borderId="0" xfId="0" applyNumberFormat="1"/>
    <xf numFmtId="0" fontId="0" fillId="0" borderId="2" xfId="0" applyBorder="1"/>
    <xf numFmtId="0" fontId="5" fillId="0" borderId="2" xfId="0" applyFont="1" applyBorder="1"/>
    <xf numFmtId="0" fontId="6" fillId="0" borderId="2" xfId="0" applyFont="1" applyBorder="1"/>
    <xf numFmtId="0" fontId="8" fillId="5" borderId="2" xfId="0" applyFont="1" applyFill="1" applyBorder="1"/>
    <xf numFmtId="0" fontId="7" fillId="11" borderId="2" xfId="0" applyFont="1" applyFill="1" applyBorder="1"/>
    <xf numFmtId="164" fontId="13" fillId="0" borderId="2" xfId="0" applyNumberFormat="1" applyFont="1" applyBorder="1" applyAlignment="1">
      <alignment horizontal="right" vertical="center"/>
    </xf>
    <xf numFmtId="0" fontId="13" fillId="0" borderId="2" xfId="0" applyFont="1" applyBorder="1" applyAlignment="1">
      <alignment horizontal="left" vertical="center"/>
    </xf>
    <xf numFmtId="0" fontId="17" fillId="12" borderId="2" xfId="0" applyFont="1" applyFill="1" applyBorder="1" applyAlignment="1">
      <alignment horizontal="center" vertical="center"/>
    </xf>
    <xf numFmtId="1" fontId="29" fillId="13" borderId="2" xfId="0" applyNumberFormat="1" applyFont="1" applyFill="1" applyBorder="1" applyAlignment="1">
      <alignment horizontal="center" vertical="center"/>
    </xf>
    <xf numFmtId="0" fontId="29" fillId="13" borderId="2" xfId="0" applyFont="1" applyFill="1" applyBorder="1" applyAlignment="1">
      <alignment horizontal="center" vertical="center"/>
    </xf>
    <xf numFmtId="0" fontId="30" fillId="14" borderId="2" xfId="0" applyFont="1" applyFill="1" applyBorder="1"/>
    <xf numFmtId="1" fontId="31" fillId="0" borderId="2" xfId="0" applyNumberFormat="1" applyFont="1" applyBorder="1"/>
    <xf numFmtId="165" fontId="31" fillId="0" borderId="2" xfId="0" applyNumberFormat="1" applyFont="1" applyBorder="1"/>
    <xf numFmtId="0" fontId="32" fillId="0" borderId="2" xfId="0" applyFont="1" applyBorder="1"/>
    <xf numFmtId="165" fontId="32" fillId="0" borderId="2" xfId="0" applyNumberFormat="1" applyFont="1" applyBorder="1"/>
    <xf numFmtId="2" fontId="31" fillId="0" borderId="2" xfId="0" applyNumberFormat="1" applyFont="1" applyBorder="1"/>
    <xf numFmtId="2" fontId="32" fillId="0" borderId="2" xfId="0" applyNumberFormat="1" applyFont="1" applyBorder="1"/>
    <xf numFmtId="164" fontId="31" fillId="0" borderId="2" xfId="0" applyNumberFormat="1" applyFont="1" applyBorder="1"/>
    <xf numFmtId="0" fontId="33" fillId="11" borderId="0" xfId="0" applyFont="1" applyFill="1" applyAlignment="1">
      <alignment horizontal="left" vertical="center"/>
    </xf>
    <xf numFmtId="0" fontId="10" fillId="6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left" vertical="center" wrapText="1"/>
    </xf>
    <xf numFmtId="0" fontId="13" fillId="0" borderId="2" xfId="0" applyFont="1" applyBorder="1" applyAlignment="1">
      <alignment horizontal="left" vertical="center" wrapText="1"/>
    </xf>
    <xf numFmtId="1" fontId="15" fillId="5" borderId="6" xfId="0" applyNumberFormat="1" applyFont="1" applyFill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 wrapText="1"/>
    </xf>
    <xf numFmtId="164" fontId="12" fillId="4" borderId="2" xfId="0" applyNumberFormat="1" applyFont="1" applyFill="1" applyBorder="1" applyAlignment="1">
      <alignment horizontal="right" vertical="center"/>
    </xf>
    <xf numFmtId="0" fontId="12" fillId="7" borderId="2" xfId="0" applyFont="1" applyFill="1" applyBorder="1" applyAlignment="1">
      <alignment horizontal="left" vertical="center"/>
    </xf>
    <xf numFmtId="164" fontId="12" fillId="7" borderId="2" xfId="0" applyNumberFormat="1" applyFont="1" applyFill="1" applyBorder="1" applyAlignment="1">
      <alignment horizontal="right" vertical="center"/>
    </xf>
    <xf numFmtId="164" fontId="35" fillId="11" borderId="2" xfId="0" applyNumberFormat="1" applyFont="1" applyFill="1" applyBorder="1" applyAlignment="1">
      <alignment horizontal="right" vertical="center"/>
    </xf>
    <xf numFmtId="0" fontId="13" fillId="11" borderId="2" xfId="0" applyFont="1" applyFill="1" applyBorder="1" applyAlignment="1">
      <alignment horizontal="left" vertical="center"/>
    </xf>
    <xf numFmtId="0" fontId="18" fillId="11" borderId="2" xfId="0" applyFont="1" applyFill="1" applyBorder="1" applyAlignment="1">
      <alignment horizontal="left" vertical="center"/>
    </xf>
    <xf numFmtId="164" fontId="18" fillId="11" borderId="2" xfId="0" applyNumberFormat="1" applyFont="1" applyFill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1" fontId="15" fillId="5" borderId="7" xfId="0" applyNumberFormat="1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left" vertical="center"/>
    </xf>
    <xf numFmtId="0" fontId="0" fillId="4" borderId="2" xfId="0" applyFill="1" applyBorder="1"/>
    <xf numFmtId="0" fontId="7" fillId="0" borderId="2" xfId="0" applyFont="1" applyBorder="1" applyAlignment="1">
      <alignment horizontal="left" vertical="center"/>
    </xf>
    <xf numFmtId="164" fontId="7" fillId="0" borderId="2" xfId="0" applyNumberFormat="1" applyFont="1" applyBorder="1" applyAlignment="1">
      <alignment horizontal="right" vertical="center"/>
    </xf>
    <xf numFmtId="0" fontId="22" fillId="4" borderId="2" xfId="0" applyFont="1" applyFill="1" applyBorder="1" applyAlignment="1">
      <alignment horizontal="left" vertical="center"/>
    </xf>
    <xf numFmtId="164" fontId="22" fillId="4" borderId="2" xfId="0" applyNumberFormat="1" applyFont="1" applyFill="1" applyBorder="1" applyAlignment="1">
      <alignment horizontal="right" vertical="center"/>
    </xf>
    <xf numFmtId="0" fontId="22" fillId="7" borderId="2" xfId="0" applyFont="1" applyFill="1" applyBorder="1" applyAlignment="1">
      <alignment horizontal="left" vertical="center"/>
    </xf>
    <xf numFmtId="164" fontId="22" fillId="7" borderId="2" xfId="0" applyNumberFormat="1" applyFont="1" applyFill="1" applyBorder="1" applyAlignment="1">
      <alignment horizontal="right" vertical="center"/>
    </xf>
    <xf numFmtId="0" fontId="22" fillId="8" borderId="2" xfId="0" applyFont="1" applyFill="1" applyBorder="1" applyAlignment="1">
      <alignment horizontal="left" vertical="center"/>
    </xf>
    <xf numFmtId="164" fontId="22" fillId="8" borderId="2" xfId="0" applyNumberFormat="1" applyFont="1" applyFill="1" applyBorder="1" applyAlignment="1">
      <alignment horizontal="right" vertical="center"/>
    </xf>
    <xf numFmtId="0" fontId="23" fillId="0" borderId="2" xfId="0" applyFont="1" applyBorder="1" applyAlignment="1">
      <alignment horizontal="left" vertical="center"/>
    </xf>
    <xf numFmtId="164" fontId="23" fillId="0" borderId="2" xfId="0" applyNumberFormat="1" applyFont="1" applyBorder="1" applyAlignment="1">
      <alignment horizontal="right" vertical="center"/>
    </xf>
    <xf numFmtId="0" fontId="35" fillId="0" borderId="2" xfId="0" applyFont="1" applyBorder="1" applyAlignment="1">
      <alignment horizontal="left" vertical="center"/>
    </xf>
    <xf numFmtId="0" fontId="31" fillId="0" borderId="2" xfId="0" applyFont="1" applyBorder="1" applyAlignment="1">
      <alignment horizontal="left" vertical="center"/>
    </xf>
    <xf numFmtId="165" fontId="35" fillId="0" borderId="2" xfId="0" applyNumberFormat="1" applyFont="1" applyBorder="1" applyAlignment="1">
      <alignment horizontal="center" vertical="center"/>
    </xf>
    <xf numFmtId="2" fontId="35" fillId="0" borderId="2" xfId="0" applyNumberFormat="1" applyFont="1" applyBorder="1" applyAlignment="1">
      <alignment horizontal="center" vertical="center"/>
    </xf>
    <xf numFmtId="0" fontId="33" fillId="7" borderId="2" xfId="0" applyFont="1" applyFill="1" applyBorder="1" applyAlignment="1">
      <alignment horizontal="left" vertical="center"/>
    </xf>
    <xf numFmtId="0" fontId="31" fillId="7" borderId="2" xfId="0" applyFont="1" applyFill="1" applyBorder="1" applyAlignment="1">
      <alignment horizontal="left" vertical="center"/>
    </xf>
    <xf numFmtId="165" fontId="33" fillId="7" borderId="2" xfId="0" applyNumberFormat="1" applyFont="1" applyFill="1" applyBorder="1" applyAlignment="1">
      <alignment horizontal="center" vertical="center"/>
    </xf>
    <xf numFmtId="0" fontId="33" fillId="0" borderId="2" xfId="0" applyFont="1" applyBorder="1" applyAlignment="1">
      <alignment horizontal="left" vertical="center" wrapText="1"/>
    </xf>
    <xf numFmtId="0" fontId="31" fillId="0" borderId="2" xfId="0" applyFont="1" applyBorder="1" applyAlignment="1">
      <alignment horizontal="left" vertical="center" wrapText="1"/>
    </xf>
    <xf numFmtId="2" fontId="36" fillId="0" borderId="2" xfId="0" applyNumberFormat="1" applyFont="1" applyBorder="1" applyAlignment="1">
      <alignment horizontal="center" vertical="center"/>
    </xf>
    <xf numFmtId="165" fontId="36" fillId="0" borderId="2" xfId="0" applyNumberFormat="1" applyFont="1" applyBorder="1" applyAlignment="1">
      <alignment horizontal="center" vertical="center"/>
    </xf>
    <xf numFmtId="166" fontId="35" fillId="0" borderId="2" xfId="0" applyNumberFormat="1" applyFont="1" applyBorder="1" applyAlignment="1">
      <alignment horizontal="center" vertical="center"/>
    </xf>
    <xf numFmtId="166" fontId="36" fillId="0" borderId="2" xfId="0" applyNumberFormat="1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left" vertical="center" wrapText="1"/>
    </xf>
    <xf numFmtId="0" fontId="4" fillId="10" borderId="2" xfId="0" applyFont="1" applyFill="1" applyBorder="1" applyAlignment="1">
      <alignment horizontal="left" vertical="center" wrapText="1"/>
    </xf>
    <xf numFmtId="0" fontId="3" fillId="4" borderId="2" xfId="0" applyFont="1" applyFill="1" applyBorder="1" applyAlignment="1">
      <alignment horizontal="center" vertical="center"/>
    </xf>
    <xf numFmtId="0" fontId="4" fillId="10" borderId="2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34" fillId="13" borderId="3" xfId="0" applyFont="1" applyFill="1" applyBorder="1" applyAlignment="1">
      <alignment horizontal="center"/>
    </xf>
    <xf numFmtId="0" fontId="34" fillId="13" borderId="4" xfId="0" applyFont="1" applyFill="1" applyBorder="1" applyAlignment="1">
      <alignment horizontal="center"/>
    </xf>
    <xf numFmtId="0" fontId="34" fillId="13" borderId="5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left" vertical="center" wrapText="1"/>
    </xf>
    <xf numFmtId="0" fontId="14" fillId="2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left" vertical="center" wrapText="1"/>
    </xf>
    <xf numFmtId="0" fontId="11" fillId="3" borderId="2" xfId="0" applyFont="1" applyFill="1" applyBorder="1" applyAlignment="1">
      <alignment horizontal="left" vertical="center"/>
    </xf>
    <xf numFmtId="0" fontId="9" fillId="2" borderId="0" xfId="0" applyFont="1" applyFill="1" applyAlignment="1">
      <alignment horizontal="center" vertical="center"/>
    </xf>
    <xf numFmtId="0" fontId="16" fillId="3" borderId="2" xfId="0" applyFont="1" applyFill="1" applyBorder="1" applyAlignment="1">
      <alignment horizontal="center" vertical="center" wrapText="1"/>
    </xf>
    <xf numFmtId="0" fontId="10" fillId="6" borderId="2" xfId="0" applyFont="1" applyFill="1" applyBorder="1" applyAlignment="1">
      <alignment horizontal="center" vertical="center"/>
    </xf>
    <xf numFmtId="0" fontId="37" fillId="3" borderId="2" xfId="0" applyFont="1" applyFill="1" applyBorder="1" applyAlignment="1">
      <alignment horizontal="center" vertical="center"/>
    </xf>
    <xf numFmtId="0" fontId="28" fillId="0" borderId="3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0" fontId="28" fillId="0" borderId="5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13" fillId="0" borderId="2" xfId="0" applyFont="1" applyBorder="1" applyAlignment="1">
      <alignment horizontal="left" vertical="center"/>
    </xf>
    <xf numFmtId="2" fontId="26" fillId="9" borderId="2" xfId="0" applyNumberFormat="1" applyFont="1" applyFill="1" applyBorder="1" applyAlignment="1">
      <alignment horizontal="center" vertical="center"/>
    </xf>
    <xf numFmtId="165" fontId="26" fillId="9" borderId="2" xfId="0" applyNumberFormat="1" applyFont="1" applyFill="1" applyBorder="1" applyAlignment="1">
      <alignment horizontal="center" vertical="center"/>
    </xf>
    <xf numFmtId="166" fontId="26" fillId="9" borderId="2" xfId="0" applyNumberFormat="1" applyFont="1" applyFill="1" applyBorder="1" applyAlignment="1">
      <alignment horizontal="center" vertical="center"/>
    </xf>
    <xf numFmtId="0" fontId="17" fillId="12" borderId="2" xfId="0" applyFont="1" applyFill="1" applyBorder="1" applyAlignment="1">
      <alignment horizontal="center" vertical="center"/>
    </xf>
    <xf numFmtId="0" fontId="21" fillId="0" borderId="2" xfId="0" applyFont="1" applyBorder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4" fillId="9" borderId="2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 wrapText="1"/>
    </xf>
    <xf numFmtId="0" fontId="25" fillId="10" borderId="2" xfId="0" applyFont="1" applyFill="1" applyBorder="1" applyAlignment="1">
      <alignment horizontal="center" vertical="center" wrapText="1"/>
    </xf>
    <xf numFmtId="0" fontId="11" fillId="3" borderId="8" xfId="0" applyFont="1" applyFill="1" applyBorder="1" applyAlignment="1">
      <alignment horizontal="center" vertical="center"/>
    </xf>
    <xf numFmtId="0" fontId="11" fillId="3" borderId="9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7F6000"/>
      <rgbColor rgb="FF800080"/>
      <rgbColor rgb="FF008080"/>
      <rgbColor rgb="FFBFBFBF"/>
      <rgbColor rgb="FF808080"/>
      <rgbColor rgb="FF9999FF"/>
      <rgbColor rgb="FF993366"/>
      <rgbColor rgb="FFFFF2CC"/>
      <rgbColor rgb="FFF2F2F2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8E8E8"/>
      <rgbColor rgb="FFF9F9F9"/>
      <rgbColor rgb="FFFFFF99"/>
      <rgbColor rgb="FF99CCFF"/>
      <rgbColor rgb="FFFF99CC"/>
      <rgbColor rgb="FFCC99FF"/>
      <rgbColor rgb="FFFFCC99"/>
      <rgbColor rgb="FF4F81BD"/>
      <rgbColor rgb="FF33CCCC"/>
      <rgbColor rgb="FF99CC00"/>
      <rgbColor rgb="FFFFCC00"/>
      <rgbColor rgb="FFD4A82A"/>
      <rgbColor rgb="FFFF6600"/>
      <rgbColor rgb="FF595959"/>
      <rgbColor rgb="FF878787"/>
      <rgbColor rgb="FF111111"/>
      <rgbColor rgb="FF339966"/>
      <rgbColor rgb="FF1A1A1A"/>
      <rgbColor rgb="FF404040"/>
      <rgbColor rgb="FF9B303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6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Liquidez por año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Dashboard!$C$21</c:f>
              <c:strCache>
                <c:ptCount val="1"/>
                <c:pt idx="0">
                  <c:v>Liquidez Gral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Dashboard!$B$22:$B$24</c:f>
              <c:numCache>
                <c:formatCode>0</c:formatCode>
                <c:ptCount val="3"/>
                <c:pt idx="0">
                  <c:v>2023</c:v>
                </c:pt>
                <c:pt idx="1">
                  <c:v>2024</c:v>
                </c:pt>
                <c:pt idx="2" formatCode="General">
                  <c:v>2025</c:v>
                </c:pt>
              </c:numCache>
            </c:numRef>
          </c:cat>
          <c:val>
            <c:numRef>
              <c:f>Dashboard!$C$22:$C$24</c:f>
              <c:numCache>
                <c:formatCode>0.00</c:formatCode>
                <c:ptCount val="3"/>
                <c:pt idx="0">
                  <c:v>1.6785714285714286</c:v>
                </c:pt>
                <c:pt idx="1">
                  <c:v>1.8873239436619718</c:v>
                </c:pt>
                <c:pt idx="2">
                  <c:v>2.0344827586206895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28-4244-A02F-8694FB09F8CB}"/>
            </c:ext>
          </c:extLst>
        </c:ser>
        <c:ser>
          <c:idx val="1"/>
          <c:order val="1"/>
          <c:tx>
            <c:strRef>
              <c:f>Dashboard!$D$21</c:f>
              <c:strCache>
                <c:ptCount val="1"/>
                <c:pt idx="0">
                  <c:v>Prueba Ácida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Dashboard!$B$22:$B$24</c:f>
              <c:numCache>
                <c:formatCode>0</c:formatCode>
                <c:ptCount val="3"/>
                <c:pt idx="0">
                  <c:v>2023</c:v>
                </c:pt>
                <c:pt idx="1">
                  <c:v>2024</c:v>
                </c:pt>
                <c:pt idx="2" formatCode="General">
                  <c:v>2025</c:v>
                </c:pt>
              </c:numCache>
            </c:numRef>
          </c:cat>
          <c:val>
            <c:numRef>
              <c:f>Dashboard!$D$22:$D$24</c:f>
              <c:numCache>
                <c:formatCode>0.00</c:formatCode>
                <c:ptCount val="3"/>
                <c:pt idx="0">
                  <c:v>1</c:v>
                </c:pt>
                <c:pt idx="1">
                  <c:v>1.1830985915492958</c:v>
                </c:pt>
                <c:pt idx="2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28-4244-A02F-8694FB09F8C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3267266"/>
        <c:axId val="99325388"/>
      </c:barChart>
      <c:catAx>
        <c:axId val="43267266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99325388"/>
        <c:crosses val="autoZero"/>
        <c:auto val="1"/>
        <c:lblAlgn val="ctr"/>
        <c:lblOffset val="100"/>
        <c:noMultiLvlLbl val="0"/>
      </c:catAx>
      <c:valAx>
        <c:axId val="9932538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4326726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Rentabilidad por año (ROE y Margen neto)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Dashboard!$G$20</c:f>
              <c:strCache>
                <c:ptCount val="1"/>
                <c:pt idx="0">
                  <c:v>ROE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Dashboard!$F$21:$F$23</c:f>
              <c:numCache>
                <c:formatCode>0</c:formatCode>
                <c:ptCount val="3"/>
                <c:pt idx="0">
                  <c:v>2023</c:v>
                </c:pt>
                <c:pt idx="1">
                  <c:v>2024</c:v>
                </c:pt>
                <c:pt idx="2" formatCode="General">
                  <c:v>2025</c:v>
                </c:pt>
              </c:numCache>
            </c:numRef>
          </c:cat>
          <c:val>
            <c:numRef>
              <c:f>Dashboard!$G$21:$G$23</c:f>
              <c:numCache>
                <c:formatCode>0.0%</c:formatCode>
                <c:ptCount val="3"/>
                <c:pt idx="0">
                  <c:v>0.10810810810810811</c:v>
                </c:pt>
                <c:pt idx="1">
                  <c:v>0.23553719008264462</c:v>
                </c:pt>
                <c:pt idx="2">
                  <c:v>0.23728813559322035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778-481B-9B16-CC618CB03DD3}"/>
            </c:ext>
          </c:extLst>
        </c:ser>
        <c:ser>
          <c:idx val="1"/>
          <c:order val="1"/>
          <c:tx>
            <c:strRef>
              <c:f>Dashboard!$H$20</c:f>
              <c:strCache>
                <c:ptCount val="1"/>
                <c:pt idx="0">
                  <c:v>Margen Neto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Dashboard!$F$21:$F$23</c:f>
              <c:numCache>
                <c:formatCode>0</c:formatCode>
                <c:ptCount val="3"/>
                <c:pt idx="0">
                  <c:v>2023</c:v>
                </c:pt>
                <c:pt idx="1">
                  <c:v>2024</c:v>
                </c:pt>
                <c:pt idx="2" formatCode="General">
                  <c:v>2025</c:v>
                </c:pt>
              </c:numCache>
            </c:numRef>
          </c:cat>
          <c:val>
            <c:numRef>
              <c:f>Dashboard!$H$21:$H$23</c:f>
              <c:numCache>
                <c:formatCode>0.0%</c:formatCode>
                <c:ptCount val="3"/>
                <c:pt idx="0">
                  <c:v>3.4482758620689655E-2</c:v>
                </c:pt>
                <c:pt idx="1">
                  <c:v>8.38235294117647E-2</c:v>
                </c:pt>
                <c:pt idx="2">
                  <c:v>9.2105263157894732E-2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778-481B-9B16-CC618CB03DD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dk1">
                  <a:lumMod val="35000"/>
                  <a:lumOff val="65000"/>
                </a:schemeClr>
              </a:solidFill>
              <a:prstDash val="dash"/>
            </a:ln>
            <a:effectLst/>
          </c:spPr>
        </c:hiLowLines>
        <c:marker val="1"/>
        <c:smooth val="0"/>
        <c:axId val="34241068"/>
        <c:axId val="77969111"/>
      </c:lineChart>
      <c:catAx>
        <c:axId val="34241068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77969111"/>
        <c:crosses val="autoZero"/>
        <c:auto val="1"/>
        <c:lblAlgn val="ctr"/>
        <c:lblOffset val="100"/>
        <c:noMultiLvlLbl val="0"/>
      </c:catAx>
      <c:valAx>
        <c:axId val="7796911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crossAx val="342410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Estructura de capital (año sel.)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Dashboard!$G$25</c:f>
              <c:strCache>
                <c:ptCount val="1"/>
                <c:pt idx="0">
                  <c:v>Monto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7B0-4623-A379-2880054F285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7B0-4623-A379-2880054F2853}"/>
              </c:ext>
            </c:extLst>
          </c:dPt>
          <c:dLbls>
            <c:dLbl>
              <c:idx val="0"/>
              <c:showLegendKey val="0"/>
              <c:showVal val="0"/>
              <c:showCatName val="0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B0-4623-A379-2880054F2853}"/>
                </c:ext>
              </c:extLst>
            </c:dLbl>
            <c:dLbl>
              <c:idx val="1"/>
              <c:showLegendKey val="0"/>
              <c:showVal val="0"/>
              <c:showCatName val="0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B0-4623-A379-2880054F2853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1"/>
            <c:showBubbleSize val="1"/>
            <c:separator> </c:separator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Dashboard!$F$26:$F$27</c:f>
              <c:strCache>
                <c:ptCount val="2"/>
                <c:pt idx="0">
                  <c:v>Pasivo Total</c:v>
                </c:pt>
                <c:pt idx="1">
                  <c:v>Patrimonio</c:v>
                </c:pt>
              </c:strCache>
            </c:strRef>
          </c:cat>
          <c:val>
            <c:numRef>
              <c:f>Dashboard!$G$26:$G$27</c:f>
              <c:numCache>
                <c:formatCode>\$#,##0;"($"#,##0\);\-</c:formatCode>
                <c:ptCount val="2"/>
                <c:pt idx="0">
                  <c:v>255000</c:v>
                </c:pt>
                <c:pt idx="1">
                  <c:v>242000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B0-4623-A379-2880054F285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12700</xdr:rowOff>
    </xdr:from>
    <xdr:to>
      <xdr:col>1</xdr:col>
      <xdr:colOff>558800</xdr:colOff>
      <xdr:row>2</xdr:row>
      <xdr:rowOff>254000</xdr:rowOff>
    </xdr:to>
    <xdr:sp macro="ClicAnio" textlink="">
      <xdr:nvSpPr>
        <xdr:cNvPr id="58" name="btnYr_2023">
          <a:extLst>
            <a:ext uri="{FF2B5EF4-FFF2-40B4-BE49-F238E27FC236}">
              <a16:creationId xmlns:a16="http://schemas.microsoft.com/office/drawing/2014/main" id="{5743FBBB-2695-40AD-BAE6-9F03F94B0DEA}"/>
            </a:ext>
          </a:extLst>
        </xdr:cNvPr>
        <xdr:cNvSpPr/>
      </xdr:nvSpPr>
      <xdr:spPr>
        <a:xfrm>
          <a:off x="466725" y="7175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2023</a:t>
          </a:r>
        </a:p>
      </xdr:txBody>
    </xdr:sp>
    <xdr:clientData/>
  </xdr:twoCellAnchor>
  <xdr:twoCellAnchor>
    <xdr:from>
      <xdr:col>1</xdr:col>
      <xdr:colOff>609600</xdr:colOff>
      <xdr:row>2</xdr:row>
      <xdr:rowOff>12700</xdr:rowOff>
    </xdr:from>
    <xdr:to>
      <xdr:col>1</xdr:col>
      <xdr:colOff>1168400</xdr:colOff>
      <xdr:row>2</xdr:row>
      <xdr:rowOff>254000</xdr:rowOff>
    </xdr:to>
    <xdr:sp macro="ClicAnio" textlink="">
      <xdr:nvSpPr>
        <xdr:cNvPr id="59" name="btnYr_2024">
          <a:extLst>
            <a:ext uri="{FF2B5EF4-FFF2-40B4-BE49-F238E27FC236}">
              <a16:creationId xmlns:a16="http://schemas.microsoft.com/office/drawing/2014/main" id="{F9992487-AC68-4A5B-A008-4FDB1AAC8C7B}"/>
            </a:ext>
          </a:extLst>
        </xdr:cNvPr>
        <xdr:cNvSpPr/>
      </xdr:nvSpPr>
      <xdr:spPr>
        <a:xfrm>
          <a:off x="1076325" y="717550"/>
          <a:ext cx="558800" cy="241300"/>
        </a:xfrm>
        <a:prstGeom prst="roundRect">
          <a:avLst/>
        </a:prstGeom>
        <a:solidFill>
          <a:srgbClr val="D4A8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111111"/>
              </a:solidFill>
              <a:latin typeface="Arial" panose="020B0604020202020204" pitchFamily="34" charset="0"/>
            </a:rPr>
            <a:t>2024</a:t>
          </a:r>
        </a:p>
      </xdr:txBody>
    </xdr:sp>
    <xdr:clientData/>
  </xdr:twoCellAnchor>
  <xdr:twoCellAnchor>
    <xdr:from>
      <xdr:col>1</xdr:col>
      <xdr:colOff>1219200</xdr:colOff>
      <xdr:row>2</xdr:row>
      <xdr:rowOff>12700</xdr:rowOff>
    </xdr:from>
    <xdr:to>
      <xdr:col>1</xdr:col>
      <xdr:colOff>1778000</xdr:colOff>
      <xdr:row>2</xdr:row>
      <xdr:rowOff>254000</xdr:rowOff>
    </xdr:to>
    <xdr:sp macro="ClicAnio" textlink="">
      <xdr:nvSpPr>
        <xdr:cNvPr id="60" name="btnYr_2025">
          <a:extLst>
            <a:ext uri="{FF2B5EF4-FFF2-40B4-BE49-F238E27FC236}">
              <a16:creationId xmlns:a16="http://schemas.microsoft.com/office/drawing/2014/main" id="{70B89634-D331-4451-ADC6-BE18A8A61F40}"/>
            </a:ext>
          </a:extLst>
        </xdr:cNvPr>
        <xdr:cNvSpPr/>
      </xdr:nvSpPr>
      <xdr:spPr>
        <a:xfrm>
          <a:off x="1685925" y="7175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2025</a:t>
          </a:r>
        </a:p>
      </xdr:txBody>
    </xdr:sp>
    <xdr:clientData/>
  </xdr:twoCellAnchor>
  <xdr:twoCellAnchor>
    <xdr:from>
      <xdr:col>1</xdr:col>
      <xdr:colOff>1828800</xdr:colOff>
      <xdr:row>2</xdr:row>
      <xdr:rowOff>12700</xdr:rowOff>
    </xdr:from>
    <xdr:to>
      <xdr:col>2</xdr:col>
      <xdr:colOff>120650</xdr:colOff>
      <xdr:row>2</xdr:row>
      <xdr:rowOff>254000</xdr:rowOff>
    </xdr:to>
    <xdr:sp macro="ClicAnio" textlink="">
      <xdr:nvSpPr>
        <xdr:cNvPr id="61" name="btnYr_2026">
          <a:extLst>
            <a:ext uri="{FF2B5EF4-FFF2-40B4-BE49-F238E27FC236}">
              <a16:creationId xmlns:a16="http://schemas.microsoft.com/office/drawing/2014/main" id="{6618DF6E-526C-40FF-961A-106DCB118CCE}"/>
            </a:ext>
          </a:extLst>
        </xdr:cNvPr>
        <xdr:cNvSpPr/>
      </xdr:nvSpPr>
      <xdr:spPr>
        <a:xfrm>
          <a:off x="2295525" y="7175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2026</a:t>
          </a:r>
        </a:p>
      </xdr:txBody>
    </xdr:sp>
    <xdr:clientData/>
  </xdr:twoCellAnchor>
  <xdr:twoCellAnchor>
    <xdr:from>
      <xdr:col>2</xdr:col>
      <xdr:colOff>171450</xdr:colOff>
      <xdr:row>2</xdr:row>
      <xdr:rowOff>12700</xdr:rowOff>
    </xdr:from>
    <xdr:to>
      <xdr:col>3</xdr:col>
      <xdr:colOff>168275</xdr:colOff>
      <xdr:row>2</xdr:row>
      <xdr:rowOff>254000</xdr:rowOff>
    </xdr:to>
    <xdr:sp macro="ClicAnio" textlink="">
      <xdr:nvSpPr>
        <xdr:cNvPr id="62" name="btnYr_2027">
          <a:extLst>
            <a:ext uri="{FF2B5EF4-FFF2-40B4-BE49-F238E27FC236}">
              <a16:creationId xmlns:a16="http://schemas.microsoft.com/office/drawing/2014/main" id="{D57A062F-3ADA-4D4A-BB05-14F3B9AB086A}"/>
            </a:ext>
          </a:extLst>
        </xdr:cNvPr>
        <xdr:cNvSpPr/>
      </xdr:nvSpPr>
      <xdr:spPr>
        <a:xfrm>
          <a:off x="2905125" y="7175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2027</a:t>
          </a:r>
        </a:p>
      </xdr:txBody>
    </xdr:sp>
    <xdr:clientData/>
  </xdr:twoCellAnchor>
  <xdr:twoCellAnchor>
    <xdr:from>
      <xdr:col>3</xdr:col>
      <xdr:colOff>219075</xdr:colOff>
      <xdr:row>2</xdr:row>
      <xdr:rowOff>12700</xdr:rowOff>
    </xdr:from>
    <xdr:to>
      <xdr:col>4</xdr:col>
      <xdr:colOff>215900</xdr:colOff>
      <xdr:row>2</xdr:row>
      <xdr:rowOff>254000</xdr:rowOff>
    </xdr:to>
    <xdr:sp macro="ClicAnio" textlink="">
      <xdr:nvSpPr>
        <xdr:cNvPr id="63" name="btnYr_2028">
          <a:extLst>
            <a:ext uri="{FF2B5EF4-FFF2-40B4-BE49-F238E27FC236}">
              <a16:creationId xmlns:a16="http://schemas.microsoft.com/office/drawing/2014/main" id="{3D6DBA0F-B06A-46CD-8F2B-853501D5ABC9}"/>
            </a:ext>
          </a:extLst>
        </xdr:cNvPr>
        <xdr:cNvSpPr/>
      </xdr:nvSpPr>
      <xdr:spPr>
        <a:xfrm>
          <a:off x="3514725" y="7175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2028</a:t>
          </a:r>
        </a:p>
      </xdr:txBody>
    </xdr:sp>
    <xdr:clientData/>
  </xdr:twoCellAnchor>
  <xdr:twoCellAnchor>
    <xdr:from>
      <xdr:col>4</xdr:col>
      <xdr:colOff>266700</xdr:colOff>
      <xdr:row>2</xdr:row>
      <xdr:rowOff>12700</xdr:rowOff>
    </xdr:from>
    <xdr:to>
      <xdr:col>5</xdr:col>
      <xdr:colOff>263525</xdr:colOff>
      <xdr:row>2</xdr:row>
      <xdr:rowOff>254000</xdr:rowOff>
    </xdr:to>
    <xdr:sp macro="ClicAnio" textlink="">
      <xdr:nvSpPr>
        <xdr:cNvPr id="64" name="btnYr_2029">
          <a:extLst>
            <a:ext uri="{FF2B5EF4-FFF2-40B4-BE49-F238E27FC236}">
              <a16:creationId xmlns:a16="http://schemas.microsoft.com/office/drawing/2014/main" id="{47717F19-8F4A-4FDE-BA02-D5B8064B0CF2}"/>
            </a:ext>
          </a:extLst>
        </xdr:cNvPr>
        <xdr:cNvSpPr/>
      </xdr:nvSpPr>
      <xdr:spPr>
        <a:xfrm>
          <a:off x="4124325" y="7175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2029</a:t>
          </a:r>
        </a:p>
      </xdr:txBody>
    </xdr:sp>
    <xdr:clientData/>
  </xdr:twoCellAnchor>
  <xdr:twoCellAnchor>
    <xdr:from>
      <xdr:col>5</xdr:col>
      <xdr:colOff>314325</xdr:colOff>
      <xdr:row>2</xdr:row>
      <xdr:rowOff>12700</xdr:rowOff>
    </xdr:from>
    <xdr:to>
      <xdr:col>6</xdr:col>
      <xdr:colOff>311150</xdr:colOff>
      <xdr:row>2</xdr:row>
      <xdr:rowOff>254000</xdr:rowOff>
    </xdr:to>
    <xdr:sp macro="ClicAnio" textlink="">
      <xdr:nvSpPr>
        <xdr:cNvPr id="65" name="btnYr_2030">
          <a:extLst>
            <a:ext uri="{FF2B5EF4-FFF2-40B4-BE49-F238E27FC236}">
              <a16:creationId xmlns:a16="http://schemas.microsoft.com/office/drawing/2014/main" id="{8A39B3FF-622B-4185-97BF-1F0FCC28A0EB}"/>
            </a:ext>
          </a:extLst>
        </xdr:cNvPr>
        <xdr:cNvSpPr/>
      </xdr:nvSpPr>
      <xdr:spPr>
        <a:xfrm>
          <a:off x="4733925" y="7175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2030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12700</xdr:rowOff>
    </xdr:from>
    <xdr:to>
      <xdr:col>1</xdr:col>
      <xdr:colOff>558800</xdr:colOff>
      <xdr:row>2</xdr:row>
      <xdr:rowOff>254000</xdr:rowOff>
    </xdr:to>
    <xdr:sp macro="ClicAnio" textlink="">
      <xdr:nvSpPr>
        <xdr:cNvPr id="58" name="btnYr_2023">
          <a:extLst>
            <a:ext uri="{FF2B5EF4-FFF2-40B4-BE49-F238E27FC236}">
              <a16:creationId xmlns:a16="http://schemas.microsoft.com/office/drawing/2014/main" id="{2AB30549-F3E8-46E7-B566-DAF8026E13BB}"/>
            </a:ext>
          </a:extLst>
        </xdr:cNvPr>
        <xdr:cNvSpPr/>
      </xdr:nvSpPr>
      <xdr:spPr>
        <a:xfrm>
          <a:off x="466725" y="6794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2023</a:t>
          </a:r>
        </a:p>
      </xdr:txBody>
    </xdr:sp>
    <xdr:clientData/>
  </xdr:twoCellAnchor>
  <xdr:twoCellAnchor>
    <xdr:from>
      <xdr:col>1</xdr:col>
      <xdr:colOff>609600</xdr:colOff>
      <xdr:row>2</xdr:row>
      <xdr:rowOff>12700</xdr:rowOff>
    </xdr:from>
    <xdr:to>
      <xdr:col>1</xdr:col>
      <xdr:colOff>1168400</xdr:colOff>
      <xdr:row>2</xdr:row>
      <xdr:rowOff>254000</xdr:rowOff>
    </xdr:to>
    <xdr:sp macro="ClicAnio" textlink="">
      <xdr:nvSpPr>
        <xdr:cNvPr id="59" name="btnYr_2024">
          <a:extLst>
            <a:ext uri="{FF2B5EF4-FFF2-40B4-BE49-F238E27FC236}">
              <a16:creationId xmlns:a16="http://schemas.microsoft.com/office/drawing/2014/main" id="{0512E8FF-B109-4B3E-87B2-092DC94ED61B}"/>
            </a:ext>
          </a:extLst>
        </xdr:cNvPr>
        <xdr:cNvSpPr/>
      </xdr:nvSpPr>
      <xdr:spPr>
        <a:xfrm>
          <a:off x="1076325" y="679450"/>
          <a:ext cx="558800" cy="241300"/>
        </a:xfrm>
        <a:prstGeom prst="roundRect">
          <a:avLst/>
        </a:prstGeom>
        <a:solidFill>
          <a:srgbClr val="D4A8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111111"/>
              </a:solidFill>
              <a:latin typeface="Arial" panose="020B0604020202020204" pitchFamily="34" charset="0"/>
            </a:rPr>
            <a:t>2024</a:t>
          </a:r>
        </a:p>
      </xdr:txBody>
    </xdr:sp>
    <xdr:clientData/>
  </xdr:twoCellAnchor>
  <xdr:twoCellAnchor>
    <xdr:from>
      <xdr:col>1</xdr:col>
      <xdr:colOff>1219200</xdr:colOff>
      <xdr:row>2</xdr:row>
      <xdr:rowOff>12700</xdr:rowOff>
    </xdr:from>
    <xdr:to>
      <xdr:col>1</xdr:col>
      <xdr:colOff>1778000</xdr:colOff>
      <xdr:row>2</xdr:row>
      <xdr:rowOff>254000</xdr:rowOff>
    </xdr:to>
    <xdr:sp macro="ClicAnio" textlink="">
      <xdr:nvSpPr>
        <xdr:cNvPr id="60" name="btnYr_2025">
          <a:extLst>
            <a:ext uri="{FF2B5EF4-FFF2-40B4-BE49-F238E27FC236}">
              <a16:creationId xmlns:a16="http://schemas.microsoft.com/office/drawing/2014/main" id="{7E998C99-CA4D-4D81-8D30-A019D9B72E1E}"/>
            </a:ext>
          </a:extLst>
        </xdr:cNvPr>
        <xdr:cNvSpPr/>
      </xdr:nvSpPr>
      <xdr:spPr>
        <a:xfrm>
          <a:off x="1685925" y="6794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2025</a:t>
          </a:r>
        </a:p>
      </xdr:txBody>
    </xdr:sp>
    <xdr:clientData/>
  </xdr:twoCellAnchor>
  <xdr:twoCellAnchor>
    <xdr:from>
      <xdr:col>1</xdr:col>
      <xdr:colOff>1828800</xdr:colOff>
      <xdr:row>2</xdr:row>
      <xdr:rowOff>12700</xdr:rowOff>
    </xdr:from>
    <xdr:to>
      <xdr:col>2</xdr:col>
      <xdr:colOff>120650</xdr:colOff>
      <xdr:row>2</xdr:row>
      <xdr:rowOff>254000</xdr:rowOff>
    </xdr:to>
    <xdr:sp macro="ClicAnio" textlink="">
      <xdr:nvSpPr>
        <xdr:cNvPr id="61" name="btnYr_2026">
          <a:extLst>
            <a:ext uri="{FF2B5EF4-FFF2-40B4-BE49-F238E27FC236}">
              <a16:creationId xmlns:a16="http://schemas.microsoft.com/office/drawing/2014/main" id="{F07BDEF9-19FF-4E46-8BE9-1D0115988F4E}"/>
            </a:ext>
          </a:extLst>
        </xdr:cNvPr>
        <xdr:cNvSpPr/>
      </xdr:nvSpPr>
      <xdr:spPr>
        <a:xfrm>
          <a:off x="2295525" y="6794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2026</a:t>
          </a:r>
        </a:p>
      </xdr:txBody>
    </xdr:sp>
    <xdr:clientData/>
  </xdr:twoCellAnchor>
  <xdr:twoCellAnchor>
    <xdr:from>
      <xdr:col>2</xdr:col>
      <xdr:colOff>171450</xdr:colOff>
      <xdr:row>2</xdr:row>
      <xdr:rowOff>12700</xdr:rowOff>
    </xdr:from>
    <xdr:to>
      <xdr:col>3</xdr:col>
      <xdr:colOff>168275</xdr:colOff>
      <xdr:row>2</xdr:row>
      <xdr:rowOff>254000</xdr:rowOff>
    </xdr:to>
    <xdr:sp macro="ClicAnio" textlink="">
      <xdr:nvSpPr>
        <xdr:cNvPr id="62" name="btnYr_2027">
          <a:extLst>
            <a:ext uri="{FF2B5EF4-FFF2-40B4-BE49-F238E27FC236}">
              <a16:creationId xmlns:a16="http://schemas.microsoft.com/office/drawing/2014/main" id="{A4BA8E5E-6D11-4281-87FB-2A871B44744B}"/>
            </a:ext>
          </a:extLst>
        </xdr:cNvPr>
        <xdr:cNvSpPr/>
      </xdr:nvSpPr>
      <xdr:spPr>
        <a:xfrm>
          <a:off x="2905125" y="6794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2027</a:t>
          </a:r>
        </a:p>
      </xdr:txBody>
    </xdr:sp>
    <xdr:clientData/>
  </xdr:twoCellAnchor>
  <xdr:twoCellAnchor>
    <xdr:from>
      <xdr:col>3</xdr:col>
      <xdr:colOff>219075</xdr:colOff>
      <xdr:row>2</xdr:row>
      <xdr:rowOff>12700</xdr:rowOff>
    </xdr:from>
    <xdr:to>
      <xdr:col>4</xdr:col>
      <xdr:colOff>215900</xdr:colOff>
      <xdr:row>2</xdr:row>
      <xdr:rowOff>254000</xdr:rowOff>
    </xdr:to>
    <xdr:sp macro="ClicAnio" textlink="">
      <xdr:nvSpPr>
        <xdr:cNvPr id="63" name="btnYr_2028">
          <a:extLst>
            <a:ext uri="{FF2B5EF4-FFF2-40B4-BE49-F238E27FC236}">
              <a16:creationId xmlns:a16="http://schemas.microsoft.com/office/drawing/2014/main" id="{9C5C57DB-B476-4C37-9D7A-00C7F5F7C5FA}"/>
            </a:ext>
          </a:extLst>
        </xdr:cNvPr>
        <xdr:cNvSpPr/>
      </xdr:nvSpPr>
      <xdr:spPr>
        <a:xfrm>
          <a:off x="3514725" y="6794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2028</a:t>
          </a:r>
        </a:p>
      </xdr:txBody>
    </xdr:sp>
    <xdr:clientData/>
  </xdr:twoCellAnchor>
  <xdr:twoCellAnchor>
    <xdr:from>
      <xdr:col>4</xdr:col>
      <xdr:colOff>266700</xdr:colOff>
      <xdr:row>2</xdr:row>
      <xdr:rowOff>12700</xdr:rowOff>
    </xdr:from>
    <xdr:to>
      <xdr:col>5</xdr:col>
      <xdr:colOff>263525</xdr:colOff>
      <xdr:row>2</xdr:row>
      <xdr:rowOff>254000</xdr:rowOff>
    </xdr:to>
    <xdr:sp macro="ClicAnio" textlink="">
      <xdr:nvSpPr>
        <xdr:cNvPr id="64" name="btnYr_2029">
          <a:extLst>
            <a:ext uri="{FF2B5EF4-FFF2-40B4-BE49-F238E27FC236}">
              <a16:creationId xmlns:a16="http://schemas.microsoft.com/office/drawing/2014/main" id="{31407184-4BC0-4D0F-9C17-F9D33FD60936}"/>
            </a:ext>
          </a:extLst>
        </xdr:cNvPr>
        <xdr:cNvSpPr/>
      </xdr:nvSpPr>
      <xdr:spPr>
        <a:xfrm>
          <a:off x="4124325" y="6794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2029</a:t>
          </a:r>
        </a:p>
      </xdr:txBody>
    </xdr:sp>
    <xdr:clientData/>
  </xdr:twoCellAnchor>
  <xdr:twoCellAnchor>
    <xdr:from>
      <xdr:col>5</xdr:col>
      <xdr:colOff>314325</xdr:colOff>
      <xdr:row>2</xdr:row>
      <xdr:rowOff>12700</xdr:rowOff>
    </xdr:from>
    <xdr:to>
      <xdr:col>6</xdr:col>
      <xdr:colOff>311150</xdr:colOff>
      <xdr:row>2</xdr:row>
      <xdr:rowOff>254000</xdr:rowOff>
    </xdr:to>
    <xdr:sp macro="ClicAnio" textlink="">
      <xdr:nvSpPr>
        <xdr:cNvPr id="65" name="btnYr_2030">
          <a:extLst>
            <a:ext uri="{FF2B5EF4-FFF2-40B4-BE49-F238E27FC236}">
              <a16:creationId xmlns:a16="http://schemas.microsoft.com/office/drawing/2014/main" id="{0FB54AAA-AB36-47D7-8DE2-D5036794F6C3}"/>
            </a:ext>
          </a:extLst>
        </xdr:cNvPr>
        <xdr:cNvSpPr/>
      </xdr:nvSpPr>
      <xdr:spPr>
        <a:xfrm>
          <a:off x="4733925" y="6794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2030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12700</xdr:rowOff>
    </xdr:from>
    <xdr:to>
      <xdr:col>1</xdr:col>
      <xdr:colOff>558800</xdr:colOff>
      <xdr:row>2</xdr:row>
      <xdr:rowOff>254000</xdr:rowOff>
    </xdr:to>
    <xdr:sp macro="ClicAnio" textlink="">
      <xdr:nvSpPr>
        <xdr:cNvPr id="58" name="btnYr_2023">
          <a:extLst>
            <a:ext uri="{FF2B5EF4-FFF2-40B4-BE49-F238E27FC236}">
              <a16:creationId xmlns:a16="http://schemas.microsoft.com/office/drawing/2014/main" id="{6F313FD0-F396-4585-9659-A1686B4AE239}"/>
            </a:ext>
          </a:extLst>
        </xdr:cNvPr>
        <xdr:cNvSpPr/>
      </xdr:nvSpPr>
      <xdr:spPr>
        <a:xfrm>
          <a:off x="4667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2023</a:t>
          </a:r>
        </a:p>
      </xdr:txBody>
    </xdr:sp>
    <xdr:clientData/>
  </xdr:twoCellAnchor>
  <xdr:twoCellAnchor>
    <xdr:from>
      <xdr:col>1</xdr:col>
      <xdr:colOff>609600</xdr:colOff>
      <xdr:row>2</xdr:row>
      <xdr:rowOff>12700</xdr:rowOff>
    </xdr:from>
    <xdr:to>
      <xdr:col>1</xdr:col>
      <xdr:colOff>1168400</xdr:colOff>
      <xdr:row>2</xdr:row>
      <xdr:rowOff>254000</xdr:rowOff>
    </xdr:to>
    <xdr:sp macro="ClicAnio" textlink="">
      <xdr:nvSpPr>
        <xdr:cNvPr id="59" name="btnYr_2024">
          <a:extLst>
            <a:ext uri="{FF2B5EF4-FFF2-40B4-BE49-F238E27FC236}">
              <a16:creationId xmlns:a16="http://schemas.microsoft.com/office/drawing/2014/main" id="{839C9E4E-3CF8-4A3C-BB96-8BB89B710642}"/>
            </a:ext>
          </a:extLst>
        </xdr:cNvPr>
        <xdr:cNvSpPr/>
      </xdr:nvSpPr>
      <xdr:spPr>
        <a:xfrm>
          <a:off x="1076325" y="612775"/>
          <a:ext cx="558800" cy="241300"/>
        </a:xfrm>
        <a:prstGeom prst="roundRect">
          <a:avLst/>
        </a:prstGeom>
        <a:solidFill>
          <a:srgbClr val="D4A8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111111"/>
              </a:solidFill>
              <a:latin typeface="Arial" panose="020B0604020202020204" pitchFamily="34" charset="0"/>
            </a:rPr>
            <a:t>2024</a:t>
          </a:r>
        </a:p>
      </xdr:txBody>
    </xdr:sp>
    <xdr:clientData/>
  </xdr:twoCellAnchor>
  <xdr:twoCellAnchor>
    <xdr:from>
      <xdr:col>1</xdr:col>
      <xdr:colOff>1219200</xdr:colOff>
      <xdr:row>2</xdr:row>
      <xdr:rowOff>12700</xdr:rowOff>
    </xdr:from>
    <xdr:to>
      <xdr:col>1</xdr:col>
      <xdr:colOff>1778000</xdr:colOff>
      <xdr:row>2</xdr:row>
      <xdr:rowOff>254000</xdr:rowOff>
    </xdr:to>
    <xdr:sp macro="ClicAnio" textlink="">
      <xdr:nvSpPr>
        <xdr:cNvPr id="60" name="btnYr_2025">
          <a:extLst>
            <a:ext uri="{FF2B5EF4-FFF2-40B4-BE49-F238E27FC236}">
              <a16:creationId xmlns:a16="http://schemas.microsoft.com/office/drawing/2014/main" id="{9C4417F1-5FE6-4891-9063-523641777EA1}"/>
            </a:ext>
          </a:extLst>
        </xdr:cNvPr>
        <xdr:cNvSpPr/>
      </xdr:nvSpPr>
      <xdr:spPr>
        <a:xfrm>
          <a:off x="16859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2025</a:t>
          </a:r>
        </a:p>
      </xdr:txBody>
    </xdr:sp>
    <xdr:clientData/>
  </xdr:twoCellAnchor>
  <xdr:twoCellAnchor>
    <xdr:from>
      <xdr:col>1</xdr:col>
      <xdr:colOff>1828800</xdr:colOff>
      <xdr:row>2</xdr:row>
      <xdr:rowOff>12700</xdr:rowOff>
    </xdr:from>
    <xdr:to>
      <xdr:col>2</xdr:col>
      <xdr:colOff>120650</xdr:colOff>
      <xdr:row>2</xdr:row>
      <xdr:rowOff>254000</xdr:rowOff>
    </xdr:to>
    <xdr:sp macro="ClicAnio" textlink="">
      <xdr:nvSpPr>
        <xdr:cNvPr id="61" name="btnYr_2026">
          <a:extLst>
            <a:ext uri="{FF2B5EF4-FFF2-40B4-BE49-F238E27FC236}">
              <a16:creationId xmlns:a16="http://schemas.microsoft.com/office/drawing/2014/main" id="{1C940738-30BB-46CB-912A-062FE954DC32}"/>
            </a:ext>
          </a:extLst>
        </xdr:cNvPr>
        <xdr:cNvSpPr/>
      </xdr:nvSpPr>
      <xdr:spPr>
        <a:xfrm>
          <a:off x="22955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2026</a:t>
          </a:r>
        </a:p>
      </xdr:txBody>
    </xdr:sp>
    <xdr:clientData/>
  </xdr:twoCellAnchor>
  <xdr:twoCellAnchor>
    <xdr:from>
      <xdr:col>2</xdr:col>
      <xdr:colOff>171450</xdr:colOff>
      <xdr:row>2</xdr:row>
      <xdr:rowOff>12700</xdr:rowOff>
    </xdr:from>
    <xdr:to>
      <xdr:col>3</xdr:col>
      <xdr:colOff>168275</xdr:colOff>
      <xdr:row>2</xdr:row>
      <xdr:rowOff>254000</xdr:rowOff>
    </xdr:to>
    <xdr:sp macro="ClicAnio" textlink="">
      <xdr:nvSpPr>
        <xdr:cNvPr id="62" name="btnYr_2027">
          <a:extLst>
            <a:ext uri="{FF2B5EF4-FFF2-40B4-BE49-F238E27FC236}">
              <a16:creationId xmlns:a16="http://schemas.microsoft.com/office/drawing/2014/main" id="{D54ABD80-720C-44AC-BD82-D4BB894E7B9E}"/>
            </a:ext>
          </a:extLst>
        </xdr:cNvPr>
        <xdr:cNvSpPr/>
      </xdr:nvSpPr>
      <xdr:spPr>
        <a:xfrm>
          <a:off x="29051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2027</a:t>
          </a:r>
        </a:p>
      </xdr:txBody>
    </xdr:sp>
    <xdr:clientData/>
  </xdr:twoCellAnchor>
  <xdr:twoCellAnchor>
    <xdr:from>
      <xdr:col>3</xdr:col>
      <xdr:colOff>219075</xdr:colOff>
      <xdr:row>2</xdr:row>
      <xdr:rowOff>12700</xdr:rowOff>
    </xdr:from>
    <xdr:to>
      <xdr:col>4</xdr:col>
      <xdr:colOff>215900</xdr:colOff>
      <xdr:row>2</xdr:row>
      <xdr:rowOff>254000</xdr:rowOff>
    </xdr:to>
    <xdr:sp macro="ClicAnio" textlink="">
      <xdr:nvSpPr>
        <xdr:cNvPr id="63" name="btnYr_2028">
          <a:extLst>
            <a:ext uri="{FF2B5EF4-FFF2-40B4-BE49-F238E27FC236}">
              <a16:creationId xmlns:a16="http://schemas.microsoft.com/office/drawing/2014/main" id="{0F8BD45E-FBC0-411E-AFC8-D273571E0B20}"/>
            </a:ext>
          </a:extLst>
        </xdr:cNvPr>
        <xdr:cNvSpPr/>
      </xdr:nvSpPr>
      <xdr:spPr>
        <a:xfrm>
          <a:off x="35147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2028</a:t>
          </a:r>
        </a:p>
      </xdr:txBody>
    </xdr:sp>
    <xdr:clientData/>
  </xdr:twoCellAnchor>
  <xdr:twoCellAnchor>
    <xdr:from>
      <xdr:col>4</xdr:col>
      <xdr:colOff>266700</xdr:colOff>
      <xdr:row>2</xdr:row>
      <xdr:rowOff>12700</xdr:rowOff>
    </xdr:from>
    <xdr:to>
      <xdr:col>5</xdr:col>
      <xdr:colOff>263525</xdr:colOff>
      <xdr:row>2</xdr:row>
      <xdr:rowOff>254000</xdr:rowOff>
    </xdr:to>
    <xdr:sp macro="ClicAnio" textlink="">
      <xdr:nvSpPr>
        <xdr:cNvPr id="64" name="btnYr_2029">
          <a:extLst>
            <a:ext uri="{FF2B5EF4-FFF2-40B4-BE49-F238E27FC236}">
              <a16:creationId xmlns:a16="http://schemas.microsoft.com/office/drawing/2014/main" id="{F73D24A6-FBB5-4FD0-8001-EAE20F2BB1BA}"/>
            </a:ext>
          </a:extLst>
        </xdr:cNvPr>
        <xdr:cNvSpPr/>
      </xdr:nvSpPr>
      <xdr:spPr>
        <a:xfrm>
          <a:off x="41243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2029</a:t>
          </a:r>
        </a:p>
      </xdr:txBody>
    </xdr:sp>
    <xdr:clientData/>
  </xdr:twoCellAnchor>
  <xdr:twoCellAnchor>
    <xdr:from>
      <xdr:col>5</xdr:col>
      <xdr:colOff>314325</xdr:colOff>
      <xdr:row>2</xdr:row>
      <xdr:rowOff>12700</xdr:rowOff>
    </xdr:from>
    <xdr:to>
      <xdr:col>6</xdr:col>
      <xdr:colOff>311150</xdr:colOff>
      <xdr:row>2</xdr:row>
      <xdr:rowOff>254000</xdr:rowOff>
    </xdr:to>
    <xdr:sp macro="ClicAnio" textlink="">
      <xdr:nvSpPr>
        <xdr:cNvPr id="65" name="btnYr_2030">
          <a:extLst>
            <a:ext uri="{FF2B5EF4-FFF2-40B4-BE49-F238E27FC236}">
              <a16:creationId xmlns:a16="http://schemas.microsoft.com/office/drawing/2014/main" id="{319CF82B-AA06-401B-8D6B-B1743FF77906}"/>
            </a:ext>
          </a:extLst>
        </xdr:cNvPr>
        <xdr:cNvSpPr/>
      </xdr:nvSpPr>
      <xdr:spPr>
        <a:xfrm>
          <a:off x="47339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2030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12700</xdr:rowOff>
    </xdr:from>
    <xdr:to>
      <xdr:col>2</xdr:col>
      <xdr:colOff>558800</xdr:colOff>
      <xdr:row>2</xdr:row>
      <xdr:rowOff>254000</xdr:rowOff>
    </xdr:to>
    <xdr:sp macro="ClicAnio" textlink="">
      <xdr:nvSpPr>
        <xdr:cNvPr id="58" name="btnYr_2023">
          <a:extLst>
            <a:ext uri="{FF2B5EF4-FFF2-40B4-BE49-F238E27FC236}">
              <a16:creationId xmlns:a16="http://schemas.microsoft.com/office/drawing/2014/main" id="{09909774-C3AE-4CB2-BC0B-A6D1745210F5}"/>
            </a:ext>
          </a:extLst>
        </xdr:cNvPr>
        <xdr:cNvSpPr/>
      </xdr:nvSpPr>
      <xdr:spPr>
        <a:xfrm>
          <a:off x="4667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2023</a:t>
          </a:r>
        </a:p>
      </xdr:txBody>
    </xdr:sp>
    <xdr:clientData/>
  </xdr:twoCellAnchor>
  <xdr:twoCellAnchor>
    <xdr:from>
      <xdr:col>2</xdr:col>
      <xdr:colOff>609600</xdr:colOff>
      <xdr:row>2</xdr:row>
      <xdr:rowOff>12700</xdr:rowOff>
    </xdr:from>
    <xdr:to>
      <xdr:col>2</xdr:col>
      <xdr:colOff>1168400</xdr:colOff>
      <xdr:row>2</xdr:row>
      <xdr:rowOff>254000</xdr:rowOff>
    </xdr:to>
    <xdr:sp macro="ClicAnio" textlink="">
      <xdr:nvSpPr>
        <xdr:cNvPr id="59" name="btnYr_2024">
          <a:extLst>
            <a:ext uri="{FF2B5EF4-FFF2-40B4-BE49-F238E27FC236}">
              <a16:creationId xmlns:a16="http://schemas.microsoft.com/office/drawing/2014/main" id="{F0CF25C7-562C-41D0-975B-1BFDBCCE66B5}"/>
            </a:ext>
          </a:extLst>
        </xdr:cNvPr>
        <xdr:cNvSpPr/>
      </xdr:nvSpPr>
      <xdr:spPr>
        <a:xfrm>
          <a:off x="1076325" y="612775"/>
          <a:ext cx="558800" cy="241300"/>
        </a:xfrm>
        <a:prstGeom prst="roundRect">
          <a:avLst/>
        </a:prstGeom>
        <a:solidFill>
          <a:srgbClr val="D4A8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111111"/>
              </a:solidFill>
              <a:latin typeface="Arial" panose="020B0604020202020204" pitchFamily="34" charset="0"/>
            </a:rPr>
            <a:t>2024</a:t>
          </a:r>
        </a:p>
      </xdr:txBody>
    </xdr:sp>
    <xdr:clientData/>
  </xdr:twoCellAnchor>
  <xdr:twoCellAnchor>
    <xdr:from>
      <xdr:col>2</xdr:col>
      <xdr:colOff>1219200</xdr:colOff>
      <xdr:row>2</xdr:row>
      <xdr:rowOff>12700</xdr:rowOff>
    </xdr:from>
    <xdr:to>
      <xdr:col>2</xdr:col>
      <xdr:colOff>1778000</xdr:colOff>
      <xdr:row>2</xdr:row>
      <xdr:rowOff>254000</xdr:rowOff>
    </xdr:to>
    <xdr:sp macro="ClicAnio" textlink="">
      <xdr:nvSpPr>
        <xdr:cNvPr id="60" name="btnYr_2025">
          <a:extLst>
            <a:ext uri="{FF2B5EF4-FFF2-40B4-BE49-F238E27FC236}">
              <a16:creationId xmlns:a16="http://schemas.microsoft.com/office/drawing/2014/main" id="{13E77DE1-31E7-4F09-8B96-2B65F6E22B00}"/>
            </a:ext>
          </a:extLst>
        </xdr:cNvPr>
        <xdr:cNvSpPr/>
      </xdr:nvSpPr>
      <xdr:spPr>
        <a:xfrm>
          <a:off x="16859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2025</a:t>
          </a:r>
        </a:p>
      </xdr:txBody>
    </xdr:sp>
    <xdr:clientData/>
  </xdr:twoCellAnchor>
  <xdr:twoCellAnchor>
    <xdr:from>
      <xdr:col>2</xdr:col>
      <xdr:colOff>1828800</xdr:colOff>
      <xdr:row>2</xdr:row>
      <xdr:rowOff>12700</xdr:rowOff>
    </xdr:from>
    <xdr:to>
      <xdr:col>3</xdr:col>
      <xdr:colOff>120650</xdr:colOff>
      <xdr:row>2</xdr:row>
      <xdr:rowOff>254000</xdr:rowOff>
    </xdr:to>
    <xdr:sp macro="ClicAnio" textlink="">
      <xdr:nvSpPr>
        <xdr:cNvPr id="61" name="btnYr_2026">
          <a:extLst>
            <a:ext uri="{FF2B5EF4-FFF2-40B4-BE49-F238E27FC236}">
              <a16:creationId xmlns:a16="http://schemas.microsoft.com/office/drawing/2014/main" id="{C99378DD-D09A-4124-9FED-7915E8DC8C7C}"/>
            </a:ext>
          </a:extLst>
        </xdr:cNvPr>
        <xdr:cNvSpPr/>
      </xdr:nvSpPr>
      <xdr:spPr>
        <a:xfrm>
          <a:off x="22955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2026</a:t>
          </a:r>
        </a:p>
      </xdr:txBody>
    </xdr:sp>
    <xdr:clientData/>
  </xdr:twoCellAnchor>
  <xdr:twoCellAnchor>
    <xdr:from>
      <xdr:col>3</xdr:col>
      <xdr:colOff>171450</xdr:colOff>
      <xdr:row>2</xdr:row>
      <xdr:rowOff>12700</xdr:rowOff>
    </xdr:from>
    <xdr:to>
      <xdr:col>4</xdr:col>
      <xdr:colOff>82550</xdr:colOff>
      <xdr:row>2</xdr:row>
      <xdr:rowOff>254000</xdr:rowOff>
    </xdr:to>
    <xdr:sp macro="ClicAnio" textlink="">
      <xdr:nvSpPr>
        <xdr:cNvPr id="62" name="btnYr_2027">
          <a:extLst>
            <a:ext uri="{FF2B5EF4-FFF2-40B4-BE49-F238E27FC236}">
              <a16:creationId xmlns:a16="http://schemas.microsoft.com/office/drawing/2014/main" id="{29C2813F-2335-43C0-B3AE-82B2D1032499}"/>
            </a:ext>
          </a:extLst>
        </xdr:cNvPr>
        <xdr:cNvSpPr/>
      </xdr:nvSpPr>
      <xdr:spPr>
        <a:xfrm>
          <a:off x="29051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2027</a:t>
          </a:r>
        </a:p>
      </xdr:txBody>
    </xdr:sp>
    <xdr:clientData/>
  </xdr:twoCellAnchor>
  <xdr:twoCellAnchor>
    <xdr:from>
      <xdr:col>4</xdr:col>
      <xdr:colOff>133350</xdr:colOff>
      <xdr:row>2</xdr:row>
      <xdr:rowOff>12700</xdr:rowOff>
    </xdr:from>
    <xdr:to>
      <xdr:col>5</xdr:col>
      <xdr:colOff>130175</xdr:colOff>
      <xdr:row>2</xdr:row>
      <xdr:rowOff>254000</xdr:rowOff>
    </xdr:to>
    <xdr:sp macro="ClicAnio" textlink="">
      <xdr:nvSpPr>
        <xdr:cNvPr id="63" name="btnYr_2028">
          <a:extLst>
            <a:ext uri="{FF2B5EF4-FFF2-40B4-BE49-F238E27FC236}">
              <a16:creationId xmlns:a16="http://schemas.microsoft.com/office/drawing/2014/main" id="{884AFF49-5CDB-498F-B4B6-2D02ED069C8E}"/>
            </a:ext>
          </a:extLst>
        </xdr:cNvPr>
        <xdr:cNvSpPr/>
      </xdr:nvSpPr>
      <xdr:spPr>
        <a:xfrm>
          <a:off x="35147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2028</a:t>
          </a:r>
        </a:p>
      </xdr:txBody>
    </xdr:sp>
    <xdr:clientData/>
  </xdr:twoCellAnchor>
  <xdr:twoCellAnchor>
    <xdr:from>
      <xdr:col>5</xdr:col>
      <xdr:colOff>180975</xdr:colOff>
      <xdr:row>2</xdr:row>
      <xdr:rowOff>12700</xdr:rowOff>
    </xdr:from>
    <xdr:to>
      <xdr:col>6</xdr:col>
      <xdr:colOff>177800</xdr:colOff>
      <xdr:row>2</xdr:row>
      <xdr:rowOff>254000</xdr:rowOff>
    </xdr:to>
    <xdr:sp macro="ClicAnio" textlink="">
      <xdr:nvSpPr>
        <xdr:cNvPr id="64" name="btnYr_2029">
          <a:extLst>
            <a:ext uri="{FF2B5EF4-FFF2-40B4-BE49-F238E27FC236}">
              <a16:creationId xmlns:a16="http://schemas.microsoft.com/office/drawing/2014/main" id="{1639851B-DB47-4EF0-9554-28F08C5B0B2D}"/>
            </a:ext>
          </a:extLst>
        </xdr:cNvPr>
        <xdr:cNvSpPr/>
      </xdr:nvSpPr>
      <xdr:spPr>
        <a:xfrm>
          <a:off x="41243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2029</a:t>
          </a:r>
        </a:p>
      </xdr:txBody>
    </xdr:sp>
    <xdr:clientData/>
  </xdr:twoCellAnchor>
  <xdr:twoCellAnchor>
    <xdr:from>
      <xdr:col>6</xdr:col>
      <xdr:colOff>228600</xdr:colOff>
      <xdr:row>2</xdr:row>
      <xdr:rowOff>12700</xdr:rowOff>
    </xdr:from>
    <xdr:to>
      <xdr:col>7</xdr:col>
      <xdr:colOff>225425</xdr:colOff>
      <xdr:row>2</xdr:row>
      <xdr:rowOff>254000</xdr:rowOff>
    </xdr:to>
    <xdr:sp macro="ClicAnio" textlink="">
      <xdr:nvSpPr>
        <xdr:cNvPr id="65" name="btnYr_2030">
          <a:extLst>
            <a:ext uri="{FF2B5EF4-FFF2-40B4-BE49-F238E27FC236}">
              <a16:creationId xmlns:a16="http://schemas.microsoft.com/office/drawing/2014/main" id="{0CB9E2C7-6606-41DF-8C69-4034CF1C8E12}"/>
            </a:ext>
          </a:extLst>
        </xdr:cNvPr>
        <xdr:cNvSpPr/>
      </xdr:nvSpPr>
      <xdr:spPr>
        <a:xfrm>
          <a:off x="4733925" y="612775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2030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12700</xdr:rowOff>
    </xdr:from>
    <xdr:to>
      <xdr:col>1</xdr:col>
      <xdr:colOff>558800</xdr:colOff>
      <xdr:row>2</xdr:row>
      <xdr:rowOff>254000</xdr:rowOff>
    </xdr:to>
    <xdr:sp macro="ClicAnio" textlink="">
      <xdr:nvSpPr>
        <xdr:cNvPr id="58" name="btnYr_2023">
          <a:extLst>
            <a:ext uri="{FF2B5EF4-FFF2-40B4-BE49-F238E27FC236}">
              <a16:creationId xmlns:a16="http://schemas.microsoft.com/office/drawing/2014/main" id="{71886C8F-A6BC-4419-95F1-B50FA6074AD6}"/>
            </a:ext>
          </a:extLst>
        </xdr:cNvPr>
        <xdr:cNvSpPr/>
      </xdr:nvSpPr>
      <xdr:spPr>
        <a:xfrm>
          <a:off x="133350" y="5651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2023</a:t>
          </a:r>
        </a:p>
      </xdr:txBody>
    </xdr:sp>
    <xdr:clientData/>
  </xdr:twoCellAnchor>
  <xdr:twoCellAnchor>
    <xdr:from>
      <xdr:col>1</xdr:col>
      <xdr:colOff>609600</xdr:colOff>
      <xdr:row>2</xdr:row>
      <xdr:rowOff>12700</xdr:rowOff>
    </xdr:from>
    <xdr:to>
      <xdr:col>1</xdr:col>
      <xdr:colOff>1168400</xdr:colOff>
      <xdr:row>2</xdr:row>
      <xdr:rowOff>254000</xdr:rowOff>
    </xdr:to>
    <xdr:sp macro="ClicAnio" textlink="">
      <xdr:nvSpPr>
        <xdr:cNvPr id="59" name="btnYr_2024">
          <a:extLst>
            <a:ext uri="{FF2B5EF4-FFF2-40B4-BE49-F238E27FC236}">
              <a16:creationId xmlns:a16="http://schemas.microsoft.com/office/drawing/2014/main" id="{39EB6E4E-F9EC-414A-AAD9-71E81D81CBD1}"/>
            </a:ext>
          </a:extLst>
        </xdr:cNvPr>
        <xdr:cNvSpPr/>
      </xdr:nvSpPr>
      <xdr:spPr>
        <a:xfrm>
          <a:off x="742950" y="565150"/>
          <a:ext cx="558800" cy="241300"/>
        </a:xfrm>
        <a:prstGeom prst="roundRect">
          <a:avLst/>
        </a:prstGeom>
        <a:solidFill>
          <a:srgbClr val="D4A8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111111"/>
              </a:solidFill>
              <a:latin typeface="Arial" panose="020B0604020202020204" pitchFamily="34" charset="0"/>
            </a:rPr>
            <a:t>2024</a:t>
          </a:r>
        </a:p>
      </xdr:txBody>
    </xdr:sp>
    <xdr:clientData/>
  </xdr:twoCellAnchor>
  <xdr:twoCellAnchor>
    <xdr:from>
      <xdr:col>1</xdr:col>
      <xdr:colOff>1219200</xdr:colOff>
      <xdr:row>2</xdr:row>
      <xdr:rowOff>12700</xdr:rowOff>
    </xdr:from>
    <xdr:to>
      <xdr:col>1</xdr:col>
      <xdr:colOff>1778000</xdr:colOff>
      <xdr:row>2</xdr:row>
      <xdr:rowOff>254000</xdr:rowOff>
    </xdr:to>
    <xdr:sp macro="ClicAnio" textlink="">
      <xdr:nvSpPr>
        <xdr:cNvPr id="60" name="btnYr_2025">
          <a:extLst>
            <a:ext uri="{FF2B5EF4-FFF2-40B4-BE49-F238E27FC236}">
              <a16:creationId xmlns:a16="http://schemas.microsoft.com/office/drawing/2014/main" id="{D9537CA8-D1B3-4F52-AC3E-B25471336225}"/>
            </a:ext>
          </a:extLst>
        </xdr:cNvPr>
        <xdr:cNvSpPr/>
      </xdr:nvSpPr>
      <xdr:spPr>
        <a:xfrm>
          <a:off x="1352550" y="5651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2025</a:t>
          </a:r>
        </a:p>
      </xdr:txBody>
    </xdr:sp>
    <xdr:clientData/>
  </xdr:twoCellAnchor>
  <xdr:twoCellAnchor>
    <xdr:from>
      <xdr:col>1</xdr:col>
      <xdr:colOff>1828800</xdr:colOff>
      <xdr:row>2</xdr:row>
      <xdr:rowOff>12700</xdr:rowOff>
    </xdr:from>
    <xdr:to>
      <xdr:col>1</xdr:col>
      <xdr:colOff>2387600</xdr:colOff>
      <xdr:row>2</xdr:row>
      <xdr:rowOff>254000</xdr:rowOff>
    </xdr:to>
    <xdr:sp macro="ClicAnio" textlink="">
      <xdr:nvSpPr>
        <xdr:cNvPr id="61" name="btnYr_2026">
          <a:extLst>
            <a:ext uri="{FF2B5EF4-FFF2-40B4-BE49-F238E27FC236}">
              <a16:creationId xmlns:a16="http://schemas.microsoft.com/office/drawing/2014/main" id="{759B8B4B-7AE7-486A-AEF9-4FCE347D3F0C}"/>
            </a:ext>
          </a:extLst>
        </xdr:cNvPr>
        <xdr:cNvSpPr/>
      </xdr:nvSpPr>
      <xdr:spPr>
        <a:xfrm>
          <a:off x="1962150" y="5651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2026</a:t>
          </a:r>
        </a:p>
      </xdr:txBody>
    </xdr:sp>
    <xdr:clientData/>
  </xdr:twoCellAnchor>
  <xdr:twoCellAnchor>
    <xdr:from>
      <xdr:col>1</xdr:col>
      <xdr:colOff>2438400</xdr:colOff>
      <xdr:row>2</xdr:row>
      <xdr:rowOff>12700</xdr:rowOff>
    </xdr:from>
    <xdr:to>
      <xdr:col>2</xdr:col>
      <xdr:colOff>196850</xdr:colOff>
      <xdr:row>2</xdr:row>
      <xdr:rowOff>254000</xdr:rowOff>
    </xdr:to>
    <xdr:sp macro="ClicAnio" textlink="">
      <xdr:nvSpPr>
        <xdr:cNvPr id="62" name="btnYr_2027">
          <a:extLst>
            <a:ext uri="{FF2B5EF4-FFF2-40B4-BE49-F238E27FC236}">
              <a16:creationId xmlns:a16="http://schemas.microsoft.com/office/drawing/2014/main" id="{B8BB40F1-7084-4FAA-B5BE-5107CB4BCE66}"/>
            </a:ext>
          </a:extLst>
        </xdr:cNvPr>
        <xdr:cNvSpPr/>
      </xdr:nvSpPr>
      <xdr:spPr>
        <a:xfrm>
          <a:off x="2571750" y="5651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2027</a:t>
          </a:r>
        </a:p>
      </xdr:txBody>
    </xdr:sp>
    <xdr:clientData/>
  </xdr:twoCellAnchor>
  <xdr:twoCellAnchor>
    <xdr:from>
      <xdr:col>2</xdr:col>
      <xdr:colOff>247650</xdr:colOff>
      <xdr:row>2</xdr:row>
      <xdr:rowOff>12700</xdr:rowOff>
    </xdr:from>
    <xdr:to>
      <xdr:col>2</xdr:col>
      <xdr:colOff>806450</xdr:colOff>
      <xdr:row>2</xdr:row>
      <xdr:rowOff>254000</xdr:rowOff>
    </xdr:to>
    <xdr:sp macro="ClicAnio" textlink="">
      <xdr:nvSpPr>
        <xdr:cNvPr id="63" name="btnYr_2028">
          <a:extLst>
            <a:ext uri="{FF2B5EF4-FFF2-40B4-BE49-F238E27FC236}">
              <a16:creationId xmlns:a16="http://schemas.microsoft.com/office/drawing/2014/main" id="{164E4BDE-9FF3-42A9-ACDD-0E037F5B6F16}"/>
            </a:ext>
          </a:extLst>
        </xdr:cNvPr>
        <xdr:cNvSpPr/>
      </xdr:nvSpPr>
      <xdr:spPr>
        <a:xfrm>
          <a:off x="3181350" y="5651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2028</a:t>
          </a:r>
        </a:p>
      </xdr:txBody>
    </xdr:sp>
    <xdr:clientData/>
  </xdr:twoCellAnchor>
  <xdr:twoCellAnchor>
    <xdr:from>
      <xdr:col>2</xdr:col>
      <xdr:colOff>857250</xdr:colOff>
      <xdr:row>2</xdr:row>
      <xdr:rowOff>12700</xdr:rowOff>
    </xdr:from>
    <xdr:to>
      <xdr:col>3</xdr:col>
      <xdr:colOff>215900</xdr:colOff>
      <xdr:row>2</xdr:row>
      <xdr:rowOff>254000</xdr:rowOff>
    </xdr:to>
    <xdr:sp macro="ClicAnio" textlink="">
      <xdr:nvSpPr>
        <xdr:cNvPr id="64" name="btnYr_2029">
          <a:extLst>
            <a:ext uri="{FF2B5EF4-FFF2-40B4-BE49-F238E27FC236}">
              <a16:creationId xmlns:a16="http://schemas.microsoft.com/office/drawing/2014/main" id="{AA4E3E3C-42A8-43AD-A38D-9D93B7D79AC0}"/>
            </a:ext>
          </a:extLst>
        </xdr:cNvPr>
        <xdr:cNvSpPr/>
      </xdr:nvSpPr>
      <xdr:spPr>
        <a:xfrm>
          <a:off x="3790950" y="5651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2029</a:t>
          </a:r>
        </a:p>
      </xdr:txBody>
    </xdr:sp>
    <xdr:clientData/>
  </xdr:twoCellAnchor>
  <xdr:twoCellAnchor>
    <xdr:from>
      <xdr:col>3</xdr:col>
      <xdr:colOff>266700</xdr:colOff>
      <xdr:row>2</xdr:row>
      <xdr:rowOff>12700</xdr:rowOff>
    </xdr:from>
    <xdr:to>
      <xdr:col>4</xdr:col>
      <xdr:colOff>244475</xdr:colOff>
      <xdr:row>2</xdr:row>
      <xdr:rowOff>254000</xdr:rowOff>
    </xdr:to>
    <xdr:sp macro="ClicAnio" textlink="">
      <xdr:nvSpPr>
        <xdr:cNvPr id="65" name="btnYr_2030">
          <a:extLst>
            <a:ext uri="{FF2B5EF4-FFF2-40B4-BE49-F238E27FC236}">
              <a16:creationId xmlns:a16="http://schemas.microsoft.com/office/drawing/2014/main" id="{4072A7E8-9113-4879-88B5-E06CB12FA61C}"/>
            </a:ext>
          </a:extLst>
        </xdr:cNvPr>
        <xdr:cNvSpPr/>
      </xdr:nvSpPr>
      <xdr:spPr>
        <a:xfrm>
          <a:off x="4400550" y="5651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2030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447675</xdr:colOff>
      <xdr:row>9</xdr:row>
      <xdr:rowOff>76200</xdr:rowOff>
    </xdr:from>
    <xdr:to>
      <xdr:col>13</xdr:col>
      <xdr:colOff>41715</xdr:colOff>
      <xdr:row>21</xdr:row>
      <xdr:rowOff>21780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695325</xdr:colOff>
      <xdr:row>21</xdr:row>
      <xdr:rowOff>76200</xdr:rowOff>
    </xdr:from>
    <xdr:to>
      <xdr:col>16</xdr:col>
      <xdr:colOff>146490</xdr:colOff>
      <xdr:row>33</xdr:row>
      <xdr:rowOff>21780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123825</xdr:colOff>
      <xdr:row>9</xdr:row>
      <xdr:rowOff>76200</xdr:rowOff>
    </xdr:from>
    <xdr:to>
      <xdr:col>17</xdr:col>
      <xdr:colOff>656670</xdr:colOff>
      <xdr:row>21</xdr:row>
      <xdr:rowOff>21780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355600</xdr:colOff>
      <xdr:row>2</xdr:row>
      <xdr:rowOff>12700</xdr:rowOff>
    </xdr:from>
    <xdr:to>
      <xdr:col>2</xdr:col>
      <xdr:colOff>152400</xdr:colOff>
      <xdr:row>2</xdr:row>
      <xdr:rowOff>254000</xdr:rowOff>
    </xdr:to>
    <xdr:sp macro="ClicAnio" textlink="">
      <xdr:nvSpPr>
        <xdr:cNvPr id="61" name="btnYr_2023">
          <a:extLst>
            <a:ext uri="{FF2B5EF4-FFF2-40B4-BE49-F238E27FC236}">
              <a16:creationId xmlns:a16="http://schemas.microsoft.com/office/drawing/2014/main" id="{2800F232-BA44-46C1-8138-E4A043C71F2D}"/>
            </a:ext>
          </a:extLst>
        </xdr:cNvPr>
        <xdr:cNvSpPr/>
      </xdr:nvSpPr>
      <xdr:spPr>
        <a:xfrm>
          <a:off x="355600" y="6413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2023</a:t>
          </a:r>
        </a:p>
      </xdr:txBody>
    </xdr:sp>
    <xdr:clientData/>
  </xdr:twoCellAnchor>
  <xdr:twoCellAnchor>
    <xdr:from>
      <xdr:col>2</xdr:col>
      <xdr:colOff>203200</xdr:colOff>
      <xdr:row>2</xdr:row>
      <xdr:rowOff>12700</xdr:rowOff>
    </xdr:from>
    <xdr:to>
      <xdr:col>3</xdr:col>
      <xdr:colOff>0</xdr:colOff>
      <xdr:row>2</xdr:row>
      <xdr:rowOff>254000</xdr:rowOff>
    </xdr:to>
    <xdr:sp macro="ClicAnio" textlink="">
      <xdr:nvSpPr>
        <xdr:cNvPr id="62" name="btnYr_2024">
          <a:extLst>
            <a:ext uri="{FF2B5EF4-FFF2-40B4-BE49-F238E27FC236}">
              <a16:creationId xmlns:a16="http://schemas.microsoft.com/office/drawing/2014/main" id="{49C2A918-3478-4C09-B776-A796037E0196}"/>
            </a:ext>
          </a:extLst>
        </xdr:cNvPr>
        <xdr:cNvSpPr/>
      </xdr:nvSpPr>
      <xdr:spPr>
        <a:xfrm>
          <a:off x="965200" y="641350"/>
          <a:ext cx="558800" cy="241300"/>
        </a:xfrm>
        <a:prstGeom prst="roundRect">
          <a:avLst/>
        </a:prstGeom>
        <a:solidFill>
          <a:srgbClr val="D4A8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111111"/>
              </a:solidFill>
              <a:latin typeface="Arial" panose="020B0604020202020204" pitchFamily="34" charset="0"/>
            </a:rPr>
            <a:t>2024</a:t>
          </a:r>
        </a:p>
      </xdr:txBody>
    </xdr:sp>
    <xdr:clientData/>
  </xdr:twoCellAnchor>
  <xdr:twoCellAnchor>
    <xdr:from>
      <xdr:col>3</xdr:col>
      <xdr:colOff>50800</xdr:colOff>
      <xdr:row>2</xdr:row>
      <xdr:rowOff>12700</xdr:rowOff>
    </xdr:from>
    <xdr:to>
      <xdr:col>3</xdr:col>
      <xdr:colOff>609600</xdr:colOff>
      <xdr:row>2</xdr:row>
      <xdr:rowOff>254000</xdr:rowOff>
    </xdr:to>
    <xdr:sp macro="ClicAnio" textlink="">
      <xdr:nvSpPr>
        <xdr:cNvPr id="63" name="btnYr_2025">
          <a:extLst>
            <a:ext uri="{FF2B5EF4-FFF2-40B4-BE49-F238E27FC236}">
              <a16:creationId xmlns:a16="http://schemas.microsoft.com/office/drawing/2014/main" id="{FE1E1025-D58C-41CC-A9AD-A5E714211F53}"/>
            </a:ext>
          </a:extLst>
        </xdr:cNvPr>
        <xdr:cNvSpPr/>
      </xdr:nvSpPr>
      <xdr:spPr>
        <a:xfrm>
          <a:off x="1574800" y="6413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2025</a:t>
          </a:r>
        </a:p>
      </xdr:txBody>
    </xdr:sp>
    <xdr:clientData/>
  </xdr:twoCellAnchor>
  <xdr:twoCellAnchor>
    <xdr:from>
      <xdr:col>3</xdr:col>
      <xdr:colOff>660400</xdr:colOff>
      <xdr:row>2</xdr:row>
      <xdr:rowOff>12700</xdr:rowOff>
    </xdr:from>
    <xdr:to>
      <xdr:col>4</xdr:col>
      <xdr:colOff>457200</xdr:colOff>
      <xdr:row>2</xdr:row>
      <xdr:rowOff>254000</xdr:rowOff>
    </xdr:to>
    <xdr:sp macro="ClicAnio" textlink="">
      <xdr:nvSpPr>
        <xdr:cNvPr id="64" name="btnYr_2026">
          <a:extLst>
            <a:ext uri="{FF2B5EF4-FFF2-40B4-BE49-F238E27FC236}">
              <a16:creationId xmlns:a16="http://schemas.microsoft.com/office/drawing/2014/main" id="{5CC9EF4A-9B10-467B-9634-BBBAD2A1F234}"/>
            </a:ext>
          </a:extLst>
        </xdr:cNvPr>
        <xdr:cNvSpPr/>
      </xdr:nvSpPr>
      <xdr:spPr>
        <a:xfrm>
          <a:off x="2184400" y="6413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2026</a:t>
          </a:r>
        </a:p>
      </xdr:txBody>
    </xdr:sp>
    <xdr:clientData/>
  </xdr:twoCellAnchor>
  <xdr:twoCellAnchor>
    <xdr:from>
      <xdr:col>4</xdr:col>
      <xdr:colOff>508000</xdr:colOff>
      <xdr:row>2</xdr:row>
      <xdr:rowOff>12700</xdr:rowOff>
    </xdr:from>
    <xdr:to>
      <xdr:col>5</xdr:col>
      <xdr:colOff>304800</xdr:colOff>
      <xdr:row>2</xdr:row>
      <xdr:rowOff>254000</xdr:rowOff>
    </xdr:to>
    <xdr:sp macro="ClicAnio" textlink="">
      <xdr:nvSpPr>
        <xdr:cNvPr id="65" name="btnYr_2027">
          <a:extLst>
            <a:ext uri="{FF2B5EF4-FFF2-40B4-BE49-F238E27FC236}">
              <a16:creationId xmlns:a16="http://schemas.microsoft.com/office/drawing/2014/main" id="{34D18904-37B7-477C-AA1A-375BC5BAFA19}"/>
            </a:ext>
          </a:extLst>
        </xdr:cNvPr>
        <xdr:cNvSpPr/>
      </xdr:nvSpPr>
      <xdr:spPr>
        <a:xfrm>
          <a:off x="2794000" y="6413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2027</a:t>
          </a:r>
        </a:p>
      </xdr:txBody>
    </xdr:sp>
    <xdr:clientData/>
  </xdr:twoCellAnchor>
  <xdr:twoCellAnchor>
    <xdr:from>
      <xdr:col>5</xdr:col>
      <xdr:colOff>355600</xdr:colOff>
      <xdr:row>2</xdr:row>
      <xdr:rowOff>12700</xdr:rowOff>
    </xdr:from>
    <xdr:to>
      <xdr:col>5</xdr:col>
      <xdr:colOff>914400</xdr:colOff>
      <xdr:row>2</xdr:row>
      <xdr:rowOff>254000</xdr:rowOff>
    </xdr:to>
    <xdr:sp macro="ClicAnio" textlink="">
      <xdr:nvSpPr>
        <xdr:cNvPr id="66" name="btnYr_2028">
          <a:extLst>
            <a:ext uri="{FF2B5EF4-FFF2-40B4-BE49-F238E27FC236}">
              <a16:creationId xmlns:a16="http://schemas.microsoft.com/office/drawing/2014/main" id="{D72F08EC-89F1-4736-A3B5-F0F46770B263}"/>
            </a:ext>
          </a:extLst>
        </xdr:cNvPr>
        <xdr:cNvSpPr/>
      </xdr:nvSpPr>
      <xdr:spPr>
        <a:xfrm>
          <a:off x="3403600" y="6413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2028</a:t>
          </a:r>
        </a:p>
      </xdr:txBody>
    </xdr:sp>
    <xdr:clientData/>
  </xdr:twoCellAnchor>
  <xdr:twoCellAnchor>
    <xdr:from>
      <xdr:col>5</xdr:col>
      <xdr:colOff>965200</xdr:colOff>
      <xdr:row>2</xdr:row>
      <xdr:rowOff>12700</xdr:rowOff>
    </xdr:from>
    <xdr:to>
      <xdr:col>6</xdr:col>
      <xdr:colOff>552450</xdr:colOff>
      <xdr:row>2</xdr:row>
      <xdr:rowOff>254000</xdr:rowOff>
    </xdr:to>
    <xdr:sp macro="ClicAnio" textlink="">
      <xdr:nvSpPr>
        <xdr:cNvPr id="67" name="btnYr_2029">
          <a:extLst>
            <a:ext uri="{FF2B5EF4-FFF2-40B4-BE49-F238E27FC236}">
              <a16:creationId xmlns:a16="http://schemas.microsoft.com/office/drawing/2014/main" id="{856D4C64-4424-4004-8A17-49637D92C560}"/>
            </a:ext>
          </a:extLst>
        </xdr:cNvPr>
        <xdr:cNvSpPr/>
      </xdr:nvSpPr>
      <xdr:spPr>
        <a:xfrm>
          <a:off x="4013200" y="6413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2029</a:t>
          </a:r>
        </a:p>
      </xdr:txBody>
    </xdr:sp>
    <xdr:clientData/>
  </xdr:twoCellAnchor>
  <xdr:twoCellAnchor>
    <xdr:from>
      <xdr:col>6</xdr:col>
      <xdr:colOff>603250</xdr:colOff>
      <xdr:row>2</xdr:row>
      <xdr:rowOff>12700</xdr:rowOff>
    </xdr:from>
    <xdr:to>
      <xdr:col>7</xdr:col>
      <xdr:colOff>0</xdr:colOff>
      <xdr:row>2</xdr:row>
      <xdr:rowOff>254000</xdr:rowOff>
    </xdr:to>
    <xdr:sp macro="ClicAnio" textlink="">
      <xdr:nvSpPr>
        <xdr:cNvPr id="68" name="btnYr_2030">
          <a:extLst>
            <a:ext uri="{FF2B5EF4-FFF2-40B4-BE49-F238E27FC236}">
              <a16:creationId xmlns:a16="http://schemas.microsoft.com/office/drawing/2014/main" id="{E9744E28-3B49-4515-8DCD-30EFB2F22358}"/>
            </a:ext>
          </a:extLst>
        </xdr:cNvPr>
        <xdr:cNvSpPr/>
      </xdr:nvSpPr>
      <xdr:spPr>
        <a:xfrm>
          <a:off x="4622800" y="641350"/>
          <a:ext cx="558800" cy="241300"/>
        </a:xfrm>
        <a:prstGeom prst="roundRect">
          <a:avLst/>
        </a:prstGeom>
        <a:solidFill>
          <a:srgbClr val="1111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900" b="1">
              <a:solidFill>
                <a:srgbClr val="FFFFFF"/>
              </a:solidFill>
              <a:latin typeface="Arial" panose="020B0604020202020204" pitchFamily="34" charset="0"/>
            </a:rPr>
            <a:t>2030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E21"/>
  <sheetViews>
    <sheetView showGridLines="0" zoomScaleNormal="100" workbookViewId="0">
      <selection activeCell="C25" sqref="C25"/>
    </sheetView>
  </sheetViews>
  <sheetFormatPr baseColWidth="10" defaultColWidth="8.7109375" defaultRowHeight="15" x14ac:dyDescent="0.25"/>
  <cols>
    <col min="1" max="1" width="11.42578125" customWidth="1"/>
    <col min="2" max="2" width="24" customWidth="1"/>
    <col min="3" max="3" width="28.5703125" customWidth="1"/>
    <col min="4" max="5" width="24" customWidth="1"/>
    <col min="6" max="6" width="2" customWidth="1"/>
  </cols>
  <sheetData>
    <row r="1" spans="2:5" ht="33.75" customHeight="1" x14ac:dyDescent="0.25">
      <c r="B1" s="71" t="s">
        <v>0</v>
      </c>
      <c r="C1" s="71"/>
      <c r="D1" s="71"/>
      <c r="E1" s="71"/>
    </row>
    <row r="2" spans="2:5" ht="19.5" customHeight="1" x14ac:dyDescent="0.25">
      <c r="B2" s="72" t="s">
        <v>1</v>
      </c>
      <c r="C2" s="72"/>
      <c r="D2" s="72"/>
      <c r="E2" s="72"/>
    </row>
    <row r="4" spans="2:5" ht="15.75" x14ac:dyDescent="0.25">
      <c r="B4" s="73" t="s">
        <v>2</v>
      </c>
      <c r="C4" s="74"/>
      <c r="D4" s="74"/>
      <c r="E4" s="75"/>
    </row>
    <row r="5" spans="2:5" x14ac:dyDescent="0.25">
      <c r="B5" s="69" t="s">
        <v>3</v>
      </c>
      <c r="C5" s="69"/>
      <c r="D5" s="69"/>
      <c r="E5" s="69"/>
    </row>
    <row r="6" spans="2:5" ht="51.75" customHeight="1" x14ac:dyDescent="0.25">
      <c r="B6" s="68" t="s">
        <v>4</v>
      </c>
      <c r="C6" s="68"/>
      <c r="D6" s="68"/>
      <c r="E6" s="68"/>
    </row>
    <row r="8" spans="2:5" x14ac:dyDescent="0.25">
      <c r="B8" s="69" t="s">
        <v>5</v>
      </c>
      <c r="C8" s="69"/>
      <c r="D8" s="69"/>
      <c r="E8" s="69"/>
    </row>
    <row r="9" spans="2:5" ht="51.75" customHeight="1" x14ac:dyDescent="0.25">
      <c r="B9" s="68" t="s">
        <v>6</v>
      </c>
      <c r="C9" s="68"/>
      <c r="D9" s="68"/>
      <c r="E9" s="68"/>
    </row>
    <row r="11" spans="2:5" x14ac:dyDescent="0.25">
      <c r="B11" s="69" t="s">
        <v>7</v>
      </c>
      <c r="C11" s="69"/>
      <c r="D11" s="69"/>
      <c r="E11" s="69"/>
    </row>
    <row r="12" spans="2:5" ht="51.75" customHeight="1" x14ac:dyDescent="0.25">
      <c r="B12" s="70" t="s">
        <v>8</v>
      </c>
      <c r="C12" s="70"/>
      <c r="D12" s="70"/>
      <c r="E12" s="70"/>
    </row>
    <row r="14" spans="2:5" x14ac:dyDescent="0.25">
      <c r="B14" s="69" t="s">
        <v>217</v>
      </c>
      <c r="C14" s="69"/>
      <c r="D14" s="69"/>
      <c r="E14" s="69"/>
    </row>
    <row r="15" spans="2:5" ht="51.75" customHeight="1" x14ac:dyDescent="0.25">
      <c r="B15" s="70" t="s">
        <v>9</v>
      </c>
      <c r="C15" s="70"/>
      <c r="D15" s="70"/>
      <c r="E15" s="70"/>
    </row>
    <row r="17" spans="2:5" x14ac:dyDescent="0.25">
      <c r="B17" s="6" t="s">
        <v>10</v>
      </c>
    </row>
    <row r="18" spans="2:5" x14ac:dyDescent="0.25">
      <c r="B18" s="7" t="s">
        <v>11</v>
      </c>
      <c r="C18" s="9" t="s">
        <v>12</v>
      </c>
    </row>
    <row r="19" spans="2:5" x14ac:dyDescent="0.25">
      <c r="B19" s="8" t="s">
        <v>13</v>
      </c>
      <c r="C19" s="9" t="s">
        <v>14</v>
      </c>
    </row>
    <row r="21" spans="2:5" x14ac:dyDescent="0.25">
      <c r="B21" s="70" t="s">
        <v>218</v>
      </c>
      <c r="C21" s="70"/>
      <c r="D21" s="70"/>
      <c r="E21" s="70"/>
    </row>
  </sheetData>
  <mergeCells count="12">
    <mergeCell ref="B21:E21"/>
    <mergeCell ref="B1:E1"/>
    <mergeCell ref="B2:E2"/>
    <mergeCell ref="B5:E5"/>
    <mergeCell ref="B6:E6"/>
    <mergeCell ref="B8:E8"/>
    <mergeCell ref="B4:E4"/>
    <mergeCell ref="B9:E9"/>
    <mergeCell ref="B11:E11"/>
    <mergeCell ref="B12:E12"/>
    <mergeCell ref="B14:E14"/>
    <mergeCell ref="B15:E15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2:E21"/>
  <sheetViews>
    <sheetView showGridLines="0" zoomScaleNormal="100" workbookViewId="0">
      <selection activeCell="L16" sqref="L16"/>
    </sheetView>
  </sheetViews>
  <sheetFormatPr baseColWidth="10" defaultColWidth="8.7109375" defaultRowHeight="15" x14ac:dyDescent="0.25"/>
  <cols>
    <col min="1" max="1" width="2" customWidth="1"/>
    <col min="2" max="2" width="26" customWidth="1"/>
    <col min="3" max="3" width="40" customWidth="1"/>
    <col min="4" max="4" width="34" customWidth="1"/>
    <col min="5" max="5" width="40" customWidth="1"/>
  </cols>
  <sheetData>
    <row r="2" spans="2:5" ht="30" customHeight="1" x14ac:dyDescent="0.25">
      <c r="B2" s="77" t="s">
        <v>15</v>
      </c>
      <c r="C2" s="77"/>
      <c r="D2" s="77"/>
      <c r="E2" s="77"/>
    </row>
    <row r="3" spans="2:5" ht="15" customHeight="1" x14ac:dyDescent="0.25">
      <c r="B3" s="72" t="s">
        <v>16</v>
      </c>
      <c r="C3" s="72"/>
      <c r="D3" s="72"/>
      <c r="E3" s="72"/>
    </row>
    <row r="5" spans="2:5" x14ac:dyDescent="0.25">
      <c r="B5" s="24" t="s">
        <v>17</v>
      </c>
      <c r="C5" s="24" t="s">
        <v>18</v>
      </c>
      <c r="D5" s="24" t="s">
        <v>19</v>
      </c>
      <c r="E5" s="24" t="s">
        <v>20</v>
      </c>
    </row>
    <row r="6" spans="2:5" ht="18" customHeight="1" x14ac:dyDescent="0.25">
      <c r="B6" s="76" t="s">
        <v>21</v>
      </c>
      <c r="C6" s="76"/>
      <c r="D6" s="76"/>
      <c r="E6" s="76"/>
    </row>
    <row r="7" spans="2:5" ht="33.75" customHeight="1" x14ac:dyDescent="0.25">
      <c r="B7" s="25" t="s">
        <v>22</v>
      </c>
      <c r="C7" s="26" t="s">
        <v>23</v>
      </c>
      <c r="D7" s="26" t="s">
        <v>24</v>
      </c>
      <c r="E7" s="26" t="s">
        <v>25</v>
      </c>
    </row>
    <row r="8" spans="2:5" ht="33.75" customHeight="1" x14ac:dyDescent="0.25">
      <c r="B8" s="25" t="s">
        <v>26</v>
      </c>
      <c r="C8" s="26" t="s">
        <v>27</v>
      </c>
      <c r="D8" s="26" t="s">
        <v>28</v>
      </c>
      <c r="E8" s="26" t="s">
        <v>29</v>
      </c>
    </row>
    <row r="9" spans="2:5" ht="33.75" customHeight="1" x14ac:dyDescent="0.25">
      <c r="B9" s="25" t="s">
        <v>30</v>
      </c>
      <c r="C9" s="26" t="s">
        <v>31</v>
      </c>
      <c r="D9" s="26" t="s">
        <v>32</v>
      </c>
      <c r="E9" s="26" t="s">
        <v>33</v>
      </c>
    </row>
    <row r="10" spans="2:5" ht="18" customHeight="1" x14ac:dyDescent="0.25">
      <c r="B10" s="76" t="s">
        <v>34</v>
      </c>
      <c r="C10" s="76"/>
      <c r="D10" s="76"/>
      <c r="E10" s="76"/>
    </row>
    <row r="11" spans="2:5" ht="33.75" customHeight="1" x14ac:dyDescent="0.25">
      <c r="B11" s="25" t="s">
        <v>35</v>
      </c>
      <c r="C11" s="26" t="s">
        <v>36</v>
      </c>
      <c r="D11" s="26" t="s">
        <v>37</v>
      </c>
      <c r="E11" s="26" t="s">
        <v>38</v>
      </c>
    </row>
    <row r="12" spans="2:5" ht="33.75" customHeight="1" x14ac:dyDescent="0.25">
      <c r="B12" s="25" t="s">
        <v>39</v>
      </c>
      <c r="C12" s="26" t="s">
        <v>40</v>
      </c>
      <c r="D12" s="26" t="s">
        <v>41</v>
      </c>
      <c r="E12" s="26" t="s">
        <v>42</v>
      </c>
    </row>
    <row r="13" spans="2:5" ht="18" customHeight="1" x14ac:dyDescent="0.25">
      <c r="B13" s="76" t="s">
        <v>43</v>
      </c>
      <c r="C13" s="76"/>
      <c r="D13" s="76"/>
      <c r="E13" s="76"/>
    </row>
    <row r="14" spans="2:5" ht="33.75" customHeight="1" x14ac:dyDescent="0.25">
      <c r="B14" s="25" t="s">
        <v>44</v>
      </c>
      <c r="C14" s="26" t="s">
        <v>45</v>
      </c>
      <c r="D14" s="26" t="s">
        <v>46</v>
      </c>
      <c r="E14" s="26" t="s">
        <v>47</v>
      </c>
    </row>
    <row r="15" spans="2:5" ht="33.75" customHeight="1" x14ac:dyDescent="0.25">
      <c r="B15" s="25" t="s">
        <v>48</v>
      </c>
      <c r="C15" s="26" t="s">
        <v>49</v>
      </c>
      <c r="D15" s="26" t="s">
        <v>50</v>
      </c>
      <c r="E15" s="26" t="s">
        <v>51</v>
      </c>
    </row>
    <row r="16" spans="2:5" ht="33.75" customHeight="1" x14ac:dyDescent="0.25">
      <c r="B16" s="25" t="s">
        <v>52</v>
      </c>
      <c r="C16" s="26" t="s">
        <v>53</v>
      </c>
      <c r="D16" s="26" t="s">
        <v>54</v>
      </c>
      <c r="E16" s="26" t="s">
        <v>55</v>
      </c>
    </row>
    <row r="17" spans="2:5" ht="33.75" customHeight="1" x14ac:dyDescent="0.25">
      <c r="B17" s="25" t="s">
        <v>56</v>
      </c>
      <c r="C17" s="26" t="s">
        <v>57</v>
      </c>
      <c r="D17" s="26" t="s">
        <v>58</v>
      </c>
      <c r="E17" s="26" t="s">
        <v>55</v>
      </c>
    </row>
    <row r="18" spans="2:5" ht="18" customHeight="1" x14ac:dyDescent="0.25">
      <c r="B18" s="76" t="s">
        <v>59</v>
      </c>
      <c r="C18" s="76"/>
      <c r="D18" s="76"/>
      <c r="E18" s="76"/>
    </row>
    <row r="19" spans="2:5" ht="33.75" customHeight="1" x14ac:dyDescent="0.25">
      <c r="B19" s="25" t="s">
        <v>60</v>
      </c>
      <c r="C19" s="26" t="s">
        <v>61</v>
      </c>
      <c r="D19" s="26" t="s">
        <v>62</v>
      </c>
      <c r="E19" s="26" t="s">
        <v>63</v>
      </c>
    </row>
    <row r="20" spans="2:5" ht="33.75" customHeight="1" x14ac:dyDescent="0.25">
      <c r="B20" s="25" t="s">
        <v>64</v>
      </c>
      <c r="C20" s="26" t="s">
        <v>65</v>
      </c>
      <c r="D20" s="26" t="s">
        <v>66</v>
      </c>
      <c r="E20" s="26" t="s">
        <v>55</v>
      </c>
    </row>
    <row r="21" spans="2:5" ht="33.75" customHeight="1" x14ac:dyDescent="0.25">
      <c r="B21" s="25" t="s">
        <v>67</v>
      </c>
      <c r="C21" s="26" t="s">
        <v>68</v>
      </c>
      <c r="D21" s="26" t="s">
        <v>69</v>
      </c>
      <c r="E21" s="26" t="s">
        <v>55</v>
      </c>
    </row>
  </sheetData>
  <mergeCells count="6">
    <mergeCell ref="B18:E18"/>
    <mergeCell ref="B2:E2"/>
    <mergeCell ref="B3:E3"/>
    <mergeCell ref="B6:E6"/>
    <mergeCell ref="B10:E10"/>
    <mergeCell ref="B13:E13"/>
  </mergeCell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1:O32"/>
  <sheetViews>
    <sheetView showGridLines="0" tabSelected="1" zoomScaleNormal="100" workbookViewId="0">
      <selection activeCell="Q17" sqref="Q17"/>
    </sheetView>
  </sheetViews>
  <sheetFormatPr baseColWidth="10" defaultColWidth="8.7109375" defaultRowHeight="15" x14ac:dyDescent="0.25"/>
  <cols>
    <col min="1" max="1" width="7" customWidth="1"/>
    <col min="2" max="2" width="34" customWidth="1"/>
    <col min="3" max="14" width="8.42578125" customWidth="1"/>
    <col min="15" max="15" width="13" customWidth="1"/>
  </cols>
  <sheetData>
    <row r="1" spans="2:15" ht="25.5" customHeight="1" x14ac:dyDescent="0.25">
      <c r="B1" s="78" t="s">
        <v>70</v>
      </c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</row>
    <row r="2" spans="2:15" ht="30" customHeight="1" x14ac:dyDescent="0.25">
      <c r="B2" s="1" t="s">
        <v>71</v>
      </c>
      <c r="C2" s="27">
        <v>2024</v>
      </c>
      <c r="D2" s="79" t="s">
        <v>72</v>
      </c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</row>
    <row r="3" spans="2:15" ht="22.5" customHeight="1" x14ac:dyDescent="0.25"/>
    <row r="5" spans="2:15" ht="19.5" customHeight="1" x14ac:dyDescent="0.25">
      <c r="B5" s="76" t="s">
        <v>73</v>
      </c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</row>
    <row r="6" spans="2:15" x14ac:dyDescent="0.25">
      <c r="B6" s="28" t="s">
        <v>74</v>
      </c>
      <c r="C6" s="28" t="s">
        <v>75</v>
      </c>
      <c r="D6" s="28" t="s">
        <v>76</v>
      </c>
      <c r="E6" s="28" t="s">
        <v>77</v>
      </c>
      <c r="F6" s="28" t="s">
        <v>78</v>
      </c>
      <c r="G6" s="28" t="s">
        <v>79</v>
      </c>
      <c r="H6" s="28" t="s">
        <v>80</v>
      </c>
      <c r="I6" s="28" t="s">
        <v>81</v>
      </c>
      <c r="J6" s="28" t="s">
        <v>82</v>
      </c>
      <c r="K6" s="28" t="s">
        <v>83</v>
      </c>
      <c r="L6" s="28" t="s">
        <v>84</v>
      </c>
      <c r="M6" s="28" t="s">
        <v>85</v>
      </c>
      <c r="N6" s="28" t="s">
        <v>86</v>
      </c>
      <c r="O6" s="28" t="s">
        <v>87</v>
      </c>
    </row>
    <row r="7" spans="2:15" x14ac:dyDescent="0.25">
      <c r="B7" s="33" t="s">
        <v>88</v>
      </c>
      <c r="C7" s="32">
        <v>60000</v>
      </c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29">
        <f t="shared" ref="O7:O17" si="0">SUM(C7:N7)</f>
        <v>60000</v>
      </c>
    </row>
    <row r="8" spans="2:15" x14ac:dyDescent="0.25">
      <c r="B8" s="33" t="s">
        <v>89</v>
      </c>
      <c r="C8" s="32">
        <v>90000</v>
      </c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29">
        <f t="shared" si="0"/>
        <v>90000</v>
      </c>
    </row>
    <row r="9" spans="2:15" x14ac:dyDescent="0.25">
      <c r="B9" s="33" t="s">
        <v>90</v>
      </c>
      <c r="C9" s="32">
        <v>100000</v>
      </c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29">
        <f t="shared" si="0"/>
        <v>100000</v>
      </c>
    </row>
    <row r="10" spans="2:15" x14ac:dyDescent="0.25">
      <c r="B10" s="33" t="s">
        <v>91</v>
      </c>
      <c r="C10" s="32">
        <v>0</v>
      </c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29">
        <f t="shared" si="0"/>
        <v>0</v>
      </c>
    </row>
    <row r="11" spans="2:15" x14ac:dyDescent="0.25">
      <c r="B11" s="33" t="s">
        <v>92</v>
      </c>
      <c r="C11" s="32">
        <v>18000</v>
      </c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29">
        <f t="shared" si="0"/>
        <v>18000</v>
      </c>
    </row>
    <row r="12" spans="2:15" x14ac:dyDescent="0.25">
      <c r="B12" s="34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29">
        <f t="shared" si="0"/>
        <v>0</v>
      </c>
    </row>
    <row r="13" spans="2:15" x14ac:dyDescent="0.25">
      <c r="B13" s="34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29">
        <f t="shared" si="0"/>
        <v>0</v>
      </c>
    </row>
    <row r="14" spans="2:15" x14ac:dyDescent="0.25">
      <c r="B14" s="34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29">
        <f t="shared" si="0"/>
        <v>0</v>
      </c>
    </row>
    <row r="15" spans="2:15" x14ac:dyDescent="0.25">
      <c r="B15" s="34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29">
        <f t="shared" si="0"/>
        <v>0</v>
      </c>
    </row>
    <row r="16" spans="2:15" x14ac:dyDescent="0.25">
      <c r="B16" s="34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29">
        <f t="shared" si="0"/>
        <v>0</v>
      </c>
    </row>
    <row r="17" spans="2:15" x14ac:dyDescent="0.25">
      <c r="B17" s="34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29">
        <f t="shared" si="0"/>
        <v>0</v>
      </c>
    </row>
    <row r="18" spans="2:15" x14ac:dyDescent="0.25">
      <c r="B18" s="30" t="s">
        <v>93</v>
      </c>
      <c r="C18" s="31">
        <f t="shared" ref="C18:O18" si="1">SUM(C7:C17)</f>
        <v>268000</v>
      </c>
      <c r="D18" s="31">
        <f t="shared" si="1"/>
        <v>0</v>
      </c>
      <c r="E18" s="31">
        <f t="shared" si="1"/>
        <v>0</v>
      </c>
      <c r="F18" s="31">
        <f t="shared" si="1"/>
        <v>0</v>
      </c>
      <c r="G18" s="31">
        <f t="shared" si="1"/>
        <v>0</v>
      </c>
      <c r="H18" s="31">
        <f t="shared" si="1"/>
        <v>0</v>
      </c>
      <c r="I18" s="31">
        <f t="shared" si="1"/>
        <v>0</v>
      </c>
      <c r="J18" s="31">
        <f t="shared" si="1"/>
        <v>0</v>
      </c>
      <c r="K18" s="31">
        <f t="shared" si="1"/>
        <v>0</v>
      </c>
      <c r="L18" s="31">
        <f t="shared" si="1"/>
        <v>0</v>
      </c>
      <c r="M18" s="31">
        <f t="shared" si="1"/>
        <v>0</v>
      </c>
      <c r="N18" s="31">
        <f t="shared" si="1"/>
        <v>0</v>
      </c>
      <c r="O18" s="31">
        <f t="shared" si="1"/>
        <v>268000</v>
      </c>
    </row>
    <row r="20" spans="2:15" ht="19.5" customHeight="1" x14ac:dyDescent="0.25">
      <c r="B20" s="76" t="s">
        <v>94</v>
      </c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</row>
    <row r="21" spans="2:15" x14ac:dyDescent="0.25">
      <c r="B21" s="28" t="s">
        <v>74</v>
      </c>
      <c r="C21" s="28" t="s">
        <v>75</v>
      </c>
      <c r="D21" s="28" t="s">
        <v>76</v>
      </c>
      <c r="E21" s="28" t="s">
        <v>77</v>
      </c>
      <c r="F21" s="28" t="s">
        <v>78</v>
      </c>
      <c r="G21" s="28" t="s">
        <v>79</v>
      </c>
      <c r="H21" s="28" t="s">
        <v>80</v>
      </c>
      <c r="I21" s="28" t="s">
        <v>81</v>
      </c>
      <c r="J21" s="28" t="s">
        <v>82</v>
      </c>
      <c r="K21" s="28" t="s">
        <v>83</v>
      </c>
      <c r="L21" s="28" t="s">
        <v>84</v>
      </c>
      <c r="M21" s="28" t="s">
        <v>85</v>
      </c>
      <c r="N21" s="28" t="s">
        <v>86</v>
      </c>
      <c r="O21" s="28" t="s">
        <v>87</v>
      </c>
    </row>
    <row r="22" spans="2:15" x14ac:dyDescent="0.25">
      <c r="B22" s="33" t="s">
        <v>95</v>
      </c>
      <c r="C22" s="32">
        <v>195000</v>
      </c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29">
        <f t="shared" ref="O22:O31" si="2">SUM(C22:N22)</f>
        <v>195000</v>
      </c>
    </row>
    <row r="23" spans="2:15" x14ac:dyDescent="0.25">
      <c r="B23" s="33" t="s">
        <v>96</v>
      </c>
      <c r="C23" s="32">
        <v>22000</v>
      </c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29">
        <f t="shared" si="2"/>
        <v>22000</v>
      </c>
    </row>
    <row r="24" spans="2:15" x14ac:dyDescent="0.25">
      <c r="B24" s="33" t="s">
        <v>97</v>
      </c>
      <c r="C24" s="32">
        <v>0</v>
      </c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29">
        <f t="shared" si="2"/>
        <v>0</v>
      </c>
    </row>
    <row r="25" spans="2:15" x14ac:dyDescent="0.25">
      <c r="B25" s="33" t="s">
        <v>98</v>
      </c>
      <c r="C25" s="32">
        <v>12000</v>
      </c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29">
        <f t="shared" si="2"/>
        <v>12000</v>
      </c>
    </row>
    <row r="26" spans="2:15" x14ac:dyDescent="0.25">
      <c r="B26" s="34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29">
        <f t="shared" si="2"/>
        <v>0</v>
      </c>
    </row>
    <row r="27" spans="2:15" x14ac:dyDescent="0.25">
      <c r="B27" s="34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29">
        <f t="shared" si="2"/>
        <v>0</v>
      </c>
    </row>
    <row r="28" spans="2:15" x14ac:dyDescent="0.25">
      <c r="B28" s="34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29">
        <f t="shared" si="2"/>
        <v>0</v>
      </c>
    </row>
    <row r="29" spans="2:15" x14ac:dyDescent="0.25">
      <c r="B29" s="34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29">
        <f t="shared" si="2"/>
        <v>0</v>
      </c>
    </row>
    <row r="30" spans="2:15" x14ac:dyDescent="0.25">
      <c r="B30" s="34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29">
        <f t="shared" si="2"/>
        <v>0</v>
      </c>
    </row>
    <row r="31" spans="2:15" x14ac:dyDescent="0.25">
      <c r="B31" s="34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29">
        <f t="shared" si="2"/>
        <v>0</v>
      </c>
    </row>
    <row r="32" spans="2:15" x14ac:dyDescent="0.25">
      <c r="B32" s="30" t="s">
        <v>99</v>
      </c>
      <c r="C32" s="31">
        <f t="shared" ref="C32:O32" si="3">SUM(C22:C31)</f>
        <v>229000</v>
      </c>
      <c r="D32" s="31">
        <f t="shared" si="3"/>
        <v>0</v>
      </c>
      <c r="E32" s="31">
        <f t="shared" si="3"/>
        <v>0</v>
      </c>
      <c r="F32" s="31">
        <f t="shared" si="3"/>
        <v>0</v>
      </c>
      <c r="G32" s="31">
        <f t="shared" si="3"/>
        <v>0</v>
      </c>
      <c r="H32" s="31">
        <f t="shared" si="3"/>
        <v>0</v>
      </c>
      <c r="I32" s="31">
        <f t="shared" si="3"/>
        <v>0</v>
      </c>
      <c r="J32" s="31">
        <f t="shared" si="3"/>
        <v>0</v>
      </c>
      <c r="K32" s="31">
        <f t="shared" si="3"/>
        <v>0</v>
      </c>
      <c r="L32" s="31">
        <f t="shared" si="3"/>
        <v>0</v>
      </c>
      <c r="M32" s="31">
        <f t="shared" si="3"/>
        <v>0</v>
      </c>
      <c r="N32" s="31">
        <f t="shared" si="3"/>
        <v>0</v>
      </c>
      <c r="O32" s="31">
        <f t="shared" si="3"/>
        <v>229000</v>
      </c>
    </row>
  </sheetData>
  <mergeCells count="4">
    <mergeCell ref="B1:O1"/>
    <mergeCell ref="D2:O2"/>
    <mergeCell ref="B5:O5"/>
    <mergeCell ref="B20:O20"/>
  </mergeCells>
  <dataValidations count="1">
    <dataValidation type="list" sqref="C2" xr:uid="{00000000-0002-0000-0200-000000000000}">
      <formula1>"2023,2024,2025,2026,2027,2028,2029,2030"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1:O31"/>
  <sheetViews>
    <sheetView showGridLines="0" zoomScaleNormal="100" workbookViewId="0">
      <selection activeCell="D2" sqref="D2:O2"/>
    </sheetView>
  </sheetViews>
  <sheetFormatPr baseColWidth="10" defaultColWidth="8.7109375" defaultRowHeight="15" x14ac:dyDescent="0.25"/>
  <cols>
    <col min="1" max="1" width="7" customWidth="1"/>
    <col min="2" max="2" width="34" customWidth="1"/>
    <col min="3" max="14" width="8.42578125" customWidth="1"/>
    <col min="15" max="15" width="13" customWidth="1"/>
  </cols>
  <sheetData>
    <row r="1" spans="2:15" ht="25.5" customHeight="1" x14ac:dyDescent="0.25">
      <c r="B1" s="78" t="s">
        <v>100</v>
      </c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</row>
    <row r="2" spans="2:15" ht="27" customHeight="1" x14ac:dyDescent="0.25">
      <c r="B2" s="1" t="s">
        <v>71</v>
      </c>
      <c r="C2" s="27">
        <v>2024</v>
      </c>
      <c r="D2" s="79" t="s">
        <v>72</v>
      </c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</row>
    <row r="3" spans="2:15" ht="22.5" customHeight="1" x14ac:dyDescent="0.25"/>
    <row r="5" spans="2:15" ht="19.5" customHeight="1" x14ac:dyDescent="0.25">
      <c r="B5" s="76" t="s">
        <v>101</v>
      </c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</row>
    <row r="6" spans="2:15" x14ac:dyDescent="0.25">
      <c r="B6" s="28" t="s">
        <v>74</v>
      </c>
      <c r="C6" s="28" t="s">
        <v>75</v>
      </c>
      <c r="D6" s="28" t="s">
        <v>76</v>
      </c>
      <c r="E6" s="28" t="s">
        <v>77</v>
      </c>
      <c r="F6" s="28" t="s">
        <v>78</v>
      </c>
      <c r="G6" s="28" t="s">
        <v>79</v>
      </c>
      <c r="H6" s="28" t="s">
        <v>80</v>
      </c>
      <c r="I6" s="28" t="s">
        <v>81</v>
      </c>
      <c r="J6" s="28" t="s">
        <v>82</v>
      </c>
      <c r="K6" s="28" t="s">
        <v>83</v>
      </c>
      <c r="L6" s="28" t="s">
        <v>84</v>
      </c>
      <c r="M6" s="28" t="s">
        <v>85</v>
      </c>
      <c r="N6" s="28" t="s">
        <v>86</v>
      </c>
      <c r="O6" s="28" t="s">
        <v>87</v>
      </c>
    </row>
    <row r="7" spans="2:15" x14ac:dyDescent="0.25">
      <c r="B7" s="33" t="s">
        <v>102</v>
      </c>
      <c r="C7" s="35">
        <v>75000</v>
      </c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29">
        <f t="shared" ref="O7:O17" si="0">SUM(C7:N7)</f>
        <v>75000</v>
      </c>
    </row>
    <row r="8" spans="2:15" x14ac:dyDescent="0.25">
      <c r="B8" s="33" t="s">
        <v>103</v>
      </c>
      <c r="C8" s="35">
        <v>45000</v>
      </c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29">
        <f t="shared" si="0"/>
        <v>45000</v>
      </c>
    </row>
    <row r="9" spans="2:15" x14ac:dyDescent="0.25">
      <c r="B9" s="33" t="s">
        <v>104</v>
      </c>
      <c r="C9" s="35">
        <v>0</v>
      </c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29">
        <f t="shared" si="0"/>
        <v>0</v>
      </c>
    </row>
    <row r="10" spans="2:15" x14ac:dyDescent="0.25">
      <c r="B10" s="33" t="s">
        <v>105</v>
      </c>
      <c r="C10" s="35">
        <v>0</v>
      </c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29">
        <f t="shared" si="0"/>
        <v>0</v>
      </c>
    </row>
    <row r="11" spans="2:15" x14ac:dyDescent="0.25">
      <c r="B11" s="33" t="s">
        <v>106</v>
      </c>
      <c r="C11" s="35">
        <v>22000</v>
      </c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29">
        <f t="shared" si="0"/>
        <v>22000</v>
      </c>
    </row>
    <row r="12" spans="2:15" x14ac:dyDescent="0.25">
      <c r="B12" s="34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29">
        <f t="shared" si="0"/>
        <v>0</v>
      </c>
    </row>
    <row r="13" spans="2:15" x14ac:dyDescent="0.25">
      <c r="B13" s="34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29">
        <f t="shared" si="0"/>
        <v>0</v>
      </c>
    </row>
    <row r="14" spans="2:15" x14ac:dyDescent="0.25">
      <c r="B14" s="34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29">
        <f t="shared" si="0"/>
        <v>0</v>
      </c>
    </row>
    <row r="15" spans="2:15" x14ac:dyDescent="0.25">
      <c r="B15" s="34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29">
        <f t="shared" si="0"/>
        <v>0</v>
      </c>
    </row>
    <row r="16" spans="2:15" x14ac:dyDescent="0.25">
      <c r="B16" s="34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29">
        <f t="shared" si="0"/>
        <v>0</v>
      </c>
    </row>
    <row r="17" spans="2:15" x14ac:dyDescent="0.25">
      <c r="B17" s="34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29">
        <f t="shared" si="0"/>
        <v>0</v>
      </c>
    </row>
    <row r="18" spans="2:15" x14ac:dyDescent="0.25">
      <c r="B18" s="30" t="s">
        <v>107</v>
      </c>
      <c r="C18" s="31">
        <f t="shared" ref="C18:O18" si="1">SUM(C7:C17)</f>
        <v>142000</v>
      </c>
      <c r="D18" s="31">
        <f t="shared" si="1"/>
        <v>0</v>
      </c>
      <c r="E18" s="31">
        <f t="shared" si="1"/>
        <v>0</v>
      </c>
      <c r="F18" s="31">
        <f t="shared" si="1"/>
        <v>0</v>
      </c>
      <c r="G18" s="31">
        <f t="shared" si="1"/>
        <v>0</v>
      </c>
      <c r="H18" s="31">
        <f t="shared" si="1"/>
        <v>0</v>
      </c>
      <c r="I18" s="31">
        <f t="shared" si="1"/>
        <v>0</v>
      </c>
      <c r="J18" s="31">
        <f t="shared" si="1"/>
        <v>0</v>
      </c>
      <c r="K18" s="31">
        <f t="shared" si="1"/>
        <v>0</v>
      </c>
      <c r="L18" s="31">
        <f t="shared" si="1"/>
        <v>0</v>
      </c>
      <c r="M18" s="31">
        <f t="shared" si="1"/>
        <v>0</v>
      </c>
      <c r="N18" s="31">
        <f t="shared" si="1"/>
        <v>0</v>
      </c>
      <c r="O18" s="31">
        <f t="shared" si="1"/>
        <v>142000</v>
      </c>
    </row>
    <row r="20" spans="2:15" ht="19.5" customHeight="1" x14ac:dyDescent="0.25">
      <c r="B20" s="76" t="s">
        <v>108</v>
      </c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</row>
    <row r="21" spans="2:15" x14ac:dyDescent="0.25">
      <c r="B21" s="28" t="s">
        <v>74</v>
      </c>
      <c r="C21" s="28" t="s">
        <v>75</v>
      </c>
      <c r="D21" s="28" t="s">
        <v>76</v>
      </c>
      <c r="E21" s="28" t="s">
        <v>77</v>
      </c>
      <c r="F21" s="28" t="s">
        <v>78</v>
      </c>
      <c r="G21" s="28" t="s">
        <v>79</v>
      </c>
      <c r="H21" s="28" t="s">
        <v>80</v>
      </c>
      <c r="I21" s="28" t="s">
        <v>81</v>
      </c>
      <c r="J21" s="28" t="s">
        <v>82</v>
      </c>
      <c r="K21" s="28" t="s">
        <v>83</v>
      </c>
      <c r="L21" s="28" t="s">
        <v>84</v>
      </c>
      <c r="M21" s="28" t="s">
        <v>85</v>
      </c>
      <c r="N21" s="28" t="s">
        <v>86</v>
      </c>
      <c r="O21" s="28" t="s">
        <v>87</v>
      </c>
    </row>
    <row r="22" spans="2:15" x14ac:dyDescent="0.25">
      <c r="B22" s="33" t="s">
        <v>109</v>
      </c>
      <c r="C22" s="35">
        <v>100000</v>
      </c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29">
        <f t="shared" ref="O22:O30" si="2">SUM(C22:N22)</f>
        <v>100000</v>
      </c>
    </row>
    <row r="23" spans="2:15" x14ac:dyDescent="0.25">
      <c r="B23" s="33" t="s">
        <v>110</v>
      </c>
      <c r="C23" s="35">
        <v>0</v>
      </c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29">
        <f t="shared" si="2"/>
        <v>0</v>
      </c>
    </row>
    <row r="24" spans="2:15" x14ac:dyDescent="0.25">
      <c r="B24" s="33" t="s">
        <v>111</v>
      </c>
      <c r="C24" s="35">
        <v>13000</v>
      </c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29">
        <f t="shared" si="2"/>
        <v>13000</v>
      </c>
    </row>
    <row r="25" spans="2:15" x14ac:dyDescent="0.25">
      <c r="B25" s="34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29">
        <f t="shared" si="2"/>
        <v>0</v>
      </c>
    </row>
    <row r="26" spans="2:15" x14ac:dyDescent="0.25">
      <c r="B26" s="34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29">
        <f t="shared" si="2"/>
        <v>0</v>
      </c>
    </row>
    <row r="27" spans="2:15" x14ac:dyDescent="0.25">
      <c r="B27" s="34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29">
        <f t="shared" si="2"/>
        <v>0</v>
      </c>
    </row>
    <row r="28" spans="2:15" x14ac:dyDescent="0.25">
      <c r="B28" s="34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29">
        <f t="shared" si="2"/>
        <v>0</v>
      </c>
    </row>
    <row r="29" spans="2:15" x14ac:dyDescent="0.25">
      <c r="B29" s="34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29">
        <f t="shared" si="2"/>
        <v>0</v>
      </c>
    </row>
    <row r="30" spans="2:15" x14ac:dyDescent="0.25">
      <c r="B30" s="34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29">
        <f t="shared" si="2"/>
        <v>0</v>
      </c>
    </row>
    <row r="31" spans="2:15" x14ac:dyDescent="0.25">
      <c r="B31" s="30" t="s">
        <v>112</v>
      </c>
      <c r="C31" s="31">
        <f t="shared" ref="C31:O31" si="3">SUM(C22:C30)</f>
        <v>113000</v>
      </c>
      <c r="D31" s="31">
        <f t="shared" si="3"/>
        <v>0</v>
      </c>
      <c r="E31" s="31">
        <f t="shared" si="3"/>
        <v>0</v>
      </c>
      <c r="F31" s="31">
        <f t="shared" si="3"/>
        <v>0</v>
      </c>
      <c r="G31" s="31">
        <f t="shared" si="3"/>
        <v>0</v>
      </c>
      <c r="H31" s="31">
        <f t="shared" si="3"/>
        <v>0</v>
      </c>
      <c r="I31" s="31">
        <f t="shared" si="3"/>
        <v>0</v>
      </c>
      <c r="J31" s="31">
        <f t="shared" si="3"/>
        <v>0</v>
      </c>
      <c r="K31" s="31">
        <f t="shared" si="3"/>
        <v>0</v>
      </c>
      <c r="L31" s="31">
        <f t="shared" si="3"/>
        <v>0</v>
      </c>
      <c r="M31" s="31">
        <f t="shared" si="3"/>
        <v>0</v>
      </c>
      <c r="N31" s="31">
        <f t="shared" si="3"/>
        <v>0</v>
      </c>
      <c r="O31" s="31">
        <f t="shared" si="3"/>
        <v>113000</v>
      </c>
    </row>
  </sheetData>
  <mergeCells count="4">
    <mergeCell ref="B1:O1"/>
    <mergeCell ref="D2:O2"/>
    <mergeCell ref="B5:O5"/>
    <mergeCell ref="B20:O20"/>
  </mergeCells>
  <dataValidations count="1">
    <dataValidation type="list" sqref="C2" xr:uid="{00000000-0002-0000-0300-000000000000}">
      <formula1>"2023,2024,2025,2026,2027,2028,2029,2030"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1:O16"/>
  <sheetViews>
    <sheetView showGridLines="0" zoomScaleNormal="100" workbookViewId="0">
      <selection activeCell="H22" sqref="H22"/>
    </sheetView>
  </sheetViews>
  <sheetFormatPr baseColWidth="10" defaultColWidth="8.7109375" defaultRowHeight="15" x14ac:dyDescent="0.25"/>
  <cols>
    <col min="1" max="1" width="7" customWidth="1"/>
    <col min="2" max="2" width="34" customWidth="1"/>
    <col min="3" max="14" width="8.42578125" customWidth="1"/>
    <col min="15" max="15" width="13" customWidth="1"/>
  </cols>
  <sheetData>
    <row r="1" spans="2:15" ht="25.5" customHeight="1" x14ac:dyDescent="0.25">
      <c r="B1" s="80" t="s">
        <v>113</v>
      </c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</row>
    <row r="2" spans="2:15" ht="21.75" customHeight="1" x14ac:dyDescent="0.25">
      <c r="B2" s="1" t="s">
        <v>71</v>
      </c>
      <c r="C2" s="2">
        <v>2024</v>
      </c>
      <c r="D2" s="81" t="s">
        <v>72</v>
      </c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</row>
    <row r="3" spans="2:15" ht="22.5" customHeight="1" x14ac:dyDescent="0.25"/>
    <row r="5" spans="2:15" ht="19.5" customHeight="1" x14ac:dyDescent="0.25">
      <c r="B5" s="76" t="s">
        <v>113</v>
      </c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</row>
    <row r="6" spans="2:15" x14ac:dyDescent="0.25">
      <c r="B6" s="28" t="s">
        <v>74</v>
      </c>
      <c r="C6" s="28" t="s">
        <v>75</v>
      </c>
      <c r="D6" s="28" t="s">
        <v>76</v>
      </c>
      <c r="E6" s="28" t="s">
        <v>77</v>
      </c>
      <c r="F6" s="28" t="s">
        <v>78</v>
      </c>
      <c r="G6" s="28" t="s">
        <v>79</v>
      </c>
      <c r="H6" s="28" t="s">
        <v>80</v>
      </c>
      <c r="I6" s="28" t="s">
        <v>81</v>
      </c>
      <c r="J6" s="28" t="s">
        <v>82</v>
      </c>
      <c r="K6" s="28" t="s">
        <v>83</v>
      </c>
      <c r="L6" s="28" t="s">
        <v>84</v>
      </c>
      <c r="M6" s="28" t="s">
        <v>85</v>
      </c>
      <c r="N6" s="28" t="s">
        <v>86</v>
      </c>
      <c r="O6" s="28" t="s">
        <v>87</v>
      </c>
    </row>
    <row r="7" spans="2:15" x14ac:dyDescent="0.25">
      <c r="B7" s="33" t="s">
        <v>114</v>
      </c>
      <c r="C7" s="35">
        <v>120000</v>
      </c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29">
        <f t="shared" ref="O7:O15" si="0">SUM(C7:N7)</f>
        <v>120000</v>
      </c>
    </row>
    <row r="8" spans="2:15" x14ac:dyDescent="0.25">
      <c r="B8" s="33" t="s">
        <v>115</v>
      </c>
      <c r="C8" s="35">
        <v>0</v>
      </c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29">
        <f t="shared" si="0"/>
        <v>0</v>
      </c>
    </row>
    <row r="9" spans="2:15" x14ac:dyDescent="0.25">
      <c r="B9" s="33" t="s">
        <v>116</v>
      </c>
      <c r="C9" s="35">
        <v>65000</v>
      </c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29">
        <f t="shared" si="0"/>
        <v>65000</v>
      </c>
    </row>
    <row r="10" spans="2:15" x14ac:dyDescent="0.25">
      <c r="B10" s="33" t="s">
        <v>117</v>
      </c>
      <c r="C10" s="35">
        <v>57000</v>
      </c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29">
        <f t="shared" si="0"/>
        <v>57000</v>
      </c>
    </row>
    <row r="11" spans="2:15" x14ac:dyDescent="0.25">
      <c r="B11" s="34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29">
        <f t="shared" si="0"/>
        <v>0</v>
      </c>
    </row>
    <row r="12" spans="2:15" x14ac:dyDescent="0.25">
      <c r="B12" s="34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29">
        <f t="shared" si="0"/>
        <v>0</v>
      </c>
    </row>
    <row r="13" spans="2:15" x14ac:dyDescent="0.25">
      <c r="B13" s="34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29">
        <f t="shared" si="0"/>
        <v>0</v>
      </c>
    </row>
    <row r="14" spans="2:15" x14ac:dyDescent="0.25">
      <c r="B14" s="34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29">
        <f t="shared" si="0"/>
        <v>0</v>
      </c>
    </row>
    <row r="15" spans="2:15" x14ac:dyDescent="0.25">
      <c r="B15" s="34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29">
        <f t="shared" si="0"/>
        <v>0</v>
      </c>
    </row>
    <row r="16" spans="2:15" x14ac:dyDescent="0.25">
      <c r="B16" s="30" t="s">
        <v>118</v>
      </c>
      <c r="C16" s="31">
        <f t="shared" ref="C16:O16" si="1">SUM(C7:C15)</f>
        <v>242000</v>
      </c>
      <c r="D16" s="31">
        <f t="shared" si="1"/>
        <v>0</v>
      </c>
      <c r="E16" s="31">
        <f t="shared" si="1"/>
        <v>0</v>
      </c>
      <c r="F16" s="31">
        <f t="shared" si="1"/>
        <v>0</v>
      </c>
      <c r="G16" s="31">
        <f t="shared" si="1"/>
        <v>0</v>
      </c>
      <c r="H16" s="31">
        <f t="shared" si="1"/>
        <v>0</v>
      </c>
      <c r="I16" s="31">
        <f t="shared" si="1"/>
        <v>0</v>
      </c>
      <c r="J16" s="31">
        <f t="shared" si="1"/>
        <v>0</v>
      </c>
      <c r="K16" s="31">
        <f t="shared" si="1"/>
        <v>0</v>
      </c>
      <c r="L16" s="31">
        <f t="shared" si="1"/>
        <v>0</v>
      </c>
      <c r="M16" s="31">
        <f t="shared" si="1"/>
        <v>0</v>
      </c>
      <c r="N16" s="31">
        <f t="shared" si="1"/>
        <v>0</v>
      </c>
      <c r="O16" s="31">
        <f t="shared" si="1"/>
        <v>242000</v>
      </c>
    </row>
  </sheetData>
  <mergeCells count="3">
    <mergeCell ref="B1:O1"/>
    <mergeCell ref="D2:O2"/>
    <mergeCell ref="B5:O5"/>
  </mergeCells>
  <dataValidations count="1">
    <dataValidation type="list" sqref="C2" xr:uid="{00000000-0002-0000-0400-000000000000}">
      <formula1>"2023,2024,2025,2026,2027,2028,2029,2030"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B1:P20"/>
  <sheetViews>
    <sheetView showGridLines="0" zoomScaleNormal="100" workbookViewId="0">
      <selection activeCell="D23" sqref="D23"/>
    </sheetView>
  </sheetViews>
  <sheetFormatPr baseColWidth="10" defaultColWidth="8.7109375" defaultRowHeight="15" x14ac:dyDescent="0.25"/>
  <cols>
    <col min="1" max="1" width="6" customWidth="1"/>
    <col min="2" max="2" width="7" customWidth="1"/>
    <col min="3" max="3" width="34" customWidth="1"/>
    <col min="4" max="4" width="9.7109375" customWidth="1"/>
    <col min="5" max="15" width="8.42578125" customWidth="1"/>
    <col min="16" max="16" width="13" customWidth="1"/>
  </cols>
  <sheetData>
    <row r="1" spans="2:16" ht="25.5" customHeight="1" x14ac:dyDescent="0.25">
      <c r="C1" s="80" t="s">
        <v>119</v>
      </c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</row>
    <row r="2" spans="2:16" ht="21.75" customHeight="1" x14ac:dyDescent="0.25">
      <c r="C2" s="1" t="s">
        <v>71</v>
      </c>
      <c r="D2" s="38">
        <v>2024</v>
      </c>
      <c r="E2" s="79" t="s">
        <v>72</v>
      </c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</row>
    <row r="3" spans="2:16" ht="22.5" customHeight="1" x14ac:dyDescent="0.25"/>
    <row r="5" spans="2:16" ht="19.5" customHeight="1" x14ac:dyDescent="0.25">
      <c r="C5" s="82" t="s">
        <v>120</v>
      </c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</row>
    <row r="6" spans="2:16" x14ac:dyDescent="0.25">
      <c r="B6" s="28" t="s">
        <v>121</v>
      </c>
      <c r="C6" s="28" t="s">
        <v>74</v>
      </c>
      <c r="D6" s="28" t="s">
        <v>75</v>
      </c>
      <c r="E6" s="28" t="s">
        <v>76</v>
      </c>
      <c r="F6" s="28" t="s">
        <v>77</v>
      </c>
      <c r="G6" s="28" t="s">
        <v>78</v>
      </c>
      <c r="H6" s="28" t="s">
        <v>79</v>
      </c>
      <c r="I6" s="28" t="s">
        <v>80</v>
      </c>
      <c r="J6" s="28" t="s">
        <v>81</v>
      </c>
      <c r="K6" s="28" t="s">
        <v>82</v>
      </c>
      <c r="L6" s="28" t="s">
        <v>83</v>
      </c>
      <c r="M6" s="28" t="s">
        <v>84</v>
      </c>
      <c r="N6" s="28" t="s">
        <v>85</v>
      </c>
      <c r="O6" s="28" t="s">
        <v>86</v>
      </c>
      <c r="P6" s="28" t="s">
        <v>87</v>
      </c>
    </row>
    <row r="7" spans="2:16" x14ac:dyDescent="0.25">
      <c r="B7" s="36" t="s">
        <v>122</v>
      </c>
      <c r="C7" s="33" t="s">
        <v>123</v>
      </c>
      <c r="D7" s="32">
        <v>680000</v>
      </c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29">
        <f t="shared" ref="P7:P19" si="0">SUM(D7:O7)</f>
        <v>680000</v>
      </c>
    </row>
    <row r="8" spans="2:16" x14ac:dyDescent="0.25">
      <c r="B8" s="36" t="s">
        <v>124</v>
      </c>
      <c r="C8" s="33" t="s">
        <v>125</v>
      </c>
      <c r="D8" s="32">
        <v>421600</v>
      </c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29">
        <f t="shared" si="0"/>
        <v>421600</v>
      </c>
    </row>
    <row r="9" spans="2:16" x14ac:dyDescent="0.25">
      <c r="B9" s="36" t="s">
        <v>126</v>
      </c>
      <c r="C9" s="33" t="s">
        <v>127</v>
      </c>
      <c r="D9" s="32">
        <v>92000</v>
      </c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29">
        <f t="shared" si="0"/>
        <v>92000</v>
      </c>
    </row>
    <row r="10" spans="2:16" x14ac:dyDescent="0.25">
      <c r="B10" s="36" t="s">
        <v>126</v>
      </c>
      <c r="C10" s="33" t="s">
        <v>128</v>
      </c>
      <c r="D10" s="32">
        <v>82000</v>
      </c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29">
        <f t="shared" si="0"/>
        <v>82000</v>
      </c>
    </row>
    <row r="11" spans="2:16" x14ac:dyDescent="0.25">
      <c r="B11" s="36" t="s">
        <v>126</v>
      </c>
      <c r="C11" s="33" t="s">
        <v>129</v>
      </c>
      <c r="D11" s="32">
        <v>0</v>
      </c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29">
        <f t="shared" si="0"/>
        <v>0</v>
      </c>
    </row>
    <row r="12" spans="2:16" x14ac:dyDescent="0.25">
      <c r="B12" s="36" t="s">
        <v>130</v>
      </c>
      <c r="C12" s="33" t="s">
        <v>131</v>
      </c>
      <c r="D12" s="32">
        <v>6000</v>
      </c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29">
        <f t="shared" si="0"/>
        <v>6000</v>
      </c>
    </row>
    <row r="13" spans="2:16" x14ac:dyDescent="0.25">
      <c r="B13" s="36" t="s">
        <v>132</v>
      </c>
      <c r="C13" s="33" t="s">
        <v>133</v>
      </c>
      <c r="D13" s="32">
        <v>2400</v>
      </c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29">
        <f t="shared" si="0"/>
        <v>2400</v>
      </c>
    </row>
    <row r="14" spans="2:16" x14ac:dyDescent="0.25">
      <c r="B14" s="36" t="s">
        <v>134</v>
      </c>
      <c r="C14" s="33" t="s">
        <v>135</v>
      </c>
      <c r="D14" s="32">
        <v>11400</v>
      </c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29">
        <f t="shared" si="0"/>
        <v>11400</v>
      </c>
    </row>
    <row r="15" spans="2:16" x14ac:dyDescent="0.25">
      <c r="B15" s="36" t="s">
        <v>136</v>
      </c>
      <c r="C15" s="33" t="s">
        <v>137</v>
      </c>
      <c r="D15" s="32">
        <v>24400</v>
      </c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29">
        <f t="shared" si="0"/>
        <v>24400</v>
      </c>
    </row>
    <row r="16" spans="2:16" x14ac:dyDescent="0.25">
      <c r="B16" s="37"/>
      <c r="C16" s="34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29">
        <f t="shared" si="0"/>
        <v>0</v>
      </c>
    </row>
    <row r="17" spans="2:16" x14ac:dyDescent="0.25">
      <c r="B17" s="37"/>
      <c r="C17" s="34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29">
        <f t="shared" si="0"/>
        <v>0</v>
      </c>
    </row>
    <row r="18" spans="2:16" x14ac:dyDescent="0.25">
      <c r="B18" s="37"/>
      <c r="C18" s="34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29">
        <f t="shared" si="0"/>
        <v>0</v>
      </c>
    </row>
    <row r="19" spans="2:16" x14ac:dyDescent="0.25">
      <c r="B19" s="37"/>
      <c r="C19" s="34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29">
        <f t="shared" si="0"/>
        <v>0</v>
      </c>
    </row>
    <row r="20" spans="2:16" x14ac:dyDescent="0.25">
      <c r="C20" s="30" t="s">
        <v>138</v>
      </c>
      <c r="D20" s="31">
        <f t="shared" ref="D20:P20" si="1">SUM(D7:D19)</f>
        <v>1319800</v>
      </c>
      <c r="E20" s="31">
        <f t="shared" si="1"/>
        <v>0</v>
      </c>
      <c r="F20" s="31">
        <f t="shared" si="1"/>
        <v>0</v>
      </c>
      <c r="G20" s="31">
        <f t="shared" si="1"/>
        <v>0</v>
      </c>
      <c r="H20" s="31">
        <f t="shared" si="1"/>
        <v>0</v>
      </c>
      <c r="I20" s="31">
        <f t="shared" si="1"/>
        <v>0</v>
      </c>
      <c r="J20" s="31">
        <f t="shared" si="1"/>
        <v>0</v>
      </c>
      <c r="K20" s="31">
        <f t="shared" si="1"/>
        <v>0</v>
      </c>
      <c r="L20" s="31">
        <f t="shared" si="1"/>
        <v>0</v>
      </c>
      <c r="M20" s="31">
        <f t="shared" si="1"/>
        <v>0</v>
      </c>
      <c r="N20" s="31">
        <f t="shared" si="1"/>
        <v>0</v>
      </c>
      <c r="O20" s="31">
        <f t="shared" si="1"/>
        <v>0</v>
      </c>
      <c r="P20" s="31">
        <f t="shared" si="1"/>
        <v>1319800</v>
      </c>
    </row>
  </sheetData>
  <mergeCells count="3">
    <mergeCell ref="C1:P1"/>
    <mergeCell ref="E2:P2"/>
    <mergeCell ref="C5:P5"/>
  </mergeCells>
  <dataValidations count="2">
    <dataValidation type="list" sqref="D2" xr:uid="{00000000-0002-0000-0500-000000000000}">
      <formula1>"2023,2024,2025,2026,2027,2028,2029,2030"</formula1>
      <formula2>0</formula2>
    </dataValidation>
    <dataValidation type="list" allowBlank="1" sqref="B16:B19" xr:uid="{00000000-0002-0000-0500-000001000000}">
      <formula1>"ING,COGS,OPEX,OIO,IFIN,GFIN,TAX"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B1:C32"/>
  <sheetViews>
    <sheetView showGridLines="0" zoomScaleNormal="100" workbookViewId="0">
      <selection activeCell="F12" sqref="F12"/>
    </sheetView>
  </sheetViews>
  <sheetFormatPr baseColWidth="10" defaultColWidth="8.7109375" defaultRowHeight="15" x14ac:dyDescent="0.25"/>
  <cols>
    <col min="1" max="1" width="2" customWidth="1"/>
    <col min="2" max="2" width="42" customWidth="1"/>
    <col min="3" max="3" width="18" customWidth="1"/>
  </cols>
  <sheetData>
    <row r="1" spans="2:3" ht="27.75" customHeight="1" x14ac:dyDescent="0.25">
      <c r="B1" s="83" t="s">
        <v>139</v>
      </c>
      <c r="C1" s="83"/>
    </row>
    <row r="2" spans="2:3" ht="15.75" x14ac:dyDescent="0.25">
      <c r="B2" s="1" t="s">
        <v>140</v>
      </c>
      <c r="C2" s="2">
        <v>2024</v>
      </c>
    </row>
    <row r="3" spans="2:3" ht="22.5" customHeight="1" x14ac:dyDescent="0.25"/>
    <row r="4" spans="2:3" ht="21.75" customHeight="1" x14ac:dyDescent="0.25">
      <c r="B4" s="84" t="s">
        <v>141</v>
      </c>
      <c r="C4" s="84"/>
    </row>
    <row r="5" spans="2:3" x14ac:dyDescent="0.25">
      <c r="B5" s="85" t="s">
        <v>142</v>
      </c>
      <c r="C5" s="85"/>
    </row>
    <row r="6" spans="2:3" x14ac:dyDescent="0.25">
      <c r="B6" s="39" t="s">
        <v>73</v>
      </c>
      <c r="C6" s="40"/>
    </row>
    <row r="7" spans="2:3" x14ac:dyDescent="0.25">
      <c r="B7" s="41" t="s">
        <v>88</v>
      </c>
      <c r="C7" s="42">
        <f>INDEX(BD!$C$206:$J$206,MATCH($C$2,BD!$C$205:$J$205,0))</f>
        <v>60000</v>
      </c>
    </row>
    <row r="8" spans="2:3" x14ac:dyDescent="0.25">
      <c r="B8" s="41" t="s">
        <v>90</v>
      </c>
      <c r="C8" s="42">
        <f>INDEX(BD!$C$207:$J$207,MATCH($C$2,BD!$C$205:$J$205,0))</f>
        <v>100000</v>
      </c>
    </row>
    <row r="9" spans="2:3" x14ac:dyDescent="0.25">
      <c r="B9" s="43" t="s">
        <v>93</v>
      </c>
      <c r="C9" s="44">
        <f>INDEX(BD!$C$208:$J$208,MATCH($C$2,BD!$C$205:$J$205,0))</f>
        <v>268000</v>
      </c>
    </row>
    <row r="10" spans="2:3" x14ac:dyDescent="0.25">
      <c r="B10" s="39" t="s">
        <v>94</v>
      </c>
      <c r="C10" s="40"/>
    </row>
    <row r="11" spans="2:3" x14ac:dyDescent="0.25">
      <c r="B11" s="43" t="s">
        <v>99</v>
      </c>
      <c r="C11" s="44">
        <f>INDEX(BD!$C$209:$J$209,MATCH($C$2,BD!$C$205:$J$205,0))</f>
        <v>229000</v>
      </c>
    </row>
    <row r="12" spans="2:3" x14ac:dyDescent="0.25">
      <c r="B12" s="45" t="s">
        <v>143</v>
      </c>
      <c r="C12" s="46">
        <f>C9+C11</f>
        <v>497000</v>
      </c>
    </row>
    <row r="14" spans="2:3" x14ac:dyDescent="0.25">
      <c r="B14" s="39" t="s">
        <v>101</v>
      </c>
      <c r="C14" s="40"/>
    </row>
    <row r="15" spans="2:3" x14ac:dyDescent="0.25">
      <c r="B15" s="43" t="s">
        <v>107</v>
      </c>
      <c r="C15" s="44">
        <f>INDEX(BD!$C$211:$J$211,MATCH($C$2,BD!$C$205:$J$205,0))</f>
        <v>142000</v>
      </c>
    </row>
    <row r="16" spans="2:3" x14ac:dyDescent="0.25">
      <c r="B16" s="39" t="s">
        <v>108</v>
      </c>
      <c r="C16" s="40"/>
    </row>
    <row r="17" spans="2:3" x14ac:dyDescent="0.25">
      <c r="B17" s="43" t="s">
        <v>112</v>
      </c>
      <c r="C17" s="44">
        <f>INDEX(BD!$C$212:$J$212,MATCH($C$2,BD!$C$205:$J$205,0))</f>
        <v>113000</v>
      </c>
    </row>
    <row r="18" spans="2:3" x14ac:dyDescent="0.25">
      <c r="B18" s="45" t="s">
        <v>144</v>
      </c>
      <c r="C18" s="46">
        <f>C15+C17</f>
        <v>255000</v>
      </c>
    </row>
    <row r="20" spans="2:3" x14ac:dyDescent="0.25">
      <c r="B20" s="39" t="s">
        <v>113</v>
      </c>
      <c r="C20" s="40"/>
    </row>
    <row r="21" spans="2:3" x14ac:dyDescent="0.25">
      <c r="B21" s="45" t="s">
        <v>145</v>
      </c>
      <c r="C21" s="46">
        <f>INDEX(BD!$C$214:$J$214,MATCH($C$2,BD!$C$205:$J$205,0))</f>
        <v>242000</v>
      </c>
    </row>
    <row r="23" spans="2:3" x14ac:dyDescent="0.25">
      <c r="B23" s="47" t="s">
        <v>146</v>
      </c>
      <c r="C23" s="48">
        <f>C18+C21</f>
        <v>497000</v>
      </c>
    </row>
    <row r="24" spans="2:3" x14ac:dyDescent="0.25">
      <c r="B24" s="49" t="s">
        <v>147</v>
      </c>
      <c r="C24" s="50">
        <f>C12-C23</f>
        <v>0</v>
      </c>
    </row>
    <row r="26" spans="2:3" x14ac:dyDescent="0.25">
      <c r="B26" s="85" t="s">
        <v>148</v>
      </c>
      <c r="C26" s="85"/>
    </row>
    <row r="27" spans="2:3" x14ac:dyDescent="0.25">
      <c r="B27" s="41" t="s">
        <v>123</v>
      </c>
      <c r="C27" s="42">
        <f>INDEX(BD!$C$215:$J$215,MATCH($C$2,BD!$C$205:$J$205,0))</f>
        <v>680000</v>
      </c>
    </row>
    <row r="28" spans="2:3" x14ac:dyDescent="0.25">
      <c r="B28" s="41" t="s">
        <v>125</v>
      </c>
      <c r="C28" s="42">
        <f>INDEX(BD!$C$216:$J$216,MATCH($C$2,BD!$C$205:$J$205,0))</f>
        <v>421600</v>
      </c>
    </row>
    <row r="29" spans="2:3" x14ac:dyDescent="0.25">
      <c r="B29" s="43" t="s">
        <v>149</v>
      </c>
      <c r="C29" s="44">
        <f>INDEX(BD!$C$217:$J$217,MATCH($C$2,BD!$C$205:$J$205,0))</f>
        <v>258400</v>
      </c>
    </row>
    <row r="30" spans="2:3" x14ac:dyDescent="0.25">
      <c r="B30" s="43" t="s">
        <v>150</v>
      </c>
      <c r="C30" s="44">
        <f>INDEX(BD!$C$218:$J$218,MATCH($C$2,BD!$C$205:$J$205,0))</f>
        <v>90400</v>
      </c>
    </row>
    <row r="31" spans="2:3" x14ac:dyDescent="0.25">
      <c r="B31" s="41" t="s">
        <v>135</v>
      </c>
      <c r="C31" s="42">
        <f>INDEX(BD!$C$219:$J$219,MATCH($C$2,BD!$C$205:$J$205,0))</f>
        <v>11400</v>
      </c>
    </row>
    <row r="32" spans="2:3" x14ac:dyDescent="0.25">
      <c r="B32" s="45" t="s">
        <v>151</v>
      </c>
      <c r="C32" s="46">
        <f>INDEX(BD!$C$220:$J$220,MATCH($C$2,BD!$C$205:$J$205,0))</f>
        <v>57000</v>
      </c>
    </row>
  </sheetData>
  <mergeCells count="4">
    <mergeCell ref="B1:C1"/>
    <mergeCell ref="B4:C4"/>
    <mergeCell ref="B5:C5"/>
    <mergeCell ref="B26:C26"/>
  </mergeCells>
  <dataValidations count="1">
    <dataValidation type="list" sqref="C2" xr:uid="{00000000-0002-0000-0600-000000000000}">
      <formula1>"2023,2024,2025,2026,2027,2028,2029,2030"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B1:I26"/>
  <sheetViews>
    <sheetView showGridLines="0" zoomScaleNormal="100" workbookViewId="0">
      <selection activeCell="K14" sqref="K14"/>
    </sheetView>
  </sheetViews>
  <sheetFormatPr baseColWidth="10" defaultColWidth="8.7109375" defaultRowHeight="15" x14ac:dyDescent="0.25"/>
  <cols>
    <col min="1" max="1" width="2" customWidth="1"/>
    <col min="2" max="2" width="28" customWidth="1"/>
    <col min="3" max="3" width="34" customWidth="1"/>
    <col min="4" max="6" width="10" customWidth="1"/>
    <col min="7" max="7" width="12" customWidth="1"/>
    <col min="8" max="8" width="9" customWidth="1"/>
    <col min="9" max="9" width="32" customWidth="1"/>
  </cols>
  <sheetData>
    <row r="1" spans="2:9" ht="27.75" customHeight="1" x14ac:dyDescent="0.25">
      <c r="B1" s="83" t="s">
        <v>152</v>
      </c>
      <c r="C1" s="83"/>
      <c r="D1" s="83"/>
      <c r="E1" s="83"/>
      <c r="F1" s="83"/>
      <c r="G1" s="83"/>
      <c r="H1" s="83"/>
      <c r="I1" s="83"/>
    </row>
    <row r="2" spans="2:9" x14ac:dyDescent="0.25">
      <c r="B2" s="84" t="str">
        <f>"Tendencia 2023–2025 y «Año sel.» = "&amp;TEXT('Estados Financieros'!C2,"0")&amp;" (según el filtro / botonera). La interpretación es del año seleccionado."</f>
        <v>Tendencia 2023–2025 y «Año sel.» = 2024 (según el filtro / botonera). La interpretación es del año seleccionado.</v>
      </c>
      <c r="C2" s="84"/>
      <c r="D2" s="84"/>
      <c r="E2" s="84"/>
      <c r="F2" s="84"/>
      <c r="G2" s="84"/>
      <c r="H2" s="84"/>
      <c r="I2" s="84"/>
    </row>
    <row r="4" spans="2:9" x14ac:dyDescent="0.25">
      <c r="B4" s="24" t="s">
        <v>17</v>
      </c>
      <c r="C4" s="24" t="s">
        <v>19</v>
      </c>
      <c r="D4" s="24" t="s">
        <v>153</v>
      </c>
      <c r="E4" s="24" t="s">
        <v>154</v>
      </c>
      <c r="F4" s="24" t="s">
        <v>155</v>
      </c>
      <c r="G4" s="24" t="s">
        <v>156</v>
      </c>
      <c r="H4" s="24" t="s">
        <v>157</v>
      </c>
      <c r="I4" s="24" t="s">
        <v>158</v>
      </c>
    </row>
    <row r="5" spans="2:9" ht="15.75" customHeight="1" x14ac:dyDescent="0.25">
      <c r="B5" s="76" t="s">
        <v>21</v>
      </c>
      <c r="C5" s="76"/>
      <c r="D5" s="76"/>
      <c r="E5" s="76"/>
      <c r="F5" s="76"/>
      <c r="G5" s="76"/>
      <c r="H5" s="76"/>
      <c r="I5" s="76"/>
    </row>
    <row r="6" spans="2:9" ht="24" customHeight="1" x14ac:dyDescent="0.25">
      <c r="B6" s="58" t="s">
        <v>22</v>
      </c>
      <c r="C6" s="59" t="s">
        <v>24</v>
      </c>
      <c r="D6" s="54">
        <f>IFERROR(BD!C208/BD!C211,"-")</f>
        <v>1.6785714285714286</v>
      </c>
      <c r="E6" s="54">
        <f>IFERROR(BD!D208/BD!D211,"-")</f>
        <v>1.8873239436619718</v>
      </c>
      <c r="F6" s="54">
        <f>IFERROR(BD!E208/BD!E211,"-")</f>
        <v>2.0344827586206895</v>
      </c>
      <c r="G6" s="60">
        <f>IFERROR('Estados Financieros'!C9/'Estados Financieros'!C15,"-")</f>
        <v>1.8873239436619718</v>
      </c>
      <c r="H6" s="54">
        <v>1.5</v>
      </c>
      <c r="I6" s="58" t="str">
        <f>IFERROR(IF(G6&lt;1.5,"Insuficiente para el corto plazo",IF(G6&lt;=2,"Adecuada","Exceso de liquidez")),"-")</f>
        <v>Adecuada</v>
      </c>
    </row>
    <row r="7" spans="2:9" ht="24" customHeight="1" x14ac:dyDescent="0.25">
      <c r="B7" s="58" t="s">
        <v>26</v>
      </c>
      <c r="C7" s="59" t="s">
        <v>159</v>
      </c>
      <c r="D7" s="54">
        <f>IFERROR((BD!C208-BD!C207)/BD!C211,"-")</f>
        <v>1</v>
      </c>
      <c r="E7" s="54">
        <f>IFERROR((BD!D208-BD!D207)/BD!D211,"-")</f>
        <v>1.1830985915492958</v>
      </c>
      <c r="F7" s="54">
        <f>IFERROR((BD!E208-BD!E207)/BD!E211,"-")</f>
        <v>1.4</v>
      </c>
      <c r="G7" s="60">
        <f>IFERROR(('Estados Financieros'!C9-'Estados Financieros'!C8)/'Estados Financieros'!C15,"-")</f>
        <v>1.1830985915492958</v>
      </c>
      <c r="H7" s="54">
        <v>1</v>
      </c>
      <c r="I7" s="58" t="str">
        <f>IFERROR(IF(G7&lt;1,"Baja solvencia inmediata","Buena solvencia inmediata"),"-")</f>
        <v>Buena solvencia inmediata</v>
      </c>
    </row>
    <row r="8" spans="2:9" ht="24" customHeight="1" x14ac:dyDescent="0.25">
      <c r="B8" s="58" t="s">
        <v>30</v>
      </c>
      <c r="C8" s="59" t="s">
        <v>32</v>
      </c>
      <c r="D8" s="54">
        <f>IFERROR(BD!C206/BD!C211,"-")</f>
        <v>0.32142857142857145</v>
      </c>
      <c r="E8" s="54">
        <f>IFERROR(BD!D206/BD!D211,"-")</f>
        <v>0.42253521126760563</v>
      </c>
      <c r="F8" s="54">
        <f>IFERROR(BD!E206/BD!E211,"-")</f>
        <v>0.53793103448275859</v>
      </c>
      <c r="G8" s="60">
        <f>IFERROR('Estados Financieros'!C7/'Estados Financieros'!C15,"-")</f>
        <v>0.42253521126760563</v>
      </c>
      <c r="H8" s="54">
        <v>0.2</v>
      </c>
      <c r="I8" s="58" t="str">
        <f>IFERROR(IF(G8&lt;0.2,"Caja ajustada","Caja holgada"),"-")</f>
        <v>Caja holgada</v>
      </c>
    </row>
    <row r="9" spans="2:9" ht="15.75" customHeight="1" x14ac:dyDescent="0.25">
      <c r="B9" s="86" t="s">
        <v>34</v>
      </c>
      <c r="C9" s="86"/>
      <c r="D9" s="86"/>
      <c r="E9" s="86"/>
      <c r="F9" s="86"/>
      <c r="G9" s="86"/>
      <c r="H9" s="86"/>
      <c r="I9" s="86"/>
    </row>
    <row r="10" spans="2:9" ht="24" customHeight="1" x14ac:dyDescent="0.25">
      <c r="B10" s="58" t="s">
        <v>35</v>
      </c>
      <c r="C10" s="59" t="s">
        <v>37</v>
      </c>
      <c r="D10" s="54">
        <f>IFERROR((BD!C211+BD!C212)/(BD!C208+BD!C209),"-")</f>
        <v>0.58888888888888891</v>
      </c>
      <c r="E10" s="54">
        <f>IFERROR((BD!D211+BD!D212)/(BD!D208+BD!D209),"-")</f>
        <v>0.51307847082494973</v>
      </c>
      <c r="F10" s="54">
        <f>IFERROR((BD!E211+BD!E212)/(BD!E208+BD!E209),"-")</f>
        <v>0.45370370370370372</v>
      </c>
      <c r="G10" s="60">
        <f>IFERROR('Estados Financieros'!C18/'Estados Financieros'!C12,"-")</f>
        <v>0.51307847082494973</v>
      </c>
      <c r="H10" s="54">
        <v>0.5</v>
      </c>
      <c r="I10" s="58" t="str">
        <f>IFERROR(IF(G10&lt;=0.5,"Bajo riesgo financiero","Mayor riesgo financiero"),"-")</f>
        <v>Mayor riesgo financiero</v>
      </c>
    </row>
    <row r="11" spans="2:9" ht="24" customHeight="1" x14ac:dyDescent="0.25">
      <c r="B11" s="58" t="s">
        <v>39</v>
      </c>
      <c r="C11" s="59" t="s">
        <v>41</v>
      </c>
      <c r="D11" s="54">
        <f>IFERROR((BD!C211+BD!C212)/BD!C214,"-")</f>
        <v>1.4324324324324325</v>
      </c>
      <c r="E11" s="54">
        <f>IFERROR((BD!D211+BD!D212)/BD!D214,"-")</f>
        <v>1.0537190082644627</v>
      </c>
      <c r="F11" s="54">
        <f>IFERROR((BD!E211+BD!E212)/BD!E214,"-")</f>
        <v>0.83050847457627119</v>
      </c>
      <c r="G11" s="60">
        <f>IFERROR('Estados Financieros'!C18/'Estados Financieros'!C21,"-")</f>
        <v>1.0537190082644627</v>
      </c>
      <c r="H11" s="54">
        <v>2</v>
      </c>
      <c r="I11" s="58" t="str">
        <f>IFERROR(IF(G11&lt;=2,"Aceptable","Empresa en riesgo / muy endeudada"),"-")</f>
        <v>Aceptable</v>
      </c>
    </row>
    <row r="12" spans="2:9" ht="15.75" customHeight="1" x14ac:dyDescent="0.25">
      <c r="B12" s="86" t="s">
        <v>43</v>
      </c>
      <c r="C12" s="86"/>
      <c r="D12" s="86"/>
      <c r="E12" s="86"/>
      <c r="F12" s="86"/>
      <c r="G12" s="86"/>
      <c r="H12" s="86"/>
      <c r="I12" s="86"/>
    </row>
    <row r="13" spans="2:9" ht="24" customHeight="1" x14ac:dyDescent="0.25">
      <c r="B13" s="58" t="s">
        <v>44</v>
      </c>
      <c r="C13" s="59" t="s">
        <v>46</v>
      </c>
      <c r="D13" s="53">
        <f>IFERROR(BD!C217/BD!C215,"-")</f>
        <v>0.36</v>
      </c>
      <c r="E13" s="53">
        <f>IFERROR(BD!D217/BD!D215,"-")</f>
        <v>0.38</v>
      </c>
      <c r="F13" s="53">
        <f>IFERROR(BD!E217/BD!E215,"-")</f>
        <v>0.39</v>
      </c>
      <c r="G13" s="61">
        <f>IFERROR('Estados Financieros'!C29/'Estados Financieros'!C27,"-")</f>
        <v>0.38</v>
      </c>
      <c r="H13" s="53">
        <v>0.3</v>
      </c>
      <c r="I13" s="58" t="str">
        <f>IFERROR(IF(G13&gt;0.3,"Buen margen bruto","Margen bruto ajustado"),"-")</f>
        <v>Buen margen bruto</v>
      </c>
    </row>
    <row r="14" spans="2:9" ht="24" customHeight="1" x14ac:dyDescent="0.25">
      <c r="B14" s="58" t="s">
        <v>48</v>
      </c>
      <c r="C14" s="59" t="s">
        <v>50</v>
      </c>
      <c r="D14" s="53">
        <f>IFERROR(BD!C220/BD!C215,"-")</f>
        <v>3.4482758620689655E-2</v>
      </c>
      <c r="E14" s="53">
        <f>IFERROR(BD!D220/BD!D215,"-")</f>
        <v>8.38235294117647E-2</v>
      </c>
      <c r="F14" s="53">
        <f>IFERROR(BD!E220/BD!E215,"-")</f>
        <v>9.2105263157894732E-2</v>
      </c>
      <c r="G14" s="61">
        <f>IFERROR('Estados Financieros'!C32/'Estados Financieros'!C27,"-")</f>
        <v>8.38235294117647E-2</v>
      </c>
      <c r="H14" s="53">
        <v>0.05</v>
      </c>
      <c r="I14" s="58" t="str">
        <f>IFERROR(IF(G14&gt;0,"Empresa rentable","Pérdida: revisar costos"),"-")</f>
        <v>Empresa rentable</v>
      </c>
    </row>
    <row r="15" spans="2:9" ht="24" customHeight="1" x14ac:dyDescent="0.25">
      <c r="B15" s="58" t="s">
        <v>52</v>
      </c>
      <c r="C15" s="59" t="s">
        <v>54</v>
      </c>
      <c r="D15" s="53">
        <f>IFERROR(BD!C220/(BD!C208+BD!C209),"-")</f>
        <v>4.4444444444444446E-2</v>
      </c>
      <c r="E15" s="53">
        <f>IFERROR(BD!D220/(BD!D208+BD!D209),"-")</f>
        <v>0.11468812877263582</v>
      </c>
      <c r="F15" s="53">
        <f>IFERROR(BD!E220/(BD!E208+BD!E209),"-")</f>
        <v>0.12962962962962962</v>
      </c>
      <c r="G15" s="61">
        <f>IFERROR('Estados Financieros'!C32/'Estados Financieros'!C12,"-")</f>
        <v>0.11468812877263582</v>
      </c>
      <c r="H15" s="53">
        <v>0.05</v>
      </c>
      <c r="I15" s="58" t="str">
        <f>IFERROR(IF(G15&gt;0.05,"Buen rendimiento de activos","Rendimiento bajo"),"-")</f>
        <v>Buen rendimiento de activos</v>
      </c>
    </row>
    <row r="16" spans="2:9" ht="24" customHeight="1" x14ac:dyDescent="0.25">
      <c r="B16" s="58" t="s">
        <v>56</v>
      </c>
      <c r="C16" s="59" t="s">
        <v>58</v>
      </c>
      <c r="D16" s="53">
        <f>IFERROR(BD!C220/BD!C214,"-")</f>
        <v>0.10810810810810811</v>
      </c>
      <c r="E16" s="53">
        <f>IFERROR(BD!D220/BD!D214,"-")</f>
        <v>0.23553719008264462</v>
      </c>
      <c r="F16" s="53">
        <f>IFERROR(BD!E220/BD!E214,"-")</f>
        <v>0.23728813559322035</v>
      </c>
      <c r="G16" s="61">
        <f>IFERROR('Estados Financieros'!C32/'Estados Financieros'!C21,"-")</f>
        <v>0.23553719008264462</v>
      </c>
      <c r="H16" s="53">
        <v>0.1</v>
      </c>
      <c r="I16" s="58" t="str">
        <f>IFERROR(IF(G16&gt;0.1,"Buen retorno para los socios","Retorno bajo"),"-")</f>
        <v>Buen retorno para los socios</v>
      </c>
    </row>
    <row r="17" spans="2:9" ht="15.75" customHeight="1" x14ac:dyDescent="0.25">
      <c r="B17" s="86" t="s">
        <v>59</v>
      </c>
      <c r="C17" s="86"/>
      <c r="D17" s="86"/>
      <c r="E17" s="86"/>
      <c r="F17" s="86"/>
      <c r="G17" s="86"/>
      <c r="H17" s="86"/>
      <c r="I17" s="86"/>
    </row>
    <row r="18" spans="2:9" ht="24" customHeight="1" x14ac:dyDescent="0.25">
      <c r="B18" s="58" t="s">
        <v>60</v>
      </c>
      <c r="C18" s="59" t="s">
        <v>62</v>
      </c>
      <c r="D18" s="62">
        <f>IFERROR(BD!C216/BD!C207,"-")</f>
        <v>3.9073684210526314</v>
      </c>
      <c r="E18" s="62">
        <f>IFERROR(BD!D216/((BD!C207+BD!D207)/2),"-")</f>
        <v>4.3241025641025637</v>
      </c>
      <c r="F18" s="62">
        <f>IFERROR(BD!E216/((BD!D207+BD!E207)/2),"-")</f>
        <v>4.8291666666666666</v>
      </c>
      <c r="G18" s="63">
        <f>IFERROR('Estados Financieros'!C28/(('Estados Financieros'!C8+IFERROR(INDEX(BD!$C$207:$J$207,MATCH('Estados Financieros'!$C$2-1,BD!$C$205:$J$205,0)),'Estados Financieros'!C8))/2),"-")</f>
        <v>4.3241025641025637</v>
      </c>
      <c r="H18" s="62">
        <v>6</v>
      </c>
      <c r="I18" s="58" t="str">
        <f>IFERROR(IF(G18&gt;=6,"Stock rota rápido","Rotación lenta de stock"),"-")</f>
        <v>Rotación lenta de stock</v>
      </c>
    </row>
    <row r="19" spans="2:9" ht="24" customHeight="1" x14ac:dyDescent="0.25">
      <c r="B19" s="58" t="s">
        <v>64</v>
      </c>
      <c r="C19" s="59" t="s">
        <v>66</v>
      </c>
      <c r="D19" s="62">
        <f>IFERROR(BD!C215/(BD!C208+BD!C209),"-")</f>
        <v>1.288888888888889</v>
      </c>
      <c r="E19" s="62">
        <f>IFERROR(BD!D215/(BD!D208+BD!D209),"-")</f>
        <v>1.3682092555331993</v>
      </c>
      <c r="F19" s="62">
        <f>IFERROR(BD!E215/(BD!E208+BD!E209),"-")</f>
        <v>1.4074074074074074</v>
      </c>
      <c r="G19" s="63">
        <f>IFERROR('Estados Financieros'!C27/'Estados Financieros'!C12,"-")</f>
        <v>1.3682092555331993</v>
      </c>
      <c r="H19" s="62">
        <v>1</v>
      </c>
      <c r="I19" s="58" t="str">
        <f>IFERROR(IF(G19&gt;=1,"Activos productivos","Activos poco productivos"),"-")</f>
        <v>Activos productivos</v>
      </c>
    </row>
    <row r="20" spans="2:9" ht="24" customHeight="1" x14ac:dyDescent="0.25">
      <c r="B20" s="58" t="s">
        <v>67</v>
      </c>
      <c r="C20" s="59" t="s">
        <v>69</v>
      </c>
      <c r="D20" s="62">
        <f>IFERROR(BD!C218/BD!C219,"-")</f>
        <v>2.3168316831683167</v>
      </c>
      <c r="E20" s="62">
        <f>IFERROR(BD!D218/BD!D219,"-")</f>
        <v>7.9298245614035086</v>
      </c>
      <c r="F20" s="62">
        <f>IFERROR(BD!E218/BD!E219,"-")</f>
        <v>5.87</v>
      </c>
      <c r="G20" s="63">
        <f>IFERROR('Estados Financieros'!C30/'Estados Financieros'!C31,"-")</f>
        <v>7.9298245614035086</v>
      </c>
      <c r="H20" s="62">
        <v>3</v>
      </c>
      <c r="I20" s="58" t="str">
        <f>IFERROR(IF(G20&gt;=3,"Cubre bien sus intereses","Cobertura ajustada"),"-")</f>
        <v>Cubre bien sus intereses</v>
      </c>
    </row>
    <row r="21" spans="2:9" x14ac:dyDescent="0.25">
      <c r="B21" s="5"/>
      <c r="C21" s="5"/>
      <c r="D21" s="5"/>
      <c r="E21" s="5"/>
      <c r="F21" s="5"/>
      <c r="G21" s="5"/>
      <c r="H21" s="5"/>
      <c r="I21" s="5"/>
    </row>
    <row r="22" spans="2:9" ht="15.75" customHeight="1" x14ac:dyDescent="0.25">
      <c r="B22" s="76" t="s">
        <v>160</v>
      </c>
      <c r="C22" s="76"/>
      <c r="D22" s="76"/>
      <c r="E22" s="76"/>
      <c r="F22" s="76"/>
      <c r="G22" s="76"/>
      <c r="H22" s="76"/>
      <c r="I22" s="76"/>
    </row>
    <row r="23" spans="2:9" x14ac:dyDescent="0.25">
      <c r="B23" s="51" t="s">
        <v>48</v>
      </c>
      <c r="C23" s="52" t="s">
        <v>50</v>
      </c>
      <c r="D23" s="53">
        <f>IFERROR('Estados Financieros'!C32/'Estados Financieros'!C27,"-")</f>
        <v>8.38235294117647E-2</v>
      </c>
    </row>
    <row r="24" spans="2:9" x14ac:dyDescent="0.25">
      <c r="B24" s="51" t="s">
        <v>161</v>
      </c>
      <c r="C24" s="52" t="s">
        <v>66</v>
      </c>
      <c r="D24" s="54">
        <f>IFERROR('Estados Financieros'!C27/'Estados Financieros'!C12,"-")</f>
        <v>1.3682092555331993</v>
      </c>
    </row>
    <row r="25" spans="2:9" x14ac:dyDescent="0.25">
      <c r="B25" s="51" t="s">
        <v>162</v>
      </c>
      <c r="C25" s="52" t="s">
        <v>163</v>
      </c>
      <c r="D25" s="54">
        <f>IFERROR('Estados Financieros'!C12/'Estados Financieros'!C21,"-")</f>
        <v>2.053719008264463</v>
      </c>
    </row>
    <row r="26" spans="2:9" x14ac:dyDescent="0.25">
      <c r="B26" s="55" t="s">
        <v>164</v>
      </c>
      <c r="C26" s="56" t="s">
        <v>165</v>
      </c>
      <c r="D26" s="57">
        <f>IFERROR(D23*D24*D25,"-")</f>
        <v>0.23553719008264465</v>
      </c>
    </row>
  </sheetData>
  <mergeCells count="7">
    <mergeCell ref="B17:I17"/>
    <mergeCell ref="B22:I22"/>
    <mergeCell ref="B1:I1"/>
    <mergeCell ref="B2:I2"/>
    <mergeCell ref="B5:I5"/>
    <mergeCell ref="B9:I9"/>
    <mergeCell ref="B12:I12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B1:R44"/>
  <sheetViews>
    <sheetView showGridLines="0" zoomScaleNormal="100" workbookViewId="0">
      <selection activeCell="Y15" sqref="Y15"/>
    </sheetView>
  </sheetViews>
  <sheetFormatPr baseColWidth="10" defaultColWidth="8.7109375" defaultRowHeight="15" x14ac:dyDescent="0.25"/>
  <cols>
    <col min="2" max="5" width="11.42578125" customWidth="1"/>
    <col min="6" max="6" width="14.5703125" customWidth="1"/>
    <col min="7" max="7" width="17.42578125" customWidth="1"/>
    <col min="8" max="13" width="11.42578125" customWidth="1"/>
    <col min="14" max="14" width="3" customWidth="1"/>
    <col min="15" max="18" width="11" customWidth="1"/>
  </cols>
  <sheetData>
    <row r="1" spans="2:18" ht="31.5" customHeight="1" x14ac:dyDescent="0.25">
      <c r="B1" s="98" t="s">
        <v>166</v>
      </c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</row>
    <row r="2" spans="2:18" ht="18" customHeight="1" x14ac:dyDescent="0.25">
      <c r="B2" s="99" t="str">
        <f>"Liquidez, endeudamiento, rentabilidad y gestión  ·  Indicadores del año "&amp;TEXT('Estados Financieros'!C2,"0")</f>
        <v>Liquidez, endeudamiento, rentabilidad y gestión  ·  Indicadores del año 2024</v>
      </c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</row>
    <row r="3" spans="2:18" ht="21.75" customHeight="1" x14ac:dyDescent="0.25">
      <c r="B3" s="23" t="s">
        <v>71</v>
      </c>
      <c r="K3" s="100" t="str">
        <f>"AÑO  "&amp;TEXT('Estados Financieros'!C2,"0")</f>
        <v>AÑO  2024</v>
      </c>
      <c r="L3" s="100"/>
      <c r="M3" s="100"/>
    </row>
    <row r="5" spans="2:18" ht="18" customHeight="1" x14ac:dyDescent="0.25">
      <c r="B5" s="101" t="s">
        <v>167</v>
      </c>
      <c r="C5" s="101"/>
      <c r="D5" s="101"/>
      <c r="E5" s="101" t="s">
        <v>168</v>
      </c>
      <c r="F5" s="101"/>
      <c r="G5" s="101"/>
      <c r="H5" s="101" t="s">
        <v>169</v>
      </c>
      <c r="I5" s="101"/>
      <c r="J5" s="101"/>
      <c r="K5" s="101" t="s">
        <v>56</v>
      </c>
      <c r="L5" s="101"/>
      <c r="M5" s="101"/>
      <c r="O5" s="102" t="s">
        <v>170</v>
      </c>
      <c r="P5" s="102"/>
      <c r="Q5" s="102"/>
      <c r="R5" s="102"/>
    </row>
    <row r="6" spans="2:18" ht="37.5" customHeight="1" x14ac:dyDescent="0.25">
      <c r="B6" s="93">
        <f>Ratios!G6</f>
        <v>1.8873239436619718</v>
      </c>
      <c r="C6" s="93"/>
      <c r="D6" s="93"/>
      <c r="E6" s="93">
        <f>Ratios!G10</f>
        <v>0.51307847082494973</v>
      </c>
      <c r="F6" s="93"/>
      <c r="G6" s="93"/>
      <c r="H6" s="94">
        <f>Ratios!G14</f>
        <v>8.38235294117647E-2</v>
      </c>
      <c r="I6" s="94"/>
      <c r="J6" s="94"/>
      <c r="K6" s="94">
        <f>Ratios!G16</f>
        <v>0.23553719008264462</v>
      </c>
      <c r="L6" s="94"/>
      <c r="M6" s="94"/>
      <c r="O6" s="102"/>
      <c r="P6" s="102"/>
      <c r="Q6" s="102"/>
      <c r="R6" s="102"/>
    </row>
    <row r="7" spans="2:18" x14ac:dyDescent="0.25">
      <c r="O7" s="102"/>
      <c r="P7" s="102"/>
      <c r="Q7" s="102"/>
      <c r="R7" s="102"/>
    </row>
    <row r="8" spans="2:18" ht="18" customHeight="1" x14ac:dyDescent="0.25">
      <c r="B8" s="101" t="s">
        <v>171</v>
      </c>
      <c r="C8" s="101"/>
      <c r="D8" s="101"/>
      <c r="E8" s="101" t="s">
        <v>172</v>
      </c>
      <c r="F8" s="101"/>
      <c r="G8" s="101"/>
      <c r="H8" s="101" t="s">
        <v>173</v>
      </c>
      <c r="I8" s="101"/>
      <c r="J8" s="101"/>
      <c r="K8" s="101" t="s">
        <v>174</v>
      </c>
      <c r="L8" s="101"/>
      <c r="M8" s="101"/>
      <c r="O8" s="102"/>
      <c r="P8" s="102"/>
      <c r="Q8" s="102"/>
      <c r="R8" s="102"/>
    </row>
    <row r="9" spans="2:18" ht="37.5" customHeight="1" x14ac:dyDescent="0.25">
      <c r="B9" s="93">
        <f>Ratios!G7</f>
        <v>1.1830985915492958</v>
      </c>
      <c r="C9" s="93"/>
      <c r="D9" s="93"/>
      <c r="E9" s="93">
        <f>Ratios!G11</f>
        <v>1.0537190082644627</v>
      </c>
      <c r="F9" s="93"/>
      <c r="G9" s="93"/>
      <c r="H9" s="94">
        <f>Ratios!G13</f>
        <v>0.38</v>
      </c>
      <c r="I9" s="94"/>
      <c r="J9" s="94"/>
      <c r="K9" s="95">
        <f>Ratios!G18</f>
        <v>4.3241025641025637</v>
      </c>
      <c r="L9" s="95"/>
      <c r="M9" s="95"/>
      <c r="O9" s="102"/>
      <c r="P9" s="102"/>
      <c r="Q9" s="102"/>
      <c r="R9" s="102"/>
    </row>
    <row r="11" spans="2:18" x14ac:dyDescent="0.25">
      <c r="B11" s="97" t="s">
        <v>175</v>
      </c>
      <c r="C11" s="97"/>
      <c r="D11" s="97"/>
      <c r="F11" s="90" t="s">
        <v>176</v>
      </c>
      <c r="G11" s="91"/>
    </row>
    <row r="12" spans="2:18" x14ac:dyDescent="0.25">
      <c r="B12" s="96" t="s">
        <v>177</v>
      </c>
      <c r="C12" s="96"/>
      <c r="D12" s="12" t="s">
        <v>178</v>
      </c>
      <c r="F12" s="12" t="s">
        <v>177</v>
      </c>
      <c r="G12" s="12" t="s">
        <v>178</v>
      </c>
    </row>
    <row r="13" spans="2:18" x14ac:dyDescent="0.25">
      <c r="B13" s="92" t="s">
        <v>179</v>
      </c>
      <c r="C13" s="92"/>
      <c r="D13" s="10">
        <f>'Estados Financieros'!C12</f>
        <v>497000</v>
      </c>
      <c r="F13" s="11" t="s">
        <v>180</v>
      </c>
      <c r="G13" s="10">
        <f>'Estados Financieros'!C27</f>
        <v>680000</v>
      </c>
    </row>
    <row r="14" spans="2:18" x14ac:dyDescent="0.25">
      <c r="B14" s="92" t="s">
        <v>181</v>
      </c>
      <c r="C14" s="92"/>
      <c r="D14" s="10">
        <f>'Estados Financieros'!C18</f>
        <v>255000</v>
      </c>
      <c r="F14" s="11" t="s">
        <v>149</v>
      </c>
      <c r="G14" s="10">
        <f>'Estados Financieros'!C29</f>
        <v>258400</v>
      </c>
    </row>
    <row r="15" spans="2:18" x14ac:dyDescent="0.25">
      <c r="B15" s="92" t="s">
        <v>182</v>
      </c>
      <c r="C15" s="92"/>
      <c r="D15" s="10">
        <f>'Estados Financieros'!C21</f>
        <v>242000</v>
      </c>
      <c r="F15" s="11" t="s">
        <v>183</v>
      </c>
      <c r="G15" s="10">
        <f>'Estados Financieros'!C30</f>
        <v>90400</v>
      </c>
    </row>
    <row r="16" spans="2:18" x14ac:dyDescent="0.25">
      <c r="B16" s="92" t="s">
        <v>184</v>
      </c>
      <c r="C16" s="92"/>
      <c r="D16" s="10">
        <f>'Estados Financieros'!C9</f>
        <v>268000</v>
      </c>
      <c r="F16" s="11" t="s">
        <v>151</v>
      </c>
      <c r="G16" s="10">
        <f>'Estados Financieros'!C32</f>
        <v>57000</v>
      </c>
    </row>
    <row r="17" spans="2:8" x14ac:dyDescent="0.25">
      <c r="B17" s="92" t="s">
        <v>185</v>
      </c>
      <c r="C17" s="92"/>
      <c r="D17" s="10">
        <f>'Estados Financieros'!C15</f>
        <v>142000</v>
      </c>
      <c r="F17" s="11" t="s">
        <v>186</v>
      </c>
      <c r="G17" s="10">
        <f>'Estados Financieros'!C28</f>
        <v>421600</v>
      </c>
    </row>
    <row r="20" spans="2:8" x14ac:dyDescent="0.25">
      <c r="B20" s="87" t="s">
        <v>187</v>
      </c>
      <c r="C20" s="88"/>
      <c r="D20" s="89"/>
      <c r="F20" s="13" t="s">
        <v>188</v>
      </c>
      <c r="G20" s="14" t="s">
        <v>56</v>
      </c>
      <c r="H20" s="14" t="s">
        <v>169</v>
      </c>
    </row>
    <row r="21" spans="2:8" x14ac:dyDescent="0.25">
      <c r="B21" s="13" t="s">
        <v>188</v>
      </c>
      <c r="C21" s="14" t="s">
        <v>189</v>
      </c>
      <c r="D21" s="14" t="s">
        <v>171</v>
      </c>
      <c r="F21" s="16">
        <v>2023</v>
      </c>
      <c r="G21" s="17">
        <f>Ratios!D16</f>
        <v>0.10810810810810811</v>
      </c>
      <c r="H21" s="17">
        <f>Ratios!D14</f>
        <v>3.4482758620689655E-2</v>
      </c>
    </row>
    <row r="22" spans="2:8" x14ac:dyDescent="0.25">
      <c r="B22" s="16">
        <v>2023</v>
      </c>
      <c r="C22" s="20">
        <f>Ratios!D6</f>
        <v>1.6785714285714286</v>
      </c>
      <c r="D22" s="20">
        <f>Ratios!D7</f>
        <v>1</v>
      </c>
      <c r="F22" s="16">
        <v>2024</v>
      </c>
      <c r="G22" s="17">
        <f>Ratios!E16</f>
        <v>0.23553719008264462</v>
      </c>
      <c r="H22" s="17">
        <f>Ratios!E14</f>
        <v>8.38235294117647E-2</v>
      </c>
    </row>
    <row r="23" spans="2:8" x14ac:dyDescent="0.25">
      <c r="B23" s="16">
        <v>2024</v>
      </c>
      <c r="C23" s="20">
        <f>Ratios!E6</f>
        <v>1.8873239436619718</v>
      </c>
      <c r="D23" s="20">
        <f>Ratios!E7</f>
        <v>1.1830985915492958</v>
      </c>
      <c r="F23" s="18">
        <v>2025</v>
      </c>
      <c r="G23" s="19">
        <f>Ratios!F16</f>
        <v>0.23728813559322035</v>
      </c>
      <c r="H23" s="19">
        <f>Ratios!F14</f>
        <v>9.2105263157894732E-2</v>
      </c>
    </row>
    <row r="24" spans="2:8" x14ac:dyDescent="0.25">
      <c r="B24" s="18">
        <v>2025</v>
      </c>
      <c r="C24" s="21">
        <f>Ratios!F6</f>
        <v>2.0344827586206895</v>
      </c>
      <c r="D24" s="21">
        <f>Ratios!F7</f>
        <v>1.4</v>
      </c>
    </row>
    <row r="25" spans="2:8" x14ac:dyDescent="0.25">
      <c r="F25" s="14" t="s">
        <v>190</v>
      </c>
      <c r="G25" s="14" t="s">
        <v>178</v>
      </c>
    </row>
    <row r="26" spans="2:8" x14ac:dyDescent="0.25">
      <c r="F26" s="15" t="s">
        <v>181</v>
      </c>
      <c r="G26" s="22">
        <f>'Estados Financieros'!C18</f>
        <v>255000</v>
      </c>
    </row>
    <row r="27" spans="2:8" x14ac:dyDescent="0.25">
      <c r="F27" s="15" t="s">
        <v>182</v>
      </c>
      <c r="G27" s="22">
        <f>'Estados Financieros'!C21</f>
        <v>242000</v>
      </c>
    </row>
    <row r="42" spans="5:9" x14ac:dyDescent="0.25">
      <c r="E42" s="3"/>
      <c r="I42" s="3"/>
    </row>
    <row r="43" spans="5:9" x14ac:dyDescent="0.25">
      <c r="E43" s="3"/>
      <c r="I43" s="3"/>
    </row>
    <row r="44" spans="5:9" x14ac:dyDescent="0.25">
      <c r="E44" s="3"/>
      <c r="I44" s="3"/>
    </row>
  </sheetData>
  <mergeCells count="29">
    <mergeCell ref="B1:R1"/>
    <mergeCell ref="B2:R2"/>
    <mergeCell ref="K3:M3"/>
    <mergeCell ref="B5:D5"/>
    <mergeCell ref="E5:G5"/>
    <mergeCell ref="H5:J5"/>
    <mergeCell ref="K5:M5"/>
    <mergeCell ref="O5:R9"/>
    <mergeCell ref="B6:D6"/>
    <mergeCell ref="E6:G6"/>
    <mergeCell ref="H6:J6"/>
    <mergeCell ref="K6:M6"/>
    <mergeCell ref="B8:D8"/>
    <mergeCell ref="E8:G8"/>
    <mergeCell ref="H8:J8"/>
    <mergeCell ref="K8:M8"/>
    <mergeCell ref="B9:D9"/>
    <mergeCell ref="E9:G9"/>
    <mergeCell ref="H9:J9"/>
    <mergeCell ref="K9:M9"/>
    <mergeCell ref="B12:C12"/>
    <mergeCell ref="B11:D11"/>
    <mergeCell ref="B20:D20"/>
    <mergeCell ref="F11:G11"/>
    <mergeCell ref="B13:C13"/>
    <mergeCell ref="B14:C14"/>
    <mergeCell ref="B15:C15"/>
    <mergeCell ref="B16:C16"/>
    <mergeCell ref="B17:C17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B1:C27"/>
  <sheetViews>
    <sheetView showGridLines="0" zoomScaleNormal="100" workbookViewId="0">
      <selection activeCell="K23" sqref="K23"/>
    </sheetView>
  </sheetViews>
  <sheetFormatPr baseColWidth="10" defaultColWidth="8.7109375" defaultRowHeight="15" x14ac:dyDescent="0.25"/>
  <cols>
    <col min="1" max="1" width="2" customWidth="1"/>
    <col min="2" max="2" width="26" customWidth="1"/>
    <col min="3" max="3" width="80" customWidth="1"/>
  </cols>
  <sheetData>
    <row r="1" spans="2:3" ht="30" customHeight="1" x14ac:dyDescent="0.25">
      <c r="B1" s="77" t="s">
        <v>191</v>
      </c>
      <c r="C1" s="77"/>
    </row>
    <row r="2" spans="2:3" ht="15" customHeight="1" x14ac:dyDescent="0.25">
      <c r="B2" s="72" t="s">
        <v>192</v>
      </c>
      <c r="C2" s="72"/>
    </row>
    <row r="3" spans="2:3" ht="15.75" thickBot="1" x14ac:dyDescent="0.3"/>
    <row r="4" spans="2:3" ht="19.5" customHeight="1" x14ac:dyDescent="0.25">
      <c r="B4" s="103" t="s">
        <v>193</v>
      </c>
      <c r="C4" s="104"/>
    </row>
    <row r="5" spans="2:3" ht="15.75" customHeight="1" x14ac:dyDescent="0.25">
      <c r="B5" s="64" t="s">
        <v>194</v>
      </c>
      <c r="C5" s="65" t="s">
        <v>195</v>
      </c>
    </row>
    <row r="6" spans="2:3" ht="15.75" customHeight="1" x14ac:dyDescent="0.25">
      <c r="B6" s="64" t="s">
        <v>194</v>
      </c>
      <c r="C6" s="65" t="s">
        <v>196</v>
      </c>
    </row>
    <row r="7" spans="2:3" ht="15.75" customHeight="1" x14ac:dyDescent="0.25">
      <c r="B7" s="64" t="s">
        <v>194</v>
      </c>
      <c r="C7" s="65" t="s">
        <v>197</v>
      </c>
    </row>
    <row r="8" spans="2:3" ht="15.75" customHeight="1" x14ac:dyDescent="0.25">
      <c r="B8" s="64" t="s">
        <v>194</v>
      </c>
      <c r="C8" s="65" t="s">
        <v>198</v>
      </c>
    </row>
    <row r="9" spans="2:3" ht="15.75" customHeight="1" thickBot="1" x14ac:dyDescent="0.3">
      <c r="B9" s="66" t="s">
        <v>194</v>
      </c>
      <c r="C9" s="67" t="s">
        <v>199</v>
      </c>
    </row>
    <row r="10" spans="2:3" ht="15.75" thickBot="1" x14ac:dyDescent="0.3"/>
    <row r="11" spans="2:3" ht="19.5" customHeight="1" x14ac:dyDescent="0.25">
      <c r="B11" s="103" t="s">
        <v>200</v>
      </c>
      <c r="C11" s="104"/>
    </row>
    <row r="12" spans="2:3" ht="15.75" customHeight="1" x14ac:dyDescent="0.25">
      <c r="B12" s="64" t="s">
        <v>194</v>
      </c>
      <c r="C12" s="65" t="s">
        <v>201</v>
      </c>
    </row>
    <row r="13" spans="2:3" ht="15.75" customHeight="1" x14ac:dyDescent="0.25">
      <c r="B13" s="64" t="s">
        <v>194</v>
      </c>
      <c r="C13" s="65" t="s">
        <v>202</v>
      </c>
    </row>
    <row r="14" spans="2:3" ht="15.75" customHeight="1" x14ac:dyDescent="0.25">
      <c r="B14" s="64" t="s">
        <v>194</v>
      </c>
      <c r="C14" s="65" t="s">
        <v>203</v>
      </c>
    </row>
    <row r="15" spans="2:3" ht="15.75" customHeight="1" thickBot="1" x14ac:dyDescent="0.3">
      <c r="B15" s="66" t="s">
        <v>194</v>
      </c>
      <c r="C15" s="67" t="s">
        <v>204</v>
      </c>
    </row>
    <row r="16" spans="2:3" ht="15.75" thickBot="1" x14ac:dyDescent="0.3"/>
    <row r="17" spans="2:3" ht="19.5" customHeight="1" x14ac:dyDescent="0.25">
      <c r="B17" s="103" t="s">
        <v>205</v>
      </c>
      <c r="C17" s="104"/>
    </row>
    <row r="18" spans="2:3" ht="15.75" customHeight="1" x14ac:dyDescent="0.25">
      <c r="B18" s="64" t="s">
        <v>194</v>
      </c>
      <c r="C18" s="65" t="s">
        <v>206</v>
      </c>
    </row>
    <row r="19" spans="2:3" ht="15.75" customHeight="1" x14ac:dyDescent="0.25">
      <c r="B19" s="64" t="s">
        <v>194</v>
      </c>
      <c r="C19" s="65" t="s">
        <v>207</v>
      </c>
    </row>
    <row r="20" spans="2:3" ht="15.75" customHeight="1" x14ac:dyDescent="0.25">
      <c r="B20" s="64" t="s">
        <v>194</v>
      </c>
      <c r="C20" s="65" t="s">
        <v>208</v>
      </c>
    </row>
    <row r="21" spans="2:3" ht="15.75" customHeight="1" thickBot="1" x14ac:dyDescent="0.3">
      <c r="B21" s="66" t="s">
        <v>194</v>
      </c>
      <c r="C21" s="67" t="s">
        <v>209</v>
      </c>
    </row>
    <row r="22" spans="2:3" ht="15.75" thickBot="1" x14ac:dyDescent="0.3"/>
    <row r="23" spans="2:3" ht="19.5" customHeight="1" x14ac:dyDescent="0.25">
      <c r="B23" s="103" t="s">
        <v>210</v>
      </c>
      <c r="C23" s="104"/>
    </row>
    <row r="24" spans="2:3" ht="15.75" customHeight="1" x14ac:dyDescent="0.25">
      <c r="B24" s="64" t="s">
        <v>194</v>
      </c>
      <c r="C24" s="65" t="s">
        <v>211</v>
      </c>
    </row>
    <row r="25" spans="2:3" ht="15.75" customHeight="1" x14ac:dyDescent="0.25">
      <c r="B25" s="64" t="s">
        <v>194</v>
      </c>
      <c r="C25" s="65" t="s">
        <v>212</v>
      </c>
    </row>
    <row r="26" spans="2:3" ht="15.75" customHeight="1" x14ac:dyDescent="0.25">
      <c r="B26" s="64" t="s">
        <v>194</v>
      </c>
      <c r="C26" s="65" t="s">
        <v>213</v>
      </c>
    </row>
    <row r="27" spans="2:3" ht="15.75" customHeight="1" thickBot="1" x14ac:dyDescent="0.3">
      <c r="B27" s="66" t="s">
        <v>194</v>
      </c>
      <c r="C27" s="67" t="s">
        <v>214</v>
      </c>
    </row>
  </sheetData>
  <mergeCells count="6">
    <mergeCell ref="B23:C23"/>
    <mergeCell ref="B1:C1"/>
    <mergeCell ref="B2:C2"/>
    <mergeCell ref="B4:C4"/>
    <mergeCell ref="B11:C11"/>
    <mergeCell ref="B17:C17"/>
  </mergeCells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DB220"/>
  <sheetViews>
    <sheetView zoomScaleNormal="100" workbookViewId="0"/>
  </sheetViews>
  <sheetFormatPr baseColWidth="10" defaultColWidth="8.7109375" defaultRowHeight="15" x14ac:dyDescent="0.25"/>
  <sheetData>
    <row r="1" spans="1:106" x14ac:dyDescent="0.25">
      <c r="A1">
        <v>2024</v>
      </c>
    </row>
    <row r="2" spans="1:106" x14ac:dyDescent="0.25">
      <c r="A2">
        <v>2024</v>
      </c>
    </row>
    <row r="3" spans="1:106" x14ac:dyDescent="0.25">
      <c r="A3">
        <v>2024</v>
      </c>
    </row>
    <row r="4" spans="1:106" x14ac:dyDescent="0.25">
      <c r="A4">
        <v>2024</v>
      </c>
    </row>
    <row r="5" spans="1:106" x14ac:dyDescent="0.25">
      <c r="A5">
        <v>2024</v>
      </c>
    </row>
    <row r="6" spans="1:106" x14ac:dyDescent="0.25">
      <c r="A6">
        <v>2024</v>
      </c>
    </row>
    <row r="10" spans="1:106" x14ac:dyDescent="0.25">
      <c r="B10">
        <v>45000</v>
      </c>
      <c r="N10">
        <v>60000</v>
      </c>
      <c r="Z10">
        <v>78000</v>
      </c>
      <c r="CU10">
        <f t="shared" ref="CU10:CU20" si="0">SUM(B10:M10)</f>
        <v>45000</v>
      </c>
      <c r="CV10">
        <f t="shared" ref="CV10:CV20" si="1">SUM(N10:Y10)</f>
        <v>60000</v>
      </c>
      <c r="CW10">
        <f t="shared" ref="CW10:CW20" si="2">SUM(Z10:AK10)</f>
        <v>78000</v>
      </c>
      <c r="CX10">
        <f t="shared" ref="CX10:CX20" si="3">SUM(AL10:AW10)</f>
        <v>0</v>
      </c>
      <c r="CY10">
        <f t="shared" ref="CY10:CY20" si="4">SUM(AX10:BI10)</f>
        <v>0</v>
      </c>
      <c r="CZ10">
        <f t="shared" ref="CZ10:CZ20" si="5">SUM(BJ10:BU10)</f>
        <v>0</v>
      </c>
      <c r="DA10">
        <f t="shared" ref="DA10:DA20" si="6">SUM(BV10:CG10)</f>
        <v>0</v>
      </c>
      <c r="DB10">
        <f t="shared" ref="DB10:DB20" si="7">SUM(CH10:CS10)</f>
        <v>0</v>
      </c>
    </row>
    <row r="11" spans="1:106" x14ac:dyDescent="0.25">
      <c r="B11">
        <v>80000</v>
      </c>
      <c r="N11">
        <v>90000</v>
      </c>
      <c r="Z11">
        <v>105000</v>
      </c>
      <c r="CU11">
        <f t="shared" si="0"/>
        <v>80000</v>
      </c>
      <c r="CV11">
        <f t="shared" si="1"/>
        <v>90000</v>
      </c>
      <c r="CW11">
        <f t="shared" si="2"/>
        <v>105000</v>
      </c>
      <c r="CX11">
        <f t="shared" si="3"/>
        <v>0</v>
      </c>
      <c r="CY11">
        <f t="shared" si="4"/>
        <v>0</v>
      </c>
      <c r="CZ11">
        <f t="shared" si="5"/>
        <v>0</v>
      </c>
      <c r="DA11">
        <f t="shared" si="6"/>
        <v>0</v>
      </c>
      <c r="DB11">
        <f t="shared" si="7"/>
        <v>0</v>
      </c>
    </row>
    <row r="12" spans="1:106" x14ac:dyDescent="0.25">
      <c r="B12">
        <v>95000</v>
      </c>
      <c r="N12">
        <v>100000</v>
      </c>
      <c r="Z12">
        <v>92000</v>
      </c>
      <c r="CU12">
        <f t="shared" si="0"/>
        <v>95000</v>
      </c>
      <c r="CV12">
        <f t="shared" si="1"/>
        <v>100000</v>
      </c>
      <c r="CW12">
        <f t="shared" si="2"/>
        <v>92000</v>
      </c>
      <c r="CX12">
        <f t="shared" si="3"/>
        <v>0</v>
      </c>
      <c r="CY12">
        <f t="shared" si="4"/>
        <v>0</v>
      </c>
      <c r="CZ12">
        <f t="shared" si="5"/>
        <v>0</v>
      </c>
      <c r="DA12">
        <f t="shared" si="6"/>
        <v>0</v>
      </c>
      <c r="DB12">
        <f t="shared" si="7"/>
        <v>0</v>
      </c>
    </row>
    <row r="13" spans="1:106" x14ac:dyDescent="0.25">
      <c r="B13">
        <v>0</v>
      </c>
      <c r="N13">
        <v>0</v>
      </c>
      <c r="Z13">
        <v>0</v>
      </c>
      <c r="CU13">
        <f t="shared" si="0"/>
        <v>0</v>
      </c>
      <c r="CV13">
        <f t="shared" si="1"/>
        <v>0</v>
      </c>
      <c r="CW13">
        <f t="shared" si="2"/>
        <v>0</v>
      </c>
      <c r="CX13">
        <f t="shared" si="3"/>
        <v>0</v>
      </c>
      <c r="CY13">
        <f t="shared" si="4"/>
        <v>0</v>
      </c>
      <c r="CZ13">
        <f t="shared" si="5"/>
        <v>0</v>
      </c>
      <c r="DA13">
        <f t="shared" si="6"/>
        <v>0</v>
      </c>
      <c r="DB13">
        <f t="shared" si="7"/>
        <v>0</v>
      </c>
    </row>
    <row r="14" spans="1:106" x14ac:dyDescent="0.25">
      <c r="B14">
        <v>15000</v>
      </c>
      <c r="N14">
        <v>18000</v>
      </c>
      <c r="Z14">
        <v>20000</v>
      </c>
      <c r="CU14">
        <f t="shared" si="0"/>
        <v>15000</v>
      </c>
      <c r="CV14">
        <f t="shared" si="1"/>
        <v>18000</v>
      </c>
      <c r="CW14">
        <f t="shared" si="2"/>
        <v>20000</v>
      </c>
      <c r="CX14">
        <f t="shared" si="3"/>
        <v>0</v>
      </c>
      <c r="CY14">
        <f t="shared" si="4"/>
        <v>0</v>
      </c>
      <c r="CZ14">
        <f t="shared" si="5"/>
        <v>0</v>
      </c>
      <c r="DA14">
        <f t="shared" si="6"/>
        <v>0</v>
      </c>
      <c r="DB14">
        <f t="shared" si="7"/>
        <v>0</v>
      </c>
    </row>
    <row r="15" spans="1:106" x14ac:dyDescent="0.25">
      <c r="CU15">
        <f t="shared" si="0"/>
        <v>0</v>
      </c>
      <c r="CV15">
        <f t="shared" si="1"/>
        <v>0</v>
      </c>
      <c r="CW15">
        <f t="shared" si="2"/>
        <v>0</v>
      </c>
      <c r="CX15">
        <f t="shared" si="3"/>
        <v>0</v>
      </c>
      <c r="CY15">
        <f t="shared" si="4"/>
        <v>0</v>
      </c>
      <c r="CZ15">
        <f t="shared" si="5"/>
        <v>0</v>
      </c>
      <c r="DA15">
        <f t="shared" si="6"/>
        <v>0</v>
      </c>
      <c r="DB15">
        <f t="shared" si="7"/>
        <v>0</v>
      </c>
    </row>
    <row r="16" spans="1:106" x14ac:dyDescent="0.25">
      <c r="CU16">
        <f t="shared" si="0"/>
        <v>0</v>
      </c>
      <c r="CV16">
        <f t="shared" si="1"/>
        <v>0</v>
      </c>
      <c r="CW16">
        <f t="shared" si="2"/>
        <v>0</v>
      </c>
      <c r="CX16">
        <f t="shared" si="3"/>
        <v>0</v>
      </c>
      <c r="CY16">
        <f t="shared" si="4"/>
        <v>0</v>
      </c>
      <c r="CZ16">
        <f t="shared" si="5"/>
        <v>0</v>
      </c>
      <c r="DA16">
        <f t="shared" si="6"/>
        <v>0</v>
      </c>
      <c r="DB16">
        <f t="shared" si="7"/>
        <v>0</v>
      </c>
    </row>
    <row r="17" spans="2:106" x14ac:dyDescent="0.25">
      <c r="CU17">
        <f t="shared" si="0"/>
        <v>0</v>
      </c>
      <c r="CV17">
        <f t="shared" si="1"/>
        <v>0</v>
      </c>
      <c r="CW17">
        <f t="shared" si="2"/>
        <v>0</v>
      </c>
      <c r="CX17">
        <f t="shared" si="3"/>
        <v>0</v>
      </c>
      <c r="CY17">
        <f t="shared" si="4"/>
        <v>0</v>
      </c>
      <c r="CZ17">
        <f t="shared" si="5"/>
        <v>0</v>
      </c>
      <c r="DA17">
        <f t="shared" si="6"/>
        <v>0</v>
      </c>
      <c r="DB17">
        <f t="shared" si="7"/>
        <v>0</v>
      </c>
    </row>
    <row r="18" spans="2:106" x14ac:dyDescent="0.25">
      <c r="CU18">
        <f t="shared" si="0"/>
        <v>0</v>
      </c>
      <c r="CV18">
        <f t="shared" si="1"/>
        <v>0</v>
      </c>
      <c r="CW18">
        <f t="shared" si="2"/>
        <v>0</v>
      </c>
      <c r="CX18">
        <f t="shared" si="3"/>
        <v>0</v>
      </c>
      <c r="CY18">
        <f t="shared" si="4"/>
        <v>0</v>
      </c>
      <c r="CZ18">
        <f t="shared" si="5"/>
        <v>0</v>
      </c>
      <c r="DA18">
        <f t="shared" si="6"/>
        <v>0</v>
      </c>
      <c r="DB18">
        <f t="shared" si="7"/>
        <v>0</v>
      </c>
    </row>
    <row r="19" spans="2:106" x14ac:dyDescent="0.25">
      <c r="CU19">
        <f t="shared" si="0"/>
        <v>0</v>
      </c>
      <c r="CV19">
        <f t="shared" si="1"/>
        <v>0</v>
      </c>
      <c r="CW19">
        <f t="shared" si="2"/>
        <v>0</v>
      </c>
      <c r="CX19">
        <f t="shared" si="3"/>
        <v>0</v>
      </c>
      <c r="CY19">
        <f t="shared" si="4"/>
        <v>0</v>
      </c>
      <c r="CZ19">
        <f t="shared" si="5"/>
        <v>0</v>
      </c>
      <c r="DA19">
        <f t="shared" si="6"/>
        <v>0</v>
      </c>
      <c r="DB19">
        <f t="shared" si="7"/>
        <v>0</v>
      </c>
    </row>
    <row r="20" spans="2:106" x14ac:dyDescent="0.25">
      <c r="CU20">
        <f t="shared" si="0"/>
        <v>0</v>
      </c>
      <c r="CV20">
        <f t="shared" si="1"/>
        <v>0</v>
      </c>
      <c r="CW20">
        <f t="shared" si="2"/>
        <v>0</v>
      </c>
      <c r="CX20">
        <f t="shared" si="3"/>
        <v>0</v>
      </c>
      <c r="CY20">
        <f t="shared" si="4"/>
        <v>0</v>
      </c>
      <c r="CZ20">
        <f t="shared" si="5"/>
        <v>0</v>
      </c>
      <c r="DA20">
        <f t="shared" si="6"/>
        <v>0</v>
      </c>
      <c r="DB20">
        <f t="shared" si="7"/>
        <v>0</v>
      </c>
    </row>
    <row r="23" spans="2:106" x14ac:dyDescent="0.25">
      <c r="B23">
        <v>180000</v>
      </c>
      <c r="N23">
        <v>195000</v>
      </c>
      <c r="Z23">
        <v>210000</v>
      </c>
      <c r="CU23">
        <f t="shared" ref="CU23:CU32" si="8">SUM(B23:M23)</f>
        <v>180000</v>
      </c>
      <c r="CV23">
        <f t="shared" ref="CV23:CV32" si="9">SUM(N23:Y23)</f>
        <v>195000</v>
      </c>
      <c r="CW23">
        <f t="shared" ref="CW23:CW32" si="10">SUM(Z23:AK23)</f>
        <v>210000</v>
      </c>
      <c r="CX23">
        <f t="shared" ref="CX23:CX32" si="11">SUM(AL23:AW23)</f>
        <v>0</v>
      </c>
      <c r="CY23">
        <f t="shared" ref="CY23:CY32" si="12">SUM(AX23:BI23)</f>
        <v>0</v>
      </c>
      <c r="CZ23">
        <f t="shared" ref="CZ23:CZ32" si="13">SUM(BJ23:BU23)</f>
        <v>0</v>
      </c>
      <c r="DA23">
        <f t="shared" ref="DA23:DA32" si="14">SUM(BV23:CG23)</f>
        <v>0</v>
      </c>
      <c r="DB23">
        <f t="shared" ref="DB23:DB32" si="15">SUM(CH23:CS23)</f>
        <v>0</v>
      </c>
    </row>
    <row r="24" spans="2:106" x14ac:dyDescent="0.25">
      <c r="B24">
        <v>25000</v>
      </c>
      <c r="N24">
        <v>22000</v>
      </c>
      <c r="Z24">
        <v>20000</v>
      </c>
      <c r="CU24">
        <f t="shared" si="8"/>
        <v>25000</v>
      </c>
      <c r="CV24">
        <f t="shared" si="9"/>
        <v>22000</v>
      </c>
      <c r="CW24">
        <f t="shared" si="10"/>
        <v>20000</v>
      </c>
      <c r="CX24">
        <f t="shared" si="11"/>
        <v>0</v>
      </c>
      <c r="CY24">
        <f t="shared" si="12"/>
        <v>0</v>
      </c>
      <c r="CZ24">
        <f t="shared" si="13"/>
        <v>0</v>
      </c>
      <c r="DA24">
        <f t="shared" si="14"/>
        <v>0</v>
      </c>
      <c r="DB24">
        <f t="shared" si="15"/>
        <v>0</v>
      </c>
    </row>
    <row r="25" spans="2:106" x14ac:dyDescent="0.25">
      <c r="B25">
        <v>0</v>
      </c>
      <c r="N25">
        <v>0</v>
      </c>
      <c r="Z25">
        <v>0</v>
      </c>
      <c r="CU25">
        <f t="shared" si="8"/>
        <v>0</v>
      </c>
      <c r="CV25">
        <f t="shared" si="9"/>
        <v>0</v>
      </c>
      <c r="CW25">
        <f t="shared" si="10"/>
        <v>0</v>
      </c>
      <c r="CX25">
        <f t="shared" si="11"/>
        <v>0</v>
      </c>
      <c r="CY25">
        <f t="shared" si="12"/>
        <v>0</v>
      </c>
      <c r="CZ25">
        <f t="shared" si="13"/>
        <v>0</v>
      </c>
      <c r="DA25">
        <f t="shared" si="14"/>
        <v>0</v>
      </c>
      <c r="DB25">
        <f t="shared" si="15"/>
        <v>0</v>
      </c>
    </row>
    <row r="26" spans="2:106" x14ac:dyDescent="0.25">
      <c r="B26">
        <v>10000</v>
      </c>
      <c r="N26">
        <v>12000</v>
      </c>
      <c r="Z26">
        <v>15000</v>
      </c>
      <c r="CU26">
        <f t="shared" si="8"/>
        <v>10000</v>
      </c>
      <c r="CV26">
        <f t="shared" si="9"/>
        <v>12000</v>
      </c>
      <c r="CW26">
        <f t="shared" si="10"/>
        <v>15000</v>
      </c>
      <c r="CX26">
        <f t="shared" si="11"/>
        <v>0</v>
      </c>
      <c r="CY26">
        <f t="shared" si="12"/>
        <v>0</v>
      </c>
      <c r="CZ26">
        <f t="shared" si="13"/>
        <v>0</v>
      </c>
      <c r="DA26">
        <f t="shared" si="14"/>
        <v>0</v>
      </c>
      <c r="DB26">
        <f t="shared" si="15"/>
        <v>0</v>
      </c>
    </row>
    <row r="27" spans="2:106" x14ac:dyDescent="0.25">
      <c r="CU27">
        <f t="shared" si="8"/>
        <v>0</v>
      </c>
      <c r="CV27">
        <f t="shared" si="9"/>
        <v>0</v>
      </c>
      <c r="CW27">
        <f t="shared" si="10"/>
        <v>0</v>
      </c>
      <c r="CX27">
        <f t="shared" si="11"/>
        <v>0</v>
      </c>
      <c r="CY27">
        <f t="shared" si="12"/>
        <v>0</v>
      </c>
      <c r="CZ27">
        <f t="shared" si="13"/>
        <v>0</v>
      </c>
      <c r="DA27">
        <f t="shared" si="14"/>
        <v>0</v>
      </c>
      <c r="DB27">
        <f t="shared" si="15"/>
        <v>0</v>
      </c>
    </row>
    <row r="28" spans="2:106" x14ac:dyDescent="0.25">
      <c r="CU28">
        <f t="shared" si="8"/>
        <v>0</v>
      </c>
      <c r="CV28">
        <f t="shared" si="9"/>
        <v>0</v>
      </c>
      <c r="CW28">
        <f t="shared" si="10"/>
        <v>0</v>
      </c>
      <c r="CX28">
        <f t="shared" si="11"/>
        <v>0</v>
      </c>
      <c r="CY28">
        <f t="shared" si="12"/>
        <v>0</v>
      </c>
      <c r="CZ28">
        <f t="shared" si="13"/>
        <v>0</v>
      </c>
      <c r="DA28">
        <f t="shared" si="14"/>
        <v>0</v>
      </c>
      <c r="DB28">
        <f t="shared" si="15"/>
        <v>0</v>
      </c>
    </row>
    <row r="29" spans="2:106" x14ac:dyDescent="0.25">
      <c r="CU29">
        <f t="shared" si="8"/>
        <v>0</v>
      </c>
      <c r="CV29">
        <f t="shared" si="9"/>
        <v>0</v>
      </c>
      <c r="CW29">
        <f t="shared" si="10"/>
        <v>0</v>
      </c>
      <c r="CX29">
        <f t="shared" si="11"/>
        <v>0</v>
      </c>
      <c r="CY29">
        <f t="shared" si="12"/>
        <v>0</v>
      </c>
      <c r="CZ29">
        <f t="shared" si="13"/>
        <v>0</v>
      </c>
      <c r="DA29">
        <f t="shared" si="14"/>
        <v>0</v>
      </c>
      <c r="DB29">
        <f t="shared" si="15"/>
        <v>0</v>
      </c>
    </row>
    <row r="30" spans="2:106" x14ac:dyDescent="0.25">
      <c r="CU30">
        <f t="shared" si="8"/>
        <v>0</v>
      </c>
      <c r="CV30">
        <f t="shared" si="9"/>
        <v>0</v>
      </c>
      <c r="CW30">
        <f t="shared" si="10"/>
        <v>0</v>
      </c>
      <c r="CX30">
        <f t="shared" si="11"/>
        <v>0</v>
      </c>
      <c r="CY30">
        <f t="shared" si="12"/>
        <v>0</v>
      </c>
      <c r="CZ30">
        <f t="shared" si="13"/>
        <v>0</v>
      </c>
      <c r="DA30">
        <f t="shared" si="14"/>
        <v>0</v>
      </c>
      <c r="DB30">
        <f t="shared" si="15"/>
        <v>0</v>
      </c>
    </row>
    <row r="31" spans="2:106" x14ac:dyDescent="0.25">
      <c r="CU31">
        <f t="shared" si="8"/>
        <v>0</v>
      </c>
      <c r="CV31">
        <f t="shared" si="9"/>
        <v>0</v>
      </c>
      <c r="CW31">
        <f t="shared" si="10"/>
        <v>0</v>
      </c>
      <c r="CX31">
        <f t="shared" si="11"/>
        <v>0</v>
      </c>
      <c r="CY31">
        <f t="shared" si="12"/>
        <v>0</v>
      </c>
      <c r="CZ31">
        <f t="shared" si="13"/>
        <v>0</v>
      </c>
      <c r="DA31">
        <f t="shared" si="14"/>
        <v>0</v>
      </c>
      <c r="DB31">
        <f t="shared" si="15"/>
        <v>0</v>
      </c>
    </row>
    <row r="32" spans="2:106" x14ac:dyDescent="0.25">
      <c r="CU32">
        <f t="shared" si="8"/>
        <v>0</v>
      </c>
      <c r="CV32">
        <f t="shared" si="9"/>
        <v>0</v>
      </c>
      <c r="CW32">
        <f t="shared" si="10"/>
        <v>0</v>
      </c>
      <c r="CX32">
        <f t="shared" si="11"/>
        <v>0</v>
      </c>
      <c r="CY32">
        <f t="shared" si="12"/>
        <v>0</v>
      </c>
      <c r="CZ32">
        <f t="shared" si="13"/>
        <v>0</v>
      </c>
      <c r="DA32">
        <f t="shared" si="14"/>
        <v>0</v>
      </c>
      <c r="DB32">
        <f t="shared" si="15"/>
        <v>0</v>
      </c>
    </row>
    <row r="35" spans="2:106" x14ac:dyDescent="0.25">
      <c r="B35">
        <v>70000</v>
      </c>
      <c r="N35">
        <v>75000</v>
      </c>
      <c r="Z35">
        <v>80000</v>
      </c>
      <c r="CU35">
        <f t="shared" ref="CU35:CU45" si="16">SUM(B35:M35)</f>
        <v>70000</v>
      </c>
      <c r="CV35">
        <f t="shared" ref="CV35:CV45" si="17">SUM(N35:Y35)</f>
        <v>75000</v>
      </c>
      <c r="CW35">
        <f t="shared" ref="CW35:CW45" si="18">SUM(Z35:AK35)</f>
        <v>80000</v>
      </c>
      <c r="CX35">
        <f t="shared" ref="CX35:CX45" si="19">SUM(AL35:AW35)</f>
        <v>0</v>
      </c>
      <c r="CY35">
        <f t="shared" ref="CY35:CY45" si="20">SUM(AX35:BI35)</f>
        <v>0</v>
      </c>
      <c r="CZ35">
        <f t="shared" ref="CZ35:CZ45" si="21">SUM(BJ35:BU35)</f>
        <v>0</v>
      </c>
      <c r="DA35">
        <f t="shared" ref="DA35:DA45" si="22">SUM(BV35:CG35)</f>
        <v>0</v>
      </c>
      <c r="DB35">
        <f t="shared" ref="DB35:DB45" si="23">SUM(CH35:CS35)</f>
        <v>0</v>
      </c>
    </row>
    <row r="36" spans="2:106" x14ac:dyDescent="0.25">
      <c r="B36">
        <v>50000</v>
      </c>
      <c r="N36">
        <v>45000</v>
      </c>
      <c r="Z36">
        <v>40000</v>
      </c>
      <c r="CU36">
        <f t="shared" si="16"/>
        <v>50000</v>
      </c>
      <c r="CV36">
        <f t="shared" si="17"/>
        <v>45000</v>
      </c>
      <c r="CW36">
        <f t="shared" si="18"/>
        <v>40000</v>
      </c>
      <c r="CX36">
        <f t="shared" si="19"/>
        <v>0</v>
      </c>
      <c r="CY36">
        <f t="shared" si="20"/>
        <v>0</v>
      </c>
      <c r="CZ36">
        <f t="shared" si="21"/>
        <v>0</v>
      </c>
      <c r="DA36">
        <f t="shared" si="22"/>
        <v>0</v>
      </c>
      <c r="DB36">
        <f t="shared" si="23"/>
        <v>0</v>
      </c>
    </row>
    <row r="37" spans="2:106" x14ac:dyDescent="0.25">
      <c r="B37">
        <v>0</v>
      </c>
      <c r="N37">
        <v>0</v>
      </c>
      <c r="Z37">
        <v>0</v>
      </c>
      <c r="CU37">
        <f t="shared" si="16"/>
        <v>0</v>
      </c>
      <c r="CV37">
        <f t="shared" si="17"/>
        <v>0</v>
      </c>
      <c r="CW37">
        <f t="shared" si="18"/>
        <v>0</v>
      </c>
      <c r="CX37">
        <f t="shared" si="19"/>
        <v>0</v>
      </c>
      <c r="CY37">
        <f t="shared" si="20"/>
        <v>0</v>
      </c>
      <c r="CZ37">
        <f t="shared" si="21"/>
        <v>0</v>
      </c>
      <c r="DA37">
        <f t="shared" si="22"/>
        <v>0</v>
      </c>
      <c r="DB37">
        <f t="shared" si="23"/>
        <v>0</v>
      </c>
    </row>
    <row r="38" spans="2:106" x14ac:dyDescent="0.25">
      <c r="B38">
        <v>0</v>
      </c>
      <c r="N38">
        <v>0</v>
      </c>
      <c r="Z38">
        <v>0</v>
      </c>
      <c r="CU38">
        <f t="shared" si="16"/>
        <v>0</v>
      </c>
      <c r="CV38">
        <f t="shared" si="17"/>
        <v>0</v>
      </c>
      <c r="CW38">
        <f t="shared" si="18"/>
        <v>0</v>
      </c>
      <c r="CX38">
        <f t="shared" si="19"/>
        <v>0</v>
      </c>
      <c r="CY38">
        <f t="shared" si="20"/>
        <v>0</v>
      </c>
      <c r="CZ38">
        <f t="shared" si="21"/>
        <v>0</v>
      </c>
      <c r="DA38">
        <f t="shared" si="22"/>
        <v>0</v>
      </c>
      <c r="DB38">
        <f t="shared" si="23"/>
        <v>0</v>
      </c>
    </row>
    <row r="39" spans="2:106" x14ac:dyDescent="0.25">
      <c r="B39">
        <v>20000</v>
      </c>
      <c r="N39">
        <v>22000</v>
      </c>
      <c r="Z39">
        <v>25000</v>
      </c>
      <c r="CU39">
        <f t="shared" si="16"/>
        <v>20000</v>
      </c>
      <c r="CV39">
        <f t="shared" si="17"/>
        <v>22000</v>
      </c>
      <c r="CW39">
        <f t="shared" si="18"/>
        <v>25000</v>
      </c>
      <c r="CX39">
        <f t="shared" si="19"/>
        <v>0</v>
      </c>
      <c r="CY39">
        <f t="shared" si="20"/>
        <v>0</v>
      </c>
      <c r="CZ39">
        <f t="shared" si="21"/>
        <v>0</v>
      </c>
      <c r="DA39">
        <f t="shared" si="22"/>
        <v>0</v>
      </c>
      <c r="DB39">
        <f t="shared" si="23"/>
        <v>0</v>
      </c>
    </row>
    <row r="40" spans="2:106" x14ac:dyDescent="0.25">
      <c r="CU40">
        <f t="shared" si="16"/>
        <v>0</v>
      </c>
      <c r="CV40">
        <f t="shared" si="17"/>
        <v>0</v>
      </c>
      <c r="CW40">
        <f t="shared" si="18"/>
        <v>0</v>
      </c>
      <c r="CX40">
        <f t="shared" si="19"/>
        <v>0</v>
      </c>
      <c r="CY40">
        <f t="shared" si="20"/>
        <v>0</v>
      </c>
      <c r="CZ40">
        <f t="shared" si="21"/>
        <v>0</v>
      </c>
      <c r="DA40">
        <f t="shared" si="22"/>
        <v>0</v>
      </c>
      <c r="DB40">
        <f t="shared" si="23"/>
        <v>0</v>
      </c>
    </row>
    <row r="41" spans="2:106" x14ac:dyDescent="0.25">
      <c r="CU41">
        <f t="shared" si="16"/>
        <v>0</v>
      </c>
      <c r="CV41">
        <f t="shared" si="17"/>
        <v>0</v>
      </c>
      <c r="CW41">
        <f t="shared" si="18"/>
        <v>0</v>
      </c>
      <c r="CX41">
        <f t="shared" si="19"/>
        <v>0</v>
      </c>
      <c r="CY41">
        <f t="shared" si="20"/>
        <v>0</v>
      </c>
      <c r="CZ41">
        <f t="shared" si="21"/>
        <v>0</v>
      </c>
      <c r="DA41">
        <f t="shared" si="22"/>
        <v>0</v>
      </c>
      <c r="DB41">
        <f t="shared" si="23"/>
        <v>0</v>
      </c>
    </row>
    <row r="42" spans="2:106" x14ac:dyDescent="0.25">
      <c r="CU42">
        <f t="shared" si="16"/>
        <v>0</v>
      </c>
      <c r="CV42">
        <f t="shared" si="17"/>
        <v>0</v>
      </c>
      <c r="CW42">
        <f t="shared" si="18"/>
        <v>0</v>
      </c>
      <c r="CX42">
        <f t="shared" si="19"/>
        <v>0</v>
      </c>
      <c r="CY42">
        <f t="shared" si="20"/>
        <v>0</v>
      </c>
      <c r="CZ42">
        <f t="shared" si="21"/>
        <v>0</v>
      </c>
      <c r="DA42">
        <f t="shared" si="22"/>
        <v>0</v>
      </c>
      <c r="DB42">
        <f t="shared" si="23"/>
        <v>0</v>
      </c>
    </row>
    <row r="43" spans="2:106" x14ac:dyDescent="0.25">
      <c r="CU43">
        <f t="shared" si="16"/>
        <v>0</v>
      </c>
      <c r="CV43">
        <f t="shared" si="17"/>
        <v>0</v>
      </c>
      <c r="CW43">
        <f t="shared" si="18"/>
        <v>0</v>
      </c>
      <c r="CX43">
        <f t="shared" si="19"/>
        <v>0</v>
      </c>
      <c r="CY43">
        <f t="shared" si="20"/>
        <v>0</v>
      </c>
      <c r="CZ43">
        <f t="shared" si="21"/>
        <v>0</v>
      </c>
      <c r="DA43">
        <f t="shared" si="22"/>
        <v>0</v>
      </c>
      <c r="DB43">
        <f t="shared" si="23"/>
        <v>0</v>
      </c>
    </row>
    <row r="44" spans="2:106" x14ac:dyDescent="0.25">
      <c r="CU44">
        <f t="shared" si="16"/>
        <v>0</v>
      </c>
      <c r="CV44">
        <f t="shared" si="17"/>
        <v>0</v>
      </c>
      <c r="CW44">
        <f t="shared" si="18"/>
        <v>0</v>
      </c>
      <c r="CX44">
        <f t="shared" si="19"/>
        <v>0</v>
      </c>
      <c r="CY44">
        <f t="shared" si="20"/>
        <v>0</v>
      </c>
      <c r="CZ44">
        <f t="shared" si="21"/>
        <v>0</v>
      </c>
      <c r="DA44">
        <f t="shared" si="22"/>
        <v>0</v>
      </c>
      <c r="DB44">
        <f t="shared" si="23"/>
        <v>0</v>
      </c>
    </row>
    <row r="45" spans="2:106" x14ac:dyDescent="0.25">
      <c r="CU45">
        <f t="shared" si="16"/>
        <v>0</v>
      </c>
      <c r="CV45">
        <f t="shared" si="17"/>
        <v>0</v>
      </c>
      <c r="CW45">
        <f t="shared" si="18"/>
        <v>0</v>
      </c>
      <c r="CX45">
        <f t="shared" si="19"/>
        <v>0</v>
      </c>
      <c r="CY45">
        <f t="shared" si="20"/>
        <v>0</v>
      </c>
      <c r="CZ45">
        <f t="shared" si="21"/>
        <v>0</v>
      </c>
      <c r="DA45">
        <f t="shared" si="22"/>
        <v>0</v>
      </c>
      <c r="DB45">
        <f t="shared" si="23"/>
        <v>0</v>
      </c>
    </row>
    <row r="48" spans="2:106" x14ac:dyDescent="0.25">
      <c r="B48">
        <v>110000</v>
      </c>
      <c r="N48">
        <v>100000</v>
      </c>
      <c r="Z48">
        <v>90000</v>
      </c>
      <c r="CU48">
        <f t="shared" ref="CU48:CU56" si="24">SUM(B48:M48)</f>
        <v>110000</v>
      </c>
      <c r="CV48">
        <f t="shared" ref="CV48:CV56" si="25">SUM(N48:Y48)</f>
        <v>100000</v>
      </c>
      <c r="CW48">
        <f t="shared" ref="CW48:CW56" si="26">SUM(Z48:AK48)</f>
        <v>90000</v>
      </c>
      <c r="CX48">
        <f t="shared" ref="CX48:CX56" si="27">SUM(AL48:AW48)</f>
        <v>0</v>
      </c>
      <c r="CY48">
        <f t="shared" ref="CY48:CY56" si="28">SUM(AX48:BI48)</f>
        <v>0</v>
      </c>
      <c r="CZ48">
        <f t="shared" ref="CZ48:CZ56" si="29">SUM(BJ48:BU48)</f>
        <v>0</v>
      </c>
      <c r="DA48">
        <f t="shared" ref="DA48:DA56" si="30">SUM(BV48:CG48)</f>
        <v>0</v>
      </c>
      <c r="DB48">
        <f t="shared" ref="DB48:DB56" si="31">SUM(CH48:CS48)</f>
        <v>0</v>
      </c>
    </row>
    <row r="49" spans="2:106" x14ac:dyDescent="0.25">
      <c r="B49">
        <v>0</v>
      </c>
      <c r="N49">
        <v>0</v>
      </c>
      <c r="Z49">
        <v>0</v>
      </c>
      <c r="CU49">
        <f t="shared" si="24"/>
        <v>0</v>
      </c>
      <c r="CV49">
        <f t="shared" si="25"/>
        <v>0</v>
      </c>
      <c r="CW49">
        <f t="shared" si="26"/>
        <v>0</v>
      </c>
      <c r="CX49">
        <f t="shared" si="27"/>
        <v>0</v>
      </c>
      <c r="CY49">
        <f t="shared" si="28"/>
        <v>0</v>
      </c>
      <c r="CZ49">
        <f t="shared" si="29"/>
        <v>0</v>
      </c>
      <c r="DA49">
        <f t="shared" si="30"/>
        <v>0</v>
      </c>
      <c r="DB49">
        <f t="shared" si="31"/>
        <v>0</v>
      </c>
    </row>
    <row r="50" spans="2:106" x14ac:dyDescent="0.25">
      <c r="B50">
        <v>15000</v>
      </c>
      <c r="N50">
        <v>13000</v>
      </c>
      <c r="Z50">
        <v>10000</v>
      </c>
      <c r="CU50">
        <f t="shared" si="24"/>
        <v>15000</v>
      </c>
      <c r="CV50">
        <f t="shared" si="25"/>
        <v>13000</v>
      </c>
      <c r="CW50">
        <f t="shared" si="26"/>
        <v>10000</v>
      </c>
      <c r="CX50">
        <f t="shared" si="27"/>
        <v>0</v>
      </c>
      <c r="CY50">
        <f t="shared" si="28"/>
        <v>0</v>
      </c>
      <c r="CZ50">
        <f t="shared" si="29"/>
        <v>0</v>
      </c>
      <c r="DA50">
        <f t="shared" si="30"/>
        <v>0</v>
      </c>
      <c r="DB50">
        <f t="shared" si="31"/>
        <v>0</v>
      </c>
    </row>
    <row r="51" spans="2:106" x14ac:dyDescent="0.25">
      <c r="CU51">
        <f t="shared" si="24"/>
        <v>0</v>
      </c>
      <c r="CV51">
        <f t="shared" si="25"/>
        <v>0</v>
      </c>
      <c r="CW51">
        <f t="shared" si="26"/>
        <v>0</v>
      </c>
      <c r="CX51">
        <f t="shared" si="27"/>
        <v>0</v>
      </c>
      <c r="CY51">
        <f t="shared" si="28"/>
        <v>0</v>
      </c>
      <c r="CZ51">
        <f t="shared" si="29"/>
        <v>0</v>
      </c>
      <c r="DA51">
        <f t="shared" si="30"/>
        <v>0</v>
      </c>
      <c r="DB51">
        <f t="shared" si="31"/>
        <v>0</v>
      </c>
    </row>
    <row r="52" spans="2:106" x14ac:dyDescent="0.25">
      <c r="CU52">
        <f t="shared" si="24"/>
        <v>0</v>
      </c>
      <c r="CV52">
        <f t="shared" si="25"/>
        <v>0</v>
      </c>
      <c r="CW52">
        <f t="shared" si="26"/>
        <v>0</v>
      </c>
      <c r="CX52">
        <f t="shared" si="27"/>
        <v>0</v>
      </c>
      <c r="CY52">
        <f t="shared" si="28"/>
        <v>0</v>
      </c>
      <c r="CZ52">
        <f t="shared" si="29"/>
        <v>0</v>
      </c>
      <c r="DA52">
        <f t="shared" si="30"/>
        <v>0</v>
      </c>
      <c r="DB52">
        <f t="shared" si="31"/>
        <v>0</v>
      </c>
    </row>
    <row r="53" spans="2:106" x14ac:dyDescent="0.25">
      <c r="CU53">
        <f t="shared" si="24"/>
        <v>0</v>
      </c>
      <c r="CV53">
        <f t="shared" si="25"/>
        <v>0</v>
      </c>
      <c r="CW53">
        <f t="shared" si="26"/>
        <v>0</v>
      </c>
      <c r="CX53">
        <f t="shared" si="27"/>
        <v>0</v>
      </c>
      <c r="CY53">
        <f t="shared" si="28"/>
        <v>0</v>
      </c>
      <c r="CZ53">
        <f t="shared" si="29"/>
        <v>0</v>
      </c>
      <c r="DA53">
        <f t="shared" si="30"/>
        <v>0</v>
      </c>
      <c r="DB53">
        <f t="shared" si="31"/>
        <v>0</v>
      </c>
    </row>
    <row r="54" spans="2:106" x14ac:dyDescent="0.25">
      <c r="CU54">
        <f t="shared" si="24"/>
        <v>0</v>
      </c>
      <c r="CV54">
        <f t="shared" si="25"/>
        <v>0</v>
      </c>
      <c r="CW54">
        <f t="shared" si="26"/>
        <v>0</v>
      </c>
      <c r="CX54">
        <f t="shared" si="27"/>
        <v>0</v>
      </c>
      <c r="CY54">
        <f t="shared" si="28"/>
        <v>0</v>
      </c>
      <c r="CZ54">
        <f t="shared" si="29"/>
        <v>0</v>
      </c>
      <c r="DA54">
        <f t="shared" si="30"/>
        <v>0</v>
      </c>
      <c r="DB54">
        <f t="shared" si="31"/>
        <v>0</v>
      </c>
    </row>
    <row r="55" spans="2:106" x14ac:dyDescent="0.25">
      <c r="CU55">
        <f t="shared" si="24"/>
        <v>0</v>
      </c>
      <c r="CV55">
        <f t="shared" si="25"/>
        <v>0</v>
      </c>
      <c r="CW55">
        <f t="shared" si="26"/>
        <v>0</v>
      </c>
      <c r="CX55">
        <f t="shared" si="27"/>
        <v>0</v>
      </c>
      <c r="CY55">
        <f t="shared" si="28"/>
        <v>0</v>
      </c>
      <c r="CZ55">
        <f t="shared" si="29"/>
        <v>0</v>
      </c>
      <c r="DA55">
        <f t="shared" si="30"/>
        <v>0</v>
      </c>
      <c r="DB55">
        <f t="shared" si="31"/>
        <v>0</v>
      </c>
    </row>
    <row r="56" spans="2:106" x14ac:dyDescent="0.25">
      <c r="CU56">
        <f t="shared" si="24"/>
        <v>0</v>
      </c>
      <c r="CV56">
        <f t="shared" si="25"/>
        <v>0</v>
      </c>
      <c r="CW56">
        <f t="shared" si="26"/>
        <v>0</v>
      </c>
      <c r="CX56">
        <f t="shared" si="27"/>
        <v>0</v>
      </c>
      <c r="CY56">
        <f t="shared" si="28"/>
        <v>0</v>
      </c>
      <c r="CZ56">
        <f t="shared" si="29"/>
        <v>0</v>
      </c>
      <c r="DA56">
        <f t="shared" si="30"/>
        <v>0</v>
      </c>
      <c r="DB56">
        <f t="shared" si="31"/>
        <v>0</v>
      </c>
    </row>
    <row r="59" spans="2:106" x14ac:dyDescent="0.25">
      <c r="B59">
        <v>120000</v>
      </c>
      <c r="N59">
        <v>120000</v>
      </c>
      <c r="Z59">
        <v>120000</v>
      </c>
      <c r="CU59">
        <f t="shared" ref="CU59:CU67" si="32">SUM(B59:M59)</f>
        <v>120000</v>
      </c>
      <c r="CV59">
        <f t="shared" ref="CV59:CV67" si="33">SUM(N59:Y59)</f>
        <v>120000</v>
      </c>
      <c r="CW59">
        <f t="shared" ref="CW59:CW67" si="34">SUM(Z59:AK59)</f>
        <v>120000</v>
      </c>
      <c r="CX59">
        <f t="shared" ref="CX59:CX67" si="35">SUM(AL59:AW59)</f>
        <v>0</v>
      </c>
      <c r="CY59">
        <f t="shared" ref="CY59:CY67" si="36">SUM(AX59:BI59)</f>
        <v>0</v>
      </c>
      <c r="CZ59">
        <f t="shared" ref="CZ59:CZ67" si="37">SUM(BJ59:BU59)</f>
        <v>0</v>
      </c>
      <c r="DA59">
        <f t="shared" ref="DA59:DA67" si="38">SUM(BV59:CG59)</f>
        <v>0</v>
      </c>
      <c r="DB59">
        <f t="shared" ref="DB59:DB67" si="39">SUM(CH59:CS59)</f>
        <v>0</v>
      </c>
    </row>
    <row r="60" spans="2:106" x14ac:dyDescent="0.25">
      <c r="B60">
        <v>0</v>
      </c>
      <c r="N60">
        <v>0</v>
      </c>
      <c r="Z60">
        <v>0</v>
      </c>
      <c r="CU60">
        <f t="shared" si="32"/>
        <v>0</v>
      </c>
      <c r="CV60">
        <f t="shared" si="33"/>
        <v>0</v>
      </c>
      <c r="CW60">
        <f t="shared" si="34"/>
        <v>0</v>
      </c>
      <c r="CX60">
        <f t="shared" si="35"/>
        <v>0</v>
      </c>
      <c r="CY60">
        <f t="shared" si="36"/>
        <v>0</v>
      </c>
      <c r="CZ60">
        <f t="shared" si="37"/>
        <v>0</v>
      </c>
      <c r="DA60">
        <f t="shared" si="38"/>
        <v>0</v>
      </c>
      <c r="DB60">
        <f t="shared" si="39"/>
        <v>0</v>
      </c>
    </row>
    <row r="61" spans="2:106" x14ac:dyDescent="0.25">
      <c r="B61">
        <v>45000</v>
      </c>
      <c r="N61">
        <v>65000</v>
      </c>
      <c r="Z61">
        <v>105000</v>
      </c>
      <c r="CU61">
        <f t="shared" si="32"/>
        <v>45000</v>
      </c>
      <c r="CV61">
        <f t="shared" si="33"/>
        <v>65000</v>
      </c>
      <c r="CW61">
        <f t="shared" si="34"/>
        <v>105000</v>
      </c>
      <c r="CX61">
        <f t="shared" si="35"/>
        <v>0</v>
      </c>
      <c r="CY61">
        <f t="shared" si="36"/>
        <v>0</v>
      </c>
      <c r="CZ61">
        <f t="shared" si="37"/>
        <v>0</v>
      </c>
      <c r="DA61">
        <f t="shared" si="38"/>
        <v>0</v>
      </c>
      <c r="DB61">
        <f t="shared" si="39"/>
        <v>0</v>
      </c>
    </row>
    <row r="62" spans="2:106" x14ac:dyDescent="0.25">
      <c r="B62">
        <v>20000</v>
      </c>
      <c r="N62">
        <v>57000</v>
      </c>
      <c r="Z62">
        <v>70000</v>
      </c>
      <c r="CU62">
        <f t="shared" si="32"/>
        <v>20000</v>
      </c>
      <c r="CV62">
        <f t="shared" si="33"/>
        <v>57000</v>
      </c>
      <c r="CW62">
        <f t="shared" si="34"/>
        <v>70000</v>
      </c>
      <c r="CX62">
        <f t="shared" si="35"/>
        <v>0</v>
      </c>
      <c r="CY62">
        <f t="shared" si="36"/>
        <v>0</v>
      </c>
      <c r="CZ62">
        <f t="shared" si="37"/>
        <v>0</v>
      </c>
      <c r="DA62">
        <f t="shared" si="38"/>
        <v>0</v>
      </c>
      <c r="DB62">
        <f t="shared" si="39"/>
        <v>0</v>
      </c>
    </row>
    <row r="63" spans="2:106" x14ac:dyDescent="0.25">
      <c r="CU63">
        <f t="shared" si="32"/>
        <v>0</v>
      </c>
      <c r="CV63">
        <f t="shared" si="33"/>
        <v>0</v>
      </c>
      <c r="CW63">
        <f t="shared" si="34"/>
        <v>0</v>
      </c>
      <c r="CX63">
        <f t="shared" si="35"/>
        <v>0</v>
      </c>
      <c r="CY63">
        <f t="shared" si="36"/>
        <v>0</v>
      </c>
      <c r="CZ63">
        <f t="shared" si="37"/>
        <v>0</v>
      </c>
      <c r="DA63">
        <f t="shared" si="38"/>
        <v>0</v>
      </c>
      <c r="DB63">
        <f t="shared" si="39"/>
        <v>0</v>
      </c>
    </row>
    <row r="64" spans="2:106" x14ac:dyDescent="0.25">
      <c r="CU64">
        <f t="shared" si="32"/>
        <v>0</v>
      </c>
      <c r="CV64">
        <f t="shared" si="33"/>
        <v>0</v>
      </c>
      <c r="CW64">
        <f t="shared" si="34"/>
        <v>0</v>
      </c>
      <c r="CX64">
        <f t="shared" si="35"/>
        <v>0</v>
      </c>
      <c r="CY64">
        <f t="shared" si="36"/>
        <v>0</v>
      </c>
      <c r="CZ64">
        <f t="shared" si="37"/>
        <v>0</v>
      </c>
      <c r="DA64">
        <f t="shared" si="38"/>
        <v>0</v>
      </c>
      <c r="DB64">
        <f t="shared" si="39"/>
        <v>0</v>
      </c>
    </row>
    <row r="65" spans="2:106" x14ac:dyDescent="0.25">
      <c r="CU65">
        <f t="shared" si="32"/>
        <v>0</v>
      </c>
      <c r="CV65">
        <f t="shared" si="33"/>
        <v>0</v>
      </c>
      <c r="CW65">
        <f t="shared" si="34"/>
        <v>0</v>
      </c>
      <c r="CX65">
        <f t="shared" si="35"/>
        <v>0</v>
      </c>
      <c r="CY65">
        <f t="shared" si="36"/>
        <v>0</v>
      </c>
      <c r="CZ65">
        <f t="shared" si="37"/>
        <v>0</v>
      </c>
      <c r="DA65">
        <f t="shared" si="38"/>
        <v>0</v>
      </c>
      <c r="DB65">
        <f t="shared" si="39"/>
        <v>0</v>
      </c>
    </row>
    <row r="66" spans="2:106" x14ac:dyDescent="0.25">
      <c r="CU66">
        <f t="shared" si="32"/>
        <v>0</v>
      </c>
      <c r="CV66">
        <f t="shared" si="33"/>
        <v>0</v>
      </c>
      <c r="CW66">
        <f t="shared" si="34"/>
        <v>0</v>
      </c>
      <c r="CX66">
        <f t="shared" si="35"/>
        <v>0</v>
      </c>
      <c r="CY66">
        <f t="shared" si="36"/>
        <v>0</v>
      </c>
      <c r="CZ66">
        <f t="shared" si="37"/>
        <v>0</v>
      </c>
      <c r="DA66">
        <f t="shared" si="38"/>
        <v>0</v>
      </c>
      <c r="DB66">
        <f t="shared" si="39"/>
        <v>0</v>
      </c>
    </row>
    <row r="67" spans="2:106" x14ac:dyDescent="0.25">
      <c r="CU67">
        <f t="shared" si="32"/>
        <v>0</v>
      </c>
      <c r="CV67">
        <f t="shared" si="33"/>
        <v>0</v>
      </c>
      <c r="CW67">
        <f t="shared" si="34"/>
        <v>0</v>
      </c>
      <c r="CX67">
        <f t="shared" si="35"/>
        <v>0</v>
      </c>
      <c r="CY67">
        <f t="shared" si="36"/>
        <v>0</v>
      </c>
      <c r="CZ67">
        <f t="shared" si="37"/>
        <v>0</v>
      </c>
      <c r="DA67">
        <f t="shared" si="38"/>
        <v>0</v>
      </c>
      <c r="DB67">
        <f t="shared" si="39"/>
        <v>0</v>
      </c>
    </row>
    <row r="70" spans="2:106" x14ac:dyDescent="0.25">
      <c r="B70">
        <v>580000</v>
      </c>
      <c r="N70">
        <v>680000</v>
      </c>
      <c r="Z70">
        <v>760000</v>
      </c>
      <c r="CU70">
        <f t="shared" ref="CU70:CU82" si="40">SUM(B70:M70)</f>
        <v>580000</v>
      </c>
      <c r="CV70">
        <f t="shared" ref="CV70:CV82" si="41">SUM(N70:Y70)</f>
        <v>680000</v>
      </c>
      <c r="CW70">
        <f t="shared" ref="CW70:CW82" si="42">SUM(Z70:AK70)</f>
        <v>760000</v>
      </c>
      <c r="CX70">
        <f t="shared" ref="CX70:CX82" si="43">SUM(AL70:AW70)</f>
        <v>0</v>
      </c>
      <c r="CY70">
        <f t="shared" ref="CY70:CY82" si="44">SUM(AX70:BI70)</f>
        <v>0</v>
      </c>
      <c r="CZ70">
        <f t="shared" ref="CZ70:CZ82" si="45">SUM(BJ70:BU70)</f>
        <v>0</v>
      </c>
      <c r="DA70">
        <f t="shared" ref="DA70:DA82" si="46">SUM(BV70:CG70)</f>
        <v>0</v>
      </c>
      <c r="DB70">
        <f t="shared" ref="DB70:DB82" si="47">SUM(CH70:CS70)</f>
        <v>0</v>
      </c>
    </row>
    <row r="71" spans="2:106" x14ac:dyDescent="0.25">
      <c r="B71">
        <v>371200</v>
      </c>
      <c r="N71">
        <v>421600</v>
      </c>
      <c r="Z71">
        <v>463600</v>
      </c>
      <c r="CU71">
        <f t="shared" si="40"/>
        <v>371200</v>
      </c>
      <c r="CV71">
        <f t="shared" si="41"/>
        <v>421600</v>
      </c>
      <c r="CW71">
        <f t="shared" si="42"/>
        <v>463600</v>
      </c>
      <c r="CX71">
        <f t="shared" si="43"/>
        <v>0</v>
      </c>
      <c r="CY71">
        <f t="shared" si="44"/>
        <v>0</v>
      </c>
      <c r="CZ71">
        <f t="shared" si="45"/>
        <v>0</v>
      </c>
      <c r="DA71">
        <f t="shared" si="46"/>
        <v>0</v>
      </c>
      <c r="DB71">
        <f t="shared" si="47"/>
        <v>0</v>
      </c>
    </row>
    <row r="72" spans="2:106" x14ac:dyDescent="0.25">
      <c r="B72">
        <v>88000</v>
      </c>
      <c r="N72">
        <v>92000</v>
      </c>
      <c r="Z72">
        <v>98000</v>
      </c>
      <c r="CU72">
        <f t="shared" si="40"/>
        <v>88000</v>
      </c>
      <c r="CV72">
        <f t="shared" si="41"/>
        <v>92000</v>
      </c>
      <c r="CW72">
        <f t="shared" si="42"/>
        <v>98000</v>
      </c>
      <c r="CX72">
        <f t="shared" si="43"/>
        <v>0</v>
      </c>
      <c r="CY72">
        <f t="shared" si="44"/>
        <v>0</v>
      </c>
      <c r="CZ72">
        <f t="shared" si="45"/>
        <v>0</v>
      </c>
      <c r="DA72">
        <f t="shared" si="46"/>
        <v>0</v>
      </c>
      <c r="DB72">
        <f t="shared" si="47"/>
        <v>0</v>
      </c>
    </row>
    <row r="73" spans="2:106" x14ac:dyDescent="0.25">
      <c r="B73">
        <v>78000</v>
      </c>
      <c r="N73">
        <v>82000</v>
      </c>
      <c r="Z73">
        <v>88000</v>
      </c>
      <c r="CU73">
        <f t="shared" si="40"/>
        <v>78000</v>
      </c>
      <c r="CV73">
        <f t="shared" si="41"/>
        <v>82000</v>
      </c>
      <c r="CW73">
        <f t="shared" si="42"/>
        <v>88000</v>
      </c>
      <c r="CX73">
        <f t="shared" si="43"/>
        <v>0</v>
      </c>
      <c r="CY73">
        <f t="shared" si="44"/>
        <v>0</v>
      </c>
      <c r="CZ73">
        <f t="shared" si="45"/>
        <v>0</v>
      </c>
      <c r="DA73">
        <f t="shared" si="46"/>
        <v>0</v>
      </c>
      <c r="DB73">
        <f t="shared" si="47"/>
        <v>0</v>
      </c>
    </row>
    <row r="74" spans="2:106" x14ac:dyDescent="0.25">
      <c r="B74">
        <v>0</v>
      </c>
      <c r="N74">
        <v>0</v>
      </c>
      <c r="Z74">
        <v>0</v>
      </c>
      <c r="CU74">
        <f t="shared" si="40"/>
        <v>0</v>
      </c>
      <c r="CV74">
        <f t="shared" si="41"/>
        <v>0</v>
      </c>
      <c r="CW74">
        <f t="shared" si="42"/>
        <v>0</v>
      </c>
      <c r="CX74">
        <f t="shared" si="43"/>
        <v>0</v>
      </c>
      <c r="CY74">
        <f t="shared" si="44"/>
        <v>0</v>
      </c>
      <c r="CZ74">
        <f t="shared" si="45"/>
        <v>0</v>
      </c>
      <c r="DA74">
        <f t="shared" si="46"/>
        <v>0</v>
      </c>
      <c r="DB74">
        <f t="shared" si="47"/>
        <v>0</v>
      </c>
    </row>
    <row r="75" spans="2:106" x14ac:dyDescent="0.25">
      <c r="B75">
        <v>4000</v>
      </c>
      <c r="N75">
        <v>6000</v>
      </c>
      <c r="Z75">
        <v>7000</v>
      </c>
      <c r="CU75">
        <f t="shared" si="40"/>
        <v>4000</v>
      </c>
      <c r="CV75">
        <f t="shared" si="41"/>
        <v>6000</v>
      </c>
      <c r="CW75">
        <f t="shared" si="42"/>
        <v>7000</v>
      </c>
      <c r="CX75">
        <f t="shared" si="43"/>
        <v>0</v>
      </c>
      <c r="CY75">
        <f t="shared" si="44"/>
        <v>0</v>
      </c>
      <c r="CZ75">
        <f t="shared" si="45"/>
        <v>0</v>
      </c>
      <c r="DA75">
        <f t="shared" si="46"/>
        <v>0</v>
      </c>
      <c r="DB75">
        <f t="shared" si="47"/>
        <v>0</v>
      </c>
    </row>
    <row r="76" spans="2:106" x14ac:dyDescent="0.25">
      <c r="B76">
        <v>2000</v>
      </c>
      <c r="N76">
        <v>2400</v>
      </c>
      <c r="Z76">
        <v>2600</v>
      </c>
      <c r="CU76">
        <f t="shared" si="40"/>
        <v>2000</v>
      </c>
      <c r="CV76">
        <f t="shared" si="41"/>
        <v>2400</v>
      </c>
      <c r="CW76">
        <f t="shared" si="42"/>
        <v>2600</v>
      </c>
      <c r="CX76">
        <f t="shared" si="43"/>
        <v>0</v>
      </c>
      <c r="CY76">
        <f t="shared" si="44"/>
        <v>0</v>
      </c>
      <c r="CZ76">
        <f t="shared" si="45"/>
        <v>0</v>
      </c>
      <c r="DA76">
        <f t="shared" si="46"/>
        <v>0</v>
      </c>
      <c r="DB76">
        <f t="shared" si="47"/>
        <v>0</v>
      </c>
    </row>
    <row r="77" spans="2:106" x14ac:dyDescent="0.25">
      <c r="B77">
        <v>20200</v>
      </c>
      <c r="N77">
        <v>11400</v>
      </c>
      <c r="Z77">
        <v>20000</v>
      </c>
      <c r="CU77">
        <f t="shared" si="40"/>
        <v>20200</v>
      </c>
      <c r="CV77">
        <f t="shared" si="41"/>
        <v>11400</v>
      </c>
      <c r="CW77">
        <f t="shared" si="42"/>
        <v>20000</v>
      </c>
      <c r="CX77">
        <f t="shared" si="43"/>
        <v>0</v>
      </c>
      <c r="CY77">
        <f t="shared" si="44"/>
        <v>0</v>
      </c>
      <c r="CZ77">
        <f t="shared" si="45"/>
        <v>0</v>
      </c>
      <c r="DA77">
        <f t="shared" si="46"/>
        <v>0</v>
      </c>
      <c r="DB77">
        <f t="shared" si="47"/>
        <v>0</v>
      </c>
    </row>
    <row r="78" spans="2:106" x14ac:dyDescent="0.25">
      <c r="B78">
        <v>8600</v>
      </c>
      <c r="N78">
        <v>24400</v>
      </c>
      <c r="Z78">
        <v>30000</v>
      </c>
      <c r="CU78">
        <f t="shared" si="40"/>
        <v>8600</v>
      </c>
      <c r="CV78">
        <f t="shared" si="41"/>
        <v>24400</v>
      </c>
      <c r="CW78">
        <f t="shared" si="42"/>
        <v>30000</v>
      </c>
      <c r="CX78">
        <f t="shared" si="43"/>
        <v>0</v>
      </c>
      <c r="CY78">
        <f t="shared" si="44"/>
        <v>0</v>
      </c>
      <c r="CZ78">
        <f t="shared" si="45"/>
        <v>0</v>
      </c>
      <c r="DA78">
        <f t="shared" si="46"/>
        <v>0</v>
      </c>
      <c r="DB78">
        <f t="shared" si="47"/>
        <v>0</v>
      </c>
    </row>
    <row r="79" spans="2:106" x14ac:dyDescent="0.25">
      <c r="CU79">
        <f t="shared" si="40"/>
        <v>0</v>
      </c>
      <c r="CV79">
        <f t="shared" si="41"/>
        <v>0</v>
      </c>
      <c r="CW79">
        <f t="shared" si="42"/>
        <v>0</v>
      </c>
      <c r="CX79">
        <f t="shared" si="43"/>
        <v>0</v>
      </c>
      <c r="CY79">
        <f t="shared" si="44"/>
        <v>0</v>
      </c>
      <c r="CZ79">
        <f t="shared" si="45"/>
        <v>0</v>
      </c>
      <c r="DA79">
        <f t="shared" si="46"/>
        <v>0</v>
      </c>
      <c r="DB79">
        <f t="shared" si="47"/>
        <v>0</v>
      </c>
    </row>
    <row r="80" spans="2:106" x14ac:dyDescent="0.25">
      <c r="CU80">
        <f t="shared" si="40"/>
        <v>0</v>
      </c>
      <c r="CV80">
        <f t="shared" si="41"/>
        <v>0</v>
      </c>
      <c r="CW80">
        <f t="shared" si="42"/>
        <v>0</v>
      </c>
      <c r="CX80">
        <f t="shared" si="43"/>
        <v>0</v>
      </c>
      <c r="CY80">
        <f t="shared" si="44"/>
        <v>0</v>
      </c>
      <c r="CZ80">
        <f t="shared" si="45"/>
        <v>0</v>
      </c>
      <c r="DA80">
        <f t="shared" si="46"/>
        <v>0</v>
      </c>
      <c r="DB80">
        <f t="shared" si="47"/>
        <v>0</v>
      </c>
    </row>
    <row r="81" spans="99:106" x14ac:dyDescent="0.25">
      <c r="CU81">
        <f t="shared" si="40"/>
        <v>0</v>
      </c>
      <c r="CV81">
        <f t="shared" si="41"/>
        <v>0</v>
      </c>
      <c r="CW81">
        <f t="shared" si="42"/>
        <v>0</v>
      </c>
      <c r="CX81">
        <f t="shared" si="43"/>
        <v>0</v>
      </c>
      <c r="CY81">
        <f t="shared" si="44"/>
        <v>0</v>
      </c>
      <c r="CZ81">
        <f t="shared" si="45"/>
        <v>0</v>
      </c>
      <c r="DA81">
        <f t="shared" si="46"/>
        <v>0</v>
      </c>
      <c r="DB81">
        <f t="shared" si="47"/>
        <v>0</v>
      </c>
    </row>
    <row r="82" spans="99:106" x14ac:dyDescent="0.25">
      <c r="CU82">
        <f t="shared" si="40"/>
        <v>0</v>
      </c>
      <c r="CV82">
        <f t="shared" si="41"/>
        <v>0</v>
      </c>
      <c r="CW82">
        <f t="shared" si="42"/>
        <v>0</v>
      </c>
      <c r="CX82">
        <f t="shared" si="43"/>
        <v>0</v>
      </c>
      <c r="CY82">
        <f t="shared" si="44"/>
        <v>0</v>
      </c>
      <c r="CZ82">
        <f t="shared" si="45"/>
        <v>0</v>
      </c>
      <c r="DA82">
        <f t="shared" si="46"/>
        <v>0</v>
      </c>
      <c r="DB82">
        <f t="shared" si="47"/>
        <v>0</v>
      </c>
    </row>
    <row r="205" spans="2:10" x14ac:dyDescent="0.25">
      <c r="C205" s="4">
        <v>2023</v>
      </c>
      <c r="D205" s="4">
        <v>2024</v>
      </c>
      <c r="E205" s="4">
        <v>2025</v>
      </c>
      <c r="F205" s="4">
        <v>2026</v>
      </c>
      <c r="G205" s="4">
        <v>2027</v>
      </c>
      <c r="H205" s="4">
        <v>2028</v>
      </c>
      <c r="I205" s="4">
        <v>2029</v>
      </c>
      <c r="J205" s="4">
        <v>2030</v>
      </c>
    </row>
    <row r="206" spans="2:10" x14ac:dyDescent="0.25">
      <c r="B206" t="s">
        <v>215</v>
      </c>
      <c r="C206">
        <f>BD!$CU$10</f>
        <v>45000</v>
      </c>
      <c r="D206">
        <f>BD!$CV$10</f>
        <v>60000</v>
      </c>
      <c r="E206">
        <f>BD!$CW$10</f>
        <v>78000</v>
      </c>
      <c r="F206">
        <f>BD!$CX$10</f>
        <v>0</v>
      </c>
      <c r="G206">
        <f>BD!$CY$10</f>
        <v>0</v>
      </c>
      <c r="H206">
        <f>BD!$CZ$10</f>
        <v>0</v>
      </c>
      <c r="I206">
        <f>BD!$DA$10</f>
        <v>0</v>
      </c>
      <c r="J206">
        <f>BD!$DB$10</f>
        <v>0</v>
      </c>
    </row>
    <row r="207" spans="2:10" x14ac:dyDescent="0.25">
      <c r="B207" t="s">
        <v>90</v>
      </c>
      <c r="C207">
        <f>BD!$CU$12</f>
        <v>95000</v>
      </c>
      <c r="D207">
        <f>BD!$CV$12</f>
        <v>100000</v>
      </c>
      <c r="E207">
        <f>BD!$CW$12</f>
        <v>92000</v>
      </c>
      <c r="F207">
        <f>BD!$CX$12</f>
        <v>0</v>
      </c>
      <c r="G207">
        <f>BD!$CY$12</f>
        <v>0</v>
      </c>
      <c r="H207">
        <f>BD!$CZ$12</f>
        <v>0</v>
      </c>
      <c r="I207">
        <f>BD!$DA$12</f>
        <v>0</v>
      </c>
      <c r="J207">
        <f>BD!$DB$12</f>
        <v>0</v>
      </c>
    </row>
    <row r="208" spans="2:10" x14ac:dyDescent="0.25">
      <c r="B208" t="s">
        <v>93</v>
      </c>
      <c r="C208">
        <f>SUM(BD!$CU$10:$CU$20)</f>
        <v>235000</v>
      </c>
      <c r="D208">
        <f>SUM(BD!$CV$10:$CV$20)</f>
        <v>268000</v>
      </c>
      <c r="E208">
        <f>SUM(BD!$CW$10:$CW$20)</f>
        <v>295000</v>
      </c>
      <c r="F208">
        <f>SUM(BD!$CX$10:$CX$20)</f>
        <v>0</v>
      </c>
      <c r="G208">
        <f>SUM(BD!$CY$10:$CY$20)</f>
        <v>0</v>
      </c>
      <c r="H208">
        <f>SUM(BD!$CZ$10:$CZ$20)</f>
        <v>0</v>
      </c>
      <c r="I208">
        <f>SUM(BD!$DA$10:$DA$20)</f>
        <v>0</v>
      </c>
      <c r="J208">
        <f>SUM(BD!$DB$10:$DB$20)</f>
        <v>0</v>
      </c>
    </row>
    <row r="209" spans="2:10" x14ac:dyDescent="0.25">
      <c r="B209" t="s">
        <v>99</v>
      </c>
      <c r="C209">
        <f>SUM(BD!$CU$23:$CU$32)</f>
        <v>215000</v>
      </c>
      <c r="D209">
        <f>SUM(BD!$CV$23:$CV$32)</f>
        <v>229000</v>
      </c>
      <c r="E209">
        <f>SUM(BD!$CW$23:$CW$32)</f>
        <v>245000</v>
      </c>
      <c r="F209">
        <f>SUM(BD!$CX$23:$CX$32)</f>
        <v>0</v>
      </c>
      <c r="G209">
        <f>SUM(BD!$CY$23:$CY$32)</f>
        <v>0</v>
      </c>
      <c r="H209">
        <f>SUM(BD!$CZ$23:$CZ$32)</f>
        <v>0</v>
      </c>
      <c r="I209">
        <f>SUM(BD!$DA$23:$DA$32)</f>
        <v>0</v>
      </c>
      <c r="J209">
        <f>SUM(BD!$DB$23:$DB$32)</f>
        <v>0</v>
      </c>
    </row>
    <row r="210" spans="2:10" x14ac:dyDescent="0.25">
      <c r="B210" t="s">
        <v>143</v>
      </c>
      <c r="C210">
        <f t="shared" ref="C210:J210" si="48">C208+C209</f>
        <v>450000</v>
      </c>
      <c r="D210">
        <f t="shared" si="48"/>
        <v>497000</v>
      </c>
      <c r="E210">
        <f t="shared" si="48"/>
        <v>540000</v>
      </c>
      <c r="F210">
        <f t="shared" si="48"/>
        <v>0</v>
      </c>
      <c r="G210">
        <f t="shared" si="48"/>
        <v>0</v>
      </c>
      <c r="H210">
        <f t="shared" si="48"/>
        <v>0</v>
      </c>
      <c r="I210">
        <f t="shared" si="48"/>
        <v>0</v>
      </c>
      <c r="J210">
        <f t="shared" si="48"/>
        <v>0</v>
      </c>
    </row>
    <row r="211" spans="2:10" x14ac:dyDescent="0.25">
      <c r="B211" t="s">
        <v>107</v>
      </c>
      <c r="C211">
        <f>SUM(BD!$CU$35:$CU$45)</f>
        <v>140000</v>
      </c>
      <c r="D211">
        <f>SUM(BD!$CV$35:$CV$45)</f>
        <v>142000</v>
      </c>
      <c r="E211">
        <f>SUM(BD!$CW$35:$CW$45)</f>
        <v>145000</v>
      </c>
      <c r="F211">
        <f>SUM(BD!$CX$35:$CX$45)</f>
        <v>0</v>
      </c>
      <c r="G211">
        <f>SUM(BD!$CY$35:$CY$45)</f>
        <v>0</v>
      </c>
      <c r="H211">
        <f>SUM(BD!$CZ$35:$CZ$45)</f>
        <v>0</v>
      </c>
      <c r="I211">
        <f>SUM(BD!$DA$35:$DA$45)</f>
        <v>0</v>
      </c>
      <c r="J211">
        <f>SUM(BD!$DB$35:$DB$45)</f>
        <v>0</v>
      </c>
    </row>
    <row r="212" spans="2:10" x14ac:dyDescent="0.25">
      <c r="B212" t="s">
        <v>112</v>
      </c>
      <c r="C212">
        <f>SUM(BD!$CU$48:$CU$56)</f>
        <v>125000</v>
      </c>
      <c r="D212">
        <f>SUM(BD!$CV$48:$CV$56)</f>
        <v>113000</v>
      </c>
      <c r="E212">
        <f>SUM(BD!$CW$48:$CW$56)</f>
        <v>100000</v>
      </c>
      <c r="F212">
        <f>SUM(BD!$CX$48:$CX$56)</f>
        <v>0</v>
      </c>
      <c r="G212">
        <f>SUM(BD!$CY$48:$CY$56)</f>
        <v>0</v>
      </c>
      <c r="H212">
        <f>SUM(BD!$CZ$48:$CZ$56)</f>
        <v>0</v>
      </c>
      <c r="I212">
        <f>SUM(BD!$DA$48:$DA$56)</f>
        <v>0</v>
      </c>
      <c r="J212">
        <f>SUM(BD!$DB$48:$DB$56)</f>
        <v>0</v>
      </c>
    </row>
    <row r="213" spans="2:10" x14ac:dyDescent="0.25">
      <c r="B213" t="s">
        <v>144</v>
      </c>
      <c r="C213">
        <f t="shared" ref="C213:J213" si="49">C211+C212</f>
        <v>265000</v>
      </c>
      <c r="D213">
        <f t="shared" si="49"/>
        <v>255000</v>
      </c>
      <c r="E213">
        <f t="shared" si="49"/>
        <v>245000</v>
      </c>
      <c r="F213">
        <f t="shared" si="49"/>
        <v>0</v>
      </c>
      <c r="G213">
        <f t="shared" si="49"/>
        <v>0</v>
      </c>
      <c r="H213">
        <f t="shared" si="49"/>
        <v>0</v>
      </c>
      <c r="I213">
        <f t="shared" si="49"/>
        <v>0</v>
      </c>
      <c r="J213">
        <f t="shared" si="49"/>
        <v>0</v>
      </c>
    </row>
    <row r="214" spans="2:10" x14ac:dyDescent="0.25">
      <c r="B214" t="s">
        <v>145</v>
      </c>
      <c r="C214">
        <f>SUM(BD!$CU$59:$CU$67)</f>
        <v>185000</v>
      </c>
      <c r="D214">
        <f>SUM(BD!$CV$59:$CV$67)</f>
        <v>242000</v>
      </c>
      <c r="E214">
        <f>SUM(BD!$CW$59:$CW$67)</f>
        <v>295000</v>
      </c>
      <c r="F214">
        <f>SUM(BD!$CX$59:$CX$67)</f>
        <v>0</v>
      </c>
      <c r="G214">
        <f>SUM(BD!$CY$59:$CY$67)</f>
        <v>0</v>
      </c>
      <c r="H214">
        <f>SUM(BD!$CZ$59:$CZ$67)</f>
        <v>0</v>
      </c>
      <c r="I214">
        <f>SUM(BD!$DA$59:$DA$67)</f>
        <v>0</v>
      </c>
      <c r="J214">
        <f>SUM(BD!$DB$59:$DB$67)</f>
        <v>0</v>
      </c>
    </row>
    <row r="215" spans="2:10" x14ac:dyDescent="0.25">
      <c r="B215" t="s">
        <v>180</v>
      </c>
      <c r="C215">
        <f>SUMIF('Estado de Resultados'!$B$7:$B$19,"ING",BD!$CU$70:$CU$82)</f>
        <v>580000</v>
      </c>
      <c r="D215">
        <f>SUMIF('Estado de Resultados'!$B$7:$B$19,"ING",BD!$CV$70:$CV$82)</f>
        <v>680000</v>
      </c>
      <c r="E215">
        <f>SUMIF('Estado de Resultados'!$B$7:$B$19,"ING",BD!$CW$70:$CW$82)</f>
        <v>760000</v>
      </c>
      <c r="F215">
        <f>SUMIF('Estado de Resultados'!$B$7:$B$19,"ING",BD!$CX$70:$CX$82)</f>
        <v>0</v>
      </c>
      <c r="G215">
        <f>SUMIF('Estado de Resultados'!$B$7:$B$19,"ING",BD!$CY$70:$CY$82)</f>
        <v>0</v>
      </c>
      <c r="H215">
        <f>SUMIF('Estado de Resultados'!$B$7:$B$19,"ING",BD!$CZ$70:$CZ$82)</f>
        <v>0</v>
      </c>
      <c r="I215">
        <f>SUMIF('Estado de Resultados'!$B$7:$B$19,"ING",BD!$DA$70:$DA$82)</f>
        <v>0</v>
      </c>
      <c r="J215">
        <f>SUMIF('Estado de Resultados'!$B$7:$B$19,"ING",BD!$DB$70:$DB$82)</f>
        <v>0</v>
      </c>
    </row>
    <row r="216" spans="2:10" x14ac:dyDescent="0.25">
      <c r="B216" t="s">
        <v>125</v>
      </c>
      <c r="C216">
        <f>SUMIF('Estado de Resultados'!$B$7:$B$19,"COGS",BD!$CU$70:$CU$82)</f>
        <v>371200</v>
      </c>
      <c r="D216">
        <f>SUMIF('Estado de Resultados'!$B$7:$B$19,"COGS",BD!$CV$70:$CV$82)</f>
        <v>421600</v>
      </c>
      <c r="E216">
        <f>SUMIF('Estado de Resultados'!$B$7:$B$19,"COGS",BD!$CW$70:$CW$82)</f>
        <v>463600</v>
      </c>
      <c r="F216">
        <f>SUMIF('Estado de Resultados'!$B$7:$B$19,"COGS",BD!$CX$70:$CX$82)</f>
        <v>0</v>
      </c>
      <c r="G216">
        <f>SUMIF('Estado de Resultados'!$B$7:$B$19,"COGS",BD!$CY$70:$CY$82)</f>
        <v>0</v>
      </c>
      <c r="H216">
        <f>SUMIF('Estado de Resultados'!$B$7:$B$19,"COGS",BD!$CZ$70:$CZ$82)</f>
        <v>0</v>
      </c>
      <c r="I216">
        <f>SUMIF('Estado de Resultados'!$B$7:$B$19,"COGS",BD!$DA$70:$DA$82)</f>
        <v>0</v>
      </c>
      <c r="J216">
        <f>SUMIF('Estado de Resultados'!$B$7:$B$19,"COGS",BD!$DB$70:$DB$82)</f>
        <v>0</v>
      </c>
    </row>
    <row r="217" spans="2:10" x14ac:dyDescent="0.25">
      <c r="B217" t="s">
        <v>149</v>
      </c>
      <c r="C217">
        <f>SUMIF('Estado de Resultados'!$B$7:$B$19,"ING",BD!$CU$70:$CU$82)-SUMIF('Estado de Resultados'!$B$7:$B$19,"COGS",BD!$CU$70:$CU$82)</f>
        <v>208800</v>
      </c>
      <c r="D217">
        <f>SUMIF('Estado de Resultados'!$B$7:$B$19,"ING",BD!$CV$70:$CV$82)-SUMIF('Estado de Resultados'!$B$7:$B$19,"COGS",BD!$CV$70:$CV$82)</f>
        <v>258400</v>
      </c>
      <c r="E217">
        <f>SUMIF('Estado de Resultados'!$B$7:$B$19,"ING",BD!$CW$70:$CW$82)-SUMIF('Estado de Resultados'!$B$7:$B$19,"COGS",BD!$CW$70:$CW$82)</f>
        <v>296400</v>
      </c>
      <c r="F217">
        <f>SUMIF('Estado de Resultados'!$B$7:$B$19,"ING",BD!$CX$70:$CX$82)-SUMIF('Estado de Resultados'!$B$7:$B$19,"COGS",BD!$CX$70:$CX$82)</f>
        <v>0</v>
      </c>
      <c r="G217">
        <f>SUMIF('Estado de Resultados'!$B$7:$B$19,"ING",BD!$CY$70:$CY$82)-SUMIF('Estado de Resultados'!$B$7:$B$19,"COGS",BD!$CY$70:$CY$82)</f>
        <v>0</v>
      </c>
      <c r="H217">
        <f>SUMIF('Estado de Resultados'!$B$7:$B$19,"ING",BD!$CZ$70:$CZ$82)-SUMIF('Estado de Resultados'!$B$7:$B$19,"COGS",BD!$CZ$70:$CZ$82)</f>
        <v>0</v>
      </c>
      <c r="I217">
        <f>SUMIF('Estado de Resultados'!$B$7:$B$19,"ING",BD!$DA$70:$DA$82)-SUMIF('Estado de Resultados'!$B$7:$B$19,"COGS",BD!$DA$70:$DA$82)</f>
        <v>0</v>
      </c>
      <c r="J217">
        <f>SUMIF('Estado de Resultados'!$B$7:$B$19,"ING",BD!$DB$70:$DB$82)-SUMIF('Estado de Resultados'!$B$7:$B$19,"COGS",BD!$DB$70:$DB$82)</f>
        <v>0</v>
      </c>
    </row>
    <row r="218" spans="2:10" x14ac:dyDescent="0.25">
      <c r="B218" t="s">
        <v>216</v>
      </c>
      <c r="C218">
        <f>SUMIF('Estado de Resultados'!$B$7:$B$19,"ING",BD!$CU$70:$CU$82)-SUMIF('Estado de Resultados'!$B$7:$B$19,"COGS",BD!$CU$70:$CU$82)-SUMIF('Estado de Resultados'!$B$7:$B$19,"OPEX",BD!$CU$70:$CU$82)+SUMIF('Estado de Resultados'!$B$7:$B$19,"OIO",BD!$CU$70:$CU$82)</f>
        <v>46800</v>
      </c>
      <c r="D218">
        <f>SUMIF('Estado de Resultados'!$B$7:$B$19,"ING",BD!$CV$70:$CV$82)-SUMIF('Estado de Resultados'!$B$7:$B$19,"COGS",BD!$CV$70:$CV$82)-SUMIF('Estado de Resultados'!$B$7:$B$19,"OPEX",BD!$CV$70:$CV$82)+SUMIF('Estado de Resultados'!$B$7:$B$19,"OIO",BD!$CV$70:$CV$82)</f>
        <v>90400</v>
      </c>
      <c r="E218">
        <f>SUMIF('Estado de Resultados'!$B$7:$B$19,"ING",BD!$CW$70:$CW$82)-SUMIF('Estado de Resultados'!$B$7:$B$19,"COGS",BD!$CW$70:$CW$82)-SUMIF('Estado de Resultados'!$B$7:$B$19,"OPEX",BD!$CW$70:$CW$82)+SUMIF('Estado de Resultados'!$B$7:$B$19,"OIO",BD!$CW$70:$CW$82)</f>
        <v>117400</v>
      </c>
      <c r="F218">
        <f>SUMIF('Estado de Resultados'!$B$7:$B$19,"ING",BD!$CX$70:$CX$82)-SUMIF('Estado de Resultados'!$B$7:$B$19,"COGS",BD!$CX$70:$CX$82)-SUMIF('Estado de Resultados'!$B$7:$B$19,"OPEX",BD!$CX$70:$CX$82)+SUMIF('Estado de Resultados'!$B$7:$B$19,"OIO",BD!$CX$70:$CX$82)</f>
        <v>0</v>
      </c>
      <c r="G218">
        <f>SUMIF('Estado de Resultados'!$B$7:$B$19,"ING",BD!$CY$70:$CY$82)-SUMIF('Estado de Resultados'!$B$7:$B$19,"COGS",BD!$CY$70:$CY$82)-SUMIF('Estado de Resultados'!$B$7:$B$19,"OPEX",BD!$CY$70:$CY$82)+SUMIF('Estado de Resultados'!$B$7:$B$19,"OIO",BD!$CY$70:$CY$82)</f>
        <v>0</v>
      </c>
      <c r="H218">
        <f>SUMIF('Estado de Resultados'!$B$7:$B$19,"ING",BD!$CZ$70:$CZ$82)-SUMIF('Estado de Resultados'!$B$7:$B$19,"COGS",BD!$CZ$70:$CZ$82)-SUMIF('Estado de Resultados'!$B$7:$B$19,"OPEX",BD!$CZ$70:$CZ$82)+SUMIF('Estado de Resultados'!$B$7:$B$19,"OIO",BD!$CZ$70:$CZ$82)</f>
        <v>0</v>
      </c>
      <c r="I218">
        <f>SUMIF('Estado de Resultados'!$B$7:$B$19,"ING",BD!$DA$70:$DA$82)-SUMIF('Estado de Resultados'!$B$7:$B$19,"COGS",BD!$DA$70:$DA$82)-SUMIF('Estado de Resultados'!$B$7:$B$19,"OPEX",BD!$DA$70:$DA$82)+SUMIF('Estado de Resultados'!$B$7:$B$19,"OIO",BD!$DA$70:$DA$82)</f>
        <v>0</v>
      </c>
      <c r="J218">
        <f>SUMIF('Estado de Resultados'!$B$7:$B$19,"ING",BD!$DB$70:$DB$82)-SUMIF('Estado de Resultados'!$B$7:$B$19,"COGS",BD!$DB$70:$DB$82)-SUMIF('Estado de Resultados'!$B$7:$B$19,"OPEX",BD!$DB$70:$DB$82)+SUMIF('Estado de Resultados'!$B$7:$B$19,"OIO",BD!$DB$70:$DB$82)</f>
        <v>0</v>
      </c>
    </row>
    <row r="219" spans="2:10" x14ac:dyDescent="0.25">
      <c r="B219" t="s">
        <v>135</v>
      </c>
      <c r="C219">
        <f>SUMIF('Estado de Resultados'!$B$7:$B$19,"GFIN",BD!$CU$70:$CU$82)</f>
        <v>20200</v>
      </c>
      <c r="D219">
        <f>SUMIF('Estado de Resultados'!$B$7:$B$19,"GFIN",BD!$CV$70:$CV$82)</f>
        <v>11400</v>
      </c>
      <c r="E219">
        <f>SUMIF('Estado de Resultados'!$B$7:$B$19,"GFIN",BD!$CW$70:$CW$82)</f>
        <v>20000</v>
      </c>
      <c r="F219">
        <f>SUMIF('Estado de Resultados'!$B$7:$B$19,"GFIN",BD!$CX$70:$CX$82)</f>
        <v>0</v>
      </c>
      <c r="G219">
        <f>SUMIF('Estado de Resultados'!$B$7:$B$19,"GFIN",BD!$CY$70:$CY$82)</f>
        <v>0</v>
      </c>
      <c r="H219">
        <f>SUMIF('Estado de Resultados'!$B$7:$B$19,"GFIN",BD!$CZ$70:$CZ$82)</f>
        <v>0</v>
      </c>
      <c r="I219">
        <f>SUMIF('Estado de Resultados'!$B$7:$B$19,"GFIN",BD!$DA$70:$DA$82)</f>
        <v>0</v>
      </c>
      <c r="J219">
        <f>SUMIF('Estado de Resultados'!$B$7:$B$19,"GFIN",BD!$DB$70:$DB$82)</f>
        <v>0</v>
      </c>
    </row>
    <row r="220" spans="2:10" x14ac:dyDescent="0.25">
      <c r="B220" t="s">
        <v>151</v>
      </c>
      <c r="C220">
        <f>SUMIF('Estado de Resultados'!$B$7:$B$19,"ING",BD!$CU$70:$CU$82)-SUMIF('Estado de Resultados'!$B$7:$B$19,"COGS",BD!$CU$70:$CU$82)-SUMIF('Estado de Resultados'!$B$7:$B$19,"OPEX",BD!$CU$70:$CU$82)+SUMIF('Estado de Resultados'!$B$7:$B$19,"OIO",BD!$CU$70:$CU$82)+SUMIF('Estado de Resultados'!$B$7:$B$19,"IFIN",BD!$CU$70:$CU$82)-SUMIF('Estado de Resultados'!$B$7:$B$19,"GFIN",BD!$CU$70:$CU$82)-SUMIF('Estado de Resultados'!$B$7:$B$19,"TAX",BD!$CU$70:$CU$82)</f>
        <v>20000</v>
      </c>
      <c r="D220">
        <f>SUMIF('Estado de Resultados'!$B$7:$B$19,"ING",BD!$CV$70:$CV$82)-SUMIF('Estado de Resultados'!$B$7:$B$19,"COGS",BD!$CV$70:$CV$82)-SUMIF('Estado de Resultados'!$B$7:$B$19,"OPEX",BD!$CV$70:$CV$82)+SUMIF('Estado de Resultados'!$B$7:$B$19,"OIO",BD!$CV$70:$CV$82)+SUMIF('Estado de Resultados'!$B$7:$B$19,"IFIN",BD!$CV$70:$CV$82)-SUMIF('Estado de Resultados'!$B$7:$B$19,"GFIN",BD!$CV$70:$CV$82)-SUMIF('Estado de Resultados'!$B$7:$B$19,"TAX",BD!$CV$70:$CV$82)</f>
        <v>57000</v>
      </c>
      <c r="E220">
        <f>SUMIF('Estado de Resultados'!$B$7:$B$19,"ING",BD!$CW$70:$CW$82)-SUMIF('Estado de Resultados'!$B$7:$B$19,"COGS",BD!$CW$70:$CW$82)-SUMIF('Estado de Resultados'!$B$7:$B$19,"OPEX",BD!$CW$70:$CW$82)+SUMIF('Estado de Resultados'!$B$7:$B$19,"OIO",BD!$CW$70:$CW$82)+SUMIF('Estado de Resultados'!$B$7:$B$19,"IFIN",BD!$CW$70:$CW$82)-SUMIF('Estado de Resultados'!$B$7:$B$19,"GFIN",BD!$CW$70:$CW$82)-SUMIF('Estado de Resultados'!$B$7:$B$19,"TAX",BD!$CW$70:$CW$82)</f>
        <v>70000</v>
      </c>
      <c r="F220">
        <f>SUMIF('Estado de Resultados'!$B$7:$B$19,"ING",BD!$CX$70:$CX$82)-SUMIF('Estado de Resultados'!$B$7:$B$19,"COGS",BD!$CX$70:$CX$82)-SUMIF('Estado de Resultados'!$B$7:$B$19,"OPEX",BD!$CX$70:$CX$82)+SUMIF('Estado de Resultados'!$B$7:$B$19,"OIO",BD!$CX$70:$CX$82)+SUMIF('Estado de Resultados'!$B$7:$B$19,"IFIN",BD!$CX$70:$CX$82)-SUMIF('Estado de Resultados'!$B$7:$B$19,"GFIN",BD!$CX$70:$CX$82)-SUMIF('Estado de Resultados'!$B$7:$B$19,"TAX",BD!$CX$70:$CX$82)</f>
        <v>0</v>
      </c>
      <c r="G220">
        <f>SUMIF('Estado de Resultados'!$B$7:$B$19,"ING",BD!$CY$70:$CY$82)-SUMIF('Estado de Resultados'!$B$7:$B$19,"COGS",BD!$CY$70:$CY$82)-SUMIF('Estado de Resultados'!$B$7:$B$19,"OPEX",BD!$CY$70:$CY$82)+SUMIF('Estado de Resultados'!$B$7:$B$19,"OIO",BD!$CY$70:$CY$82)+SUMIF('Estado de Resultados'!$B$7:$B$19,"IFIN",BD!$CY$70:$CY$82)-SUMIF('Estado de Resultados'!$B$7:$B$19,"GFIN",BD!$CY$70:$CY$82)-SUMIF('Estado de Resultados'!$B$7:$B$19,"TAX",BD!$CY$70:$CY$82)</f>
        <v>0</v>
      </c>
      <c r="H220">
        <f>SUMIF('Estado de Resultados'!$B$7:$B$19,"ING",BD!$CZ$70:$CZ$82)-SUMIF('Estado de Resultados'!$B$7:$B$19,"COGS",BD!$CZ$70:$CZ$82)-SUMIF('Estado de Resultados'!$B$7:$B$19,"OPEX",BD!$CZ$70:$CZ$82)+SUMIF('Estado de Resultados'!$B$7:$B$19,"OIO",BD!$CZ$70:$CZ$82)+SUMIF('Estado de Resultados'!$B$7:$B$19,"IFIN",BD!$CZ$70:$CZ$82)-SUMIF('Estado de Resultados'!$B$7:$B$19,"GFIN",BD!$CZ$70:$CZ$82)-SUMIF('Estado de Resultados'!$B$7:$B$19,"TAX",BD!$CZ$70:$CZ$82)</f>
        <v>0</v>
      </c>
      <c r="I220">
        <f>SUMIF('Estado de Resultados'!$B$7:$B$19,"ING",BD!$DA$70:$DA$82)-SUMIF('Estado de Resultados'!$B$7:$B$19,"COGS",BD!$DA$70:$DA$82)-SUMIF('Estado de Resultados'!$B$7:$B$19,"OPEX",BD!$DA$70:$DA$82)+SUMIF('Estado de Resultados'!$B$7:$B$19,"OIO",BD!$DA$70:$DA$82)+SUMIF('Estado de Resultados'!$B$7:$B$19,"IFIN",BD!$DA$70:$DA$82)-SUMIF('Estado de Resultados'!$B$7:$B$19,"GFIN",BD!$DA$70:$DA$82)-SUMIF('Estado de Resultados'!$B$7:$B$19,"TAX",BD!$DA$70:$DA$82)</f>
        <v>0</v>
      </c>
      <c r="J220">
        <f>SUMIF('Estado de Resultados'!$B$7:$B$19,"ING",BD!$DB$70:$DB$82)-SUMIF('Estado de Resultados'!$B$7:$B$19,"COGS",BD!$DB$70:$DB$82)-SUMIF('Estado de Resultados'!$B$7:$B$19,"OPEX",BD!$DB$70:$DB$82)+SUMIF('Estado de Resultados'!$B$7:$B$19,"OIO",BD!$DB$70:$DB$82)+SUMIF('Estado de Resultados'!$B$7:$B$19,"IFIN",BD!$DB$70:$DB$82)-SUMIF('Estado de Resultados'!$B$7:$B$19,"GFIN",BD!$DB$70:$DB$82)-SUMIF('Estado de Resultados'!$B$7:$B$19,"TAX",BD!$DB$70:$DB$82)</f>
        <v>0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24</vt:i4>
      </vt:variant>
    </vt:vector>
  </HeadingPairs>
  <TitlesOfParts>
    <vt:vector size="35" baseType="lpstr">
      <vt:lpstr>Inicio</vt:lpstr>
      <vt:lpstr>Teoría</vt:lpstr>
      <vt:lpstr>Activos</vt:lpstr>
      <vt:lpstr>Pasivos</vt:lpstr>
      <vt:lpstr>Patrimonio</vt:lpstr>
      <vt:lpstr>Estado de Resultados</vt:lpstr>
      <vt:lpstr>Estados Financieros</vt:lpstr>
      <vt:lpstr>Ratios</vt:lpstr>
      <vt:lpstr>Dashboard</vt:lpstr>
      <vt:lpstr>Planes de Acción</vt:lpstr>
      <vt:lpstr>BD</vt:lpstr>
      <vt:lpstr>bd_ACTC</vt:lpstr>
      <vt:lpstr>bd_ACTN</vt:lpstr>
      <vt:lpstr>bd_ERS</vt:lpstr>
      <vt:lpstr>bd_PASC</vt:lpstr>
      <vt:lpstr>bd_PASN</vt:lpstr>
      <vt:lpstr>bd_PAT</vt:lpstr>
      <vt:lpstr>ed_ACTC</vt:lpstr>
      <vt:lpstr>ed_ACTN</vt:lpstr>
      <vt:lpstr>ed_ERS</vt:lpstr>
      <vt:lpstr>ed_PASC</vt:lpstr>
      <vt:lpstr>ed_PASN</vt:lpstr>
      <vt:lpstr>ed_PAT</vt:lpstr>
      <vt:lpstr>mk_ACTC</vt:lpstr>
      <vt:lpstr>mk_ACTN</vt:lpstr>
      <vt:lpstr>mk_ERS</vt:lpstr>
      <vt:lpstr>mk_PASC</vt:lpstr>
      <vt:lpstr>mk_PASN</vt:lpstr>
      <vt:lpstr>mk_PAT</vt:lpstr>
      <vt:lpstr>yr_ACTC</vt:lpstr>
      <vt:lpstr>yr_ACTN</vt:lpstr>
      <vt:lpstr>yr_ERS</vt:lpstr>
      <vt:lpstr>yr_PASC</vt:lpstr>
      <vt:lpstr>yr_PASN</vt:lpstr>
      <vt:lpstr>yr_PAT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UsuarioCompuElite</cp:lastModifiedBy>
  <cp:revision>1</cp:revision>
  <dcterms:created xsi:type="dcterms:W3CDTF">2026-06-13T19:04:18Z</dcterms:created>
  <dcterms:modified xsi:type="dcterms:W3CDTF">2026-07-12T06:15:24Z</dcterms:modified>
  <dc:language>en-US</dc:language>
</cp:coreProperties>
</file>